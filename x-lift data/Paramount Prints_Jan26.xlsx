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Shared Folders\Management Sales Reporting\Claude Files\"/>
    </mc:Choice>
  </mc:AlternateContent>
  <xr:revisionPtr revIDLastSave="0" documentId="8_{167DDD22-BD6E-41BF-BF81-9737E7AF407A}" xr6:coauthVersionLast="47" xr6:coauthVersionMax="47" xr10:uidLastSave="{00000000-0000-0000-0000-000000000000}"/>
  <bookViews>
    <workbookView xWindow="-104" yWindow="-104" windowWidth="20098" windowHeight="11914" tabRatio="855" firstSheet="3" activeTab="4" xr2:uid="{B0418B22-7245-4B35-BA2D-60586C6D5A42}"/>
  </bookViews>
  <sheets>
    <sheet name="Month Name" sheetId="44" state="hidden" r:id="rId1"/>
    <sheet name="Scenario" sheetId="45" state="hidden" r:id="rId2"/>
    <sheet name="Sheet1" sheetId="52" state="hidden" r:id="rId3"/>
    <sheet name="609 IS Var" sheetId="53" r:id="rId4"/>
    <sheet name="609 IS" sheetId="54" r:id="rId5"/>
    <sheet name="610 IS Var" sheetId="56" r:id="rId6"/>
    <sheet name="610 IS" sheetId="57" r:id="rId7"/>
    <sheet name="612 IS Var" sheetId="58" r:id="rId8"/>
    <sheet name="612 IS" sheetId="59" r:id="rId9"/>
    <sheet name="vena.tmp.7EC47338204F4F1F" sheetId="2" state="veryHidden" r:id="rId10"/>
  </sheets>
  <externalReferences>
    <externalReference r:id="rId11"/>
    <externalReference r:id="rId12"/>
  </externalReferences>
  <definedNames>
    <definedName name="_vena_1_B1_C_FV_134399665b374008851e5b8c04b5ee44">'609 IS Var'!$M$6</definedName>
    <definedName name="_vena_1_B1_C_FV_134399665b374008851e5b8c04b5ee44_1">'609 IS Var'!$O$6</definedName>
    <definedName name="_vena_1_B1_C_FV_134399665b374008851e5b8c04b5ee44_10">'609 IS Var'!$AQ$6</definedName>
    <definedName name="_vena_1_B1_C_FV_134399665b374008851e5b8c04b5ee44_11">'609 IS Var'!$BA$6</definedName>
    <definedName name="_vena_1_B1_C_FV_134399665b374008851e5b8c04b5ee44_12">'609 IS Var'!$BC$6</definedName>
    <definedName name="_vena_1_B1_C_FV_134399665b374008851e5b8c04b5ee44_13">'609 IS Var'!$BE$6</definedName>
    <definedName name="_vena_1_B1_C_FV_134399665b374008851e5b8c04b5ee44_2">'609 IS Var'!$Q$6</definedName>
    <definedName name="_vena_1_B1_C_FV_134399665b374008851e5b8c04b5ee44_3">'609 IS Var'!$S$6</definedName>
    <definedName name="_vena_1_B1_C_FV_134399665b374008851e5b8c04b5ee44_4">'609 IS Var'!$AC$6</definedName>
    <definedName name="_vena_1_B1_C_FV_134399665b374008851e5b8c04b5ee44_5">'609 IS Var'!$AD$6</definedName>
    <definedName name="_vena_1_B1_C_FV_134399665b374008851e5b8c04b5ee44_6">'609 IS Var'!$AE$6</definedName>
    <definedName name="_vena_1_B1_C_FV_134399665b374008851e5b8c04b5ee44_7">'609 IS Var'!$AK$6</definedName>
    <definedName name="_vena_1_B1_C_FV_134399665b374008851e5b8c04b5ee44_8">'609 IS Var'!$AM$6</definedName>
    <definedName name="_vena_1_B1_C_FV_134399665b374008851e5b8c04b5ee44_9">'609 IS Var'!$AO$6</definedName>
    <definedName name="_vena_1_B1_C_FV_7cc8369c0b744816a17486bee792b4d5">'609 IS Var'!$M$4</definedName>
    <definedName name="_vena_1_B1_C_FV_7cc8369c0b744816a17486bee792b4d5_1">'609 IS Var'!$O$4</definedName>
    <definedName name="_vena_1_B1_C_FV_7cc8369c0b744816a17486bee792b4d5_10">'609 IS Var'!$AQ$4</definedName>
    <definedName name="_vena_1_B1_C_FV_7cc8369c0b744816a17486bee792b4d5_11">'609 IS Var'!$BA$4</definedName>
    <definedName name="_vena_1_B1_C_FV_7cc8369c0b744816a17486bee792b4d5_12">'609 IS Var'!$BC$4</definedName>
    <definedName name="_vena_1_B1_C_FV_7cc8369c0b744816a17486bee792b4d5_13">'609 IS Var'!$BE$4</definedName>
    <definedName name="_vena_1_B1_C_FV_7cc8369c0b744816a17486bee792b4d5_2">'609 IS Var'!$Q$4</definedName>
    <definedName name="_vena_1_B1_C_FV_7cc8369c0b744816a17486bee792b4d5_3">'609 IS Var'!$S$4</definedName>
    <definedName name="_vena_1_B1_C_FV_7cc8369c0b744816a17486bee792b4d5_4">'609 IS Var'!$AC$4</definedName>
    <definedName name="_vena_1_B1_C_FV_7cc8369c0b744816a17486bee792b4d5_5">'609 IS Var'!$AD$4</definedName>
    <definedName name="_vena_1_B1_C_FV_7cc8369c0b744816a17486bee792b4d5_6">'609 IS Var'!$AE$4</definedName>
    <definedName name="_vena_1_B1_C_FV_7cc8369c0b744816a17486bee792b4d5_7">'609 IS Var'!$AK$4</definedName>
    <definedName name="_vena_1_B1_C_FV_7cc8369c0b744816a17486bee792b4d5_8">'609 IS Var'!$AM$4</definedName>
    <definedName name="_vena_1_B1_C_FV_7cc8369c0b744816a17486bee792b4d5_9">'609 IS Var'!$AO$4</definedName>
    <definedName name="_vena_1_B1_C_FV_f4ddf33ff6224574ba096b1a5435ea67">'609 IS Var'!$M$5</definedName>
    <definedName name="_vena_1_B1_C_FV_f4ddf33ff6224574ba096b1a5435ea67_1">'609 IS Var'!$O$5</definedName>
    <definedName name="_vena_1_B1_C_FV_f4ddf33ff6224574ba096b1a5435ea67_10">'609 IS Var'!$AQ$5</definedName>
    <definedName name="_vena_1_B1_C_FV_f4ddf33ff6224574ba096b1a5435ea67_11">'609 IS Var'!$BA$5</definedName>
    <definedName name="_vena_1_B1_C_FV_f4ddf33ff6224574ba096b1a5435ea67_12">'609 IS Var'!$BC$5</definedName>
    <definedName name="_vena_1_B1_C_FV_f4ddf33ff6224574ba096b1a5435ea67_13">'609 IS Var'!$BE$5</definedName>
    <definedName name="_vena_1_B1_C_FV_f4ddf33ff6224574ba096b1a5435ea67_2">'609 IS Var'!$Q$5</definedName>
    <definedName name="_vena_1_B1_C_FV_f4ddf33ff6224574ba096b1a5435ea67_3">'609 IS Var'!$S$5</definedName>
    <definedName name="_vena_1_B1_C_FV_f4ddf33ff6224574ba096b1a5435ea67_4">'609 IS Var'!$AC$5</definedName>
    <definedName name="_vena_1_B1_C_FV_f4ddf33ff6224574ba096b1a5435ea67_5">'609 IS Var'!$AD$5</definedName>
    <definedName name="_vena_1_B1_C_FV_f4ddf33ff6224574ba096b1a5435ea67_6">'609 IS Var'!$AE$5</definedName>
    <definedName name="_vena_1_B1_C_FV_f4ddf33ff6224574ba096b1a5435ea67_7">'609 IS Var'!$AK$5</definedName>
    <definedName name="_vena_1_B1_C_FV_f4ddf33ff6224574ba096b1a5435ea67_8">'609 IS Var'!$AM$5</definedName>
    <definedName name="_vena_1_B1_C_FV_f4ddf33ff6224574ba096b1a5435ea67_9">'609 IS Var'!$AO$5</definedName>
    <definedName name="_vena_1_B1_R_1_1126333519640395796">'609 IS Var'!$H$44</definedName>
    <definedName name="_vena_1_B1_R_1_1126333519686533120">'609 IS Var'!$H$54</definedName>
    <definedName name="_vena_1_B1_R_1_1126333519715893262">'609 IS Var'!$H$59</definedName>
    <definedName name="_vena_1_B1_R_1_1126333519736864780">'609 IS Var'!$H$95</definedName>
    <definedName name="_vena_1_B1_R_1_1126333519762030608">'609 IS Var'!$H$114</definedName>
    <definedName name="_vena_1_B1_R_1_1126333519778807820">'609 IS Var'!$H$104</definedName>
    <definedName name="_vena_1_B1_R_1_1126333519787196446">'609 IS Var'!$H$126</definedName>
    <definedName name="_vena_1_B1_R_1_1126333519808167948">'609 IS Var'!$H$121</definedName>
    <definedName name="_vena_1_B1_R_1_1126333519854305298">'609 IS Var'!$H$67</definedName>
    <definedName name="_vena_1_B1_R_1_1126333519871082529">'609 IS Var'!$H$132</definedName>
    <definedName name="_vena_1_B1_R_1_1126333519883665426">'609 IS Var'!$H$91</definedName>
    <definedName name="_vena_1_B1_R_1_1126333519900442631">'609 IS Var'!$H$75</definedName>
    <definedName name="_vena_1_B1_R_1_1126333519925608473">'609 IS Var'!$H$142</definedName>
    <definedName name="_vena_1_B1_R_1_1126333519963357190">'609 IS Var'!$H$144</definedName>
    <definedName name="_vena_1_B1_R_1_1176989022519558144">'609 IS Var'!$H$32</definedName>
    <definedName name="_vena_1_B1_R_1_1177034623004573696">'609 IS Var'!$H$129</definedName>
    <definedName name="_vena_1_B1_R_1_1177042009963233280">'609 IS Var'!$H$38</definedName>
    <definedName name="_vena_1_B1_R_1_1177042321444044802">'609 IS Var'!$H$36</definedName>
    <definedName name="_vena_1_B1_R_1_1182443237873811456">'609 IS Var'!$H$154</definedName>
    <definedName name="_vena_1_B1_R_1_1192625627677589504">'609 IS Var'!$H$169</definedName>
    <definedName name="_vena_1_B1_R_1_1193288113649483886">'609 IS Var'!$H$164</definedName>
    <definedName name="_vena_1_B1_R_1_1258522529073987584">'609 IS Var'!$H$174</definedName>
    <definedName name="_vena_1_B1_R_1_1336800240017473538">'609 IS Var'!$H$88</definedName>
    <definedName name="_vena_1_B1_R_1_1525326324040761344">'609 IS Var'!$H$179</definedName>
    <definedName name="_vena_1_B1_R_1_1547710538947624960">'609 IS Var'!$H$55</definedName>
    <definedName name="_vena_1_B1_R_1_1547710569653993893">'609 IS Var'!$H$57</definedName>
    <definedName name="_vena_1_B1_R_1_651631427951788032">'609 IS Var'!$H$231</definedName>
    <definedName name="_vena_1_B1_R_1_651631428002119680">'609 IS Var'!$H$31</definedName>
    <definedName name="_vena_1_B1_R_1_651631428165697537">'609 IS Var'!$H$66</definedName>
    <definedName name="_vena_1_B1_R_1_691119840308494336">'609 IS Var'!$H$219</definedName>
    <definedName name="_vena_1_B1_R_1_691121205046280192">'609 IS Var'!$H$141</definedName>
    <definedName name="_vena_1_B1_R_1_691121629820878848">'609 IS Var'!$H$149</definedName>
    <definedName name="_vena_1_B1_R_1_691172173569589248">'609 IS Var'!$H$43</definedName>
    <definedName name="_vena_1_B1_R_FV_385b1d086d8a4b8abf43c04eedb00d88_1ec589b3.39b3f5d4">'609 IS Var'!$H$155:$H$160</definedName>
    <definedName name="_vena_1_B1_R_FV_385b1d086d8a4b8abf43c04eedb00d88_25bff5c3.1876c04b">'609 IS Var'!$H$105:$H$113</definedName>
    <definedName name="_vena_1_B1_R_FV_385b1d086d8a4b8abf43c04eedb00d88_2714494c.9abe388c">'609 IS Var'!$H$89:$H$90</definedName>
    <definedName name="_vena_1_B1_R_FV_385b1d086d8a4b8abf43c04eedb00d88_3294a637.74007850">'609 IS Var'!$H$115:$H$120</definedName>
    <definedName name="_vena_1_B1_R_FV_385b1d086d8a4b8abf43c04eedb00d88_414f34aa.afa17a01">'609 IS Var'!$H$76:$H$87</definedName>
    <definedName name="_vena_1_B1_R_FV_385b1d086d8a4b8abf43c04eedb00d88_4595eea8.9900bd4d">'609 IS Var'!$H$33:$H$35</definedName>
    <definedName name="_vena_1_B1_R_FV_385b1d086d8a4b8abf43c04eedb00d88_493e9e24.a598def5">'609 IS Var'!$H$150:$H$150</definedName>
    <definedName name="_vena_1_B1_R_FV_385b1d086d8a4b8abf43c04eedb00d88_56fa9cda.6d66a4a3">'609 IS Var'!$H$122:$H$125</definedName>
    <definedName name="_vena_1_B1_R_FV_385b1d086d8a4b8abf43c04eedb00d88_5b8c3f25.e93e8c36">'609 IS Var'!$H$145:$H$145</definedName>
    <definedName name="_vena_1_B1_R_FV_385b1d086d8a4b8abf43c04eedb00d88_5f1ee2f1.147903ec">'609 IS Var'!$H$170:$H$170</definedName>
    <definedName name="_vena_1_B1_R_FV_385b1d086d8a4b8abf43c04eedb00d88_60148fd9.8a7f705">'609 IS Var'!$H$143:$H$143</definedName>
    <definedName name="_vena_1_B1_R_FV_385b1d086d8a4b8abf43c04eedb00d88_6fd17684.a7c87e86">'609 IS Var'!$H$68:$H$74</definedName>
    <definedName name="_vena_1_B1_R_FV_385b1d086d8a4b8abf43c04eedb00d88_7b633d6.a3a1014e">'609 IS Var'!$H$56:$H$56</definedName>
    <definedName name="_vena_1_B1_R_FV_385b1d086d8a4b8abf43c04eedb00d88_8b14c78f.f57fbe79">'609 IS Var'!$H$60:$H$60</definedName>
    <definedName name="_vena_1_B1_R_FV_385b1d086d8a4b8abf43c04eedb00d88_8dc35574.a24692ea">'609 IS Var'!$H$39:$H$39</definedName>
    <definedName name="_vena_1_B1_R_FV_385b1d086d8a4b8abf43c04eedb00d88_96aca248.19035cff">'609 IS Var'!$H$133:$H$133</definedName>
    <definedName name="_vena_1_B1_R_FV_385b1d086d8a4b8abf43c04eedb00d88_9c988328.350e0e2d">'609 IS Var'!$H$165:$H$165</definedName>
    <definedName name="_vena_1_B1_R_FV_385b1d086d8a4b8abf43c04eedb00d88_adfc71bf.7ae5b388">'609 IS Var'!$H$96:$H$103</definedName>
    <definedName name="_vena_1_B1_R_FV_385b1d086d8a4b8abf43c04eedb00d88_b4be782f.ef55908e">'609 IS Var'!$H$92:$H$94</definedName>
    <definedName name="_vena_1_B1_R_FV_385b1d086d8a4b8abf43c04eedb00d88_b7003ed4.266d13f5">'609 IS Var'!$H$45:$H$53</definedName>
    <definedName name="_vena_1_B1_R_FV_385b1d086d8a4b8abf43c04eedb00d88_ba21577b.fb49e1f1">'609 IS Var'!$H$180:$H$180</definedName>
    <definedName name="_vena_1_B1_R_FV_385b1d086d8a4b8abf43c04eedb00d88_bd85c5d7.69e98ab0">'609 IS Var'!$H$175:$H$175</definedName>
    <definedName name="_vena_1_B1_R_FV_385b1d086d8a4b8abf43c04eedb00d88_c0fe04cd.c557d17f">'609 IS Var'!$H$127:$H$128</definedName>
    <definedName name="_vena_1_B1_R_FV_385b1d086d8a4b8abf43c04eedb00d88_c49c509c.fe7b5801">'609 IS Var'!$H$130:$H$131</definedName>
    <definedName name="_vena_1_B1_R_FV_385b1d086d8a4b8abf43c04eedb00d88_c4a3fd2d.fd06ec4c">'609 IS Var'!$H$37:$H$37</definedName>
    <definedName name="_vena_1_B1_R_FV_385b1d086d8a4b8abf43c04eedb00d88_ca65fd1d.f2f20e5d">'609 IS Var'!$H$58:$H$58</definedName>
    <definedName name="_vena_1_P_11_651631431944765441" comment="*">'609 IS Var'!$E$10</definedName>
    <definedName name="_vena_1_P_12_651631431982514177" comment="*">'609 IS Var'!$E$11</definedName>
    <definedName name="_vena_1_P_2_651631429184913409" comment="*">'609 IS Var'!$E$12</definedName>
    <definedName name="_vena_1_P_4_652241713652170752" comment="*">'609 IS Var'!$E$13</definedName>
    <definedName name="_vena_1_P_5_652241713786388480" comment="*">'609 IS Var'!$E$14</definedName>
    <definedName name="_vena_1_P_6_652241713908023296" comment="*">'609 IS Var'!$E$15</definedName>
    <definedName name="_vena_1_P_7_652241714033852416" comment="*">'609 IS Var'!$E$16</definedName>
    <definedName name="_vena_1_P_FV_a2a46c4bae444ba2ab0e2971d74e2ddb" comment="*">'609 IS Var'!$E$6</definedName>
    <definedName name="_vena_11_b1_C_FV_134399665b374008851e5b8c04b5ee44">#REF!</definedName>
    <definedName name="_vena_11_b1_C_FV_134399665b374008851e5b8c04b5ee44_1">#REF!</definedName>
    <definedName name="_vena_11_b1_C_FV_134399665b374008851e5b8c04b5ee44_10">#REF!</definedName>
    <definedName name="_vena_11_b1_C_FV_134399665b374008851e5b8c04b5ee44_11">#REF!</definedName>
    <definedName name="_vena_11_b1_C_FV_134399665b374008851e5b8c04b5ee44_12">#REF!</definedName>
    <definedName name="_vena_11_b1_C_FV_134399665b374008851e5b8c04b5ee44_13">#REF!</definedName>
    <definedName name="_vena_11_b1_C_FV_134399665b374008851e5b8c04b5ee44_14">#REF!</definedName>
    <definedName name="_vena_11_b1_C_FV_134399665b374008851e5b8c04b5ee44_15">#REF!</definedName>
    <definedName name="_vena_11_b1_C_FV_134399665b374008851e5b8c04b5ee44_16">#REF!</definedName>
    <definedName name="_vena_11_b1_C_FV_134399665b374008851e5b8c04b5ee44_17">#REF!</definedName>
    <definedName name="_vena_11_b1_C_FV_134399665b374008851e5b8c04b5ee44_18">#REF!</definedName>
    <definedName name="_vena_11_b1_C_FV_134399665b374008851e5b8c04b5ee44_19">#REF!</definedName>
    <definedName name="_vena_11_b1_C_FV_134399665b374008851e5b8c04b5ee44_2">#REF!</definedName>
    <definedName name="_vena_11_b1_C_FV_134399665b374008851e5b8c04b5ee44_20">#REF!</definedName>
    <definedName name="_vena_11_b1_C_FV_134399665b374008851e5b8c04b5ee44_21">#REF!</definedName>
    <definedName name="_vena_11_b1_C_FV_134399665b374008851e5b8c04b5ee44_22">#REF!</definedName>
    <definedName name="_vena_11_b1_C_FV_134399665b374008851e5b8c04b5ee44_23">#REF!</definedName>
    <definedName name="_vena_11_b1_C_FV_134399665b374008851e5b8c04b5ee44_24">#REF!</definedName>
    <definedName name="_vena_11_b1_C_FV_134399665b374008851e5b8c04b5ee44_25">#REF!</definedName>
    <definedName name="_vena_11_b1_C_FV_134399665b374008851e5b8c04b5ee44_26">#REF!</definedName>
    <definedName name="_vena_11_b1_C_FV_134399665b374008851e5b8c04b5ee44_27">#REF!</definedName>
    <definedName name="_vena_11_b1_C_FV_134399665b374008851e5b8c04b5ee44_28">#REF!</definedName>
    <definedName name="_vena_11_b1_C_FV_134399665b374008851e5b8c04b5ee44_29">#REF!</definedName>
    <definedName name="_vena_11_b1_C_FV_134399665b374008851e5b8c04b5ee44_3">#REF!</definedName>
    <definedName name="_vena_11_b1_C_FV_134399665b374008851e5b8c04b5ee44_30">#REF!</definedName>
    <definedName name="_vena_11_b1_C_FV_134399665b374008851e5b8c04b5ee44_31">#REF!</definedName>
    <definedName name="_vena_11_b1_C_FV_134399665b374008851e5b8c04b5ee44_32">#REF!</definedName>
    <definedName name="_vena_11_b1_C_FV_134399665b374008851e5b8c04b5ee44_33">#REF!</definedName>
    <definedName name="_vena_11_b1_C_FV_134399665b374008851e5b8c04b5ee44_34">#REF!</definedName>
    <definedName name="_vena_11_b1_C_FV_134399665b374008851e5b8c04b5ee44_35">#REF!</definedName>
    <definedName name="_vena_11_b1_C_FV_134399665b374008851e5b8c04b5ee44_36">#REF!</definedName>
    <definedName name="_vena_11_b1_C_FV_134399665b374008851e5b8c04b5ee44_37">#REF!</definedName>
    <definedName name="_vena_11_b1_C_FV_134399665b374008851e5b8c04b5ee44_38">#REF!</definedName>
    <definedName name="_vena_11_b1_C_FV_134399665b374008851e5b8c04b5ee44_39">#REF!</definedName>
    <definedName name="_vena_11_b1_C_FV_134399665b374008851e5b8c04b5ee44_4">#REF!</definedName>
    <definedName name="_vena_11_b1_C_FV_134399665b374008851e5b8c04b5ee44_40">#REF!</definedName>
    <definedName name="_vena_11_b1_C_FV_134399665b374008851e5b8c04b5ee44_41">#REF!</definedName>
    <definedName name="_vena_11_b1_C_FV_134399665b374008851e5b8c04b5ee44_42">#REF!</definedName>
    <definedName name="_vena_11_b1_C_FV_134399665b374008851e5b8c04b5ee44_43">#REF!</definedName>
    <definedName name="_vena_11_b1_C_FV_134399665b374008851e5b8c04b5ee44_44">#REF!</definedName>
    <definedName name="_vena_11_b1_C_FV_134399665b374008851e5b8c04b5ee44_45">#REF!</definedName>
    <definedName name="_vena_11_b1_C_FV_134399665b374008851e5b8c04b5ee44_46">#REF!</definedName>
    <definedName name="_vena_11_b1_C_FV_134399665b374008851e5b8c04b5ee44_47">#REF!</definedName>
    <definedName name="_vena_11_b1_C_FV_134399665b374008851e5b8c04b5ee44_5">#REF!</definedName>
    <definedName name="_vena_11_b1_C_FV_134399665b374008851e5b8c04b5ee44_6">#REF!</definedName>
    <definedName name="_vena_11_b1_C_FV_134399665b374008851e5b8c04b5ee44_7">#REF!</definedName>
    <definedName name="_vena_11_b1_C_FV_134399665b374008851e5b8c04b5ee44_8">#REF!</definedName>
    <definedName name="_vena_11_b1_C_FV_134399665b374008851e5b8c04b5ee44_9">#REF!</definedName>
    <definedName name="_vena_11_b1_C_FV_7cc8369c0b744816a17486bee792b4d5">#REF!</definedName>
    <definedName name="_vena_11_b1_C_FV_7cc8369c0b744816a17486bee792b4d5_1">#REF!</definedName>
    <definedName name="_vena_11_b1_C_FV_7cc8369c0b744816a17486bee792b4d5_10">#REF!</definedName>
    <definedName name="_vena_11_b1_C_FV_7cc8369c0b744816a17486bee792b4d5_11">#REF!</definedName>
    <definedName name="_vena_11_b1_C_FV_7cc8369c0b744816a17486bee792b4d5_12">#REF!</definedName>
    <definedName name="_vena_11_b1_C_FV_7cc8369c0b744816a17486bee792b4d5_13">#REF!</definedName>
    <definedName name="_vena_11_b1_C_FV_7cc8369c0b744816a17486bee792b4d5_14">#REF!</definedName>
    <definedName name="_vena_11_b1_C_FV_7cc8369c0b744816a17486bee792b4d5_15">#REF!</definedName>
    <definedName name="_vena_11_b1_C_FV_7cc8369c0b744816a17486bee792b4d5_16">#REF!</definedName>
    <definedName name="_vena_11_b1_C_FV_7cc8369c0b744816a17486bee792b4d5_17">#REF!</definedName>
    <definedName name="_vena_11_b1_C_FV_7cc8369c0b744816a17486bee792b4d5_18">#REF!</definedName>
    <definedName name="_vena_11_b1_C_FV_7cc8369c0b744816a17486bee792b4d5_19">#REF!</definedName>
    <definedName name="_vena_11_b1_C_FV_7cc8369c0b744816a17486bee792b4d5_2">#REF!</definedName>
    <definedName name="_vena_11_b1_C_FV_7cc8369c0b744816a17486bee792b4d5_20">#REF!</definedName>
    <definedName name="_vena_11_b1_C_FV_7cc8369c0b744816a17486bee792b4d5_21">#REF!</definedName>
    <definedName name="_vena_11_b1_C_FV_7cc8369c0b744816a17486bee792b4d5_22">#REF!</definedName>
    <definedName name="_vena_11_b1_C_FV_7cc8369c0b744816a17486bee792b4d5_23">#REF!</definedName>
    <definedName name="_vena_11_b1_C_FV_7cc8369c0b744816a17486bee792b4d5_24">#REF!</definedName>
    <definedName name="_vena_11_b1_C_FV_7cc8369c0b744816a17486bee792b4d5_25">#REF!</definedName>
    <definedName name="_vena_11_b1_C_FV_7cc8369c0b744816a17486bee792b4d5_26">#REF!</definedName>
    <definedName name="_vena_11_b1_C_FV_7cc8369c0b744816a17486bee792b4d5_27">#REF!</definedName>
    <definedName name="_vena_11_b1_C_FV_7cc8369c0b744816a17486bee792b4d5_28">#REF!</definedName>
    <definedName name="_vena_11_b1_C_FV_7cc8369c0b744816a17486bee792b4d5_29">#REF!</definedName>
    <definedName name="_vena_11_b1_C_FV_7cc8369c0b744816a17486bee792b4d5_3">#REF!</definedName>
    <definedName name="_vena_11_b1_C_FV_7cc8369c0b744816a17486bee792b4d5_30">#REF!</definedName>
    <definedName name="_vena_11_b1_C_FV_7cc8369c0b744816a17486bee792b4d5_31">#REF!</definedName>
    <definedName name="_vena_11_b1_C_FV_7cc8369c0b744816a17486bee792b4d5_32">#REF!</definedName>
    <definedName name="_vena_11_b1_C_FV_7cc8369c0b744816a17486bee792b4d5_33">#REF!</definedName>
    <definedName name="_vena_11_b1_C_FV_7cc8369c0b744816a17486bee792b4d5_34">#REF!</definedName>
    <definedName name="_vena_11_b1_C_FV_7cc8369c0b744816a17486bee792b4d5_35">#REF!</definedName>
    <definedName name="_vena_11_b1_C_FV_7cc8369c0b744816a17486bee792b4d5_36">#REF!</definedName>
    <definedName name="_vena_11_b1_C_FV_7cc8369c0b744816a17486bee792b4d5_37">#REF!</definedName>
    <definedName name="_vena_11_b1_C_FV_7cc8369c0b744816a17486bee792b4d5_38">#REF!</definedName>
    <definedName name="_vena_11_b1_C_FV_7cc8369c0b744816a17486bee792b4d5_39">#REF!</definedName>
    <definedName name="_vena_11_b1_C_FV_7cc8369c0b744816a17486bee792b4d5_4">#REF!</definedName>
    <definedName name="_vena_11_b1_C_FV_7cc8369c0b744816a17486bee792b4d5_40">#REF!</definedName>
    <definedName name="_vena_11_b1_C_FV_7cc8369c0b744816a17486bee792b4d5_41">#REF!</definedName>
    <definedName name="_vena_11_b1_C_FV_7cc8369c0b744816a17486bee792b4d5_42">#REF!</definedName>
    <definedName name="_vena_11_b1_C_FV_7cc8369c0b744816a17486bee792b4d5_43">#REF!</definedName>
    <definedName name="_vena_11_b1_C_FV_7cc8369c0b744816a17486bee792b4d5_44">#REF!</definedName>
    <definedName name="_vena_11_b1_C_FV_7cc8369c0b744816a17486bee792b4d5_45">#REF!</definedName>
    <definedName name="_vena_11_b1_C_FV_7cc8369c0b744816a17486bee792b4d5_46">#REF!</definedName>
    <definedName name="_vena_11_b1_C_FV_7cc8369c0b744816a17486bee792b4d5_47">#REF!</definedName>
    <definedName name="_vena_11_b1_C_FV_7cc8369c0b744816a17486bee792b4d5_5">#REF!</definedName>
    <definedName name="_vena_11_b1_C_FV_7cc8369c0b744816a17486bee792b4d5_6">#REF!</definedName>
    <definedName name="_vena_11_b1_C_FV_7cc8369c0b744816a17486bee792b4d5_7">#REF!</definedName>
    <definedName name="_vena_11_b1_C_FV_7cc8369c0b744816a17486bee792b4d5_8">#REF!</definedName>
    <definedName name="_vena_11_b1_C_FV_7cc8369c0b744816a17486bee792b4d5_9">#REF!</definedName>
    <definedName name="_vena_11_b1_C_FV_f4ddf33ff6224574ba096b1a5435ea67">#REF!</definedName>
    <definedName name="_vena_11_b1_C_FV_f4ddf33ff6224574ba096b1a5435ea67_1">#REF!</definedName>
    <definedName name="_vena_11_b1_C_FV_f4ddf33ff6224574ba096b1a5435ea67_10">#REF!</definedName>
    <definedName name="_vena_11_b1_C_FV_f4ddf33ff6224574ba096b1a5435ea67_11">#REF!</definedName>
    <definedName name="_vena_11_b1_C_FV_f4ddf33ff6224574ba096b1a5435ea67_12">#REF!</definedName>
    <definedName name="_vena_11_b1_C_FV_f4ddf33ff6224574ba096b1a5435ea67_13">#REF!</definedName>
    <definedName name="_vena_11_b1_C_FV_f4ddf33ff6224574ba096b1a5435ea67_14">#REF!</definedName>
    <definedName name="_vena_11_b1_C_FV_f4ddf33ff6224574ba096b1a5435ea67_15">#REF!</definedName>
    <definedName name="_vena_11_b1_C_FV_f4ddf33ff6224574ba096b1a5435ea67_16">#REF!</definedName>
    <definedName name="_vena_11_b1_C_FV_f4ddf33ff6224574ba096b1a5435ea67_17">#REF!</definedName>
    <definedName name="_vena_11_b1_C_FV_f4ddf33ff6224574ba096b1a5435ea67_18">#REF!</definedName>
    <definedName name="_vena_11_b1_C_FV_f4ddf33ff6224574ba096b1a5435ea67_19">#REF!</definedName>
    <definedName name="_vena_11_b1_C_FV_f4ddf33ff6224574ba096b1a5435ea67_2">#REF!</definedName>
    <definedName name="_vena_11_b1_C_FV_f4ddf33ff6224574ba096b1a5435ea67_20">#REF!</definedName>
    <definedName name="_vena_11_b1_C_FV_f4ddf33ff6224574ba096b1a5435ea67_21">#REF!</definedName>
    <definedName name="_vena_11_b1_C_FV_f4ddf33ff6224574ba096b1a5435ea67_22">#REF!</definedName>
    <definedName name="_vena_11_b1_C_FV_f4ddf33ff6224574ba096b1a5435ea67_23">#REF!</definedName>
    <definedName name="_vena_11_b1_C_FV_f4ddf33ff6224574ba096b1a5435ea67_24">#REF!</definedName>
    <definedName name="_vena_11_b1_C_FV_f4ddf33ff6224574ba096b1a5435ea67_25">#REF!</definedName>
    <definedName name="_vena_11_b1_C_FV_f4ddf33ff6224574ba096b1a5435ea67_26">#REF!</definedName>
    <definedName name="_vena_11_b1_C_FV_f4ddf33ff6224574ba096b1a5435ea67_27">#REF!</definedName>
    <definedName name="_vena_11_b1_C_FV_f4ddf33ff6224574ba096b1a5435ea67_28">#REF!</definedName>
    <definedName name="_vena_11_b1_C_FV_f4ddf33ff6224574ba096b1a5435ea67_29">#REF!</definedName>
    <definedName name="_vena_11_b1_C_FV_f4ddf33ff6224574ba096b1a5435ea67_3">#REF!</definedName>
    <definedName name="_vena_11_b1_C_FV_f4ddf33ff6224574ba096b1a5435ea67_30">#REF!</definedName>
    <definedName name="_vena_11_b1_C_FV_f4ddf33ff6224574ba096b1a5435ea67_31">#REF!</definedName>
    <definedName name="_vena_11_b1_C_FV_f4ddf33ff6224574ba096b1a5435ea67_32">#REF!</definedName>
    <definedName name="_vena_11_b1_C_FV_f4ddf33ff6224574ba096b1a5435ea67_33">#REF!</definedName>
    <definedName name="_vena_11_b1_C_FV_f4ddf33ff6224574ba096b1a5435ea67_34">#REF!</definedName>
    <definedName name="_vena_11_b1_C_FV_f4ddf33ff6224574ba096b1a5435ea67_35">#REF!</definedName>
    <definedName name="_vena_11_b1_C_FV_f4ddf33ff6224574ba096b1a5435ea67_36">#REF!</definedName>
    <definedName name="_vena_11_b1_C_FV_f4ddf33ff6224574ba096b1a5435ea67_37">#REF!</definedName>
    <definedName name="_vena_11_b1_C_FV_f4ddf33ff6224574ba096b1a5435ea67_38">#REF!</definedName>
    <definedName name="_vena_11_b1_C_FV_f4ddf33ff6224574ba096b1a5435ea67_39">#REF!</definedName>
    <definedName name="_vena_11_b1_C_FV_f4ddf33ff6224574ba096b1a5435ea67_4">#REF!</definedName>
    <definedName name="_vena_11_b1_C_FV_f4ddf33ff6224574ba096b1a5435ea67_40">#REF!</definedName>
    <definedName name="_vena_11_b1_C_FV_f4ddf33ff6224574ba096b1a5435ea67_41">#REF!</definedName>
    <definedName name="_vena_11_b1_C_FV_f4ddf33ff6224574ba096b1a5435ea67_42">#REF!</definedName>
    <definedName name="_vena_11_b1_C_FV_f4ddf33ff6224574ba096b1a5435ea67_43">#REF!</definedName>
    <definedName name="_vena_11_b1_C_FV_f4ddf33ff6224574ba096b1a5435ea67_44">#REF!</definedName>
    <definedName name="_vena_11_b1_C_FV_f4ddf33ff6224574ba096b1a5435ea67_45">#REF!</definedName>
    <definedName name="_vena_11_b1_C_FV_f4ddf33ff6224574ba096b1a5435ea67_46">#REF!</definedName>
    <definedName name="_vena_11_b1_C_FV_f4ddf33ff6224574ba096b1a5435ea67_47">#REF!</definedName>
    <definedName name="_vena_11_b1_C_FV_f4ddf33ff6224574ba096b1a5435ea67_5">#REF!</definedName>
    <definedName name="_vena_11_b1_C_FV_f4ddf33ff6224574ba096b1a5435ea67_6">#REF!</definedName>
    <definedName name="_vena_11_b1_C_FV_f4ddf33ff6224574ba096b1a5435ea67_7">#REF!</definedName>
    <definedName name="_vena_11_b1_C_FV_f4ddf33ff6224574ba096b1a5435ea67_8">#REF!</definedName>
    <definedName name="_vena_11_b1_C_FV_f4ddf33ff6224574ba096b1a5435ea67_9">#REF!</definedName>
    <definedName name="_vena_11_b1_R_1_1126333519640395796">#REF!</definedName>
    <definedName name="_vena_11_b1_R_1_1126333519686533120">#REF!</definedName>
    <definedName name="_vena_11_b1_R_1_1126333519715893262">#REF!</definedName>
    <definedName name="_vena_11_b1_R_1_1126333519736864780">#REF!</definedName>
    <definedName name="_vena_11_b1_R_1_1126333519762030608">#REF!</definedName>
    <definedName name="_vena_11_b1_R_1_1126333519778807820">#REF!</definedName>
    <definedName name="_vena_11_b1_R_1_1126333519787196446">#REF!</definedName>
    <definedName name="_vena_11_b1_R_1_1126333519808167948">#REF!</definedName>
    <definedName name="_vena_11_b1_R_1_1126333519854305298">#REF!</definedName>
    <definedName name="_vena_11_b1_R_1_1126333519871082529">#REF!</definedName>
    <definedName name="_vena_11_b1_R_1_1126333519883665426">#REF!</definedName>
    <definedName name="_vena_11_b1_R_1_1126333519900442631">#REF!</definedName>
    <definedName name="_vena_11_b1_R_1_1126333519925608473">#REF!</definedName>
    <definedName name="_vena_11_b1_R_1_1126333519963357190">#REF!</definedName>
    <definedName name="_vena_11_b1_R_1_1176989022519558144">#REF!</definedName>
    <definedName name="_vena_11_b1_R_1_1177034623004573696">#REF!</definedName>
    <definedName name="_vena_11_b1_R_1_1177042009963233280">#REF!</definedName>
    <definedName name="_vena_11_b1_R_1_1177042321444044802">#REF!</definedName>
    <definedName name="_vena_11_b1_R_1_1182443237873811456">#REF!</definedName>
    <definedName name="_vena_11_b1_R_1_1192625627677589504">#REF!</definedName>
    <definedName name="_vena_11_b1_R_1_1193288113649483886">#REF!</definedName>
    <definedName name="_vena_11_b1_R_1_1258522529073987584">#REF!</definedName>
    <definedName name="_vena_11_b1_R_1_1336800240017473538">#REF!</definedName>
    <definedName name="_vena_11_b1_R_1_1525326324040761344">#REF!</definedName>
    <definedName name="_vena_11_b1_R_1_1547710538947624960">#REF!</definedName>
    <definedName name="_vena_11_b1_R_1_1547710569653993893">#REF!</definedName>
    <definedName name="_vena_11_b1_R_1_651631427951788032">#REF!</definedName>
    <definedName name="_vena_11_b1_R_1_651631427989536768">#REF!</definedName>
    <definedName name="_vena_11_b1_R_1_651631428002119680">#REF!</definedName>
    <definedName name="_vena_11_b1_R_1_651631428165697537">#REF!</definedName>
    <definedName name="_vena_11_b1_R_1_691119840308494336">#REF!</definedName>
    <definedName name="_vena_11_b1_R_1_691121205046280192">#REF!</definedName>
    <definedName name="_vena_11_b1_R_1_691121629820878848">#REF!</definedName>
    <definedName name="_vena_11_b1_R_1_691172173569589248">#REF!</definedName>
    <definedName name="_vena_11_b1_R_FV_385b1d086d8a4b8abf43c04eedb00d88_19722a3e.5a2c7276">#REF!</definedName>
    <definedName name="_vena_11_b1_R_FV_385b1d086d8a4b8abf43c04eedb00d88_204abc65.973930a8">#REF!</definedName>
    <definedName name="_vena_11_b1_R_FV_385b1d086d8a4b8abf43c04eedb00d88_2a39341b.939b20d9">#REF!</definedName>
    <definedName name="_vena_11_b1_R_FV_385b1d086d8a4b8abf43c04eedb00d88_2c573e38.e7363a11">#REF!</definedName>
    <definedName name="_vena_11_b1_R_FV_385b1d086d8a4b8abf43c04eedb00d88_2e0a8486.77161ab7">#REF!</definedName>
    <definedName name="_vena_11_b1_R_FV_385b1d086d8a4b8abf43c04eedb00d88_2fb027f1.fe0d944a">#REF!</definedName>
    <definedName name="_vena_11_b1_R_FV_385b1d086d8a4b8abf43c04eedb00d88_31cf1ceb.b531da81">#REF!</definedName>
    <definedName name="_vena_11_b1_R_FV_385b1d086d8a4b8abf43c04eedb00d88_3241160a.fa9997f">#REF!</definedName>
    <definedName name="_vena_11_b1_R_FV_385b1d086d8a4b8abf43c04eedb00d88_471624fe.45f1807a">#REF!</definedName>
    <definedName name="_vena_11_b1_R_FV_385b1d086d8a4b8abf43c04eedb00d88_4dd26bb7.1df163ba">#REF!</definedName>
    <definedName name="_vena_11_b1_R_FV_385b1d086d8a4b8abf43c04eedb00d88_532e15d.5e56eb09">#REF!</definedName>
    <definedName name="_vena_11_b1_R_FV_385b1d086d8a4b8abf43c04eedb00d88_5354126d.36a6f4df">#REF!</definedName>
    <definedName name="_vena_11_b1_R_FV_385b1d086d8a4b8abf43c04eedb00d88_5cdb8ef7.9c678382">#REF!</definedName>
    <definedName name="_vena_11_b1_R_FV_385b1d086d8a4b8abf43c04eedb00d88_5d93617e.92c61e0a">#REF!</definedName>
    <definedName name="_vena_11_b1_R_FV_385b1d086d8a4b8abf43c04eedb00d88_710dea0a.63419ea7">#REF!</definedName>
    <definedName name="_vena_11_b1_R_FV_385b1d086d8a4b8abf43c04eedb00d88_7cf6ce40.2e923063">#REF!</definedName>
    <definedName name="_vena_11_b1_R_FV_385b1d086d8a4b8abf43c04eedb00d88_7df812d.25c8380a">#REF!</definedName>
    <definedName name="_vena_11_b1_R_FV_385b1d086d8a4b8abf43c04eedb00d88_8182ed99.ef53c490">#REF!</definedName>
    <definedName name="_vena_11_b1_R_FV_385b1d086d8a4b8abf43c04eedb00d88_8741a0cb.1850c30b">#REF!</definedName>
    <definedName name="_vena_11_b1_R_FV_385b1d086d8a4b8abf43c04eedb00d88_92ef4942.f5ca3d1d">#REF!</definedName>
    <definedName name="_vena_11_b1_R_FV_385b1d086d8a4b8abf43c04eedb00d88_95f43d9.998bbc5b">#REF!</definedName>
    <definedName name="_vena_11_b1_R_FV_385b1d086d8a4b8abf43c04eedb00d88_980f6545.156ad241">#REF!</definedName>
    <definedName name="_vena_11_b1_R_FV_385b1d086d8a4b8abf43c04eedb00d88_acbff197.df8379dc">#REF!</definedName>
    <definedName name="_vena_11_b1_R_FV_385b1d086d8a4b8abf43c04eedb00d88_bdc065f1.cd3c5558">#REF!</definedName>
    <definedName name="_vena_11_b1_R_FV_385b1d086d8a4b8abf43c04eedb00d88_f9ab52cd.f8334882">#REF!</definedName>
    <definedName name="_vena_11_b1_R_FV_385b1d086d8a4b8abf43c04eedb00d88_fb63e8d9.33d83cee">#REF!</definedName>
    <definedName name="_vena_11_P_11_651631431944765441" comment="*">#REF!</definedName>
    <definedName name="_vena_11_P_12_651631431982514177" comment="*">#REF!</definedName>
    <definedName name="_vena_11_P_2_651631429184913409" comment="*">#REF!</definedName>
    <definedName name="_vena_11_P_4_652241713652170752" comment="*">#REF!</definedName>
    <definedName name="_vena_11_P_5_652241713786388480" comment="*">#REF!</definedName>
    <definedName name="_vena_11_P_6_652241713908023296" comment="*">#REF!</definedName>
    <definedName name="_vena_11_P_7_652241714033852416" comment="*">#REF!</definedName>
    <definedName name="_vena_11_P_FV_a2a46c4bae444ba2ab0e2971d74e2ddb" comment="*">#REF!</definedName>
    <definedName name="_vena_2_B1_C_FV_134399665b374008851e5b8c04b5ee44">'609 IS'!$L$5</definedName>
    <definedName name="_vena_2_B1_C_FV_134399665b374008851e5b8c04b5ee44_1">'609 IS'!$M$5</definedName>
    <definedName name="_vena_2_B1_C_FV_134399665b374008851e5b8c04b5ee44_10">'609 IS'!$V$5</definedName>
    <definedName name="_vena_2_B1_C_FV_134399665b374008851e5b8c04b5ee44_11">'609 IS'!$W$5</definedName>
    <definedName name="_vena_2_B1_C_FV_134399665b374008851e5b8c04b5ee44_12">'609 IS'!$Z$5</definedName>
    <definedName name="_vena_2_B1_C_FV_134399665b374008851e5b8c04b5ee44_13">'609 IS'!$AA$5</definedName>
    <definedName name="_vena_2_B1_C_FV_134399665b374008851e5b8c04b5ee44_14">'609 IS'!$AB$5</definedName>
    <definedName name="_vena_2_B1_C_FV_134399665b374008851e5b8c04b5ee44_15">'609 IS'!$AC$5</definedName>
    <definedName name="_vena_2_B1_C_FV_134399665b374008851e5b8c04b5ee44_16">'609 IS'!$AD$5</definedName>
    <definedName name="_vena_2_B1_C_FV_134399665b374008851e5b8c04b5ee44_17">'609 IS'!$AE$5</definedName>
    <definedName name="_vena_2_B1_C_FV_134399665b374008851e5b8c04b5ee44_18">'609 IS'!$AF$5</definedName>
    <definedName name="_vena_2_B1_C_FV_134399665b374008851e5b8c04b5ee44_19">'609 IS'!$AG$5</definedName>
    <definedName name="_vena_2_B1_C_FV_134399665b374008851e5b8c04b5ee44_2">'609 IS'!$N$5</definedName>
    <definedName name="_vena_2_B1_C_FV_134399665b374008851e5b8c04b5ee44_20">'609 IS'!$AH$5</definedName>
    <definedName name="_vena_2_B1_C_FV_134399665b374008851e5b8c04b5ee44_21">'609 IS'!$AI$5</definedName>
    <definedName name="_vena_2_B1_C_FV_134399665b374008851e5b8c04b5ee44_22">'609 IS'!$AJ$5</definedName>
    <definedName name="_vena_2_B1_C_FV_134399665b374008851e5b8c04b5ee44_23">'609 IS'!$AK$5</definedName>
    <definedName name="_vena_2_B1_C_FV_134399665b374008851e5b8c04b5ee44_25">'609 IS'!$AN$5</definedName>
    <definedName name="_vena_2_B1_C_FV_134399665b374008851e5b8c04b5ee44_26">'609 IS'!$AO$5</definedName>
    <definedName name="_vena_2_B1_C_FV_134399665b374008851e5b8c04b5ee44_27">'609 IS'!$AP$5</definedName>
    <definedName name="_vena_2_B1_C_FV_134399665b374008851e5b8c04b5ee44_28">'609 IS'!$AQ$5</definedName>
    <definedName name="_vena_2_B1_C_FV_134399665b374008851e5b8c04b5ee44_29">'609 IS'!$AR$5</definedName>
    <definedName name="_vena_2_B1_C_FV_134399665b374008851e5b8c04b5ee44_3">'609 IS'!$O$5</definedName>
    <definedName name="_vena_2_B1_C_FV_134399665b374008851e5b8c04b5ee44_30">'609 IS'!$AS$5</definedName>
    <definedName name="_vena_2_B1_C_FV_134399665b374008851e5b8c04b5ee44_31">'609 IS'!$AT$5</definedName>
    <definedName name="_vena_2_B1_C_FV_134399665b374008851e5b8c04b5ee44_32">'609 IS'!$AU$5</definedName>
    <definedName name="_vena_2_B1_C_FV_134399665b374008851e5b8c04b5ee44_33">'609 IS'!$AV$5</definedName>
    <definedName name="_vena_2_B1_C_FV_134399665b374008851e5b8c04b5ee44_34">'609 IS'!$AW$5</definedName>
    <definedName name="_vena_2_B1_C_FV_134399665b374008851e5b8c04b5ee44_35">'609 IS'!$AX$5</definedName>
    <definedName name="_vena_2_B1_C_FV_134399665b374008851e5b8c04b5ee44_36">'609 IS'!$AY$5</definedName>
    <definedName name="_vena_2_B1_C_FV_134399665b374008851e5b8c04b5ee44_38">'609 IS'!$BB$5</definedName>
    <definedName name="_vena_2_B1_C_FV_134399665b374008851e5b8c04b5ee44_39">'609 IS'!$BC$5</definedName>
    <definedName name="_vena_2_B1_C_FV_134399665b374008851e5b8c04b5ee44_4">'609 IS'!$P$5</definedName>
    <definedName name="_vena_2_B1_C_FV_134399665b374008851e5b8c04b5ee44_40">'609 IS'!$BD$5</definedName>
    <definedName name="_vena_2_B1_C_FV_134399665b374008851e5b8c04b5ee44_41">'609 IS'!$BE$5</definedName>
    <definedName name="_vena_2_B1_C_FV_134399665b374008851e5b8c04b5ee44_42">'609 IS'!$BF$5</definedName>
    <definedName name="_vena_2_B1_C_FV_134399665b374008851e5b8c04b5ee44_43">'609 IS'!$BG$5</definedName>
    <definedName name="_vena_2_B1_C_FV_134399665b374008851e5b8c04b5ee44_44">'609 IS'!$BH$5</definedName>
    <definedName name="_vena_2_B1_C_FV_134399665b374008851e5b8c04b5ee44_45">'609 IS'!$BI$5</definedName>
    <definedName name="_vena_2_B1_C_FV_134399665b374008851e5b8c04b5ee44_46">'609 IS'!$BJ$5</definedName>
    <definedName name="_vena_2_B1_C_FV_134399665b374008851e5b8c04b5ee44_47">'609 IS'!$BK$5</definedName>
    <definedName name="_vena_2_B1_C_FV_134399665b374008851e5b8c04b5ee44_48">'609 IS'!$BL$5</definedName>
    <definedName name="_vena_2_B1_C_FV_134399665b374008851e5b8c04b5ee44_49">'609 IS'!$BM$5</definedName>
    <definedName name="_vena_2_B1_C_FV_134399665b374008851e5b8c04b5ee44_5">'609 IS'!$Q$5</definedName>
    <definedName name="_vena_2_B1_C_FV_134399665b374008851e5b8c04b5ee44_6">'609 IS'!$R$5</definedName>
    <definedName name="_vena_2_B1_C_FV_134399665b374008851e5b8c04b5ee44_7">'609 IS'!$S$5</definedName>
    <definedName name="_vena_2_B1_C_FV_134399665b374008851e5b8c04b5ee44_8">'609 IS'!$T$5</definedName>
    <definedName name="_vena_2_B1_C_FV_134399665b374008851e5b8c04b5ee44_9">'609 IS'!$U$5</definedName>
    <definedName name="_vena_2_B1_C_FV_7cc8369c0b744816a17486bee792b4d5">'609 IS'!$L$3</definedName>
    <definedName name="_vena_2_B1_C_FV_7cc8369c0b744816a17486bee792b4d5_1">'609 IS'!$M$3</definedName>
    <definedName name="_vena_2_B1_C_FV_7cc8369c0b744816a17486bee792b4d5_10">'609 IS'!$V$3</definedName>
    <definedName name="_vena_2_B1_C_FV_7cc8369c0b744816a17486bee792b4d5_11">'609 IS'!$W$3</definedName>
    <definedName name="_vena_2_B1_C_FV_7cc8369c0b744816a17486bee792b4d5_12">'609 IS'!$Z$3</definedName>
    <definedName name="_vena_2_B1_C_FV_7cc8369c0b744816a17486bee792b4d5_13">'609 IS'!$AA$3</definedName>
    <definedName name="_vena_2_B1_C_FV_7cc8369c0b744816a17486bee792b4d5_14">'609 IS'!$AB$3</definedName>
    <definedName name="_vena_2_B1_C_FV_7cc8369c0b744816a17486bee792b4d5_15">'609 IS'!$AC$3</definedName>
    <definedName name="_vena_2_B1_C_FV_7cc8369c0b744816a17486bee792b4d5_16">'609 IS'!$AD$3</definedName>
    <definedName name="_vena_2_B1_C_FV_7cc8369c0b744816a17486bee792b4d5_17">'609 IS'!$AE$3</definedName>
    <definedName name="_vena_2_B1_C_FV_7cc8369c0b744816a17486bee792b4d5_18">'609 IS'!$AF$3</definedName>
    <definedName name="_vena_2_B1_C_FV_7cc8369c0b744816a17486bee792b4d5_19">'609 IS'!$AG$3</definedName>
    <definedName name="_vena_2_B1_C_FV_7cc8369c0b744816a17486bee792b4d5_2">'609 IS'!$N$3</definedName>
    <definedName name="_vena_2_B1_C_FV_7cc8369c0b744816a17486bee792b4d5_20">'609 IS'!$AH$3</definedName>
    <definedName name="_vena_2_B1_C_FV_7cc8369c0b744816a17486bee792b4d5_21">'609 IS'!$AI$3</definedName>
    <definedName name="_vena_2_B1_C_FV_7cc8369c0b744816a17486bee792b4d5_22">'609 IS'!$AJ$3</definedName>
    <definedName name="_vena_2_B1_C_FV_7cc8369c0b744816a17486bee792b4d5_23">'609 IS'!$AK$3</definedName>
    <definedName name="_vena_2_B1_C_FV_7cc8369c0b744816a17486bee792b4d5_25">'609 IS'!$AN$3</definedName>
    <definedName name="_vena_2_B1_C_FV_7cc8369c0b744816a17486bee792b4d5_26">'609 IS'!$AO$3</definedName>
    <definedName name="_vena_2_B1_C_FV_7cc8369c0b744816a17486bee792b4d5_27">'609 IS'!$AP$3</definedName>
    <definedName name="_vena_2_B1_C_FV_7cc8369c0b744816a17486bee792b4d5_28">'609 IS'!$AQ$3</definedName>
    <definedName name="_vena_2_B1_C_FV_7cc8369c0b744816a17486bee792b4d5_29">'609 IS'!$AR$3</definedName>
    <definedName name="_vena_2_B1_C_FV_7cc8369c0b744816a17486bee792b4d5_3">'609 IS'!$O$3</definedName>
    <definedName name="_vena_2_B1_C_FV_7cc8369c0b744816a17486bee792b4d5_30">'609 IS'!$AS$3</definedName>
    <definedName name="_vena_2_B1_C_FV_7cc8369c0b744816a17486bee792b4d5_31">'609 IS'!$AT$3</definedName>
    <definedName name="_vena_2_B1_C_FV_7cc8369c0b744816a17486bee792b4d5_32">'609 IS'!$AU$3</definedName>
    <definedName name="_vena_2_B1_C_FV_7cc8369c0b744816a17486bee792b4d5_33">'609 IS'!$AV$3</definedName>
    <definedName name="_vena_2_B1_C_FV_7cc8369c0b744816a17486bee792b4d5_34">'609 IS'!$AW$3</definedName>
    <definedName name="_vena_2_B1_C_FV_7cc8369c0b744816a17486bee792b4d5_35">'609 IS'!$AX$3</definedName>
    <definedName name="_vena_2_B1_C_FV_7cc8369c0b744816a17486bee792b4d5_36">'609 IS'!$AY$3</definedName>
    <definedName name="_vena_2_B1_C_FV_7cc8369c0b744816a17486bee792b4d5_38">'609 IS'!$BB$3</definedName>
    <definedName name="_vena_2_B1_C_FV_7cc8369c0b744816a17486bee792b4d5_39">'609 IS'!$BC$3</definedName>
    <definedName name="_vena_2_B1_C_FV_7cc8369c0b744816a17486bee792b4d5_4">'609 IS'!$P$3</definedName>
    <definedName name="_vena_2_B1_C_FV_7cc8369c0b744816a17486bee792b4d5_40">'609 IS'!$BD$3</definedName>
    <definedName name="_vena_2_B1_C_FV_7cc8369c0b744816a17486bee792b4d5_41">'609 IS'!$BE$3</definedName>
    <definedName name="_vena_2_B1_C_FV_7cc8369c0b744816a17486bee792b4d5_42">'609 IS'!$BF$3</definedName>
    <definedName name="_vena_2_B1_C_FV_7cc8369c0b744816a17486bee792b4d5_43">'609 IS'!$BG$3</definedName>
    <definedName name="_vena_2_B1_C_FV_7cc8369c0b744816a17486bee792b4d5_44">'609 IS'!$BH$3</definedName>
    <definedName name="_vena_2_B1_C_FV_7cc8369c0b744816a17486bee792b4d5_45">'609 IS'!$BI$3</definedName>
    <definedName name="_vena_2_B1_C_FV_7cc8369c0b744816a17486bee792b4d5_46">'609 IS'!$BJ$3</definedName>
    <definedName name="_vena_2_B1_C_FV_7cc8369c0b744816a17486bee792b4d5_47">'609 IS'!$BK$3</definedName>
    <definedName name="_vena_2_B1_C_FV_7cc8369c0b744816a17486bee792b4d5_48">'609 IS'!$BL$3</definedName>
    <definedName name="_vena_2_B1_C_FV_7cc8369c0b744816a17486bee792b4d5_49">'609 IS'!$BM$3</definedName>
    <definedName name="_vena_2_B1_C_FV_7cc8369c0b744816a17486bee792b4d5_5">'609 IS'!$Q$3</definedName>
    <definedName name="_vena_2_B1_C_FV_7cc8369c0b744816a17486bee792b4d5_6">'609 IS'!$R$3</definedName>
    <definedName name="_vena_2_B1_C_FV_7cc8369c0b744816a17486bee792b4d5_7">'609 IS'!$S$3</definedName>
    <definedName name="_vena_2_B1_C_FV_7cc8369c0b744816a17486bee792b4d5_8">'609 IS'!$T$3</definedName>
    <definedName name="_vena_2_B1_C_FV_7cc8369c0b744816a17486bee792b4d5_9">'609 IS'!$U$3</definedName>
    <definedName name="_vena_2_B1_C_FV_f4ddf33ff6224574ba096b1a5435ea67">'609 IS'!$L$4</definedName>
    <definedName name="_vena_2_B1_C_FV_f4ddf33ff6224574ba096b1a5435ea67_1">'609 IS'!$M$4</definedName>
    <definedName name="_vena_2_B1_C_FV_f4ddf33ff6224574ba096b1a5435ea67_10">'609 IS'!$V$4</definedName>
    <definedName name="_vena_2_B1_C_FV_f4ddf33ff6224574ba096b1a5435ea67_11">'609 IS'!$W$4</definedName>
    <definedName name="_vena_2_B1_C_FV_f4ddf33ff6224574ba096b1a5435ea67_12">'609 IS'!$Z$4</definedName>
    <definedName name="_vena_2_B1_C_FV_f4ddf33ff6224574ba096b1a5435ea67_13">'609 IS'!$AA$4</definedName>
    <definedName name="_vena_2_B1_C_FV_f4ddf33ff6224574ba096b1a5435ea67_14">'609 IS'!$AB$4</definedName>
    <definedName name="_vena_2_B1_C_FV_f4ddf33ff6224574ba096b1a5435ea67_15">'609 IS'!$AC$4</definedName>
    <definedName name="_vena_2_B1_C_FV_f4ddf33ff6224574ba096b1a5435ea67_16">'609 IS'!$AD$4</definedName>
    <definedName name="_vena_2_B1_C_FV_f4ddf33ff6224574ba096b1a5435ea67_17">'609 IS'!$AE$4</definedName>
    <definedName name="_vena_2_B1_C_FV_f4ddf33ff6224574ba096b1a5435ea67_18">'609 IS'!$AF$4</definedName>
    <definedName name="_vena_2_B1_C_FV_f4ddf33ff6224574ba096b1a5435ea67_19">'609 IS'!$AG$4</definedName>
    <definedName name="_vena_2_B1_C_FV_f4ddf33ff6224574ba096b1a5435ea67_2">'609 IS'!$N$4</definedName>
    <definedName name="_vena_2_B1_C_FV_f4ddf33ff6224574ba096b1a5435ea67_20">'609 IS'!$AH$4</definedName>
    <definedName name="_vena_2_B1_C_FV_f4ddf33ff6224574ba096b1a5435ea67_21">'609 IS'!$AI$4</definedName>
    <definedName name="_vena_2_B1_C_FV_f4ddf33ff6224574ba096b1a5435ea67_22">'609 IS'!$AJ$4</definedName>
    <definedName name="_vena_2_B1_C_FV_f4ddf33ff6224574ba096b1a5435ea67_23">'609 IS'!$AK$4</definedName>
    <definedName name="_vena_2_B1_C_FV_f4ddf33ff6224574ba096b1a5435ea67_24">'609 IS'!$AN$4</definedName>
    <definedName name="_vena_2_B1_C_FV_f4ddf33ff6224574ba096b1a5435ea67_25">'609 IS'!$AO$4</definedName>
    <definedName name="_vena_2_B1_C_FV_f4ddf33ff6224574ba096b1a5435ea67_26">'609 IS'!$AP$4</definedName>
    <definedName name="_vena_2_B1_C_FV_f4ddf33ff6224574ba096b1a5435ea67_27">'609 IS'!$AQ$4</definedName>
    <definedName name="_vena_2_B1_C_FV_f4ddf33ff6224574ba096b1a5435ea67_28">'609 IS'!$AR$4</definedName>
    <definedName name="_vena_2_B1_C_FV_f4ddf33ff6224574ba096b1a5435ea67_29">'609 IS'!$AS$4</definedName>
    <definedName name="_vena_2_B1_C_FV_f4ddf33ff6224574ba096b1a5435ea67_3">'609 IS'!$O$4</definedName>
    <definedName name="_vena_2_B1_C_FV_f4ddf33ff6224574ba096b1a5435ea67_30">'609 IS'!$AT$4</definedName>
    <definedName name="_vena_2_B1_C_FV_f4ddf33ff6224574ba096b1a5435ea67_31">'609 IS'!$AU$4</definedName>
    <definedName name="_vena_2_B1_C_FV_f4ddf33ff6224574ba096b1a5435ea67_32">'609 IS'!$AV$4</definedName>
    <definedName name="_vena_2_B1_C_FV_f4ddf33ff6224574ba096b1a5435ea67_33">'609 IS'!$AW$4</definedName>
    <definedName name="_vena_2_B1_C_FV_f4ddf33ff6224574ba096b1a5435ea67_34">'609 IS'!$AX$4</definedName>
    <definedName name="_vena_2_B1_C_FV_f4ddf33ff6224574ba096b1a5435ea67_35">'609 IS'!$AY$4</definedName>
    <definedName name="_vena_2_B1_C_FV_f4ddf33ff6224574ba096b1a5435ea67_36">'609 IS'!$BB$4</definedName>
    <definedName name="_vena_2_B1_C_FV_f4ddf33ff6224574ba096b1a5435ea67_37">'609 IS'!$BC$4</definedName>
    <definedName name="_vena_2_B1_C_FV_f4ddf33ff6224574ba096b1a5435ea67_38">'609 IS'!$BD$4</definedName>
    <definedName name="_vena_2_B1_C_FV_f4ddf33ff6224574ba096b1a5435ea67_39">'609 IS'!$BE$4</definedName>
    <definedName name="_vena_2_B1_C_FV_f4ddf33ff6224574ba096b1a5435ea67_4">'609 IS'!$P$4</definedName>
    <definedName name="_vena_2_B1_C_FV_f4ddf33ff6224574ba096b1a5435ea67_40">'609 IS'!$BF$4</definedName>
    <definedName name="_vena_2_B1_C_FV_f4ddf33ff6224574ba096b1a5435ea67_41">'609 IS'!$BG$4</definedName>
    <definedName name="_vena_2_B1_C_FV_f4ddf33ff6224574ba096b1a5435ea67_42">'609 IS'!$BH$4</definedName>
    <definedName name="_vena_2_B1_C_FV_f4ddf33ff6224574ba096b1a5435ea67_43">'609 IS'!$BI$4</definedName>
    <definedName name="_vena_2_B1_C_FV_f4ddf33ff6224574ba096b1a5435ea67_44">'609 IS'!$BJ$4</definedName>
    <definedName name="_vena_2_B1_C_FV_f4ddf33ff6224574ba096b1a5435ea67_45">'609 IS'!$BK$4</definedName>
    <definedName name="_vena_2_B1_C_FV_f4ddf33ff6224574ba096b1a5435ea67_46">'609 IS'!$BL$4</definedName>
    <definedName name="_vena_2_B1_C_FV_f4ddf33ff6224574ba096b1a5435ea67_47">'609 IS'!$BM$4</definedName>
    <definedName name="_vena_2_B1_C_FV_f4ddf33ff6224574ba096b1a5435ea67_5">'609 IS'!$Q$4</definedName>
    <definedName name="_vena_2_B1_C_FV_f4ddf33ff6224574ba096b1a5435ea67_6">'609 IS'!$R$4</definedName>
    <definedName name="_vena_2_B1_C_FV_f4ddf33ff6224574ba096b1a5435ea67_7">'609 IS'!$S$4</definedName>
    <definedName name="_vena_2_B1_C_FV_f4ddf33ff6224574ba096b1a5435ea67_8">'609 IS'!$T$4</definedName>
    <definedName name="_vena_2_B1_C_FV_f4ddf33ff6224574ba096b1a5435ea67_9">'609 IS'!$U$4</definedName>
    <definedName name="_vena_2_B1_R_1_1126333519640395796">'609 IS'!$G$33</definedName>
    <definedName name="_vena_2_B1_R_1_1126333519686533120">'609 IS'!$G$43</definedName>
    <definedName name="_vena_2_B1_R_1_1126333519715893262">'609 IS'!$G$48</definedName>
    <definedName name="_vena_2_B1_R_1_1126333519736864780">'609 IS'!$G$84</definedName>
    <definedName name="_vena_2_B1_R_1_1126333519762030608">'609 IS'!$G$103</definedName>
    <definedName name="_vena_2_B1_R_1_1126333519778807820">'609 IS'!$G$93</definedName>
    <definedName name="_vena_2_B1_R_1_1126333519787196446">'609 IS'!$G$115</definedName>
    <definedName name="_vena_2_B1_R_1_1126333519808167948">'609 IS'!$G$110</definedName>
    <definedName name="_vena_2_B1_R_1_1126333519854305298">'609 IS'!$G$56</definedName>
    <definedName name="_vena_2_B1_R_1_1126333519871082529">'609 IS'!$G$121</definedName>
    <definedName name="_vena_2_B1_R_1_1126333519883665426">'609 IS'!$G$80</definedName>
    <definedName name="_vena_2_B1_R_1_1126333519900442631">'609 IS'!$G$64</definedName>
    <definedName name="_vena_2_B1_R_1_1126333519925608473">'609 IS'!$G$128</definedName>
    <definedName name="_vena_2_B1_R_1_1126333519963357190">'609 IS'!$G$130</definedName>
    <definedName name="_vena_2_B1_R_1_1176989022519558144">'609 IS'!$G$21</definedName>
    <definedName name="_vena_2_B1_R_1_1177034623004573696">'609 IS'!$G$118</definedName>
    <definedName name="_vena_2_B1_R_1_1177042009963233280">'609 IS'!$G$27</definedName>
    <definedName name="_vena_2_B1_R_1_1177042321444044802">'609 IS'!$G$25</definedName>
    <definedName name="_vena_2_B1_R_1_1182443237873811456">'609 IS'!$G$140</definedName>
    <definedName name="_vena_2_B1_R_1_1192625627677589504">'609 IS'!$G$155</definedName>
    <definedName name="_vena_2_B1_R_1_1193288113649483886">'609 IS'!$G$150</definedName>
    <definedName name="_vena_2_B1_R_1_1258522529073987584">'609 IS'!$G$160</definedName>
    <definedName name="_vena_2_B1_R_1_1336800240017473538">'609 IS'!$G$77</definedName>
    <definedName name="_vena_2_B1_R_1_1525326324040761344">'609 IS'!$G$165</definedName>
    <definedName name="_vena_2_B1_R_1_1547710538947624960">'609 IS'!$G$44</definedName>
    <definedName name="_vena_2_B1_R_1_1547710569653993893">'609 IS'!$G$46</definedName>
    <definedName name="_vena_2_B1_R_1_651631427951788032">'609 IS'!$G$208</definedName>
    <definedName name="_vena_2_B1_R_1_651631427989536768">'609 IS'!$G$205</definedName>
    <definedName name="_vena_2_B1_R_1_651631428002119680">'609 IS'!$G$20</definedName>
    <definedName name="_vena_2_B1_R_1_651631428165697537">'609 IS'!$G$55</definedName>
    <definedName name="_vena_2_B1_R_1_691119840308494336">'609 IS'!$G$204</definedName>
    <definedName name="_vena_2_B1_R_1_691121205046280192">'609 IS'!$G$127</definedName>
    <definedName name="_vena_2_B1_R_1_691121629820878848">'609 IS'!$G$135</definedName>
    <definedName name="_vena_2_B1_R_1_691172173569589248">'609 IS'!$G$32</definedName>
    <definedName name="_vena_2_B1_R_FV_385b1d086d8a4b8abf43c04eedb00d88_1b93a96a.eccdd5fb">'609 IS'!$G$26:$G$26</definedName>
    <definedName name="_vena_2_B1_R_FV_385b1d086d8a4b8abf43c04eedb00d88_2750cbec.832c998a">'609 IS'!$G$151:$G$151</definedName>
    <definedName name="_vena_2_B1_R_FV_385b1d086d8a4b8abf43c04eedb00d88_3888619d.708c8f26">'609 IS'!$G$94:$G$102</definedName>
    <definedName name="_vena_2_B1_R_FV_385b1d086d8a4b8abf43c04eedb00d88_3fe6bec6.1d8da2dc">'609 IS'!$G$136:$G$136</definedName>
    <definedName name="_vena_2_B1_R_FV_385b1d086d8a4b8abf43c04eedb00d88_5bbabfa1.756627a5">'609 IS'!$G$34:$G$42</definedName>
    <definedName name="_vena_2_B1_R_FV_385b1d086d8a4b8abf43c04eedb00d88_60337174.8324ddc4">'609 IS'!$G$161:$G$161</definedName>
    <definedName name="_vena_2_B1_R_FV_385b1d086d8a4b8abf43c04eedb00d88_6fc33715.4cc84226">'609 IS'!$G$81:$G$83</definedName>
    <definedName name="_vena_2_B1_R_FV_385b1d086d8a4b8abf43c04eedb00d88_7276a90a.a181d49e">'609 IS'!$G$166:$G$166</definedName>
    <definedName name="_vena_2_B1_R_FV_385b1d086d8a4b8abf43c04eedb00d88_823775d5.219c5c8e">'609 IS'!$G$104:$G$109</definedName>
    <definedName name="_vena_2_B1_R_FV_385b1d086d8a4b8abf43c04eedb00d88_894991cf.142ea2a6">'609 IS'!$G$45:$G$45</definedName>
    <definedName name="_vena_2_B1_R_FV_385b1d086d8a4b8abf43c04eedb00d88_8b02c9ed.14c6f598">'609 IS'!$G$116:$G$117</definedName>
    <definedName name="_vena_2_B1_R_FV_385b1d086d8a4b8abf43c04eedb00d88_9c58fdae.bdeeef49">'609 IS'!$G$78:$G$79</definedName>
    <definedName name="_vena_2_B1_R_FV_385b1d086d8a4b8abf43c04eedb00d88_b13bc8b.af6bfc97">'609 IS'!$G$156:$G$156</definedName>
    <definedName name="_vena_2_B1_R_FV_385b1d086d8a4b8abf43c04eedb00d88_b7a7b58b.674db7db">'609 IS'!$G$49:$G$49</definedName>
    <definedName name="_vena_2_B1_R_FV_385b1d086d8a4b8abf43c04eedb00d88_bc4e5472.f16fe35b">'609 IS'!$G$22:$G$24</definedName>
    <definedName name="_vena_2_B1_R_FV_385b1d086d8a4b8abf43c04eedb00d88_c09a1d04.1e40570">'609 IS'!$G$141:$G$146</definedName>
    <definedName name="_vena_2_B1_R_FV_385b1d086d8a4b8abf43c04eedb00d88_c8e90ce6.23b9a703">'609 IS'!$G$131:$G$131</definedName>
    <definedName name="_vena_2_B1_R_FV_385b1d086d8a4b8abf43c04eedb00d88_c9ac1536.f8a484e3">'609 IS'!$G$122:$G$122</definedName>
    <definedName name="_vena_2_B1_R_FV_385b1d086d8a4b8abf43c04eedb00d88_d1350884.f34c97a4">'609 IS'!$G$57:$G$63</definedName>
    <definedName name="_vena_2_B1_R_FV_385b1d086d8a4b8abf43c04eedb00d88_d1906588.b9e362b4">'609 IS'!$G$119:$G$120</definedName>
    <definedName name="_vena_2_B1_R_FV_385b1d086d8a4b8abf43c04eedb00d88_dbacd17b.b36ca404">'609 IS'!$G$85:$G$92</definedName>
    <definedName name="_vena_2_B1_R_FV_385b1d086d8a4b8abf43c04eedb00d88_dbe69cf1.6780e2a">'609 IS'!$G$28:$G$28</definedName>
    <definedName name="_vena_2_B1_R_FV_385b1d086d8a4b8abf43c04eedb00d88_e5edff55.1c14688c">'609 IS'!$G$111:$G$114</definedName>
    <definedName name="_vena_2_B1_R_FV_385b1d086d8a4b8abf43c04eedb00d88_f0e35eab.2909e9cf">'609 IS'!$G$129:$G$129</definedName>
    <definedName name="_vena_2_B1_R_FV_385b1d086d8a4b8abf43c04eedb00d88_f994a178.f547d40f">'609 IS'!$G$65:$G$76</definedName>
    <definedName name="_vena_2_B1_R_FV_385b1d086d8a4b8abf43c04eedb00d88_fddaefe4.932e7370">'609 IS'!$G$47:$G$47</definedName>
    <definedName name="_vena_2_P_11_651631431944765441" comment="*">'609 IS'!$F$4</definedName>
    <definedName name="_vena_2_P_12_651631431982514177" comment="*">'609 IS'!$D$6</definedName>
    <definedName name="_vena_2_P_2_651631429184913409" comment="*">'609 IS'!$D$4</definedName>
    <definedName name="_vena_2_P_4_652241713652170752" comment="*">'609 IS'!$D$7</definedName>
    <definedName name="_vena_2_P_5_652241713786388480" comment="*">'609 IS'!$D$8</definedName>
    <definedName name="_vena_2_P_6_652241713908023296" comment="*">'609 IS'!$D$9</definedName>
    <definedName name="_vena_2_P_7_652241714033852416" comment="*">'609 IS'!$D$10</definedName>
    <definedName name="_vena_2_P_FV_a2a46c4bae444ba2ab0e2971d74e2ddb" comment="*">'609 IS'!$E$4</definedName>
    <definedName name="_vena_3_B1_C_FV_134399665b374008851e5b8c04b5ee44">'610 IS Var'!$M$6</definedName>
    <definedName name="_vena_3_B1_C_FV_134399665b374008851e5b8c04b5ee44_1">'610 IS Var'!$O$6</definedName>
    <definedName name="_vena_3_B1_C_FV_134399665b374008851e5b8c04b5ee44_10">'610 IS Var'!$AQ$6</definedName>
    <definedName name="_vena_3_B1_C_FV_134399665b374008851e5b8c04b5ee44_11">'610 IS Var'!$BA$6</definedName>
    <definedName name="_vena_3_B1_C_FV_134399665b374008851e5b8c04b5ee44_12">'610 IS Var'!$BC$6</definedName>
    <definedName name="_vena_3_B1_C_FV_134399665b374008851e5b8c04b5ee44_13">'610 IS Var'!$BE$6</definedName>
    <definedName name="_vena_3_B1_C_FV_134399665b374008851e5b8c04b5ee44_2">'610 IS Var'!$Q$6</definedName>
    <definedName name="_vena_3_B1_C_FV_134399665b374008851e5b8c04b5ee44_3">'610 IS Var'!$S$6</definedName>
    <definedName name="_vena_3_B1_C_FV_134399665b374008851e5b8c04b5ee44_4">'610 IS Var'!$AC$6</definedName>
    <definedName name="_vena_3_B1_C_FV_134399665b374008851e5b8c04b5ee44_5">'610 IS Var'!$AD$6</definedName>
    <definedName name="_vena_3_B1_C_FV_134399665b374008851e5b8c04b5ee44_6">'610 IS Var'!$AE$6</definedName>
    <definedName name="_vena_3_B1_C_FV_134399665b374008851e5b8c04b5ee44_7">'610 IS Var'!$AK$6</definedName>
    <definedName name="_vena_3_B1_C_FV_134399665b374008851e5b8c04b5ee44_8">'610 IS Var'!$AM$6</definedName>
    <definedName name="_vena_3_B1_C_FV_134399665b374008851e5b8c04b5ee44_9">'610 IS Var'!$AO$6</definedName>
    <definedName name="_vena_3_B1_C_FV_7cc8369c0b744816a17486bee792b4d5">'610 IS Var'!$M$4</definedName>
    <definedName name="_vena_3_B1_C_FV_7cc8369c0b744816a17486bee792b4d5_1">'610 IS Var'!$O$4</definedName>
    <definedName name="_vena_3_B1_C_FV_7cc8369c0b744816a17486bee792b4d5_10">'610 IS Var'!$AQ$4</definedName>
    <definedName name="_vena_3_B1_C_FV_7cc8369c0b744816a17486bee792b4d5_11">'610 IS Var'!$BA$4</definedName>
    <definedName name="_vena_3_B1_C_FV_7cc8369c0b744816a17486bee792b4d5_12">'610 IS Var'!$BC$4</definedName>
    <definedName name="_vena_3_B1_C_FV_7cc8369c0b744816a17486bee792b4d5_13">'610 IS Var'!$BE$4</definedName>
    <definedName name="_vena_3_B1_C_FV_7cc8369c0b744816a17486bee792b4d5_2">'610 IS Var'!$Q$4</definedName>
    <definedName name="_vena_3_B1_C_FV_7cc8369c0b744816a17486bee792b4d5_3">'610 IS Var'!$S$4</definedName>
    <definedName name="_vena_3_B1_C_FV_7cc8369c0b744816a17486bee792b4d5_4">'610 IS Var'!$AC$4</definedName>
    <definedName name="_vena_3_B1_C_FV_7cc8369c0b744816a17486bee792b4d5_5">'610 IS Var'!$AD$4</definedName>
    <definedName name="_vena_3_B1_C_FV_7cc8369c0b744816a17486bee792b4d5_6">'610 IS Var'!$AE$4</definedName>
    <definedName name="_vena_3_B1_C_FV_7cc8369c0b744816a17486bee792b4d5_7">'610 IS Var'!$AK$4</definedName>
    <definedName name="_vena_3_B1_C_FV_7cc8369c0b744816a17486bee792b4d5_8">'610 IS Var'!$AM$4</definedName>
    <definedName name="_vena_3_B1_C_FV_7cc8369c0b744816a17486bee792b4d5_9">'610 IS Var'!$AO$4</definedName>
    <definedName name="_vena_3_B1_C_FV_f4ddf33ff6224574ba096b1a5435ea67">'610 IS Var'!$M$5</definedName>
    <definedName name="_vena_3_B1_C_FV_f4ddf33ff6224574ba096b1a5435ea67_1">'610 IS Var'!$O$5</definedName>
    <definedName name="_vena_3_B1_C_FV_f4ddf33ff6224574ba096b1a5435ea67_10">'610 IS Var'!$AQ$5</definedName>
    <definedName name="_vena_3_B1_C_FV_f4ddf33ff6224574ba096b1a5435ea67_11">'610 IS Var'!$BA$5</definedName>
    <definedName name="_vena_3_B1_C_FV_f4ddf33ff6224574ba096b1a5435ea67_12">'610 IS Var'!$BC$5</definedName>
    <definedName name="_vena_3_B1_C_FV_f4ddf33ff6224574ba096b1a5435ea67_13">'610 IS Var'!$BE$5</definedName>
    <definedName name="_vena_3_B1_C_FV_f4ddf33ff6224574ba096b1a5435ea67_2">'610 IS Var'!$Q$5</definedName>
    <definedName name="_vena_3_B1_C_FV_f4ddf33ff6224574ba096b1a5435ea67_3">'610 IS Var'!$S$5</definedName>
    <definedName name="_vena_3_B1_C_FV_f4ddf33ff6224574ba096b1a5435ea67_4">'610 IS Var'!$AC$5</definedName>
    <definedName name="_vena_3_B1_C_FV_f4ddf33ff6224574ba096b1a5435ea67_5">'610 IS Var'!$AD$5</definedName>
    <definedName name="_vena_3_B1_C_FV_f4ddf33ff6224574ba096b1a5435ea67_6">'610 IS Var'!$AE$5</definedName>
    <definedName name="_vena_3_B1_C_FV_f4ddf33ff6224574ba096b1a5435ea67_7">'610 IS Var'!$AK$5</definedName>
    <definedName name="_vena_3_B1_C_FV_f4ddf33ff6224574ba096b1a5435ea67_8">'610 IS Var'!$AM$5</definedName>
    <definedName name="_vena_3_B1_C_FV_f4ddf33ff6224574ba096b1a5435ea67_9">'610 IS Var'!$AO$5</definedName>
    <definedName name="_vena_3_B1_R_1_1126333519640395796">'610 IS Var'!$H$44</definedName>
    <definedName name="_vena_3_B1_R_1_1126333519686533120">'610 IS Var'!$H$54</definedName>
    <definedName name="_vena_3_B1_R_1_1126333519715893262">'610 IS Var'!$H$59</definedName>
    <definedName name="_vena_3_B1_R_1_1126333519736864780">'610 IS Var'!$H$97</definedName>
    <definedName name="_vena_3_B1_R_1_1126333519762030608">'610 IS Var'!$H$113</definedName>
    <definedName name="_vena_3_B1_R_1_1126333519778807820">'610 IS Var'!$H$106</definedName>
    <definedName name="_vena_3_B1_R_1_1126333519787196446">'610 IS Var'!$H$126</definedName>
    <definedName name="_vena_3_B1_R_1_1126333519808167948">'610 IS Var'!$H$120</definedName>
    <definedName name="_vena_3_B1_R_1_1126333519854305298">'610 IS Var'!$H$67</definedName>
    <definedName name="_vena_3_B1_R_1_1126333519871082529">'610 IS Var'!$H$134</definedName>
    <definedName name="_vena_3_B1_R_1_1126333519883665426">'610 IS Var'!$H$92</definedName>
    <definedName name="_vena_3_B1_R_1_1126333519900442631">'610 IS Var'!$H$75</definedName>
    <definedName name="_vena_3_B1_R_1_1126333519925608473">'610 IS Var'!$H$144</definedName>
    <definedName name="_vena_3_B1_R_1_1126333519963357190">'610 IS Var'!$H$146</definedName>
    <definedName name="_vena_3_B1_R_1_1176989022519558144">'610 IS Var'!$H$32</definedName>
    <definedName name="_vena_3_B1_R_1_1177034623004573696">'610 IS Var'!$H$131</definedName>
    <definedName name="_vena_3_B1_R_1_1177042009963233280">'610 IS Var'!$H$38</definedName>
    <definedName name="_vena_3_B1_R_1_1177042321444044802">'610 IS Var'!$H$36</definedName>
    <definedName name="_vena_3_B1_R_1_1182443237873811456">'610 IS Var'!$H$157</definedName>
    <definedName name="_vena_3_B1_R_1_1192625627677589504">'610 IS Var'!$H$174</definedName>
    <definedName name="_vena_3_B1_R_1_1193288113649483886">'610 IS Var'!$H$169</definedName>
    <definedName name="_vena_3_B1_R_1_1258522529073987584">'610 IS Var'!$H$179</definedName>
    <definedName name="_vena_3_B1_R_1_1336800240017473538">'610 IS Var'!$H$89</definedName>
    <definedName name="_vena_3_B1_R_1_1525326324040761344">'610 IS Var'!$H$184</definedName>
    <definedName name="_vena_3_B1_R_1_1547710538947624960">'610 IS Var'!$H$55</definedName>
    <definedName name="_vena_3_B1_R_1_1547710569653993893">'610 IS Var'!$H$57</definedName>
    <definedName name="_vena_3_B1_R_1_651631427951788032">'610 IS Var'!$H$236</definedName>
    <definedName name="_vena_3_B1_R_1_651631428002119680">'610 IS Var'!$H$31</definedName>
    <definedName name="_vena_3_B1_R_1_651631428165697537">'610 IS Var'!$H$66</definedName>
    <definedName name="_vena_3_B1_R_1_691119840308494336">'610 IS Var'!$H$224</definedName>
    <definedName name="_vena_3_B1_R_1_691121205046280192">'610 IS Var'!$H$143</definedName>
    <definedName name="_vena_3_B1_R_1_691121629820878848">'610 IS Var'!$H$152</definedName>
    <definedName name="_vena_3_B1_R_1_691172173569589248">'610 IS Var'!$H$43</definedName>
    <definedName name="_vena_3_B1_R_FV_385b1d086d8a4b8abf43c04eedb00d88_1ca368a5.225773b0">'610 IS Var'!$H$153</definedName>
    <definedName name="_vena_3_B1_R_FV_385b1d086d8a4b8abf43c04eedb00d88_1e7f81f1.c62b28be">'610 IS Var'!$H$185</definedName>
    <definedName name="_vena_3_B1_R_FV_385b1d086d8a4b8abf43c04eedb00d88_274e23f6.2ac1ec3f">'610 IS Var'!$H$107:$H$112</definedName>
    <definedName name="_vena_3_B1_R_FV_385b1d086d8a4b8abf43c04eedb00d88_27f3cc6a.60765388">'610 IS Var'!$H$175</definedName>
    <definedName name="_vena_3_B1_R_FV_385b1d086d8a4b8abf43c04eedb00d88_2a916b00.4c0a4982">'610 IS Var'!$H$127:$H$130</definedName>
    <definedName name="_vena_3_B1_R_FV_385b1d086d8a4b8abf43c04eedb00d88_3d805b23.20baecc2">'610 IS Var'!$H$58:$H$58</definedName>
    <definedName name="_vena_3_B1_R_FV_385b1d086d8a4b8abf43c04eedb00d88_3eb3505b.2a0f6ed7">'610 IS Var'!$H$158:$H$165</definedName>
    <definedName name="_vena_3_B1_R_FV_385b1d086d8a4b8abf43c04eedb00d88_4443e830.5fce07b2">'610 IS Var'!$H$170</definedName>
    <definedName name="_vena_3_B1_R_FV_385b1d086d8a4b8abf43c04eedb00d88_46d3e3d7.68953055">'610 IS Var'!$H$145</definedName>
    <definedName name="_vena_3_B1_R_FV_385b1d086d8a4b8abf43c04eedb00d88_495f7749.a1b28f8f">'610 IS Var'!$H$98:$H$105</definedName>
    <definedName name="_vena_3_B1_R_FV_385b1d086d8a4b8abf43c04eedb00d88_4dc46ca8.4252f6b3">'610 IS Var'!$H$121:$H$125</definedName>
    <definedName name="_vena_3_B1_R_FV_385b1d086d8a4b8abf43c04eedb00d88_5676f1b4.d3470de3">'610 IS Var'!$H$37</definedName>
    <definedName name="_vena_3_B1_R_FV_385b1d086d8a4b8abf43c04eedb00d88_5b5cdcb0.7ac4c49e">'610 IS Var'!$H$76:$H$88</definedName>
    <definedName name="_vena_3_B1_R_FV_385b1d086d8a4b8abf43c04eedb00d88_61462c99.f18defc">'610 IS Var'!$H$60</definedName>
    <definedName name="_vena_3_B1_R_FV_385b1d086d8a4b8abf43c04eedb00d88_8c4967db.f7dbec5f">'610 IS Var'!$H$56:$H$56</definedName>
    <definedName name="_vena_3_B1_R_FV_385b1d086d8a4b8abf43c04eedb00d88_930a243.a27b03dd">'610 IS Var'!$H$90:$H$91</definedName>
    <definedName name="_vena_3_B1_R_FV_385b1d086d8a4b8abf43c04eedb00d88_9854f2da.52ccaac4">'610 IS Var'!$H$132:$H$133</definedName>
    <definedName name="_vena_3_B1_R_FV_385b1d086d8a4b8abf43c04eedb00d88_a168a8aa.2b0a9667">'610 IS Var'!$H$93:$H$96</definedName>
    <definedName name="_vena_3_B1_R_FV_385b1d086d8a4b8abf43c04eedb00d88_b3e56fa2.150077c7">'610 IS Var'!$H$68:$H$74</definedName>
    <definedName name="_vena_3_B1_R_FV_385b1d086d8a4b8abf43c04eedb00d88_b721cb84.141a522a">'610 IS Var'!$H$180</definedName>
    <definedName name="_vena_3_B1_R_FV_385b1d086d8a4b8abf43c04eedb00d88_b8e1cf56.a973fc75">'610 IS Var'!$H$147:$H$148</definedName>
    <definedName name="_vena_3_B1_R_FV_385b1d086d8a4b8abf43c04eedb00d88_bbb761df.6c1cb0a3">'610 IS Var'!$H$114:$H$119</definedName>
    <definedName name="_vena_3_B1_R_FV_385b1d086d8a4b8abf43c04eedb00d88_d2eeae1e.ad0fce1a">'610 IS Var'!$H$45:$H$53</definedName>
    <definedName name="_vena_3_B1_R_FV_385b1d086d8a4b8abf43c04eedb00d88_dad96222.b8cc0072">'610 IS Var'!$H$135</definedName>
    <definedName name="_vena_3_B1_R_FV_385b1d086d8a4b8abf43c04eedb00d88_ed6bbfbf.9ec69454">'610 IS Var'!$H$39</definedName>
    <definedName name="_vena_3_B1_R_FV_385b1d086d8a4b8abf43c04eedb00d88_f03b8892.5838aa62">'610 IS Var'!$H$33:$H$35</definedName>
    <definedName name="_vena_3_P_11_651631431944765441" comment="*">'610 IS Var'!$E$10</definedName>
    <definedName name="_vena_3_P_12_651631431982514177" comment="*">'610 IS Var'!$E$11</definedName>
    <definedName name="_vena_3_P_2_651631429184913409" comment="*">'610 IS Var'!$E$12</definedName>
    <definedName name="_vena_3_P_4_652241713652170752" comment="*">'610 IS Var'!$E$13</definedName>
    <definedName name="_vena_3_P_5_652241713786388480" comment="*">'610 IS Var'!$E$14</definedName>
    <definedName name="_vena_3_P_6_652241713908023296" comment="*">'610 IS Var'!$E$15</definedName>
    <definedName name="_vena_3_P_7_652241714033852416" comment="*">'610 IS Var'!$E$16</definedName>
    <definedName name="_vena_3_P_FV_a2a46c4bae444ba2ab0e2971d74e2ddb" comment="*">'610 IS Var'!$E$6</definedName>
    <definedName name="_vena_4_b1_C_FV_134399665b374008851e5b8c04b5ee44">'610 IS'!$L$5</definedName>
    <definedName name="_vena_4_b1_C_FV_134399665b374008851e5b8c04b5ee44_1">'610 IS'!$M$5</definedName>
    <definedName name="_vena_4_b1_C_FV_134399665b374008851e5b8c04b5ee44_10">'610 IS'!$V$5</definedName>
    <definedName name="_vena_4_b1_C_FV_134399665b374008851e5b8c04b5ee44_11">'610 IS'!$W$5</definedName>
    <definedName name="_vena_4_b1_C_FV_134399665b374008851e5b8c04b5ee44_12">'610 IS'!$Z$5</definedName>
    <definedName name="_vena_4_b1_C_FV_134399665b374008851e5b8c04b5ee44_13">'610 IS'!$AA$5</definedName>
    <definedName name="_vena_4_b1_C_FV_134399665b374008851e5b8c04b5ee44_14">'610 IS'!$AB$5</definedName>
    <definedName name="_vena_4_b1_C_FV_134399665b374008851e5b8c04b5ee44_15">'610 IS'!$AC$5</definedName>
    <definedName name="_vena_4_b1_C_FV_134399665b374008851e5b8c04b5ee44_16">'610 IS'!$AD$5</definedName>
    <definedName name="_vena_4_b1_C_FV_134399665b374008851e5b8c04b5ee44_17">'610 IS'!$AE$5</definedName>
    <definedName name="_vena_4_b1_C_FV_134399665b374008851e5b8c04b5ee44_18">'610 IS'!$AF$5</definedName>
    <definedName name="_vena_4_b1_C_FV_134399665b374008851e5b8c04b5ee44_19">'610 IS'!$AG$5</definedName>
    <definedName name="_vena_4_b1_C_FV_134399665b374008851e5b8c04b5ee44_2">'610 IS'!$N$5</definedName>
    <definedName name="_vena_4_b1_C_FV_134399665b374008851e5b8c04b5ee44_20">'610 IS'!$AH$5</definedName>
    <definedName name="_vena_4_b1_C_FV_134399665b374008851e5b8c04b5ee44_21">'610 IS'!$AI$5</definedName>
    <definedName name="_vena_4_b1_C_FV_134399665b374008851e5b8c04b5ee44_22">'610 IS'!$AJ$5</definedName>
    <definedName name="_vena_4_b1_C_FV_134399665b374008851e5b8c04b5ee44_23">'610 IS'!$AK$5</definedName>
    <definedName name="_vena_4_b1_C_FV_134399665b374008851e5b8c04b5ee44_24">'610 IS'!$AN$5</definedName>
    <definedName name="_vena_4_b1_C_FV_134399665b374008851e5b8c04b5ee44_25">'610 IS'!$AO$5</definedName>
    <definedName name="_vena_4_b1_C_FV_134399665b374008851e5b8c04b5ee44_26">'610 IS'!$AP$5</definedName>
    <definedName name="_vena_4_b1_C_FV_134399665b374008851e5b8c04b5ee44_27">'610 IS'!$AQ$5</definedName>
    <definedName name="_vena_4_b1_C_FV_134399665b374008851e5b8c04b5ee44_28">'610 IS'!$AR$5</definedName>
    <definedName name="_vena_4_b1_C_FV_134399665b374008851e5b8c04b5ee44_29">'610 IS'!$AS$5</definedName>
    <definedName name="_vena_4_b1_C_FV_134399665b374008851e5b8c04b5ee44_3">'610 IS'!$O$5</definedName>
    <definedName name="_vena_4_b1_C_FV_134399665b374008851e5b8c04b5ee44_30">'610 IS'!$AT$5</definedName>
    <definedName name="_vena_4_b1_C_FV_134399665b374008851e5b8c04b5ee44_31">'610 IS'!$AU$5</definedName>
    <definedName name="_vena_4_b1_C_FV_134399665b374008851e5b8c04b5ee44_32">'610 IS'!$AV$5</definedName>
    <definedName name="_vena_4_b1_C_FV_134399665b374008851e5b8c04b5ee44_33">'610 IS'!$AW$5</definedName>
    <definedName name="_vena_4_b1_C_FV_134399665b374008851e5b8c04b5ee44_34">'610 IS'!$AX$5</definedName>
    <definedName name="_vena_4_b1_C_FV_134399665b374008851e5b8c04b5ee44_35">'610 IS'!$AY$5</definedName>
    <definedName name="_vena_4_b1_C_FV_134399665b374008851e5b8c04b5ee44_36">'610 IS'!$BB$5</definedName>
    <definedName name="_vena_4_b1_C_FV_134399665b374008851e5b8c04b5ee44_37">'610 IS'!$BC$5</definedName>
    <definedName name="_vena_4_b1_C_FV_134399665b374008851e5b8c04b5ee44_38">'610 IS'!$BD$5</definedName>
    <definedName name="_vena_4_b1_C_FV_134399665b374008851e5b8c04b5ee44_39">'610 IS'!$BE$5</definedName>
    <definedName name="_vena_4_b1_C_FV_134399665b374008851e5b8c04b5ee44_4">'610 IS'!$P$5</definedName>
    <definedName name="_vena_4_b1_C_FV_134399665b374008851e5b8c04b5ee44_40">'610 IS'!$BF$5</definedName>
    <definedName name="_vena_4_b1_C_FV_134399665b374008851e5b8c04b5ee44_41">'610 IS'!$BG$5</definedName>
    <definedName name="_vena_4_b1_C_FV_134399665b374008851e5b8c04b5ee44_42">'610 IS'!$BH$5</definedName>
    <definedName name="_vena_4_b1_C_FV_134399665b374008851e5b8c04b5ee44_43">'610 IS'!$BI$5</definedName>
    <definedName name="_vena_4_b1_C_FV_134399665b374008851e5b8c04b5ee44_44">'610 IS'!$BJ$5</definedName>
    <definedName name="_vena_4_b1_C_FV_134399665b374008851e5b8c04b5ee44_45">'610 IS'!$BK$5</definedName>
    <definedName name="_vena_4_b1_C_FV_134399665b374008851e5b8c04b5ee44_46">'610 IS'!$BL$5</definedName>
    <definedName name="_vena_4_b1_C_FV_134399665b374008851e5b8c04b5ee44_47">'610 IS'!$BM$5</definedName>
    <definedName name="_vena_4_b1_C_FV_134399665b374008851e5b8c04b5ee44_5">'610 IS'!$Q$5</definedName>
    <definedName name="_vena_4_b1_C_FV_134399665b374008851e5b8c04b5ee44_6">'610 IS'!$R$5</definedName>
    <definedName name="_vena_4_b1_C_FV_134399665b374008851e5b8c04b5ee44_7">'610 IS'!$S$5</definedName>
    <definedName name="_vena_4_b1_C_FV_134399665b374008851e5b8c04b5ee44_8">'610 IS'!$T$5</definedName>
    <definedName name="_vena_4_b1_C_FV_134399665b374008851e5b8c04b5ee44_9">'610 IS'!$U$5</definedName>
    <definedName name="_vena_4_b1_C_FV_7cc8369c0b744816a17486bee792b4d5">'610 IS'!$L$3</definedName>
    <definedName name="_vena_4_b1_C_FV_7cc8369c0b744816a17486bee792b4d5_1">'610 IS'!$M$3</definedName>
    <definedName name="_vena_4_b1_C_FV_7cc8369c0b744816a17486bee792b4d5_10">'610 IS'!$V$3</definedName>
    <definedName name="_vena_4_b1_C_FV_7cc8369c0b744816a17486bee792b4d5_11">'610 IS'!$W$3</definedName>
    <definedName name="_vena_4_b1_C_FV_7cc8369c0b744816a17486bee792b4d5_12">'610 IS'!$Z$3</definedName>
    <definedName name="_vena_4_b1_C_FV_7cc8369c0b744816a17486bee792b4d5_13">'610 IS'!$AA$3</definedName>
    <definedName name="_vena_4_b1_C_FV_7cc8369c0b744816a17486bee792b4d5_14">'610 IS'!$AB$3</definedName>
    <definedName name="_vena_4_b1_C_FV_7cc8369c0b744816a17486bee792b4d5_15">'610 IS'!$AC$3</definedName>
    <definedName name="_vena_4_b1_C_FV_7cc8369c0b744816a17486bee792b4d5_16">'610 IS'!$AD$3</definedName>
    <definedName name="_vena_4_b1_C_FV_7cc8369c0b744816a17486bee792b4d5_17">'610 IS'!$AE$3</definedName>
    <definedName name="_vena_4_b1_C_FV_7cc8369c0b744816a17486bee792b4d5_18">'610 IS'!$AF$3</definedName>
    <definedName name="_vena_4_b1_C_FV_7cc8369c0b744816a17486bee792b4d5_19">'610 IS'!$AG$3</definedName>
    <definedName name="_vena_4_b1_C_FV_7cc8369c0b744816a17486bee792b4d5_2">'610 IS'!$N$3</definedName>
    <definedName name="_vena_4_b1_C_FV_7cc8369c0b744816a17486bee792b4d5_20">'610 IS'!$AH$3</definedName>
    <definedName name="_vena_4_b1_C_FV_7cc8369c0b744816a17486bee792b4d5_21">'610 IS'!$AI$3</definedName>
    <definedName name="_vena_4_b1_C_FV_7cc8369c0b744816a17486bee792b4d5_22">'610 IS'!$AJ$3</definedName>
    <definedName name="_vena_4_b1_C_FV_7cc8369c0b744816a17486bee792b4d5_23">'610 IS'!$AK$3</definedName>
    <definedName name="_vena_4_b1_C_FV_7cc8369c0b744816a17486bee792b4d5_24">'610 IS'!$AN$3</definedName>
    <definedName name="_vena_4_b1_C_FV_7cc8369c0b744816a17486bee792b4d5_25">'610 IS'!$AO$3</definedName>
    <definedName name="_vena_4_b1_C_FV_7cc8369c0b744816a17486bee792b4d5_26">'610 IS'!$AP$3</definedName>
    <definedName name="_vena_4_b1_C_FV_7cc8369c0b744816a17486bee792b4d5_27">'610 IS'!$AQ$3</definedName>
    <definedName name="_vena_4_b1_C_FV_7cc8369c0b744816a17486bee792b4d5_28">'610 IS'!$AR$3</definedName>
    <definedName name="_vena_4_b1_C_FV_7cc8369c0b744816a17486bee792b4d5_29">'610 IS'!$AS$3</definedName>
    <definedName name="_vena_4_b1_C_FV_7cc8369c0b744816a17486bee792b4d5_3">'610 IS'!$O$3</definedName>
    <definedName name="_vena_4_b1_C_FV_7cc8369c0b744816a17486bee792b4d5_30">'610 IS'!$AT$3</definedName>
    <definedName name="_vena_4_b1_C_FV_7cc8369c0b744816a17486bee792b4d5_31">'610 IS'!$AU$3</definedName>
    <definedName name="_vena_4_b1_C_FV_7cc8369c0b744816a17486bee792b4d5_32">'610 IS'!$AV$3</definedName>
    <definedName name="_vena_4_b1_C_FV_7cc8369c0b744816a17486bee792b4d5_33">'610 IS'!$AW$3</definedName>
    <definedName name="_vena_4_b1_C_FV_7cc8369c0b744816a17486bee792b4d5_34">'610 IS'!$AX$3</definedName>
    <definedName name="_vena_4_b1_C_FV_7cc8369c0b744816a17486bee792b4d5_35">'610 IS'!$AY$3</definedName>
    <definedName name="_vena_4_b1_C_FV_7cc8369c0b744816a17486bee792b4d5_36">'610 IS'!$BB$3</definedName>
    <definedName name="_vena_4_b1_C_FV_7cc8369c0b744816a17486bee792b4d5_37">'610 IS'!$BC$3</definedName>
    <definedName name="_vena_4_b1_C_FV_7cc8369c0b744816a17486bee792b4d5_38">'610 IS'!$BD$3</definedName>
    <definedName name="_vena_4_b1_C_FV_7cc8369c0b744816a17486bee792b4d5_39">'610 IS'!$BE$3</definedName>
    <definedName name="_vena_4_b1_C_FV_7cc8369c0b744816a17486bee792b4d5_4">'610 IS'!$P$3</definedName>
    <definedName name="_vena_4_b1_C_FV_7cc8369c0b744816a17486bee792b4d5_40">'610 IS'!$BF$3</definedName>
    <definedName name="_vena_4_b1_C_FV_7cc8369c0b744816a17486bee792b4d5_41">'610 IS'!$BG$3</definedName>
    <definedName name="_vena_4_b1_C_FV_7cc8369c0b744816a17486bee792b4d5_42">'610 IS'!$BH$3</definedName>
    <definedName name="_vena_4_b1_C_FV_7cc8369c0b744816a17486bee792b4d5_43">'610 IS'!$BI$3</definedName>
    <definedName name="_vena_4_b1_C_FV_7cc8369c0b744816a17486bee792b4d5_44">'610 IS'!$BJ$3</definedName>
    <definedName name="_vena_4_b1_C_FV_7cc8369c0b744816a17486bee792b4d5_45">'610 IS'!$BK$3</definedName>
    <definedName name="_vena_4_b1_C_FV_7cc8369c0b744816a17486bee792b4d5_46">'610 IS'!$BL$3</definedName>
    <definedName name="_vena_4_b1_C_FV_7cc8369c0b744816a17486bee792b4d5_47">'610 IS'!$BM$3</definedName>
    <definedName name="_vena_4_b1_C_FV_7cc8369c0b744816a17486bee792b4d5_5">'610 IS'!$Q$3</definedName>
    <definedName name="_vena_4_b1_C_FV_7cc8369c0b744816a17486bee792b4d5_6">'610 IS'!$R$3</definedName>
    <definedName name="_vena_4_b1_C_FV_7cc8369c0b744816a17486bee792b4d5_7">'610 IS'!$S$3</definedName>
    <definedName name="_vena_4_b1_C_FV_7cc8369c0b744816a17486bee792b4d5_8">'610 IS'!$T$3</definedName>
    <definedName name="_vena_4_b1_C_FV_7cc8369c0b744816a17486bee792b4d5_9">'610 IS'!$U$3</definedName>
    <definedName name="_vena_4_b1_C_FV_f4ddf33ff6224574ba096b1a5435ea67">'610 IS'!$L$4</definedName>
    <definedName name="_vena_4_b1_C_FV_f4ddf33ff6224574ba096b1a5435ea67_1">'610 IS'!$M$4</definedName>
    <definedName name="_vena_4_b1_C_FV_f4ddf33ff6224574ba096b1a5435ea67_10">'610 IS'!$V$4</definedName>
    <definedName name="_vena_4_b1_C_FV_f4ddf33ff6224574ba096b1a5435ea67_11">'610 IS'!$W$4</definedName>
    <definedName name="_vena_4_b1_C_FV_f4ddf33ff6224574ba096b1a5435ea67_12">'610 IS'!$Z$4</definedName>
    <definedName name="_vena_4_b1_C_FV_f4ddf33ff6224574ba096b1a5435ea67_13">'610 IS'!$AA$4</definedName>
    <definedName name="_vena_4_b1_C_FV_f4ddf33ff6224574ba096b1a5435ea67_14">'610 IS'!$AB$4</definedName>
    <definedName name="_vena_4_b1_C_FV_f4ddf33ff6224574ba096b1a5435ea67_15">'610 IS'!$AC$4</definedName>
    <definedName name="_vena_4_b1_C_FV_f4ddf33ff6224574ba096b1a5435ea67_16">'610 IS'!$AD$4</definedName>
    <definedName name="_vena_4_b1_C_FV_f4ddf33ff6224574ba096b1a5435ea67_17">'610 IS'!$AE$4</definedName>
    <definedName name="_vena_4_b1_C_FV_f4ddf33ff6224574ba096b1a5435ea67_18">'610 IS'!$AF$4</definedName>
    <definedName name="_vena_4_b1_C_FV_f4ddf33ff6224574ba096b1a5435ea67_19">'610 IS'!$AG$4</definedName>
    <definedName name="_vena_4_b1_C_FV_f4ddf33ff6224574ba096b1a5435ea67_2">'610 IS'!$N$4</definedName>
    <definedName name="_vena_4_b1_C_FV_f4ddf33ff6224574ba096b1a5435ea67_20">'610 IS'!$AH$4</definedName>
    <definedName name="_vena_4_b1_C_FV_f4ddf33ff6224574ba096b1a5435ea67_21">'610 IS'!$AI$4</definedName>
    <definedName name="_vena_4_b1_C_FV_f4ddf33ff6224574ba096b1a5435ea67_22">'610 IS'!$AJ$4</definedName>
    <definedName name="_vena_4_b1_C_FV_f4ddf33ff6224574ba096b1a5435ea67_23">'610 IS'!$AK$4</definedName>
    <definedName name="_vena_4_b1_C_FV_f4ddf33ff6224574ba096b1a5435ea67_24">'610 IS'!$AN$4</definedName>
    <definedName name="_vena_4_b1_C_FV_f4ddf33ff6224574ba096b1a5435ea67_25">'610 IS'!$AO$4</definedName>
    <definedName name="_vena_4_b1_C_FV_f4ddf33ff6224574ba096b1a5435ea67_26">'610 IS'!$AP$4</definedName>
    <definedName name="_vena_4_b1_C_FV_f4ddf33ff6224574ba096b1a5435ea67_27">'610 IS'!$AQ$4</definedName>
    <definedName name="_vena_4_b1_C_FV_f4ddf33ff6224574ba096b1a5435ea67_28">'610 IS'!$AR$4</definedName>
    <definedName name="_vena_4_b1_C_FV_f4ddf33ff6224574ba096b1a5435ea67_29">'610 IS'!$AS$4</definedName>
    <definedName name="_vena_4_b1_C_FV_f4ddf33ff6224574ba096b1a5435ea67_3">'610 IS'!$O$4</definedName>
    <definedName name="_vena_4_b1_C_FV_f4ddf33ff6224574ba096b1a5435ea67_30">'610 IS'!$AT$4</definedName>
    <definedName name="_vena_4_b1_C_FV_f4ddf33ff6224574ba096b1a5435ea67_31">'610 IS'!$AU$4</definedName>
    <definedName name="_vena_4_b1_C_FV_f4ddf33ff6224574ba096b1a5435ea67_32">'610 IS'!$AV$4</definedName>
    <definedName name="_vena_4_b1_C_FV_f4ddf33ff6224574ba096b1a5435ea67_33">'610 IS'!$AW$4</definedName>
    <definedName name="_vena_4_b1_C_FV_f4ddf33ff6224574ba096b1a5435ea67_34">'610 IS'!$AX$4</definedName>
    <definedName name="_vena_4_b1_C_FV_f4ddf33ff6224574ba096b1a5435ea67_35">'610 IS'!$AY$4</definedName>
    <definedName name="_vena_4_b1_C_FV_f4ddf33ff6224574ba096b1a5435ea67_36">'610 IS'!$BB$4</definedName>
    <definedName name="_vena_4_b1_C_FV_f4ddf33ff6224574ba096b1a5435ea67_37">'610 IS'!$BC$4</definedName>
    <definedName name="_vena_4_b1_C_FV_f4ddf33ff6224574ba096b1a5435ea67_38">'610 IS'!$BD$4</definedName>
    <definedName name="_vena_4_b1_C_FV_f4ddf33ff6224574ba096b1a5435ea67_39">'610 IS'!$BE$4</definedName>
    <definedName name="_vena_4_b1_C_FV_f4ddf33ff6224574ba096b1a5435ea67_4">'610 IS'!$P$4</definedName>
    <definedName name="_vena_4_b1_C_FV_f4ddf33ff6224574ba096b1a5435ea67_40">'610 IS'!$BF$4</definedName>
    <definedName name="_vena_4_b1_C_FV_f4ddf33ff6224574ba096b1a5435ea67_41">'610 IS'!$BG$4</definedName>
    <definedName name="_vena_4_b1_C_FV_f4ddf33ff6224574ba096b1a5435ea67_42">'610 IS'!$BH$4</definedName>
    <definedName name="_vena_4_b1_C_FV_f4ddf33ff6224574ba096b1a5435ea67_43">'610 IS'!$BI$4</definedName>
    <definedName name="_vena_4_b1_C_FV_f4ddf33ff6224574ba096b1a5435ea67_44">'610 IS'!$BJ$4</definedName>
    <definedName name="_vena_4_b1_C_FV_f4ddf33ff6224574ba096b1a5435ea67_45">'610 IS'!$BK$4</definedName>
    <definedName name="_vena_4_b1_C_FV_f4ddf33ff6224574ba096b1a5435ea67_46">'610 IS'!$BL$4</definedName>
    <definedName name="_vena_4_b1_C_FV_f4ddf33ff6224574ba096b1a5435ea67_47">'610 IS'!$BM$4</definedName>
    <definedName name="_vena_4_b1_C_FV_f4ddf33ff6224574ba096b1a5435ea67_5">'610 IS'!$Q$4</definedName>
    <definedName name="_vena_4_b1_C_FV_f4ddf33ff6224574ba096b1a5435ea67_6">'610 IS'!$R$4</definedName>
    <definedName name="_vena_4_b1_C_FV_f4ddf33ff6224574ba096b1a5435ea67_7">'610 IS'!$S$4</definedName>
    <definedName name="_vena_4_b1_C_FV_f4ddf33ff6224574ba096b1a5435ea67_8">'610 IS'!$T$4</definedName>
    <definedName name="_vena_4_b1_C_FV_f4ddf33ff6224574ba096b1a5435ea67_9">'610 IS'!$U$4</definedName>
    <definedName name="_vena_4_b1_R_1_1126333519640395796">'610 IS'!$G$33</definedName>
    <definedName name="_vena_4_b1_R_1_1126333519686533120">'610 IS'!$G$43</definedName>
    <definedName name="_vena_4_b1_R_1_1126333519715893262">'610 IS'!$G$48</definedName>
    <definedName name="_vena_4_b1_R_1_1126333519736864780">'610 IS'!$G$86</definedName>
    <definedName name="_vena_4_b1_R_1_1126333519762030608">'610 IS'!$G$102</definedName>
    <definedName name="_vena_4_b1_R_1_1126333519778807820">'610 IS'!$G$95</definedName>
    <definedName name="_vena_4_b1_R_1_1126333519787196446">'610 IS'!$G$115</definedName>
    <definedName name="_vena_4_b1_R_1_1126333519808167948">'610 IS'!$G$109</definedName>
    <definedName name="_vena_4_b1_R_1_1126333519854305298">'610 IS'!$G$56</definedName>
    <definedName name="_vena_4_b1_R_1_1126333519871082529">'610 IS'!$G$123</definedName>
    <definedName name="_vena_4_b1_R_1_1126333519883665426">'610 IS'!$G$81</definedName>
    <definedName name="_vena_4_b1_R_1_1126333519900442631">'610 IS'!$G$64</definedName>
    <definedName name="_vena_4_b1_R_1_1126333519925608473">'610 IS'!$G$130</definedName>
    <definedName name="_vena_4_b1_R_1_1126333519963357190">'610 IS'!$G$132</definedName>
    <definedName name="_vena_4_b1_R_1_1176989022519558144">'610 IS'!$G$21</definedName>
    <definedName name="_vena_4_b1_R_1_1177034623004573696">'610 IS'!$G$120</definedName>
    <definedName name="_vena_4_b1_R_1_1177042009963233280">'610 IS'!$G$27</definedName>
    <definedName name="_vena_4_b1_R_1_1177042321444044802">'610 IS'!$G$25</definedName>
    <definedName name="_vena_4_b1_R_1_1182443237873811456">'610 IS'!$G$143</definedName>
    <definedName name="_vena_4_b1_R_1_1192625627677589504">'610 IS'!$G$160</definedName>
    <definedName name="_vena_4_b1_R_1_1193288113649483886">'610 IS'!$G$155</definedName>
    <definedName name="_vena_4_b1_R_1_1258522529073987584">'610 IS'!$G$165</definedName>
    <definedName name="_vena_4_b1_R_1_1336800240017473538">'610 IS'!$G$78</definedName>
    <definedName name="_vena_4_b1_R_1_1525326324040761344">'610 IS'!$G$170</definedName>
    <definedName name="_vena_4_b1_R_1_1547710538947624960">'610 IS'!$G$44</definedName>
    <definedName name="_vena_4_b1_R_1_1547710569653993893">'610 IS'!$G$46</definedName>
    <definedName name="_vena_4_b1_R_1_651631427951788032">'610 IS'!$G$213</definedName>
    <definedName name="_vena_4_b1_R_1_651631427989536768">'610 IS'!$G$210</definedName>
    <definedName name="_vena_4_b1_R_1_651631428002119680">'610 IS'!$G$20</definedName>
    <definedName name="_vena_4_b1_R_1_651631428165697537">'610 IS'!$G$55</definedName>
    <definedName name="_vena_4_b1_R_1_691119840308494336">'610 IS'!$G$209</definedName>
    <definedName name="_vena_4_b1_R_1_691121205046280192">'610 IS'!$G$129</definedName>
    <definedName name="_vena_4_b1_R_1_691121629820878848">'610 IS'!$G$138</definedName>
    <definedName name="_vena_4_b1_R_1_691172173569589248">'610 IS'!$G$32</definedName>
    <definedName name="_vena_4_b1_R_FV_385b1d086d8a4b8abf43c04eedb00d88_15495e12.c9987004">'610 IS'!$G$34:$G$42</definedName>
    <definedName name="_vena_4_b1_R_FV_385b1d086d8a4b8abf43c04eedb00d88_18762335.6f9ef430">'610 IS'!$G$139</definedName>
    <definedName name="_vena_4_b1_R_FV_385b1d086d8a4b8abf43c04eedb00d88_2617c592.fb7d261f">'610 IS'!$G$156</definedName>
    <definedName name="_vena_4_b1_R_FV_385b1d086d8a4b8abf43c04eedb00d88_36a01a7.56807299">'610 IS'!$G$79:$G$80</definedName>
    <definedName name="_vena_4_b1_R_FV_385b1d086d8a4b8abf43c04eedb00d88_42b3d2b.8f4c7936">'610 IS'!$G$171</definedName>
    <definedName name="_vena_4_b1_R_FV_385b1d086d8a4b8abf43c04eedb00d88_4cb361e4.fd906e84">'610 IS'!$G$57:$G$63</definedName>
    <definedName name="_vena_4_b1_R_FV_385b1d086d8a4b8abf43c04eedb00d88_4dab0ca4.776f168a">'610 IS'!$G$103:$G$108</definedName>
    <definedName name="_vena_4_b1_R_FV_385b1d086d8a4b8abf43c04eedb00d88_5207a3f6.7d337ef1">'610 IS'!$G$45:$G$45</definedName>
    <definedName name="_vena_4_b1_R_FV_385b1d086d8a4b8abf43c04eedb00d88_585222a2.9efb07e9">'610 IS'!$G$82:$G$85</definedName>
    <definedName name="_vena_4_b1_R_FV_385b1d086d8a4b8abf43c04eedb00d88_5bac4fd8.6e330de6">'610 IS'!$G$124</definedName>
    <definedName name="_vena_4_b1_R_FV_385b1d086d8a4b8abf43c04eedb00d88_820b0bb.75c68e52">'610 IS'!$G$87:$G$94</definedName>
    <definedName name="_vena_4_b1_R_FV_385b1d086d8a4b8abf43c04eedb00d88_8934c402.e2f06f02">'610 IS'!$G$116:$G$119</definedName>
    <definedName name="_vena_4_b1_R_FV_385b1d086d8a4b8abf43c04eedb00d88_94e41104.5a3275e0">'610 IS'!$G$131</definedName>
    <definedName name="_vena_4_b1_R_FV_385b1d086d8a4b8abf43c04eedb00d88_98668e67.5c6d7c6c">'610 IS'!$G$28</definedName>
    <definedName name="_vena_4_b1_R_FV_385b1d086d8a4b8abf43c04eedb00d88_a2efbfda.4105cc0">'610 IS'!$G$110:$G$114</definedName>
    <definedName name="_vena_4_b1_R_FV_385b1d086d8a4b8abf43c04eedb00d88_a31340b6.2d180b3b">'610 IS'!$G$166</definedName>
    <definedName name="_vena_4_b1_R_FV_385b1d086d8a4b8abf43c04eedb00d88_a349f560.9bdf5481">'610 IS'!$G$49</definedName>
    <definedName name="_vena_4_b1_R_FV_385b1d086d8a4b8abf43c04eedb00d88_b9d368a8.1ba9f145">'610 IS'!$G$144:$G$151</definedName>
    <definedName name="_vena_4_b1_R_FV_385b1d086d8a4b8abf43c04eedb00d88_c9af24d3.81dcb49e">'610 IS'!$G$22:$G$24</definedName>
    <definedName name="_vena_4_b1_R_FV_385b1d086d8a4b8abf43c04eedb00d88_cfbe6cc6.eb9f6b82">'610 IS'!$G$121:$G$122</definedName>
    <definedName name="_vena_4_b1_R_FV_385b1d086d8a4b8abf43c04eedb00d88_d65d7527.58ff3ff9">'610 IS'!$G$26</definedName>
    <definedName name="_vena_4_b1_R_FV_385b1d086d8a4b8abf43c04eedb00d88_d9ca2398.d912413d">'610 IS'!$G$133:$G$134</definedName>
    <definedName name="_vena_4_b1_R_FV_385b1d086d8a4b8abf43c04eedb00d88_da156865.731b33a5">'610 IS'!$G$47:$G$47</definedName>
    <definedName name="_vena_4_b1_R_FV_385b1d086d8a4b8abf43c04eedb00d88_eaf4f3ea.1872fa4a">'610 IS'!$G$96:$G$101</definedName>
    <definedName name="_vena_4_b1_R_FV_385b1d086d8a4b8abf43c04eedb00d88_fc23d169.70c01d53">'610 IS'!$G$65:$G$77</definedName>
    <definedName name="_vena_4_b1_R_FV_385b1d086d8a4b8abf43c04eedb00d88_fcb555cc.3d94e7e4">'610 IS'!$G$161</definedName>
    <definedName name="_vena_4_P_11_651631431944765441" comment="*">'610 IS'!$F$4</definedName>
    <definedName name="_vena_4_P_12_651631431982514177" comment="*">'610 IS'!$D$6</definedName>
    <definedName name="_vena_4_P_2_651631429184913409" comment="*">'610 IS'!$D$4</definedName>
    <definedName name="_vena_4_P_4_652241713652170752" comment="*">'610 IS'!$D$7</definedName>
    <definedName name="_vena_4_P_5_652241713786388480" comment="*">'610 IS'!$D$8</definedName>
    <definedName name="_vena_4_P_6_652241713908023296" comment="*">'610 IS'!$D$9</definedName>
    <definedName name="_vena_4_P_7_652241714033852416" comment="*">'610 IS'!$D$10</definedName>
    <definedName name="_vena_4_P_FV_a2a46c4bae444ba2ab0e2971d74e2ddb" comment="*">'610 IS'!$E$4</definedName>
    <definedName name="_vena_5_b1_C_FV_134399665b374008851e5b8c04b5ee44">'612 IS Var'!$M$6</definedName>
    <definedName name="_vena_5_b1_C_FV_134399665b374008851e5b8c04b5ee44_1">'612 IS Var'!$O$6</definedName>
    <definedName name="_vena_5_b1_C_FV_134399665b374008851e5b8c04b5ee44_10">'612 IS Var'!$AQ$6</definedName>
    <definedName name="_vena_5_b1_C_FV_134399665b374008851e5b8c04b5ee44_11">'612 IS Var'!$BA$6</definedName>
    <definedName name="_vena_5_b1_C_FV_134399665b374008851e5b8c04b5ee44_12">'612 IS Var'!$BC$6</definedName>
    <definedName name="_vena_5_b1_C_FV_134399665b374008851e5b8c04b5ee44_13">'612 IS Var'!$BE$6</definedName>
    <definedName name="_vena_5_b1_C_FV_134399665b374008851e5b8c04b5ee44_2">'612 IS Var'!$Q$6</definedName>
    <definedName name="_vena_5_b1_C_FV_134399665b374008851e5b8c04b5ee44_3">'612 IS Var'!$S$6</definedName>
    <definedName name="_vena_5_b1_C_FV_134399665b374008851e5b8c04b5ee44_4">'612 IS Var'!$AC$6</definedName>
    <definedName name="_vena_5_b1_C_FV_134399665b374008851e5b8c04b5ee44_5">'612 IS Var'!$AD$6</definedName>
    <definedName name="_vena_5_b1_C_FV_134399665b374008851e5b8c04b5ee44_6">'612 IS Var'!$AE$6</definedName>
    <definedName name="_vena_5_b1_C_FV_134399665b374008851e5b8c04b5ee44_7">'612 IS Var'!$AK$6</definedName>
    <definedName name="_vena_5_b1_C_FV_134399665b374008851e5b8c04b5ee44_8">'612 IS Var'!$AM$6</definedName>
    <definedName name="_vena_5_b1_C_FV_134399665b374008851e5b8c04b5ee44_9">'612 IS Var'!$AO$6</definedName>
    <definedName name="_vena_5_b1_C_FV_7cc8369c0b744816a17486bee792b4d5">'612 IS Var'!$M$4</definedName>
    <definedName name="_vena_5_b1_C_FV_7cc8369c0b744816a17486bee792b4d5_1">'612 IS Var'!$O$4</definedName>
    <definedName name="_vena_5_b1_C_FV_7cc8369c0b744816a17486bee792b4d5_10">'612 IS Var'!$AQ$4</definedName>
    <definedName name="_vena_5_b1_C_FV_7cc8369c0b744816a17486bee792b4d5_11">'612 IS Var'!$BA$4</definedName>
    <definedName name="_vena_5_b1_C_FV_7cc8369c0b744816a17486bee792b4d5_12">'612 IS Var'!$BC$4</definedName>
    <definedName name="_vena_5_b1_C_FV_7cc8369c0b744816a17486bee792b4d5_13">'612 IS Var'!$BE$4</definedName>
    <definedName name="_vena_5_b1_C_FV_7cc8369c0b744816a17486bee792b4d5_2">'612 IS Var'!$Q$4</definedName>
    <definedName name="_vena_5_b1_C_FV_7cc8369c0b744816a17486bee792b4d5_3">'612 IS Var'!$S$4</definedName>
    <definedName name="_vena_5_b1_C_FV_7cc8369c0b744816a17486bee792b4d5_4">'612 IS Var'!$AC$4</definedName>
    <definedName name="_vena_5_b1_C_FV_7cc8369c0b744816a17486bee792b4d5_5">'612 IS Var'!$AD$4</definedName>
    <definedName name="_vena_5_b1_C_FV_7cc8369c0b744816a17486bee792b4d5_6">'612 IS Var'!$AE$4</definedName>
    <definedName name="_vena_5_b1_C_FV_7cc8369c0b744816a17486bee792b4d5_7">'612 IS Var'!$AK$4</definedName>
    <definedName name="_vena_5_b1_C_FV_7cc8369c0b744816a17486bee792b4d5_8">'612 IS Var'!$AM$4</definedName>
    <definedName name="_vena_5_b1_C_FV_7cc8369c0b744816a17486bee792b4d5_9">'612 IS Var'!$AO$4</definedName>
    <definedName name="_vena_5_b1_C_FV_f4ddf33ff6224574ba096b1a5435ea67">'612 IS Var'!$M$5</definedName>
    <definedName name="_vena_5_b1_C_FV_f4ddf33ff6224574ba096b1a5435ea67_1">'612 IS Var'!$O$5</definedName>
    <definedName name="_vena_5_b1_C_FV_f4ddf33ff6224574ba096b1a5435ea67_10">'612 IS Var'!$AQ$5</definedName>
    <definedName name="_vena_5_b1_C_FV_f4ddf33ff6224574ba096b1a5435ea67_11">'612 IS Var'!$BA$5</definedName>
    <definedName name="_vena_5_b1_C_FV_f4ddf33ff6224574ba096b1a5435ea67_12">'612 IS Var'!$BC$5</definedName>
    <definedName name="_vena_5_b1_C_FV_f4ddf33ff6224574ba096b1a5435ea67_13">'612 IS Var'!$BE$5</definedName>
    <definedName name="_vena_5_b1_C_FV_f4ddf33ff6224574ba096b1a5435ea67_2">'612 IS Var'!$Q$5</definedName>
    <definedName name="_vena_5_b1_C_FV_f4ddf33ff6224574ba096b1a5435ea67_3">'612 IS Var'!$S$5</definedName>
    <definedName name="_vena_5_b1_C_FV_f4ddf33ff6224574ba096b1a5435ea67_4">'612 IS Var'!$AC$5</definedName>
    <definedName name="_vena_5_b1_C_FV_f4ddf33ff6224574ba096b1a5435ea67_5">'612 IS Var'!$AD$5</definedName>
    <definedName name="_vena_5_b1_C_FV_f4ddf33ff6224574ba096b1a5435ea67_6">'612 IS Var'!$AE$5</definedName>
    <definedName name="_vena_5_b1_C_FV_f4ddf33ff6224574ba096b1a5435ea67_7">'612 IS Var'!$AK$5</definedName>
    <definedName name="_vena_5_b1_C_FV_f4ddf33ff6224574ba096b1a5435ea67_8">'612 IS Var'!$AM$5</definedName>
    <definedName name="_vena_5_b1_C_FV_f4ddf33ff6224574ba096b1a5435ea67_9">'612 IS Var'!$AO$5</definedName>
    <definedName name="_vena_5_b1_R_1_1126333519640395796">'612 IS Var'!$H$42</definedName>
    <definedName name="_vena_5_b1_R_1_1126333519686533120">'612 IS Var'!$H$46</definedName>
    <definedName name="_vena_5_b1_R_1_1126333519715893262">'612 IS Var'!$H$51</definedName>
    <definedName name="_vena_5_b1_R_1_1126333519736864780">'612 IS Var'!$H$82</definedName>
    <definedName name="_vena_5_b1_R_1_1126333519762030608">'612 IS Var'!$H$92</definedName>
    <definedName name="_vena_5_b1_R_1_1126333519778807820">'612 IS Var'!$H$87</definedName>
    <definedName name="_vena_5_b1_R_1_1126333519787196446">'612 IS Var'!$H$104</definedName>
    <definedName name="_vena_5_b1_R_1_1126333519808167948">'612 IS Var'!$H$98</definedName>
    <definedName name="_vena_5_b1_R_1_1126333519854305298">'612 IS Var'!$H$59</definedName>
    <definedName name="_vena_5_b1_R_1_1126333519871082529">'612 IS Var'!$H$110</definedName>
    <definedName name="_vena_5_b1_R_1_1126333519883665426">'612 IS Var'!$H$78</definedName>
    <definedName name="_vena_5_b1_R_1_1126333519900442631">'612 IS Var'!$H$64</definedName>
    <definedName name="_vena_5_b1_R_1_1126333519925608473">'612 IS Var'!$H$120</definedName>
    <definedName name="_vena_5_b1_R_1_1126333519963357190">'612 IS Var'!$H$122</definedName>
    <definedName name="_vena_5_b1_R_1_1176989022519558144">'612 IS Var'!$H$32</definedName>
    <definedName name="_vena_5_b1_R_1_1177034623004573696">'612 IS Var'!$H$107</definedName>
    <definedName name="_vena_5_b1_R_1_1177042009963233280">'612 IS Var'!$H$36</definedName>
    <definedName name="_vena_5_b1_R_1_1177042321444044802">'612 IS Var'!$H$34</definedName>
    <definedName name="_vena_5_b1_R_1_1182443237873811456">'612 IS Var'!$H$132</definedName>
    <definedName name="_vena_5_b1_R_1_1192625627677589504">'612 IS Var'!$H$142</definedName>
    <definedName name="_vena_5_b1_R_1_1193288113649483886">'612 IS Var'!$H$137</definedName>
    <definedName name="_vena_5_b1_R_1_1258522529073987584">'612 IS Var'!$H$147</definedName>
    <definedName name="_vena_5_b1_R_1_1336800240017473538">'612 IS Var'!$H$75</definedName>
    <definedName name="_vena_5_b1_R_1_1525326324040761344">'612 IS Var'!$H$152</definedName>
    <definedName name="_vena_5_b1_R_1_1547710538947624960">'612 IS Var'!$H$47</definedName>
    <definedName name="_vena_5_b1_R_1_1547710569653993893">'612 IS Var'!$H$49</definedName>
    <definedName name="_vena_5_b1_R_1_651631427951788032">'612 IS Var'!$H$204</definedName>
    <definedName name="_vena_5_b1_R_1_651631428002119680">'612 IS Var'!$H$31</definedName>
    <definedName name="_vena_5_b1_R_1_651631428165697537">'612 IS Var'!$H$58</definedName>
    <definedName name="_vena_5_b1_R_1_691119840308494336">'612 IS Var'!$H$192</definedName>
    <definedName name="_vena_5_b1_R_1_691121205046280192">'612 IS Var'!$H$119</definedName>
    <definedName name="_vena_5_b1_R_1_691121629820878848">'612 IS Var'!$H$127</definedName>
    <definedName name="_vena_5_b1_R_1_691172173569589248">'612 IS Var'!$H$41</definedName>
    <definedName name="_vena_5_b1_R_FV_385b1d086d8a4b8abf43c04eedb00d88_1187f4d9.7c554b94">'612 IS Var'!$H$133:$H$133</definedName>
    <definedName name="_vena_5_b1_R_FV_385b1d086d8a4b8abf43c04eedb00d88_155ab79e.9053d8f3">'612 IS Var'!$H$111</definedName>
    <definedName name="_vena_5_b1_R_FV_385b1d086d8a4b8abf43c04eedb00d88_1b9356c0.b1a4afcc">'612 IS Var'!$H$143</definedName>
    <definedName name="_vena_5_b1_R_FV_385b1d086d8a4b8abf43c04eedb00d88_3735033.d86aba5c">'612 IS Var'!$H$35</definedName>
    <definedName name="_vena_5_b1_R_FV_385b1d086d8a4b8abf43c04eedb00d88_3a55bf2f.a306913a">'612 IS Var'!$H$50</definedName>
    <definedName name="_vena_5_b1_R_FV_385b1d086d8a4b8abf43c04eedb00d88_3c347c9f.58e3e81f">'612 IS Var'!$H$148</definedName>
    <definedName name="_vena_5_b1_R_FV_385b1d086d8a4b8abf43c04eedb00d88_3dc6ac28.2e20b67f">'612 IS Var'!$H$43:$H$45</definedName>
    <definedName name="_vena_5_b1_R_FV_385b1d086d8a4b8abf43c04eedb00d88_447da193.656f0498">'612 IS Var'!$H$138</definedName>
    <definedName name="_vena_5_b1_R_FV_385b1d086d8a4b8abf43c04eedb00d88_54e7f65.f06d608c">'612 IS Var'!$H$37</definedName>
    <definedName name="_vena_5_b1_R_FV_385b1d086d8a4b8abf43c04eedb00d88_695c0b7f.df102f4c">'612 IS Var'!$H$99:$H$103</definedName>
    <definedName name="_vena_5_b1_R_FV_385b1d086d8a4b8abf43c04eedb00d88_6c4351a1.8d7a2911">'612 IS Var'!$H$79:$H$81</definedName>
    <definedName name="_vena_5_b1_R_FV_385b1d086d8a4b8abf43c04eedb00d88_70407990.268fb20f">'612 IS Var'!$H$60:$H$63</definedName>
    <definedName name="_vena_5_b1_R_FV_385b1d086d8a4b8abf43c04eedb00d88_7f5a2474.222e1c5b">'612 IS Var'!$H$65:$H$74</definedName>
    <definedName name="_vena_5_b1_R_FV_385b1d086d8a4b8abf43c04eedb00d88_819c9a1c.c266b1a1">'612 IS Var'!$H$121</definedName>
    <definedName name="_vena_5_b1_R_FV_385b1d086d8a4b8abf43c04eedb00d88_90df53cf.1422a135">'612 IS Var'!$H$108:$H$109</definedName>
    <definedName name="_vena_5_b1_R_FV_385b1d086d8a4b8abf43c04eedb00d88_9b9c5cbd.bbf3f67b">'612 IS Var'!$H$83:$H$86</definedName>
    <definedName name="_vena_5_b1_R_FV_385b1d086d8a4b8abf43c04eedb00d88_a9a44c10.a6caa262">'612 IS Var'!$H$93:$H$97</definedName>
    <definedName name="_vena_5_b1_R_FV_385b1d086d8a4b8abf43c04eedb00d88_ac8e848a.e812e9b7">'612 IS Var'!$H$48</definedName>
    <definedName name="_vena_5_b1_R_FV_385b1d086d8a4b8abf43c04eedb00d88_b7ba3bf3.64f64756">'612 IS Var'!$H$105:$H$106</definedName>
    <definedName name="_vena_5_b1_R_FV_385b1d086d8a4b8abf43c04eedb00d88_bc94df4.69d89792">'612 IS Var'!$H$128</definedName>
    <definedName name="_vena_5_b1_R_FV_385b1d086d8a4b8abf43c04eedb00d88_cf612f0b.544d92eb">'612 IS Var'!$H$153</definedName>
    <definedName name="_vena_5_b1_R_FV_385b1d086d8a4b8abf43c04eedb00d88_e60729d.38c7fa8f">'612 IS Var'!$H$52</definedName>
    <definedName name="_vena_5_b1_R_FV_385b1d086d8a4b8abf43c04eedb00d88_e80d901.74ded23b">'612 IS Var'!$H$123</definedName>
    <definedName name="_vena_5_b1_R_FV_385b1d086d8a4b8abf43c04eedb00d88_f5f484dc.c077bddb">'612 IS Var'!$H$33:$H$33</definedName>
    <definedName name="_vena_5_b1_R_FV_385b1d086d8a4b8abf43c04eedb00d88_f64dcead.27340529">'612 IS Var'!$H$88:$H$91</definedName>
    <definedName name="_vena_5_b1_R_FV_385b1d086d8a4b8abf43c04eedb00d88_fb646e13.cc9587df">'612 IS Var'!$H$76:$H$77</definedName>
    <definedName name="_vena_5_P_11_651631431944765441" comment="*">'612 IS Var'!$E$10</definedName>
    <definedName name="_vena_5_P_12_651631431982514177" comment="*">'612 IS Var'!$E$11</definedName>
    <definedName name="_vena_5_P_2_651631429184913409" comment="*">'612 IS Var'!$E$12</definedName>
    <definedName name="_vena_5_P_4_652241713652170752" comment="*">'612 IS Var'!$E$13</definedName>
    <definedName name="_vena_5_P_5_652241713786388480" comment="*">'612 IS Var'!$E$14</definedName>
    <definedName name="_vena_5_P_6_652241713908023296" comment="*">'612 IS Var'!$E$15</definedName>
    <definedName name="_vena_5_P_7_652241714033852416" comment="*">'612 IS Var'!$E$16</definedName>
    <definedName name="_vena_5_P_FV_a2a46c4bae444ba2ab0e2971d74e2ddb" comment="*">'612 IS Var'!$E$6</definedName>
    <definedName name="_vena_6_b1_C_FV_134399665b374008851e5b8c04b5ee44">'612 IS'!$L$5</definedName>
    <definedName name="_vena_6_b1_C_FV_134399665b374008851e5b8c04b5ee44_1">'612 IS'!$M$5</definedName>
    <definedName name="_vena_6_b1_C_FV_134399665b374008851e5b8c04b5ee44_10">'612 IS'!$V$5</definedName>
    <definedName name="_vena_6_b1_C_FV_134399665b374008851e5b8c04b5ee44_11">'612 IS'!$W$5</definedName>
    <definedName name="_vena_6_b1_C_FV_134399665b374008851e5b8c04b5ee44_12">'612 IS'!$Z$5</definedName>
    <definedName name="_vena_6_b1_C_FV_134399665b374008851e5b8c04b5ee44_13">'612 IS'!$AA$5</definedName>
    <definedName name="_vena_6_b1_C_FV_134399665b374008851e5b8c04b5ee44_14">'612 IS'!$AB$5</definedName>
    <definedName name="_vena_6_b1_C_FV_134399665b374008851e5b8c04b5ee44_15">'612 IS'!$AC$5</definedName>
    <definedName name="_vena_6_b1_C_FV_134399665b374008851e5b8c04b5ee44_16">'612 IS'!$AD$5</definedName>
    <definedName name="_vena_6_b1_C_FV_134399665b374008851e5b8c04b5ee44_17">'612 IS'!$AE$5</definedName>
    <definedName name="_vena_6_b1_C_FV_134399665b374008851e5b8c04b5ee44_18">'612 IS'!$AF$5</definedName>
    <definedName name="_vena_6_b1_C_FV_134399665b374008851e5b8c04b5ee44_19">'612 IS'!$AG$5</definedName>
    <definedName name="_vena_6_b1_C_FV_134399665b374008851e5b8c04b5ee44_2">'612 IS'!$N$5</definedName>
    <definedName name="_vena_6_b1_C_FV_134399665b374008851e5b8c04b5ee44_20">'612 IS'!$AH$5</definedName>
    <definedName name="_vena_6_b1_C_FV_134399665b374008851e5b8c04b5ee44_21">'612 IS'!$AI$5</definedName>
    <definedName name="_vena_6_b1_C_FV_134399665b374008851e5b8c04b5ee44_22">'612 IS'!$AJ$5</definedName>
    <definedName name="_vena_6_b1_C_FV_134399665b374008851e5b8c04b5ee44_23">'612 IS'!$AK$5</definedName>
    <definedName name="_vena_6_b1_C_FV_134399665b374008851e5b8c04b5ee44_24">'612 IS'!$AN$5</definedName>
    <definedName name="_vena_6_b1_C_FV_134399665b374008851e5b8c04b5ee44_25">'612 IS'!$AO$5</definedName>
    <definedName name="_vena_6_b1_C_FV_134399665b374008851e5b8c04b5ee44_26">'612 IS'!$AP$5</definedName>
    <definedName name="_vena_6_b1_C_FV_134399665b374008851e5b8c04b5ee44_27">'612 IS'!$AQ$5</definedName>
    <definedName name="_vena_6_b1_C_FV_134399665b374008851e5b8c04b5ee44_28">'612 IS'!$AR$5</definedName>
    <definedName name="_vena_6_b1_C_FV_134399665b374008851e5b8c04b5ee44_29">'612 IS'!$AS$5</definedName>
    <definedName name="_vena_6_b1_C_FV_134399665b374008851e5b8c04b5ee44_3">'612 IS'!$O$5</definedName>
    <definedName name="_vena_6_b1_C_FV_134399665b374008851e5b8c04b5ee44_30">'612 IS'!$AT$5</definedName>
    <definedName name="_vena_6_b1_C_FV_134399665b374008851e5b8c04b5ee44_31">'612 IS'!$AU$5</definedName>
    <definedName name="_vena_6_b1_C_FV_134399665b374008851e5b8c04b5ee44_32">'612 IS'!$AV$5</definedName>
    <definedName name="_vena_6_b1_C_FV_134399665b374008851e5b8c04b5ee44_33">'612 IS'!$AW$5</definedName>
    <definedName name="_vena_6_b1_C_FV_134399665b374008851e5b8c04b5ee44_34">'612 IS'!$AX$5</definedName>
    <definedName name="_vena_6_b1_C_FV_134399665b374008851e5b8c04b5ee44_35">'612 IS'!$AY$5</definedName>
    <definedName name="_vena_6_b1_C_FV_134399665b374008851e5b8c04b5ee44_36">'612 IS'!$BB$5</definedName>
    <definedName name="_vena_6_b1_C_FV_134399665b374008851e5b8c04b5ee44_37">'612 IS'!$BC$5</definedName>
    <definedName name="_vena_6_b1_C_FV_134399665b374008851e5b8c04b5ee44_38">'612 IS'!$BD$5</definedName>
    <definedName name="_vena_6_b1_C_FV_134399665b374008851e5b8c04b5ee44_39">'612 IS'!$BE$5</definedName>
    <definedName name="_vena_6_b1_C_FV_134399665b374008851e5b8c04b5ee44_4">'612 IS'!$P$5</definedName>
    <definedName name="_vena_6_b1_C_FV_134399665b374008851e5b8c04b5ee44_40">'612 IS'!$BF$5</definedName>
    <definedName name="_vena_6_b1_C_FV_134399665b374008851e5b8c04b5ee44_41">'612 IS'!$BG$5</definedName>
    <definedName name="_vena_6_b1_C_FV_134399665b374008851e5b8c04b5ee44_42">'612 IS'!$BH$5</definedName>
    <definedName name="_vena_6_b1_C_FV_134399665b374008851e5b8c04b5ee44_43">'612 IS'!$BI$5</definedName>
    <definedName name="_vena_6_b1_C_FV_134399665b374008851e5b8c04b5ee44_44">'612 IS'!$BJ$5</definedName>
    <definedName name="_vena_6_b1_C_FV_134399665b374008851e5b8c04b5ee44_45">'612 IS'!$BK$5</definedName>
    <definedName name="_vena_6_b1_C_FV_134399665b374008851e5b8c04b5ee44_46">'612 IS'!$BL$5</definedName>
    <definedName name="_vena_6_b1_C_FV_134399665b374008851e5b8c04b5ee44_47">'612 IS'!$BM$5</definedName>
    <definedName name="_vena_6_b1_C_FV_134399665b374008851e5b8c04b5ee44_5">'612 IS'!$Q$5</definedName>
    <definedName name="_vena_6_b1_C_FV_134399665b374008851e5b8c04b5ee44_6">'612 IS'!$R$5</definedName>
    <definedName name="_vena_6_b1_C_FV_134399665b374008851e5b8c04b5ee44_7">'612 IS'!$S$5</definedName>
    <definedName name="_vena_6_b1_C_FV_134399665b374008851e5b8c04b5ee44_8">'612 IS'!$T$5</definedName>
    <definedName name="_vena_6_b1_C_FV_134399665b374008851e5b8c04b5ee44_9">'612 IS'!$U$5</definedName>
    <definedName name="_vena_6_b1_C_FV_7cc8369c0b744816a17486bee792b4d5">'612 IS'!$L$3</definedName>
    <definedName name="_vena_6_b1_C_FV_7cc8369c0b744816a17486bee792b4d5_1">'612 IS'!$M$3</definedName>
    <definedName name="_vena_6_b1_C_FV_7cc8369c0b744816a17486bee792b4d5_10">'612 IS'!$V$3</definedName>
    <definedName name="_vena_6_b1_C_FV_7cc8369c0b744816a17486bee792b4d5_11">'612 IS'!$W$3</definedName>
    <definedName name="_vena_6_b1_C_FV_7cc8369c0b744816a17486bee792b4d5_12">'612 IS'!$Z$3</definedName>
    <definedName name="_vena_6_b1_C_FV_7cc8369c0b744816a17486bee792b4d5_13">'612 IS'!$AA$3</definedName>
    <definedName name="_vena_6_b1_C_FV_7cc8369c0b744816a17486bee792b4d5_14">'612 IS'!$AB$3</definedName>
    <definedName name="_vena_6_b1_C_FV_7cc8369c0b744816a17486bee792b4d5_15">'612 IS'!$AC$3</definedName>
    <definedName name="_vena_6_b1_C_FV_7cc8369c0b744816a17486bee792b4d5_16">'612 IS'!$AD$3</definedName>
    <definedName name="_vena_6_b1_C_FV_7cc8369c0b744816a17486bee792b4d5_17">'612 IS'!$AE$3</definedName>
    <definedName name="_vena_6_b1_C_FV_7cc8369c0b744816a17486bee792b4d5_18">'612 IS'!$AF$3</definedName>
    <definedName name="_vena_6_b1_C_FV_7cc8369c0b744816a17486bee792b4d5_19">'612 IS'!$AG$3</definedName>
    <definedName name="_vena_6_b1_C_FV_7cc8369c0b744816a17486bee792b4d5_2">'612 IS'!$N$3</definedName>
    <definedName name="_vena_6_b1_C_FV_7cc8369c0b744816a17486bee792b4d5_20">'612 IS'!$AH$3</definedName>
    <definedName name="_vena_6_b1_C_FV_7cc8369c0b744816a17486bee792b4d5_21">'612 IS'!$AI$3</definedName>
    <definedName name="_vena_6_b1_C_FV_7cc8369c0b744816a17486bee792b4d5_22">'612 IS'!$AJ$3</definedName>
    <definedName name="_vena_6_b1_C_FV_7cc8369c0b744816a17486bee792b4d5_23">'612 IS'!$AK$3</definedName>
    <definedName name="_vena_6_b1_C_FV_7cc8369c0b744816a17486bee792b4d5_24">'612 IS'!$AN$3</definedName>
    <definedName name="_vena_6_b1_C_FV_7cc8369c0b744816a17486bee792b4d5_25">'612 IS'!$AO$3</definedName>
    <definedName name="_vena_6_b1_C_FV_7cc8369c0b744816a17486bee792b4d5_26">'612 IS'!$AP$3</definedName>
    <definedName name="_vena_6_b1_C_FV_7cc8369c0b744816a17486bee792b4d5_27">'612 IS'!$AQ$3</definedName>
    <definedName name="_vena_6_b1_C_FV_7cc8369c0b744816a17486bee792b4d5_28">'612 IS'!$AR$3</definedName>
    <definedName name="_vena_6_b1_C_FV_7cc8369c0b744816a17486bee792b4d5_29">'612 IS'!$AS$3</definedName>
    <definedName name="_vena_6_b1_C_FV_7cc8369c0b744816a17486bee792b4d5_3">'612 IS'!$O$3</definedName>
    <definedName name="_vena_6_b1_C_FV_7cc8369c0b744816a17486bee792b4d5_30">'612 IS'!$AT$3</definedName>
    <definedName name="_vena_6_b1_C_FV_7cc8369c0b744816a17486bee792b4d5_31">'612 IS'!$AU$3</definedName>
    <definedName name="_vena_6_b1_C_FV_7cc8369c0b744816a17486bee792b4d5_32">'612 IS'!$AV$3</definedName>
    <definedName name="_vena_6_b1_C_FV_7cc8369c0b744816a17486bee792b4d5_33">'612 IS'!$AW$3</definedName>
    <definedName name="_vena_6_b1_C_FV_7cc8369c0b744816a17486bee792b4d5_34">'612 IS'!$AX$3</definedName>
    <definedName name="_vena_6_b1_C_FV_7cc8369c0b744816a17486bee792b4d5_35">'612 IS'!$AY$3</definedName>
    <definedName name="_vena_6_b1_C_FV_7cc8369c0b744816a17486bee792b4d5_36">'612 IS'!$BB$3</definedName>
    <definedName name="_vena_6_b1_C_FV_7cc8369c0b744816a17486bee792b4d5_37">'612 IS'!$BC$3</definedName>
    <definedName name="_vena_6_b1_C_FV_7cc8369c0b744816a17486bee792b4d5_38">'612 IS'!$BD$3</definedName>
    <definedName name="_vena_6_b1_C_FV_7cc8369c0b744816a17486bee792b4d5_39">'612 IS'!$BE$3</definedName>
    <definedName name="_vena_6_b1_C_FV_7cc8369c0b744816a17486bee792b4d5_4">'612 IS'!$P$3</definedName>
    <definedName name="_vena_6_b1_C_FV_7cc8369c0b744816a17486bee792b4d5_40">'612 IS'!$BF$3</definedName>
    <definedName name="_vena_6_b1_C_FV_7cc8369c0b744816a17486bee792b4d5_41">'612 IS'!$BG$3</definedName>
    <definedName name="_vena_6_b1_C_FV_7cc8369c0b744816a17486bee792b4d5_42">'612 IS'!$BH$3</definedName>
    <definedName name="_vena_6_b1_C_FV_7cc8369c0b744816a17486bee792b4d5_43">'612 IS'!$BI$3</definedName>
    <definedName name="_vena_6_b1_C_FV_7cc8369c0b744816a17486bee792b4d5_44">'612 IS'!$BJ$3</definedName>
    <definedName name="_vena_6_b1_C_FV_7cc8369c0b744816a17486bee792b4d5_45">'612 IS'!$BK$3</definedName>
    <definedName name="_vena_6_b1_C_FV_7cc8369c0b744816a17486bee792b4d5_46">'612 IS'!$BL$3</definedName>
    <definedName name="_vena_6_b1_C_FV_7cc8369c0b744816a17486bee792b4d5_47">'612 IS'!$BM$3</definedName>
    <definedName name="_vena_6_b1_C_FV_7cc8369c0b744816a17486bee792b4d5_5">'612 IS'!$Q$3</definedName>
    <definedName name="_vena_6_b1_C_FV_7cc8369c0b744816a17486bee792b4d5_6">'612 IS'!$R$3</definedName>
    <definedName name="_vena_6_b1_C_FV_7cc8369c0b744816a17486bee792b4d5_7">'612 IS'!$S$3</definedName>
    <definedName name="_vena_6_b1_C_FV_7cc8369c0b744816a17486bee792b4d5_8">'612 IS'!$T$3</definedName>
    <definedName name="_vena_6_b1_C_FV_7cc8369c0b744816a17486bee792b4d5_9">'612 IS'!$U$3</definedName>
    <definedName name="_vena_6_b1_C_FV_f4ddf33ff6224574ba096b1a5435ea67">'612 IS'!$L$4</definedName>
    <definedName name="_vena_6_b1_C_FV_f4ddf33ff6224574ba096b1a5435ea67_1">'612 IS'!$M$4</definedName>
    <definedName name="_vena_6_b1_C_FV_f4ddf33ff6224574ba096b1a5435ea67_10">'612 IS'!$V$4</definedName>
    <definedName name="_vena_6_b1_C_FV_f4ddf33ff6224574ba096b1a5435ea67_11">'612 IS'!$W$4</definedName>
    <definedName name="_vena_6_b1_C_FV_f4ddf33ff6224574ba096b1a5435ea67_12">'612 IS'!$Z$4</definedName>
    <definedName name="_vena_6_b1_C_FV_f4ddf33ff6224574ba096b1a5435ea67_13">'612 IS'!$AA$4</definedName>
    <definedName name="_vena_6_b1_C_FV_f4ddf33ff6224574ba096b1a5435ea67_14">'612 IS'!$AB$4</definedName>
    <definedName name="_vena_6_b1_C_FV_f4ddf33ff6224574ba096b1a5435ea67_15">'612 IS'!$AC$4</definedName>
    <definedName name="_vena_6_b1_C_FV_f4ddf33ff6224574ba096b1a5435ea67_16">'612 IS'!$AD$4</definedName>
    <definedName name="_vena_6_b1_C_FV_f4ddf33ff6224574ba096b1a5435ea67_17">'612 IS'!$AE$4</definedName>
    <definedName name="_vena_6_b1_C_FV_f4ddf33ff6224574ba096b1a5435ea67_18">'612 IS'!$AF$4</definedName>
    <definedName name="_vena_6_b1_C_FV_f4ddf33ff6224574ba096b1a5435ea67_19">'612 IS'!$AG$4</definedName>
    <definedName name="_vena_6_b1_C_FV_f4ddf33ff6224574ba096b1a5435ea67_2">'612 IS'!$N$4</definedName>
    <definedName name="_vena_6_b1_C_FV_f4ddf33ff6224574ba096b1a5435ea67_20">'612 IS'!$AH$4</definedName>
    <definedName name="_vena_6_b1_C_FV_f4ddf33ff6224574ba096b1a5435ea67_21">'612 IS'!$AI$4</definedName>
    <definedName name="_vena_6_b1_C_FV_f4ddf33ff6224574ba096b1a5435ea67_22">'612 IS'!$AJ$4</definedName>
    <definedName name="_vena_6_b1_C_FV_f4ddf33ff6224574ba096b1a5435ea67_23">'612 IS'!$AK$4</definedName>
    <definedName name="_vena_6_b1_C_FV_f4ddf33ff6224574ba096b1a5435ea67_24">'612 IS'!$AN$4</definedName>
    <definedName name="_vena_6_b1_C_FV_f4ddf33ff6224574ba096b1a5435ea67_25">'612 IS'!$AO$4</definedName>
    <definedName name="_vena_6_b1_C_FV_f4ddf33ff6224574ba096b1a5435ea67_26">'612 IS'!$AP$4</definedName>
    <definedName name="_vena_6_b1_C_FV_f4ddf33ff6224574ba096b1a5435ea67_27">'612 IS'!$AQ$4</definedName>
    <definedName name="_vena_6_b1_C_FV_f4ddf33ff6224574ba096b1a5435ea67_28">'612 IS'!$AR$4</definedName>
    <definedName name="_vena_6_b1_C_FV_f4ddf33ff6224574ba096b1a5435ea67_29">'612 IS'!$AS$4</definedName>
    <definedName name="_vena_6_b1_C_FV_f4ddf33ff6224574ba096b1a5435ea67_3">'612 IS'!$O$4</definedName>
    <definedName name="_vena_6_b1_C_FV_f4ddf33ff6224574ba096b1a5435ea67_30">'612 IS'!$AT$4</definedName>
    <definedName name="_vena_6_b1_C_FV_f4ddf33ff6224574ba096b1a5435ea67_31">'612 IS'!$AU$4</definedName>
    <definedName name="_vena_6_b1_C_FV_f4ddf33ff6224574ba096b1a5435ea67_32">'612 IS'!$AV$4</definedName>
    <definedName name="_vena_6_b1_C_FV_f4ddf33ff6224574ba096b1a5435ea67_33">'612 IS'!$AW$4</definedName>
    <definedName name="_vena_6_b1_C_FV_f4ddf33ff6224574ba096b1a5435ea67_34">'612 IS'!$AX$4</definedName>
    <definedName name="_vena_6_b1_C_FV_f4ddf33ff6224574ba096b1a5435ea67_35">'612 IS'!$AY$4</definedName>
    <definedName name="_vena_6_b1_C_FV_f4ddf33ff6224574ba096b1a5435ea67_36">'612 IS'!$BB$4</definedName>
    <definedName name="_vena_6_b1_C_FV_f4ddf33ff6224574ba096b1a5435ea67_37">'612 IS'!$BC$4</definedName>
    <definedName name="_vena_6_b1_C_FV_f4ddf33ff6224574ba096b1a5435ea67_38">'612 IS'!$BD$4</definedName>
    <definedName name="_vena_6_b1_C_FV_f4ddf33ff6224574ba096b1a5435ea67_39">'612 IS'!$BE$4</definedName>
    <definedName name="_vena_6_b1_C_FV_f4ddf33ff6224574ba096b1a5435ea67_4">'612 IS'!$P$4</definedName>
    <definedName name="_vena_6_b1_C_FV_f4ddf33ff6224574ba096b1a5435ea67_40">'612 IS'!$BF$4</definedName>
    <definedName name="_vena_6_b1_C_FV_f4ddf33ff6224574ba096b1a5435ea67_41">'612 IS'!$BG$4</definedName>
    <definedName name="_vena_6_b1_C_FV_f4ddf33ff6224574ba096b1a5435ea67_42">'612 IS'!$BH$4</definedName>
    <definedName name="_vena_6_b1_C_FV_f4ddf33ff6224574ba096b1a5435ea67_43">'612 IS'!$BI$4</definedName>
    <definedName name="_vena_6_b1_C_FV_f4ddf33ff6224574ba096b1a5435ea67_44">'612 IS'!$BJ$4</definedName>
    <definedName name="_vena_6_b1_C_FV_f4ddf33ff6224574ba096b1a5435ea67_45">'612 IS'!$BK$4</definedName>
    <definedName name="_vena_6_b1_C_FV_f4ddf33ff6224574ba096b1a5435ea67_46">'612 IS'!$BL$4</definedName>
    <definedName name="_vena_6_b1_C_FV_f4ddf33ff6224574ba096b1a5435ea67_47">'612 IS'!$BM$4</definedName>
    <definedName name="_vena_6_b1_C_FV_f4ddf33ff6224574ba096b1a5435ea67_5">'612 IS'!$Q$4</definedName>
    <definedName name="_vena_6_b1_C_FV_f4ddf33ff6224574ba096b1a5435ea67_6">'612 IS'!$R$4</definedName>
    <definedName name="_vena_6_b1_C_FV_f4ddf33ff6224574ba096b1a5435ea67_7">'612 IS'!$S$4</definedName>
    <definedName name="_vena_6_b1_C_FV_f4ddf33ff6224574ba096b1a5435ea67_8">'612 IS'!$T$4</definedName>
    <definedName name="_vena_6_b1_C_FV_f4ddf33ff6224574ba096b1a5435ea67_9">'612 IS'!$U$4</definedName>
    <definedName name="_vena_6_b1_R_1_1126333519640395796">'612 IS'!$G$31</definedName>
    <definedName name="_vena_6_b1_R_1_1126333519686533120">'612 IS'!$G$35</definedName>
    <definedName name="_vena_6_b1_R_1_1126333519715893262">'612 IS'!$G$40</definedName>
    <definedName name="_vena_6_b1_R_1_1126333519736864780">'612 IS'!$G$71</definedName>
    <definedName name="_vena_6_b1_R_1_1126333519762030608">'612 IS'!$G$81</definedName>
    <definedName name="_vena_6_b1_R_1_1126333519778807820">'612 IS'!$G$76</definedName>
    <definedName name="_vena_6_b1_R_1_1126333519787196446">'612 IS'!$G$93</definedName>
    <definedName name="_vena_6_b1_R_1_1126333519808167948">'612 IS'!$G$87</definedName>
    <definedName name="_vena_6_b1_R_1_1126333519854305298">'612 IS'!$G$48</definedName>
    <definedName name="_vena_6_b1_R_1_1126333519871082529">'612 IS'!$G$99</definedName>
    <definedName name="_vena_6_b1_R_1_1126333519883665426">'612 IS'!$G$67</definedName>
    <definedName name="_vena_6_b1_R_1_1126333519900442631">'612 IS'!$G$53</definedName>
    <definedName name="_vena_6_b1_R_1_1126333519925608473">'612 IS'!$G$106</definedName>
    <definedName name="_vena_6_b1_R_1_1126333519963357190">'612 IS'!$G$108</definedName>
    <definedName name="_vena_6_b1_R_1_1176989022519558144">'612 IS'!$G$21</definedName>
    <definedName name="_vena_6_b1_R_1_1177034623004573696">'612 IS'!$G$96</definedName>
    <definedName name="_vena_6_b1_R_1_1177042009963233280">'612 IS'!$G$25</definedName>
    <definedName name="_vena_6_b1_R_1_1177042321444044802">'612 IS'!$G$23</definedName>
    <definedName name="_vena_6_b1_R_1_1182443237873811456">'612 IS'!$G$118</definedName>
    <definedName name="_vena_6_b1_R_1_1192625627677589504">'612 IS'!$G$128</definedName>
    <definedName name="_vena_6_b1_R_1_1193288113649483886">'612 IS'!$G$123</definedName>
    <definedName name="_vena_6_b1_R_1_1258522529073987584">'612 IS'!$G$133</definedName>
    <definedName name="_vena_6_b1_R_1_1336800240017473538">'612 IS'!$G$64</definedName>
    <definedName name="_vena_6_b1_R_1_1525326324040761344">'612 IS'!$G$138</definedName>
    <definedName name="_vena_6_b1_R_1_1547710538947624960">'612 IS'!$G$36</definedName>
    <definedName name="_vena_6_b1_R_1_1547710569653993893">'612 IS'!$G$38</definedName>
    <definedName name="_vena_6_b1_R_1_651631427951788032">'612 IS'!$G$181</definedName>
    <definedName name="_vena_6_b1_R_1_651631427989536768">'612 IS'!$G$178</definedName>
    <definedName name="_vena_6_b1_R_1_651631428002119680">'612 IS'!$G$20</definedName>
    <definedName name="_vena_6_b1_R_1_651631428165697537">'612 IS'!$G$47</definedName>
    <definedName name="_vena_6_b1_R_1_691119840308494336">'612 IS'!$G$177</definedName>
    <definedName name="_vena_6_b1_R_1_691121205046280192">'612 IS'!$G$105</definedName>
    <definedName name="_vena_6_b1_R_1_691121629820878848">'612 IS'!$G$113</definedName>
    <definedName name="_vena_6_b1_R_1_691172173569589248">'612 IS'!$G$30</definedName>
    <definedName name="_vena_6_b1_R_FV_385b1d086d8a4b8abf43c04eedb00d88_156df6bf.ecba946c">'612 IS'!$G$114</definedName>
    <definedName name="_vena_6_b1_R_FV_385b1d086d8a4b8abf43c04eedb00d88_19b8c2ee.5fb8213">'612 IS'!$G$65:$G$66</definedName>
    <definedName name="_vena_6_b1_R_FV_385b1d086d8a4b8abf43c04eedb00d88_1c0d1915.aeeee52c">'612 IS'!$G$129</definedName>
    <definedName name="_vena_6_b1_R_FV_385b1d086d8a4b8abf43c04eedb00d88_2923ceb6.fe96a94">'612 IS'!$G$124</definedName>
    <definedName name="_vena_6_b1_R_FV_385b1d086d8a4b8abf43c04eedb00d88_2cf513c4.f69abac3">'612 IS'!$G$139</definedName>
    <definedName name="_vena_6_b1_R_FV_385b1d086d8a4b8abf43c04eedb00d88_307887a1.ff902668">'612 IS'!$G$77:$G$80</definedName>
    <definedName name="_vena_6_b1_R_FV_385b1d086d8a4b8abf43c04eedb00d88_4f125e0d.6d736bcd">'612 IS'!$G$39</definedName>
    <definedName name="_vena_6_b1_R_FV_385b1d086d8a4b8abf43c04eedb00d88_52ca7877.8890532e">'612 IS'!$G$119:$G$119</definedName>
    <definedName name="_vena_6_b1_R_FV_385b1d086d8a4b8abf43c04eedb00d88_71c63e31.3727c2f2">'612 IS'!$G$26</definedName>
    <definedName name="_vena_6_b1_R_FV_385b1d086d8a4b8abf43c04eedb00d88_74405870.eeb28c15">'612 IS'!$G$97:$G$98</definedName>
    <definedName name="_vena_6_b1_R_FV_385b1d086d8a4b8abf43c04eedb00d88_81e0d8b7.dec71cc">'612 IS'!$G$88:$G$92</definedName>
    <definedName name="_vena_6_b1_R_FV_385b1d086d8a4b8abf43c04eedb00d88_8964ada4.82126d4c">'612 IS'!$G$100</definedName>
    <definedName name="_vena_6_b1_R_FV_385b1d086d8a4b8abf43c04eedb00d88_8d74ad2.41ca4b2">'612 IS'!$G$72:$G$75</definedName>
    <definedName name="_vena_6_b1_R_FV_385b1d086d8a4b8abf43c04eedb00d88_8e9ac198.853ccc98">'612 IS'!$G$41</definedName>
    <definedName name="_vena_6_b1_R_FV_385b1d086d8a4b8abf43c04eedb00d88_a15d8b8.28adb3c2">'612 IS'!$G$37</definedName>
    <definedName name="_vena_6_b1_R_FV_385b1d086d8a4b8abf43c04eedb00d88_a204d652.6635eded">'612 IS'!$G$134</definedName>
    <definedName name="_vena_6_b1_R_FV_385b1d086d8a4b8abf43c04eedb00d88_a53d80dd.accd7902">'612 IS'!$G$68:$G$70</definedName>
    <definedName name="_vena_6_b1_R_FV_385b1d086d8a4b8abf43c04eedb00d88_acb8f388.1f040aab">'612 IS'!$G$54:$G$63</definedName>
    <definedName name="_vena_6_b1_R_FV_385b1d086d8a4b8abf43c04eedb00d88_b59cca20.6f39c3a8">'612 IS'!$G$82:$G$86</definedName>
    <definedName name="_vena_6_b1_R_FV_385b1d086d8a4b8abf43c04eedb00d88_b6432b2a.853ba0a">'612 IS'!$G$49:$G$52</definedName>
    <definedName name="_vena_6_b1_R_FV_385b1d086d8a4b8abf43c04eedb00d88_bc3c453b.75078486">'612 IS'!$G$107</definedName>
    <definedName name="_vena_6_b1_R_FV_385b1d086d8a4b8abf43c04eedb00d88_dc095f77.f735d8fd">'612 IS'!$G$32:$G$34</definedName>
    <definedName name="_vena_6_b1_R_FV_385b1d086d8a4b8abf43c04eedb00d88_df0dbebb.7c7f4ff2">'612 IS'!$G$94:$G$95</definedName>
    <definedName name="_vena_6_b1_R_FV_385b1d086d8a4b8abf43c04eedb00d88_e03a8579.47e1485">'612 IS'!$G$22:$G$22</definedName>
    <definedName name="_vena_6_b1_R_FV_385b1d086d8a4b8abf43c04eedb00d88_f1e20d00.7acbc233">'612 IS'!$G$109</definedName>
    <definedName name="_vena_6_b1_R_FV_385b1d086d8a4b8abf43c04eedb00d88_fe5bd80f.1b2c0ea4">'612 IS'!$G$24</definedName>
    <definedName name="_vena_6_P_11_651631431944765441" comment="*">'612 IS'!$F$4</definedName>
    <definedName name="_vena_6_P_12_651631431982514177" comment="*">'612 IS'!$D$6</definedName>
    <definedName name="_vena_6_P_2_651631429184913409" comment="*">'612 IS'!$D$4</definedName>
    <definedName name="_vena_6_P_4_652241713652170752" comment="*">'612 IS'!$D$7</definedName>
    <definedName name="_vena_6_P_5_652241713786388480" comment="*">'612 IS'!$D$8</definedName>
    <definedName name="_vena_6_P_6_652241713908023296" comment="*">'612 IS'!$D$9</definedName>
    <definedName name="_vena_6_P_7_652241714033852416" comment="*">'612 IS'!$D$10</definedName>
    <definedName name="_vena_6_P_FV_a2a46c4bae444ba2ab0e2971d74e2ddb" comment="*">'612 IS'!$E$4</definedName>
    <definedName name="_vena_7_b1_C_FV_134399665b374008851e5b8c04b5ee44">#REF!</definedName>
    <definedName name="_vena_7_b1_C_FV_134399665b374008851e5b8c04b5ee44_1">#REF!</definedName>
    <definedName name="_vena_7_b1_C_FV_134399665b374008851e5b8c04b5ee44_10">#REF!</definedName>
    <definedName name="_vena_7_b1_C_FV_134399665b374008851e5b8c04b5ee44_11">#REF!</definedName>
    <definedName name="_vena_7_b1_C_FV_134399665b374008851e5b8c04b5ee44_12">#REF!</definedName>
    <definedName name="_vena_7_b1_C_FV_134399665b374008851e5b8c04b5ee44_13">#REF!</definedName>
    <definedName name="_vena_7_b1_C_FV_134399665b374008851e5b8c04b5ee44_2">#REF!</definedName>
    <definedName name="_vena_7_b1_C_FV_134399665b374008851e5b8c04b5ee44_3">#REF!</definedName>
    <definedName name="_vena_7_b1_C_FV_134399665b374008851e5b8c04b5ee44_4">#REF!</definedName>
    <definedName name="_vena_7_b1_C_FV_134399665b374008851e5b8c04b5ee44_5">#REF!</definedName>
    <definedName name="_vena_7_b1_C_FV_134399665b374008851e5b8c04b5ee44_6">#REF!</definedName>
    <definedName name="_vena_7_b1_C_FV_134399665b374008851e5b8c04b5ee44_7">#REF!</definedName>
    <definedName name="_vena_7_b1_C_FV_134399665b374008851e5b8c04b5ee44_8">#REF!</definedName>
    <definedName name="_vena_7_b1_C_FV_134399665b374008851e5b8c04b5ee44_9">#REF!</definedName>
    <definedName name="_vena_7_b1_C_FV_7cc8369c0b744816a17486bee792b4d5">#REF!</definedName>
    <definedName name="_vena_7_b1_C_FV_7cc8369c0b744816a17486bee792b4d5_1">#REF!</definedName>
    <definedName name="_vena_7_b1_C_FV_7cc8369c0b744816a17486bee792b4d5_10">#REF!</definedName>
    <definedName name="_vena_7_b1_C_FV_7cc8369c0b744816a17486bee792b4d5_11">#REF!</definedName>
    <definedName name="_vena_7_b1_C_FV_7cc8369c0b744816a17486bee792b4d5_12">#REF!</definedName>
    <definedName name="_vena_7_b1_C_FV_7cc8369c0b744816a17486bee792b4d5_13">#REF!</definedName>
    <definedName name="_vena_7_b1_C_FV_7cc8369c0b744816a17486bee792b4d5_2">#REF!</definedName>
    <definedName name="_vena_7_b1_C_FV_7cc8369c0b744816a17486bee792b4d5_3">#REF!</definedName>
    <definedName name="_vena_7_b1_C_FV_7cc8369c0b744816a17486bee792b4d5_4">#REF!</definedName>
    <definedName name="_vena_7_b1_C_FV_7cc8369c0b744816a17486bee792b4d5_5">#REF!</definedName>
    <definedName name="_vena_7_b1_C_FV_7cc8369c0b744816a17486bee792b4d5_6">#REF!</definedName>
    <definedName name="_vena_7_b1_C_FV_7cc8369c0b744816a17486bee792b4d5_7">#REF!</definedName>
    <definedName name="_vena_7_b1_C_FV_7cc8369c0b744816a17486bee792b4d5_8">#REF!</definedName>
    <definedName name="_vena_7_b1_C_FV_7cc8369c0b744816a17486bee792b4d5_9">#REF!</definedName>
    <definedName name="_vena_7_b1_C_FV_f4ddf33ff6224574ba096b1a5435ea67">#REF!</definedName>
    <definedName name="_vena_7_b1_C_FV_f4ddf33ff6224574ba096b1a5435ea67_1">#REF!</definedName>
    <definedName name="_vena_7_b1_C_FV_f4ddf33ff6224574ba096b1a5435ea67_10">#REF!</definedName>
    <definedName name="_vena_7_b1_C_FV_f4ddf33ff6224574ba096b1a5435ea67_11">#REF!</definedName>
    <definedName name="_vena_7_b1_C_FV_f4ddf33ff6224574ba096b1a5435ea67_12">#REF!</definedName>
    <definedName name="_vena_7_b1_C_FV_f4ddf33ff6224574ba096b1a5435ea67_13">#REF!</definedName>
    <definedName name="_vena_7_b1_C_FV_f4ddf33ff6224574ba096b1a5435ea67_2">#REF!</definedName>
    <definedName name="_vena_7_b1_C_FV_f4ddf33ff6224574ba096b1a5435ea67_3">#REF!</definedName>
    <definedName name="_vena_7_b1_C_FV_f4ddf33ff6224574ba096b1a5435ea67_4">#REF!</definedName>
    <definedName name="_vena_7_b1_C_FV_f4ddf33ff6224574ba096b1a5435ea67_5">#REF!</definedName>
    <definedName name="_vena_7_b1_C_FV_f4ddf33ff6224574ba096b1a5435ea67_6">#REF!</definedName>
    <definedName name="_vena_7_b1_C_FV_f4ddf33ff6224574ba096b1a5435ea67_7">#REF!</definedName>
    <definedName name="_vena_7_b1_C_FV_f4ddf33ff6224574ba096b1a5435ea67_8">#REF!</definedName>
    <definedName name="_vena_7_b1_C_FV_f4ddf33ff6224574ba096b1a5435ea67_9">#REF!</definedName>
    <definedName name="_vena_7_b1_R_1_1126333519640395796">#REF!</definedName>
    <definedName name="_vena_7_b1_R_1_1126333519686533120">#REF!</definedName>
    <definedName name="_vena_7_b1_R_1_1126333519715893262">#REF!</definedName>
    <definedName name="_vena_7_b1_R_1_1126333519736864780">#REF!</definedName>
    <definedName name="_vena_7_b1_R_1_1126333519762030608">#REF!</definedName>
    <definedName name="_vena_7_b1_R_1_1126333519778807820">#REF!</definedName>
    <definedName name="_vena_7_b1_R_1_1126333519787196446">#REF!</definedName>
    <definedName name="_vena_7_b1_R_1_1126333519808167948">#REF!</definedName>
    <definedName name="_vena_7_b1_R_1_1126333519854305298">#REF!</definedName>
    <definedName name="_vena_7_b1_R_1_1126333519871082529">#REF!</definedName>
    <definedName name="_vena_7_b1_R_1_1126333519883665426">#REF!</definedName>
    <definedName name="_vena_7_b1_R_1_1126333519900442631">#REF!</definedName>
    <definedName name="_vena_7_b1_R_1_1126333519925608473">#REF!</definedName>
    <definedName name="_vena_7_b1_R_1_1126333519963357190">#REF!</definedName>
    <definedName name="_vena_7_b1_R_1_1176989022519558144">#REF!</definedName>
    <definedName name="_vena_7_b1_R_1_1177034623004573696">#REF!</definedName>
    <definedName name="_vena_7_b1_R_1_1177042009963233280">#REF!</definedName>
    <definedName name="_vena_7_b1_R_1_1177042321444044802">#REF!</definedName>
    <definedName name="_vena_7_b1_R_1_1182443237873811456">#REF!</definedName>
    <definedName name="_vena_7_b1_R_1_1192625627677589504">#REF!</definedName>
    <definedName name="_vena_7_b1_R_1_1193288113649483886">#REF!</definedName>
    <definedName name="_vena_7_b1_R_1_1258522529073987584">#REF!</definedName>
    <definedName name="_vena_7_b1_R_1_1336800240017473538">#REF!</definedName>
    <definedName name="_vena_7_b1_R_1_1525326324040761344">#REF!</definedName>
    <definedName name="_vena_7_b1_R_1_1547710538947624960">#REF!</definedName>
    <definedName name="_vena_7_b1_R_1_1547710569653993893">#REF!</definedName>
    <definedName name="_vena_7_b1_R_1_651631427951788032">#REF!</definedName>
    <definedName name="_vena_7_b1_R_1_651631428002119680">#REF!</definedName>
    <definedName name="_vena_7_b1_R_1_651631428165697537">#REF!</definedName>
    <definedName name="_vena_7_b1_R_1_691119840308494336">#REF!</definedName>
    <definedName name="_vena_7_b1_R_1_691121205046280192">#REF!</definedName>
    <definedName name="_vena_7_b1_R_1_691121629820878848">#REF!</definedName>
    <definedName name="_vena_7_b1_R_1_691172173569589248">#REF!</definedName>
    <definedName name="_vena_7_b1_R_FV_385b1d086d8a4b8abf43c04eedb00d88_11bf0375.cab12030">#REF!</definedName>
    <definedName name="_vena_7_b1_R_FV_385b1d086d8a4b8abf43c04eedb00d88_1a818e3d.97e46d9e">#REF!</definedName>
    <definedName name="_vena_7_b1_R_FV_385b1d086d8a4b8abf43c04eedb00d88_22c123f6.19882e7d">#REF!</definedName>
    <definedName name="_vena_7_b1_R_FV_385b1d086d8a4b8abf43c04eedb00d88_297449d2.9e610ca1">#REF!</definedName>
    <definedName name="_vena_7_b1_R_FV_385b1d086d8a4b8abf43c04eedb00d88_31c7d286.c95ca373">#REF!</definedName>
    <definedName name="_vena_7_b1_R_FV_385b1d086d8a4b8abf43c04eedb00d88_376b624d.30ef4d18">#REF!</definedName>
    <definedName name="_vena_7_b1_R_FV_385b1d086d8a4b8abf43c04eedb00d88_3f0461f.7d36cc49">#REF!</definedName>
    <definedName name="_vena_7_b1_R_FV_385b1d086d8a4b8abf43c04eedb00d88_49d3db81.5ccf64d1">#REF!</definedName>
    <definedName name="_vena_7_b1_R_FV_385b1d086d8a4b8abf43c04eedb00d88_52b1e6cd.de2c5a8f">#REF!</definedName>
    <definedName name="_vena_7_b1_R_FV_385b1d086d8a4b8abf43c04eedb00d88_598d060a.d02cbcfb">#REF!</definedName>
    <definedName name="_vena_7_b1_R_FV_385b1d086d8a4b8abf43c04eedb00d88_6b503653.3501809a">#REF!</definedName>
    <definedName name="_vena_7_b1_R_FV_385b1d086d8a4b8abf43c04eedb00d88_70ef63ad.b26e32c4">#REF!</definedName>
    <definedName name="_vena_7_b1_R_FV_385b1d086d8a4b8abf43c04eedb00d88_751d0254.7cd7db86">#REF!</definedName>
    <definedName name="_vena_7_b1_R_FV_385b1d086d8a4b8abf43c04eedb00d88_8a3c430b.9b60cb6c">#REF!</definedName>
    <definedName name="_vena_7_b1_R_FV_385b1d086d8a4b8abf43c04eedb00d88_a337db52.531cd53">#REF!</definedName>
    <definedName name="_vena_7_b1_R_FV_385b1d086d8a4b8abf43c04eedb00d88_a378672f.a1a3237a">#REF!</definedName>
    <definedName name="_vena_7_b1_R_FV_385b1d086d8a4b8abf43c04eedb00d88_ac23b846.31a3c29b">#REF!</definedName>
    <definedName name="_vena_7_b1_R_FV_385b1d086d8a4b8abf43c04eedb00d88_b7141aa4.f02e3678">#REF!</definedName>
    <definedName name="_vena_7_b1_R_FV_385b1d086d8a4b8abf43c04eedb00d88_c0282ccf.4cd75877">#REF!</definedName>
    <definedName name="_vena_7_b1_R_FV_385b1d086d8a4b8abf43c04eedb00d88_c639e143.9a94e7ce">#REF!</definedName>
    <definedName name="_vena_7_b1_R_FV_385b1d086d8a4b8abf43c04eedb00d88_e1739d1e.9880e9aa">#REF!</definedName>
    <definedName name="_vena_7_b1_R_FV_385b1d086d8a4b8abf43c04eedb00d88_eeb6f87c.bbe92044">#REF!</definedName>
    <definedName name="_vena_7_b1_R_FV_385b1d086d8a4b8abf43c04eedb00d88_efb0611f.59a5e80c">#REF!</definedName>
    <definedName name="_vena_7_b1_R_FV_385b1d086d8a4b8abf43c04eedb00d88_f07f258b.25e0b281">#REF!</definedName>
    <definedName name="_vena_7_b1_R_FV_385b1d086d8a4b8abf43c04eedb00d88_f5ec9035.18ffff14">#REF!</definedName>
    <definedName name="_vena_7_b1_R_FV_385b1d086d8a4b8abf43c04eedb00d88_fec63d9b.7afd1e2b">#REF!</definedName>
    <definedName name="_vena_7_P_11_651631431944765441" comment="*">#REF!</definedName>
    <definedName name="_vena_7_P_12_651631431982514177" comment="*">#REF!</definedName>
    <definedName name="_vena_7_P_2_651631429184913409" comment="*">#REF!</definedName>
    <definedName name="_vena_7_P_4_652241713652170752" comment="*">#REF!</definedName>
    <definedName name="_vena_7_P_5_652241713786388480" comment="*">#REF!</definedName>
    <definedName name="_vena_7_P_6_652241713908023296" comment="*">#REF!</definedName>
    <definedName name="_vena_7_P_7_652241714033852416" comment="*">#REF!</definedName>
    <definedName name="_vena_7_P_FV_a2a46c4bae444ba2ab0e2971d74e2ddb" comment="*">#REF!</definedName>
    <definedName name="_vena_8_b1_C_FV_134399665b374008851e5b8c04b5ee44">#REF!</definedName>
    <definedName name="_vena_8_b1_C_FV_134399665b374008851e5b8c04b5ee44_1">#REF!</definedName>
    <definedName name="_vena_8_b1_C_FV_134399665b374008851e5b8c04b5ee44_10">#REF!</definedName>
    <definedName name="_vena_8_b1_C_FV_134399665b374008851e5b8c04b5ee44_11">#REF!</definedName>
    <definedName name="_vena_8_b1_C_FV_134399665b374008851e5b8c04b5ee44_12">#REF!</definedName>
    <definedName name="_vena_8_b1_C_FV_134399665b374008851e5b8c04b5ee44_13">#REF!</definedName>
    <definedName name="_vena_8_b1_C_FV_134399665b374008851e5b8c04b5ee44_14">#REF!</definedName>
    <definedName name="_vena_8_b1_C_FV_134399665b374008851e5b8c04b5ee44_15">#REF!</definedName>
    <definedName name="_vena_8_b1_C_FV_134399665b374008851e5b8c04b5ee44_16">#REF!</definedName>
    <definedName name="_vena_8_b1_C_FV_134399665b374008851e5b8c04b5ee44_17">#REF!</definedName>
    <definedName name="_vena_8_b1_C_FV_134399665b374008851e5b8c04b5ee44_18">#REF!</definedName>
    <definedName name="_vena_8_b1_C_FV_134399665b374008851e5b8c04b5ee44_19">#REF!</definedName>
    <definedName name="_vena_8_b1_C_FV_134399665b374008851e5b8c04b5ee44_2">#REF!</definedName>
    <definedName name="_vena_8_b1_C_FV_134399665b374008851e5b8c04b5ee44_20">#REF!</definedName>
    <definedName name="_vena_8_b1_C_FV_134399665b374008851e5b8c04b5ee44_21">#REF!</definedName>
    <definedName name="_vena_8_b1_C_FV_134399665b374008851e5b8c04b5ee44_22">#REF!</definedName>
    <definedName name="_vena_8_b1_C_FV_134399665b374008851e5b8c04b5ee44_23">#REF!</definedName>
    <definedName name="_vena_8_b1_C_FV_134399665b374008851e5b8c04b5ee44_24">#REF!</definedName>
    <definedName name="_vena_8_b1_C_FV_134399665b374008851e5b8c04b5ee44_25">#REF!</definedName>
    <definedName name="_vena_8_b1_C_FV_134399665b374008851e5b8c04b5ee44_26">#REF!</definedName>
    <definedName name="_vena_8_b1_C_FV_134399665b374008851e5b8c04b5ee44_27">#REF!</definedName>
    <definedName name="_vena_8_b1_C_FV_134399665b374008851e5b8c04b5ee44_28">#REF!</definedName>
    <definedName name="_vena_8_b1_C_FV_134399665b374008851e5b8c04b5ee44_29">#REF!</definedName>
    <definedName name="_vena_8_b1_C_FV_134399665b374008851e5b8c04b5ee44_3">#REF!</definedName>
    <definedName name="_vena_8_b1_C_FV_134399665b374008851e5b8c04b5ee44_30">#REF!</definedName>
    <definedName name="_vena_8_b1_C_FV_134399665b374008851e5b8c04b5ee44_31">#REF!</definedName>
    <definedName name="_vena_8_b1_C_FV_134399665b374008851e5b8c04b5ee44_32">#REF!</definedName>
    <definedName name="_vena_8_b1_C_FV_134399665b374008851e5b8c04b5ee44_33">#REF!</definedName>
    <definedName name="_vena_8_b1_C_FV_134399665b374008851e5b8c04b5ee44_34">#REF!</definedName>
    <definedName name="_vena_8_b1_C_FV_134399665b374008851e5b8c04b5ee44_35">#REF!</definedName>
    <definedName name="_vena_8_b1_C_FV_134399665b374008851e5b8c04b5ee44_36">#REF!</definedName>
    <definedName name="_vena_8_b1_C_FV_134399665b374008851e5b8c04b5ee44_37">#REF!</definedName>
    <definedName name="_vena_8_b1_C_FV_134399665b374008851e5b8c04b5ee44_38">#REF!</definedName>
    <definedName name="_vena_8_b1_C_FV_134399665b374008851e5b8c04b5ee44_39">#REF!</definedName>
    <definedName name="_vena_8_b1_C_FV_134399665b374008851e5b8c04b5ee44_4">#REF!</definedName>
    <definedName name="_vena_8_b1_C_FV_134399665b374008851e5b8c04b5ee44_40">#REF!</definedName>
    <definedName name="_vena_8_b1_C_FV_134399665b374008851e5b8c04b5ee44_41">#REF!</definedName>
    <definedName name="_vena_8_b1_C_FV_134399665b374008851e5b8c04b5ee44_42">#REF!</definedName>
    <definedName name="_vena_8_b1_C_FV_134399665b374008851e5b8c04b5ee44_43">#REF!</definedName>
    <definedName name="_vena_8_b1_C_FV_134399665b374008851e5b8c04b5ee44_44">#REF!</definedName>
    <definedName name="_vena_8_b1_C_FV_134399665b374008851e5b8c04b5ee44_45">#REF!</definedName>
    <definedName name="_vena_8_b1_C_FV_134399665b374008851e5b8c04b5ee44_46">#REF!</definedName>
    <definedName name="_vena_8_b1_C_FV_134399665b374008851e5b8c04b5ee44_47">#REF!</definedName>
    <definedName name="_vena_8_b1_C_FV_134399665b374008851e5b8c04b5ee44_5">#REF!</definedName>
    <definedName name="_vena_8_b1_C_FV_134399665b374008851e5b8c04b5ee44_6">#REF!</definedName>
    <definedName name="_vena_8_b1_C_FV_134399665b374008851e5b8c04b5ee44_7">#REF!</definedName>
    <definedName name="_vena_8_b1_C_FV_134399665b374008851e5b8c04b5ee44_8">#REF!</definedName>
    <definedName name="_vena_8_b1_C_FV_134399665b374008851e5b8c04b5ee44_9">#REF!</definedName>
    <definedName name="_vena_8_b1_C_FV_7cc8369c0b744816a17486bee792b4d5">#REF!</definedName>
    <definedName name="_vena_8_b1_C_FV_7cc8369c0b744816a17486bee792b4d5_1">#REF!</definedName>
    <definedName name="_vena_8_b1_C_FV_7cc8369c0b744816a17486bee792b4d5_10">#REF!</definedName>
    <definedName name="_vena_8_b1_C_FV_7cc8369c0b744816a17486bee792b4d5_11">#REF!</definedName>
    <definedName name="_vena_8_b1_C_FV_7cc8369c0b744816a17486bee792b4d5_12">#REF!</definedName>
    <definedName name="_vena_8_b1_C_FV_7cc8369c0b744816a17486bee792b4d5_13">#REF!</definedName>
    <definedName name="_vena_8_b1_C_FV_7cc8369c0b744816a17486bee792b4d5_14">#REF!</definedName>
    <definedName name="_vena_8_b1_C_FV_7cc8369c0b744816a17486bee792b4d5_15">#REF!</definedName>
    <definedName name="_vena_8_b1_C_FV_7cc8369c0b744816a17486bee792b4d5_16">#REF!</definedName>
    <definedName name="_vena_8_b1_C_FV_7cc8369c0b744816a17486bee792b4d5_17">#REF!</definedName>
    <definedName name="_vena_8_b1_C_FV_7cc8369c0b744816a17486bee792b4d5_18">#REF!</definedName>
    <definedName name="_vena_8_b1_C_FV_7cc8369c0b744816a17486bee792b4d5_19">#REF!</definedName>
    <definedName name="_vena_8_b1_C_FV_7cc8369c0b744816a17486bee792b4d5_2">#REF!</definedName>
    <definedName name="_vena_8_b1_C_FV_7cc8369c0b744816a17486bee792b4d5_20">#REF!</definedName>
    <definedName name="_vena_8_b1_C_FV_7cc8369c0b744816a17486bee792b4d5_21">#REF!</definedName>
    <definedName name="_vena_8_b1_C_FV_7cc8369c0b744816a17486bee792b4d5_22">#REF!</definedName>
    <definedName name="_vena_8_b1_C_FV_7cc8369c0b744816a17486bee792b4d5_23">#REF!</definedName>
    <definedName name="_vena_8_b1_C_FV_7cc8369c0b744816a17486bee792b4d5_24">#REF!</definedName>
    <definedName name="_vena_8_b1_C_FV_7cc8369c0b744816a17486bee792b4d5_25">#REF!</definedName>
    <definedName name="_vena_8_b1_C_FV_7cc8369c0b744816a17486bee792b4d5_26">#REF!</definedName>
    <definedName name="_vena_8_b1_C_FV_7cc8369c0b744816a17486bee792b4d5_27">#REF!</definedName>
    <definedName name="_vena_8_b1_C_FV_7cc8369c0b744816a17486bee792b4d5_28">#REF!</definedName>
    <definedName name="_vena_8_b1_C_FV_7cc8369c0b744816a17486bee792b4d5_29">#REF!</definedName>
    <definedName name="_vena_8_b1_C_FV_7cc8369c0b744816a17486bee792b4d5_3">#REF!</definedName>
    <definedName name="_vena_8_b1_C_FV_7cc8369c0b744816a17486bee792b4d5_30">#REF!</definedName>
    <definedName name="_vena_8_b1_C_FV_7cc8369c0b744816a17486bee792b4d5_31">#REF!</definedName>
    <definedName name="_vena_8_b1_C_FV_7cc8369c0b744816a17486bee792b4d5_32">#REF!</definedName>
    <definedName name="_vena_8_b1_C_FV_7cc8369c0b744816a17486bee792b4d5_33">#REF!</definedName>
    <definedName name="_vena_8_b1_C_FV_7cc8369c0b744816a17486bee792b4d5_34">#REF!</definedName>
    <definedName name="_vena_8_b1_C_FV_7cc8369c0b744816a17486bee792b4d5_35">#REF!</definedName>
    <definedName name="_vena_8_b1_C_FV_7cc8369c0b744816a17486bee792b4d5_36">#REF!</definedName>
    <definedName name="_vena_8_b1_C_FV_7cc8369c0b744816a17486bee792b4d5_37">#REF!</definedName>
    <definedName name="_vena_8_b1_C_FV_7cc8369c0b744816a17486bee792b4d5_38">#REF!</definedName>
    <definedName name="_vena_8_b1_C_FV_7cc8369c0b744816a17486bee792b4d5_39">#REF!</definedName>
    <definedName name="_vena_8_b1_C_FV_7cc8369c0b744816a17486bee792b4d5_4">#REF!</definedName>
    <definedName name="_vena_8_b1_C_FV_7cc8369c0b744816a17486bee792b4d5_40">#REF!</definedName>
    <definedName name="_vena_8_b1_C_FV_7cc8369c0b744816a17486bee792b4d5_41">#REF!</definedName>
    <definedName name="_vena_8_b1_C_FV_7cc8369c0b744816a17486bee792b4d5_42">#REF!</definedName>
    <definedName name="_vena_8_b1_C_FV_7cc8369c0b744816a17486bee792b4d5_43">#REF!</definedName>
    <definedName name="_vena_8_b1_C_FV_7cc8369c0b744816a17486bee792b4d5_44">#REF!</definedName>
    <definedName name="_vena_8_b1_C_FV_7cc8369c0b744816a17486bee792b4d5_45">#REF!</definedName>
    <definedName name="_vena_8_b1_C_FV_7cc8369c0b744816a17486bee792b4d5_46">#REF!</definedName>
    <definedName name="_vena_8_b1_C_FV_7cc8369c0b744816a17486bee792b4d5_47">#REF!</definedName>
    <definedName name="_vena_8_b1_C_FV_7cc8369c0b744816a17486bee792b4d5_5">#REF!</definedName>
    <definedName name="_vena_8_b1_C_FV_7cc8369c0b744816a17486bee792b4d5_6">#REF!</definedName>
    <definedName name="_vena_8_b1_C_FV_7cc8369c0b744816a17486bee792b4d5_7">#REF!</definedName>
    <definedName name="_vena_8_b1_C_FV_7cc8369c0b744816a17486bee792b4d5_8">#REF!</definedName>
    <definedName name="_vena_8_b1_C_FV_7cc8369c0b744816a17486bee792b4d5_9">#REF!</definedName>
    <definedName name="_vena_8_b1_C_FV_f4ddf33ff6224574ba096b1a5435ea67">#REF!</definedName>
    <definedName name="_vena_8_b1_C_FV_f4ddf33ff6224574ba096b1a5435ea67_1">#REF!</definedName>
    <definedName name="_vena_8_b1_C_FV_f4ddf33ff6224574ba096b1a5435ea67_10">#REF!</definedName>
    <definedName name="_vena_8_b1_C_FV_f4ddf33ff6224574ba096b1a5435ea67_11">#REF!</definedName>
    <definedName name="_vena_8_b1_C_FV_f4ddf33ff6224574ba096b1a5435ea67_12">#REF!</definedName>
    <definedName name="_vena_8_b1_C_FV_f4ddf33ff6224574ba096b1a5435ea67_13">#REF!</definedName>
    <definedName name="_vena_8_b1_C_FV_f4ddf33ff6224574ba096b1a5435ea67_14">#REF!</definedName>
    <definedName name="_vena_8_b1_C_FV_f4ddf33ff6224574ba096b1a5435ea67_15">#REF!</definedName>
    <definedName name="_vena_8_b1_C_FV_f4ddf33ff6224574ba096b1a5435ea67_16">#REF!</definedName>
    <definedName name="_vena_8_b1_C_FV_f4ddf33ff6224574ba096b1a5435ea67_17">#REF!</definedName>
    <definedName name="_vena_8_b1_C_FV_f4ddf33ff6224574ba096b1a5435ea67_18">#REF!</definedName>
    <definedName name="_vena_8_b1_C_FV_f4ddf33ff6224574ba096b1a5435ea67_19">#REF!</definedName>
    <definedName name="_vena_8_b1_C_FV_f4ddf33ff6224574ba096b1a5435ea67_2">#REF!</definedName>
    <definedName name="_vena_8_b1_C_FV_f4ddf33ff6224574ba096b1a5435ea67_20">#REF!</definedName>
    <definedName name="_vena_8_b1_C_FV_f4ddf33ff6224574ba096b1a5435ea67_21">#REF!</definedName>
    <definedName name="_vena_8_b1_C_FV_f4ddf33ff6224574ba096b1a5435ea67_22">#REF!</definedName>
    <definedName name="_vena_8_b1_C_FV_f4ddf33ff6224574ba096b1a5435ea67_23">#REF!</definedName>
    <definedName name="_vena_8_b1_C_FV_f4ddf33ff6224574ba096b1a5435ea67_24">#REF!</definedName>
    <definedName name="_vena_8_b1_C_FV_f4ddf33ff6224574ba096b1a5435ea67_25">#REF!</definedName>
    <definedName name="_vena_8_b1_C_FV_f4ddf33ff6224574ba096b1a5435ea67_26">#REF!</definedName>
    <definedName name="_vena_8_b1_C_FV_f4ddf33ff6224574ba096b1a5435ea67_27">#REF!</definedName>
    <definedName name="_vena_8_b1_C_FV_f4ddf33ff6224574ba096b1a5435ea67_28">#REF!</definedName>
    <definedName name="_vena_8_b1_C_FV_f4ddf33ff6224574ba096b1a5435ea67_29">#REF!</definedName>
    <definedName name="_vena_8_b1_C_FV_f4ddf33ff6224574ba096b1a5435ea67_3">#REF!</definedName>
    <definedName name="_vena_8_b1_C_FV_f4ddf33ff6224574ba096b1a5435ea67_30">#REF!</definedName>
    <definedName name="_vena_8_b1_C_FV_f4ddf33ff6224574ba096b1a5435ea67_31">#REF!</definedName>
    <definedName name="_vena_8_b1_C_FV_f4ddf33ff6224574ba096b1a5435ea67_32">#REF!</definedName>
    <definedName name="_vena_8_b1_C_FV_f4ddf33ff6224574ba096b1a5435ea67_33">#REF!</definedName>
    <definedName name="_vena_8_b1_C_FV_f4ddf33ff6224574ba096b1a5435ea67_34">#REF!</definedName>
    <definedName name="_vena_8_b1_C_FV_f4ddf33ff6224574ba096b1a5435ea67_35">#REF!</definedName>
    <definedName name="_vena_8_b1_C_FV_f4ddf33ff6224574ba096b1a5435ea67_36">#REF!</definedName>
    <definedName name="_vena_8_b1_C_FV_f4ddf33ff6224574ba096b1a5435ea67_37">#REF!</definedName>
    <definedName name="_vena_8_b1_C_FV_f4ddf33ff6224574ba096b1a5435ea67_38">#REF!</definedName>
    <definedName name="_vena_8_b1_C_FV_f4ddf33ff6224574ba096b1a5435ea67_39">#REF!</definedName>
    <definedName name="_vena_8_b1_C_FV_f4ddf33ff6224574ba096b1a5435ea67_4">#REF!</definedName>
    <definedName name="_vena_8_b1_C_FV_f4ddf33ff6224574ba096b1a5435ea67_40">#REF!</definedName>
    <definedName name="_vena_8_b1_C_FV_f4ddf33ff6224574ba096b1a5435ea67_41">#REF!</definedName>
    <definedName name="_vena_8_b1_C_FV_f4ddf33ff6224574ba096b1a5435ea67_42">#REF!</definedName>
    <definedName name="_vena_8_b1_C_FV_f4ddf33ff6224574ba096b1a5435ea67_43">#REF!</definedName>
    <definedName name="_vena_8_b1_C_FV_f4ddf33ff6224574ba096b1a5435ea67_44">#REF!</definedName>
    <definedName name="_vena_8_b1_C_FV_f4ddf33ff6224574ba096b1a5435ea67_45">#REF!</definedName>
    <definedName name="_vena_8_b1_C_FV_f4ddf33ff6224574ba096b1a5435ea67_46">#REF!</definedName>
    <definedName name="_vena_8_b1_C_FV_f4ddf33ff6224574ba096b1a5435ea67_47">#REF!</definedName>
    <definedName name="_vena_8_b1_C_FV_f4ddf33ff6224574ba096b1a5435ea67_5">#REF!</definedName>
    <definedName name="_vena_8_b1_C_FV_f4ddf33ff6224574ba096b1a5435ea67_6">#REF!</definedName>
    <definedName name="_vena_8_b1_C_FV_f4ddf33ff6224574ba096b1a5435ea67_7">#REF!</definedName>
    <definedName name="_vena_8_b1_C_FV_f4ddf33ff6224574ba096b1a5435ea67_8">#REF!</definedName>
    <definedName name="_vena_8_b1_C_FV_f4ddf33ff6224574ba096b1a5435ea67_9">#REF!</definedName>
    <definedName name="_vena_8_b1_R_1_1126333519640395796">#REF!</definedName>
    <definedName name="_vena_8_b1_R_1_1126333519686533120">#REF!</definedName>
    <definedName name="_vena_8_b1_R_1_1126333519715893262">#REF!</definedName>
    <definedName name="_vena_8_b1_R_1_1126333519736864780">#REF!</definedName>
    <definedName name="_vena_8_b1_R_1_1126333519762030608">#REF!</definedName>
    <definedName name="_vena_8_b1_R_1_1126333519778807820">#REF!</definedName>
    <definedName name="_vena_8_b1_R_1_1126333519787196446">#REF!</definedName>
    <definedName name="_vena_8_b1_R_1_1126333519808167948">#REF!</definedName>
    <definedName name="_vena_8_b1_R_1_1126333519854305298">#REF!</definedName>
    <definedName name="_vena_8_b1_R_1_1126333519871082529">#REF!</definedName>
    <definedName name="_vena_8_b1_R_1_1126333519883665426">#REF!</definedName>
    <definedName name="_vena_8_b1_R_1_1126333519900442631">#REF!</definedName>
    <definedName name="_vena_8_b1_R_1_1126333519925608473">#REF!</definedName>
    <definedName name="_vena_8_b1_R_1_1126333519963357190">#REF!</definedName>
    <definedName name="_vena_8_b1_R_1_1176989022519558144">#REF!</definedName>
    <definedName name="_vena_8_b1_R_1_1177034623004573696">#REF!</definedName>
    <definedName name="_vena_8_b1_R_1_1177042009963233280">#REF!</definedName>
    <definedName name="_vena_8_b1_R_1_1177042321444044802">#REF!</definedName>
    <definedName name="_vena_8_b1_R_1_1182443237873811456">#REF!</definedName>
    <definedName name="_vena_8_b1_R_1_1192625627677589504">#REF!</definedName>
    <definedName name="_vena_8_b1_R_1_1193288113649483886">#REF!</definedName>
    <definedName name="_vena_8_b1_R_1_1258522529073987584">#REF!</definedName>
    <definedName name="_vena_8_b1_R_1_1336800240017473538">#REF!</definedName>
    <definedName name="_vena_8_b1_R_1_1525326324040761344">#REF!</definedName>
    <definedName name="_vena_8_b1_R_1_1547710538947624960">#REF!</definedName>
    <definedName name="_vena_8_b1_R_1_1547710569653993893">#REF!</definedName>
    <definedName name="_vena_8_b1_R_1_651631427951788032">#REF!</definedName>
    <definedName name="_vena_8_b1_R_1_651631427989536768">#REF!</definedName>
    <definedName name="_vena_8_b1_R_1_651631428002119680">#REF!</definedName>
    <definedName name="_vena_8_b1_R_1_651631428165697537">#REF!</definedName>
    <definedName name="_vena_8_b1_R_1_691119840308494336">#REF!</definedName>
    <definedName name="_vena_8_b1_R_1_691121205046280192">#REF!</definedName>
    <definedName name="_vena_8_b1_R_1_691121629820878848">#REF!</definedName>
    <definedName name="_vena_8_b1_R_1_691172173569589248">#REF!</definedName>
    <definedName name="_vena_8_b1_R_FV_385b1d086d8a4b8abf43c04eedb00d88_119ae29b.48c7c3bb">#REF!</definedName>
    <definedName name="_vena_8_b1_R_FV_385b1d086d8a4b8abf43c04eedb00d88_3c6e9f82.d9103631">#REF!</definedName>
    <definedName name="_vena_8_b1_R_FV_385b1d086d8a4b8abf43c04eedb00d88_458fddd3.b22c52ed">#REF!</definedName>
    <definedName name="_vena_8_b1_R_FV_385b1d086d8a4b8abf43c04eedb00d88_6a3d61a5.f522b89b">#REF!</definedName>
    <definedName name="_vena_8_b1_R_FV_385b1d086d8a4b8abf43c04eedb00d88_6ce5f675.eadb83b4">#REF!</definedName>
    <definedName name="_vena_8_b1_R_FV_385b1d086d8a4b8abf43c04eedb00d88_848936e8.7dbb28a">#REF!</definedName>
    <definedName name="_vena_8_b1_R_FV_385b1d086d8a4b8abf43c04eedb00d88_8b1950a0.8b915887">#REF!</definedName>
    <definedName name="_vena_8_b1_R_FV_385b1d086d8a4b8abf43c04eedb00d88_8cf5d03c.a441066">#REF!</definedName>
    <definedName name="_vena_8_b1_R_FV_385b1d086d8a4b8abf43c04eedb00d88_8dde94ca.3acc61b8">#REF!</definedName>
    <definedName name="_vena_8_b1_R_FV_385b1d086d8a4b8abf43c04eedb00d88_957e8b7a.c6522320">#REF!</definedName>
    <definedName name="_vena_8_b1_R_FV_385b1d086d8a4b8abf43c04eedb00d88_a4a37a19.4ed5ef9d">#REF!</definedName>
    <definedName name="_vena_8_b1_R_FV_385b1d086d8a4b8abf43c04eedb00d88_a9787ce8.c46286d7">#REF!</definedName>
    <definedName name="_vena_8_b1_R_FV_385b1d086d8a4b8abf43c04eedb00d88_af90a3bb.55f4a087">#REF!</definedName>
    <definedName name="_vena_8_b1_R_FV_385b1d086d8a4b8abf43c04eedb00d88_b2c17d1c.5bfb0c12">#REF!</definedName>
    <definedName name="_vena_8_b1_R_FV_385b1d086d8a4b8abf43c04eedb00d88_ba7c6004.ea322f5e">#REF!</definedName>
    <definedName name="_vena_8_b1_R_FV_385b1d086d8a4b8abf43c04eedb00d88_bc0c8b94.61f7998e">#REF!</definedName>
    <definedName name="_vena_8_b1_R_FV_385b1d086d8a4b8abf43c04eedb00d88_bdaa9d84.77c519ab">#REF!</definedName>
    <definedName name="_vena_8_b1_R_FV_385b1d086d8a4b8abf43c04eedb00d88_c1eda3a.4259e527">#REF!</definedName>
    <definedName name="_vena_8_b1_R_FV_385b1d086d8a4b8abf43c04eedb00d88_e974a4ba.1a2eb0a8">#REF!</definedName>
    <definedName name="_vena_8_b1_R_FV_385b1d086d8a4b8abf43c04eedb00d88_ed191b8c.5dd35cad">#REF!</definedName>
    <definedName name="_vena_8_b1_R_FV_385b1d086d8a4b8abf43c04eedb00d88_ed6b636e.b2f2f4d6">#REF!</definedName>
    <definedName name="_vena_8_b1_R_FV_385b1d086d8a4b8abf43c04eedb00d88_eef1a566.a1758847">#REF!</definedName>
    <definedName name="_vena_8_b1_R_FV_385b1d086d8a4b8abf43c04eedb00d88_ef26e781.40259fac">#REF!</definedName>
    <definedName name="_vena_8_b1_R_FV_385b1d086d8a4b8abf43c04eedb00d88_f218fd02.9bef376e">#REF!</definedName>
    <definedName name="_vena_8_b1_R_FV_385b1d086d8a4b8abf43c04eedb00d88_f2504b47.43a12522">#REF!</definedName>
    <definedName name="_vena_8_b1_R_FV_385b1d086d8a4b8abf43c04eedb00d88_f80ce2a.4eeca8ee">#REF!</definedName>
    <definedName name="_vena_8_P_11_651631431944765441" comment="*">#REF!</definedName>
    <definedName name="_vena_8_P_12_651631431982514177" comment="*">#REF!</definedName>
    <definedName name="_vena_8_P_2_651631429184913409" comment="*">#REF!</definedName>
    <definedName name="_vena_8_P_4_652241713652170752" comment="*">#REF!</definedName>
    <definedName name="_vena_8_P_5_652241713786388480" comment="*">#REF!</definedName>
    <definedName name="_vena_8_P_6_652241713908023296" comment="*">#REF!</definedName>
    <definedName name="_vena_8_P_7_652241714033852416" comment="*">#REF!</definedName>
    <definedName name="_vena_8_P_FV_a2a46c4bae444ba2ab0e2971d74e2ddb" comment="*">#REF!</definedName>
    <definedName name="_vena_9_b1_C_FV_134399665b374008851e5b8c04b5ee44">#REF!</definedName>
    <definedName name="_vena_9_b1_C_FV_134399665b374008851e5b8c04b5ee44_1">#REF!</definedName>
    <definedName name="_vena_9_b1_C_FV_134399665b374008851e5b8c04b5ee44_10">#REF!</definedName>
    <definedName name="_vena_9_b1_C_FV_134399665b374008851e5b8c04b5ee44_11">#REF!</definedName>
    <definedName name="_vena_9_b1_C_FV_134399665b374008851e5b8c04b5ee44_12">#REF!</definedName>
    <definedName name="_vena_9_b1_C_FV_134399665b374008851e5b8c04b5ee44_13">#REF!</definedName>
    <definedName name="_vena_9_b1_C_FV_134399665b374008851e5b8c04b5ee44_2">#REF!</definedName>
    <definedName name="_vena_9_b1_C_FV_134399665b374008851e5b8c04b5ee44_3">#REF!</definedName>
    <definedName name="_vena_9_b1_C_FV_134399665b374008851e5b8c04b5ee44_4">#REF!</definedName>
    <definedName name="_vena_9_b1_C_FV_134399665b374008851e5b8c04b5ee44_5">#REF!</definedName>
    <definedName name="_vena_9_b1_C_FV_134399665b374008851e5b8c04b5ee44_6">#REF!</definedName>
    <definedName name="_vena_9_b1_C_FV_134399665b374008851e5b8c04b5ee44_7">#REF!</definedName>
    <definedName name="_vena_9_b1_C_FV_134399665b374008851e5b8c04b5ee44_8">#REF!</definedName>
    <definedName name="_vena_9_b1_C_FV_134399665b374008851e5b8c04b5ee44_9">#REF!</definedName>
    <definedName name="_vena_9_b1_C_FV_7cc8369c0b744816a17486bee792b4d5">#REF!</definedName>
    <definedName name="_vena_9_b1_C_FV_7cc8369c0b744816a17486bee792b4d5_1">#REF!</definedName>
    <definedName name="_vena_9_b1_C_FV_7cc8369c0b744816a17486bee792b4d5_10">#REF!</definedName>
    <definedName name="_vena_9_b1_C_FV_7cc8369c0b744816a17486bee792b4d5_11">#REF!</definedName>
    <definedName name="_vena_9_b1_C_FV_7cc8369c0b744816a17486bee792b4d5_12">#REF!</definedName>
    <definedName name="_vena_9_b1_C_FV_7cc8369c0b744816a17486bee792b4d5_13">#REF!</definedName>
    <definedName name="_vena_9_b1_C_FV_7cc8369c0b744816a17486bee792b4d5_2">#REF!</definedName>
    <definedName name="_vena_9_b1_C_FV_7cc8369c0b744816a17486bee792b4d5_3">#REF!</definedName>
    <definedName name="_vena_9_b1_C_FV_7cc8369c0b744816a17486bee792b4d5_4">#REF!</definedName>
    <definedName name="_vena_9_b1_C_FV_7cc8369c0b744816a17486bee792b4d5_5">#REF!</definedName>
    <definedName name="_vena_9_b1_C_FV_7cc8369c0b744816a17486bee792b4d5_6">#REF!</definedName>
    <definedName name="_vena_9_b1_C_FV_7cc8369c0b744816a17486bee792b4d5_7">#REF!</definedName>
    <definedName name="_vena_9_b1_C_FV_7cc8369c0b744816a17486bee792b4d5_8">#REF!</definedName>
    <definedName name="_vena_9_b1_C_FV_7cc8369c0b744816a17486bee792b4d5_9">#REF!</definedName>
    <definedName name="_vena_9_b1_C_FV_f4ddf33ff6224574ba096b1a5435ea67">#REF!</definedName>
    <definedName name="_vena_9_b1_C_FV_f4ddf33ff6224574ba096b1a5435ea67_1">#REF!</definedName>
    <definedName name="_vena_9_b1_C_FV_f4ddf33ff6224574ba096b1a5435ea67_10">#REF!</definedName>
    <definedName name="_vena_9_b1_C_FV_f4ddf33ff6224574ba096b1a5435ea67_11">#REF!</definedName>
    <definedName name="_vena_9_b1_C_FV_f4ddf33ff6224574ba096b1a5435ea67_12">#REF!</definedName>
    <definedName name="_vena_9_b1_C_FV_f4ddf33ff6224574ba096b1a5435ea67_13">#REF!</definedName>
    <definedName name="_vena_9_b1_C_FV_f4ddf33ff6224574ba096b1a5435ea67_2">#REF!</definedName>
    <definedName name="_vena_9_b1_C_FV_f4ddf33ff6224574ba096b1a5435ea67_3">#REF!</definedName>
    <definedName name="_vena_9_b1_C_FV_f4ddf33ff6224574ba096b1a5435ea67_4">#REF!</definedName>
    <definedName name="_vena_9_b1_C_FV_f4ddf33ff6224574ba096b1a5435ea67_5">#REF!</definedName>
    <definedName name="_vena_9_b1_C_FV_f4ddf33ff6224574ba096b1a5435ea67_6">#REF!</definedName>
    <definedName name="_vena_9_b1_C_FV_f4ddf33ff6224574ba096b1a5435ea67_7">#REF!</definedName>
    <definedName name="_vena_9_b1_C_FV_f4ddf33ff6224574ba096b1a5435ea67_8">#REF!</definedName>
    <definedName name="_vena_9_b1_C_FV_f4ddf33ff6224574ba096b1a5435ea67_9">#REF!</definedName>
    <definedName name="_vena_9_b1_R_1_1126333519640395796">#REF!</definedName>
    <definedName name="_vena_9_b1_R_1_1126333519686533120">#REF!</definedName>
    <definedName name="_vena_9_b1_R_1_1126333519715893262">#REF!</definedName>
    <definedName name="_vena_9_b1_R_1_1126333519736864780">#REF!</definedName>
    <definedName name="_vena_9_b1_R_1_1126333519762030608">#REF!</definedName>
    <definedName name="_vena_9_b1_R_1_1126333519778807820">#REF!</definedName>
    <definedName name="_vena_9_b1_R_1_1126333519787196446">#REF!</definedName>
    <definedName name="_vena_9_b1_R_1_1126333519808167948">#REF!</definedName>
    <definedName name="_vena_9_b1_R_1_1126333519854305298">#REF!</definedName>
    <definedName name="_vena_9_b1_R_1_1126333519871082529">#REF!</definedName>
    <definedName name="_vena_9_b1_R_1_1126333519883665426">#REF!</definedName>
    <definedName name="_vena_9_b1_R_1_1126333519900442631">#REF!</definedName>
    <definedName name="_vena_9_b1_R_1_1126333519925608473">#REF!</definedName>
    <definedName name="_vena_9_b1_R_1_1126333519963357190">#REF!</definedName>
    <definedName name="_vena_9_b1_R_1_1176989022519558144">#REF!</definedName>
    <definedName name="_vena_9_b1_R_1_1177034623004573696">#REF!</definedName>
    <definedName name="_vena_9_b1_R_1_1177042009963233280">#REF!</definedName>
    <definedName name="_vena_9_b1_R_1_1177042321444044802">#REF!</definedName>
    <definedName name="_vena_9_b1_R_1_1182443237873811456">#REF!</definedName>
    <definedName name="_vena_9_b1_R_1_1192625627677589504">#REF!</definedName>
    <definedName name="_vena_9_b1_R_1_1193288113649483886">#REF!</definedName>
    <definedName name="_vena_9_b1_R_1_1258522529073987584">#REF!</definedName>
    <definedName name="_vena_9_b1_R_1_1336800240017473538">#REF!</definedName>
    <definedName name="_vena_9_b1_R_1_1525326324040761344">#REF!</definedName>
    <definedName name="_vena_9_b1_R_1_1547710538947624960">#REF!</definedName>
    <definedName name="_vena_9_b1_R_1_1547710569653993893">#REF!</definedName>
    <definedName name="_vena_9_b1_R_1_651631427951788032">#REF!</definedName>
    <definedName name="_vena_9_b1_R_1_651631428002119680">#REF!</definedName>
    <definedName name="_vena_9_b1_R_1_651631428165697537">#REF!</definedName>
    <definedName name="_vena_9_b1_R_1_691119840308494336">#REF!</definedName>
    <definedName name="_vena_9_b1_R_1_691121205046280192">#REF!</definedName>
    <definedName name="_vena_9_b1_R_1_691121629820878848">#REF!</definedName>
    <definedName name="_vena_9_b1_R_1_691172173569589248">#REF!</definedName>
    <definedName name="_vena_9_b1_R_FV_385b1d086d8a4b8abf43c04eedb00d88_353332c8.8b3aae24">#REF!</definedName>
    <definedName name="_vena_9_b1_R_FV_385b1d086d8a4b8abf43c04eedb00d88_3b461360.5678769f">#REF!</definedName>
    <definedName name="_vena_9_b1_R_FV_385b1d086d8a4b8abf43c04eedb00d88_400b00ad.c7debb">#REF!</definedName>
    <definedName name="_vena_9_b1_R_FV_385b1d086d8a4b8abf43c04eedb00d88_40f6a53e.752fe0ea">#REF!</definedName>
    <definedName name="_vena_9_b1_R_FV_385b1d086d8a4b8abf43c04eedb00d88_6e2a55d4.f647f7c9">#REF!</definedName>
    <definedName name="_vena_9_b1_R_FV_385b1d086d8a4b8abf43c04eedb00d88_6ef351e5.2399d28a">#REF!</definedName>
    <definedName name="_vena_9_b1_R_FV_385b1d086d8a4b8abf43c04eedb00d88_6f991c.ec4bc672">#REF!</definedName>
    <definedName name="_vena_9_b1_R_FV_385b1d086d8a4b8abf43c04eedb00d88_796ddcb2.c6f659ad">#REF!</definedName>
    <definedName name="_vena_9_b1_R_FV_385b1d086d8a4b8abf43c04eedb00d88_8aa271b1.b1067f7c">#REF!</definedName>
    <definedName name="_vena_9_b1_R_FV_385b1d086d8a4b8abf43c04eedb00d88_996971d7.bef1ce53">#REF!</definedName>
    <definedName name="_vena_9_b1_R_FV_385b1d086d8a4b8abf43c04eedb00d88_9cf7c5f0.e8b80eb9">#REF!</definedName>
    <definedName name="_vena_9_b1_R_FV_385b1d086d8a4b8abf43c04eedb00d88_a654cd47.9bb1f031">#REF!</definedName>
    <definedName name="_vena_9_b1_R_FV_385b1d086d8a4b8abf43c04eedb00d88_a831feef.4b744cb4">#REF!</definedName>
    <definedName name="_vena_9_b1_R_FV_385b1d086d8a4b8abf43c04eedb00d88_b4533dd3.f621e3bb">#REF!</definedName>
    <definedName name="_vena_9_b1_R_FV_385b1d086d8a4b8abf43c04eedb00d88_b7e0679d.d2d0892a">#REF!</definedName>
    <definedName name="_vena_9_b1_R_FV_385b1d086d8a4b8abf43c04eedb00d88_b9c3e00b.377291a">#REF!</definedName>
    <definedName name="_vena_9_b1_R_FV_385b1d086d8a4b8abf43c04eedb00d88_be7cd5aa.2286b8b">#REF!</definedName>
    <definedName name="_vena_9_b1_R_FV_385b1d086d8a4b8abf43c04eedb00d88_bfc792d1.d6f2faa4">#REF!</definedName>
    <definedName name="_vena_9_b1_R_FV_385b1d086d8a4b8abf43c04eedb00d88_c782351a.2459603b">#REF!</definedName>
    <definedName name="_vena_9_b1_R_FV_385b1d086d8a4b8abf43c04eedb00d88_ca5e8fbe.79538224">#REF!</definedName>
    <definedName name="_vena_9_b1_R_FV_385b1d086d8a4b8abf43c04eedb00d88_d4a9bae4.820169d">#REF!</definedName>
    <definedName name="_vena_9_b1_R_FV_385b1d086d8a4b8abf43c04eedb00d88_d7d74246.249e02">#REF!</definedName>
    <definedName name="_vena_9_b1_R_FV_385b1d086d8a4b8abf43c04eedb00d88_ee947509.d4ab246a">#REF!</definedName>
    <definedName name="_vena_9_b1_R_FV_385b1d086d8a4b8abf43c04eedb00d88_f109a092.a4a4a7d4">#REF!</definedName>
    <definedName name="_vena_9_b1_R_FV_385b1d086d8a4b8abf43c04eedb00d88_f8d4a74d.9576ad9f">#REF!</definedName>
    <definedName name="_vena_9_b1_R_FV_385b1d086d8a4b8abf43c04eedb00d88_ffc4b79d.abf3e17e">#REF!</definedName>
    <definedName name="_vena_9_P_11_651631431944765441" comment="*">#REF!</definedName>
    <definedName name="_vena_9_P_12_651631431982514177" comment="*">#REF!</definedName>
    <definedName name="_vena_9_P_2_651631429184913409" comment="*">#REF!</definedName>
    <definedName name="_vena_9_P_4_652241713652170752" comment="*">#REF!</definedName>
    <definedName name="_vena_9_P_5_652241713786388480" comment="*">#REF!</definedName>
    <definedName name="_vena_9_P_6_652241713908023296" comment="*">#REF!</definedName>
    <definedName name="_vena_9_P_7_652241714033852416" comment="*">#REF!</definedName>
    <definedName name="_vena_9_P_FV_a2a46c4bae444ba2ab0e2971d74e2ddb" comment="*">#REF!</definedName>
    <definedName name="_vena_cons1_b1_C_FV_134399665b374008851e5b8c04b5ee44">#REF!</definedName>
    <definedName name="_vena_cons1_b1_C_FV_134399665b374008851e5b8c04b5ee44_1">#REF!</definedName>
    <definedName name="_vena_cons1_b1_C_FV_134399665b374008851e5b8c04b5ee44_10">#REF!</definedName>
    <definedName name="_vena_cons1_b1_C_FV_134399665b374008851e5b8c04b5ee44_11">#REF!</definedName>
    <definedName name="_vena_cons1_b1_C_FV_134399665b374008851e5b8c04b5ee44_12">#REF!</definedName>
    <definedName name="_vena_cons1_b1_C_FV_134399665b374008851e5b8c04b5ee44_13">#REF!</definedName>
    <definedName name="_vena_cons1_b1_C_FV_134399665b374008851e5b8c04b5ee44_2">#REF!</definedName>
    <definedName name="_vena_cons1_b1_C_FV_134399665b374008851e5b8c04b5ee44_3">#REF!</definedName>
    <definedName name="_vena_cons1_b1_C_FV_134399665b374008851e5b8c04b5ee44_4">#REF!</definedName>
    <definedName name="_vena_cons1_b1_C_FV_134399665b374008851e5b8c04b5ee44_5">#REF!</definedName>
    <definedName name="_vena_cons1_b1_C_FV_134399665b374008851e5b8c04b5ee44_6">#REF!</definedName>
    <definedName name="_vena_cons1_b1_C_FV_134399665b374008851e5b8c04b5ee44_7">#REF!</definedName>
    <definedName name="_vena_cons1_b1_C_FV_134399665b374008851e5b8c04b5ee44_8">#REF!</definedName>
    <definedName name="_vena_cons1_b1_C_FV_134399665b374008851e5b8c04b5ee44_9">#REF!</definedName>
    <definedName name="_vena_cons1_b1_C_FV_7cc8369c0b744816a17486bee792b4d5">#REF!</definedName>
    <definedName name="_vena_cons1_b1_C_FV_7cc8369c0b744816a17486bee792b4d5_1">#REF!</definedName>
    <definedName name="_vena_cons1_b1_C_FV_7cc8369c0b744816a17486bee792b4d5_10">#REF!</definedName>
    <definedName name="_vena_cons1_b1_C_FV_7cc8369c0b744816a17486bee792b4d5_11">#REF!</definedName>
    <definedName name="_vena_cons1_b1_C_FV_7cc8369c0b744816a17486bee792b4d5_12">#REF!</definedName>
    <definedName name="_vena_cons1_b1_C_FV_7cc8369c0b744816a17486bee792b4d5_13">#REF!</definedName>
    <definedName name="_vena_cons1_b1_C_FV_7cc8369c0b744816a17486bee792b4d5_2">#REF!</definedName>
    <definedName name="_vena_cons1_b1_C_FV_7cc8369c0b744816a17486bee792b4d5_3">#REF!</definedName>
    <definedName name="_vena_cons1_b1_C_FV_7cc8369c0b744816a17486bee792b4d5_4">#REF!</definedName>
    <definedName name="_vena_cons1_b1_C_FV_7cc8369c0b744816a17486bee792b4d5_5">#REF!</definedName>
    <definedName name="_vena_cons1_b1_C_FV_7cc8369c0b744816a17486bee792b4d5_6">#REF!</definedName>
    <definedName name="_vena_cons1_b1_C_FV_7cc8369c0b744816a17486bee792b4d5_7">#REF!</definedName>
    <definedName name="_vena_cons1_b1_C_FV_7cc8369c0b744816a17486bee792b4d5_8">#REF!</definedName>
    <definedName name="_vena_cons1_b1_C_FV_7cc8369c0b744816a17486bee792b4d5_9">#REF!</definedName>
    <definedName name="_vena_cons1_b1_C_FV_f4ddf33ff6224574ba096b1a5435ea67">#REF!</definedName>
    <definedName name="_vena_cons1_b1_C_FV_f4ddf33ff6224574ba096b1a5435ea67_1">#REF!</definedName>
    <definedName name="_vena_cons1_b1_C_FV_f4ddf33ff6224574ba096b1a5435ea67_10">#REF!</definedName>
    <definedName name="_vena_cons1_b1_C_FV_f4ddf33ff6224574ba096b1a5435ea67_11">#REF!</definedName>
    <definedName name="_vena_cons1_b1_C_FV_f4ddf33ff6224574ba096b1a5435ea67_12">#REF!</definedName>
    <definedName name="_vena_cons1_b1_C_FV_f4ddf33ff6224574ba096b1a5435ea67_13">#REF!</definedName>
    <definedName name="_vena_cons1_b1_C_FV_f4ddf33ff6224574ba096b1a5435ea67_2">#REF!</definedName>
    <definedName name="_vena_cons1_b1_C_FV_f4ddf33ff6224574ba096b1a5435ea67_3">#REF!</definedName>
    <definedName name="_vena_cons1_b1_C_FV_f4ddf33ff6224574ba096b1a5435ea67_4">#REF!</definedName>
    <definedName name="_vena_cons1_b1_C_FV_f4ddf33ff6224574ba096b1a5435ea67_5">#REF!</definedName>
    <definedName name="_vena_cons1_b1_C_FV_f4ddf33ff6224574ba096b1a5435ea67_6">#REF!</definedName>
    <definedName name="_vena_cons1_b1_C_FV_f4ddf33ff6224574ba096b1a5435ea67_7">#REF!</definedName>
    <definedName name="_vena_cons1_b1_C_FV_f4ddf33ff6224574ba096b1a5435ea67_8">#REF!</definedName>
    <definedName name="_vena_cons1_b1_C_FV_f4ddf33ff6224574ba096b1a5435ea67_9">#REF!</definedName>
    <definedName name="_vena_cons1_b1_R_1_1126333519640395796">#REF!</definedName>
    <definedName name="_vena_cons1_b1_R_1_1126333519686533120">#REF!</definedName>
    <definedName name="_vena_cons1_b1_R_1_1126333519715893262">#REF!</definedName>
    <definedName name="_vena_cons1_b1_R_1_1126333519736864780">#REF!</definedName>
    <definedName name="_vena_cons1_b1_R_1_1126333519762030608">#REF!</definedName>
    <definedName name="_vena_cons1_b1_R_1_1126333519778807820">#REF!</definedName>
    <definedName name="_vena_cons1_b1_R_1_1126333519787196446">#REF!</definedName>
    <definedName name="_vena_cons1_b1_R_1_1126333519808167948">#REF!</definedName>
    <definedName name="_vena_cons1_b1_R_1_1126333519854305298">#REF!</definedName>
    <definedName name="_vena_cons1_b1_R_1_1126333519871082529">#REF!</definedName>
    <definedName name="_vena_cons1_b1_R_1_1126333519883665426">#REF!</definedName>
    <definedName name="_vena_cons1_b1_R_1_1126333519900442631">#REF!</definedName>
    <definedName name="_vena_cons1_b1_R_1_1126333519925608473">#REF!</definedName>
    <definedName name="_vena_cons1_b1_R_1_1126333519963357190">#REF!</definedName>
    <definedName name="_vena_cons1_b1_R_1_1176989022519558144">#REF!</definedName>
    <definedName name="_vena_cons1_b1_R_1_1177034623004573696">#REF!</definedName>
    <definedName name="_vena_cons1_b1_R_1_1177042009963233280">#REF!</definedName>
    <definedName name="_vena_cons1_b1_R_1_1177042321444044802">#REF!</definedName>
    <definedName name="_vena_cons1_b1_R_1_1182443237873811456">#REF!</definedName>
    <definedName name="_vena_cons1_b1_R_1_1192625627677589504">#REF!</definedName>
    <definedName name="_vena_cons1_b1_R_1_1193288113649483886">#REF!</definedName>
    <definedName name="_vena_cons1_b1_R_1_1258522529073987584">#REF!</definedName>
    <definedName name="_vena_cons1_b1_R_1_1336800240017473538">#REF!</definedName>
    <definedName name="_vena_cons1_b1_R_1_1525326324040761344">#REF!</definedName>
    <definedName name="_vena_cons1_b1_R_1_1547710538947624960">#REF!</definedName>
    <definedName name="_vena_cons1_b1_R_1_1547710569653993893">#REF!</definedName>
    <definedName name="_vena_cons1_b1_R_1_651631427951788032">#REF!</definedName>
    <definedName name="_vena_cons1_b1_R_1_651631428002119680">#REF!</definedName>
    <definedName name="_vena_cons1_b1_R_1_651631428165697537">#REF!</definedName>
    <definedName name="_vena_cons1_b1_R_1_691119840308494336">#REF!</definedName>
    <definedName name="_vena_cons1_b1_R_1_691121205046280192">#REF!</definedName>
    <definedName name="_vena_cons1_b1_R_1_691121629820878848">#REF!</definedName>
    <definedName name="_vena_cons1_b1_R_1_691172173569589248">#REF!</definedName>
    <definedName name="_vena_cons1_b1_R_FV_385b1d086d8a4b8abf43c04eedb00d88_152e0fe9.c1eb63c">#REF!</definedName>
    <definedName name="_vena_cons1_b1_R_FV_385b1d086d8a4b8abf43c04eedb00d88_24baa24a.5521d30">#REF!</definedName>
    <definedName name="_vena_cons1_b1_R_FV_385b1d086d8a4b8abf43c04eedb00d88_4897a0f7.c3f975bc">#REF!</definedName>
    <definedName name="_vena_cons1_b1_R_FV_385b1d086d8a4b8abf43c04eedb00d88_5653141f.5fe3fba5">#REF!</definedName>
    <definedName name="_vena_cons1_b1_R_FV_385b1d086d8a4b8abf43c04eedb00d88_6511f329.7536d767">#REF!</definedName>
    <definedName name="_vena_cons1_b1_R_FV_385b1d086d8a4b8abf43c04eedb00d88_6fe90d10.52455f20">#REF!</definedName>
    <definedName name="_vena_cons1_b1_R_FV_385b1d086d8a4b8abf43c04eedb00d88_70574978.a3cba05">#REF!</definedName>
    <definedName name="_vena_cons1_b1_R_FV_385b1d086d8a4b8abf43c04eedb00d88_72482f67.a6be0e2e">#REF!</definedName>
    <definedName name="_vena_cons1_b1_R_FV_385b1d086d8a4b8abf43c04eedb00d88_7474b927.4cf3ebf6">#REF!</definedName>
    <definedName name="_vena_cons1_b1_R_FV_385b1d086d8a4b8abf43c04eedb00d88_8b9b4b19.c47a0e42">#REF!</definedName>
    <definedName name="_vena_cons1_b1_R_FV_385b1d086d8a4b8abf43c04eedb00d88_93db5fc6.ae71cef0">#REF!</definedName>
    <definedName name="_vena_cons1_b1_R_FV_385b1d086d8a4b8abf43c04eedb00d88_9f3491e9.bb4575a4">#REF!</definedName>
    <definedName name="_vena_cons1_b1_R_FV_385b1d086d8a4b8abf43c04eedb00d88_a25cce90.742b7200">#REF!</definedName>
    <definedName name="_vena_cons1_b1_R_FV_385b1d086d8a4b8abf43c04eedb00d88_a66cc10b.11abce1b">#REF!</definedName>
    <definedName name="_vena_cons1_b1_R_FV_385b1d086d8a4b8abf43c04eedb00d88_af0b3467.d1bc062">#REF!</definedName>
    <definedName name="_vena_cons1_b1_R_FV_385b1d086d8a4b8abf43c04eedb00d88_b159e66f.e4e89c9f">#REF!</definedName>
    <definedName name="_vena_cons1_b1_R_FV_385b1d086d8a4b8abf43c04eedb00d88_b3f12393.f4a422af">#REF!</definedName>
    <definedName name="_vena_cons1_b1_R_FV_385b1d086d8a4b8abf43c04eedb00d88_b621738.16f09a32">#REF!</definedName>
    <definedName name="_vena_cons1_b1_R_FV_385b1d086d8a4b8abf43c04eedb00d88_b81757f.5f9c2f0">#REF!</definedName>
    <definedName name="_vena_cons1_b1_R_FV_385b1d086d8a4b8abf43c04eedb00d88_cf037229.ce045e7e">#REF!</definedName>
    <definedName name="_vena_cons1_b1_R_FV_385b1d086d8a4b8abf43c04eedb00d88_d0e9f448.9809da1c">#REF!</definedName>
    <definedName name="_vena_cons1_b1_R_FV_385b1d086d8a4b8abf43c04eedb00d88_d940a9c1.608e595a">#REF!</definedName>
    <definedName name="_vena_cons1_b1_R_FV_385b1d086d8a4b8abf43c04eedb00d88_d9fcf8c2.949e0c96">#REF!</definedName>
    <definedName name="_vena_cons1_b1_R_FV_385b1d086d8a4b8abf43c04eedb00d88_e3d1c033.958967e4">#REF!</definedName>
    <definedName name="_vena_cons1_b1_R_FV_385b1d086d8a4b8abf43c04eedb00d88_f3b1b09.5d69376">#REF!</definedName>
    <definedName name="_vena_cons1_b1_R_FV_385b1d086d8a4b8abf43c04eedb00d88_f4a5d13e.cbc8d129">#REF!</definedName>
    <definedName name="_vena_cons1_P_11_651631431944765441" comment="*">#REF!</definedName>
    <definedName name="_vena_cons1_P_12_651631431982514177" comment="*">#REF!</definedName>
    <definedName name="_vena_cons1_P_2_651631429184913409" comment="*">#REF!</definedName>
    <definedName name="_vena_cons1_P_4_652241713652170752" comment="*">#REF!</definedName>
    <definedName name="_vena_cons1_P_5_652241713786388480" comment="*">#REF!</definedName>
    <definedName name="_vena_cons1_P_6_652241713908023296" comment="*">#REF!</definedName>
    <definedName name="_vena_cons1_P_7_652241714033852416" comment="*">#REF!</definedName>
    <definedName name="_vena_cons1_P_FV_a2a46c4bae444ba2ab0e2971d74e2ddb" comment="*">#REF!</definedName>
    <definedName name="_vena_cons2_b1_C_FV_134399665b374008851e5b8c04b5ee44">#REF!</definedName>
    <definedName name="_vena_cons2_b1_C_FV_134399665b374008851e5b8c04b5ee44_1">#REF!</definedName>
    <definedName name="_vena_cons2_b1_C_FV_134399665b374008851e5b8c04b5ee44_10">#REF!</definedName>
    <definedName name="_vena_cons2_b1_C_FV_134399665b374008851e5b8c04b5ee44_11">#REF!</definedName>
    <definedName name="_vena_cons2_b1_C_FV_134399665b374008851e5b8c04b5ee44_12">#REF!</definedName>
    <definedName name="_vena_cons2_b1_C_FV_134399665b374008851e5b8c04b5ee44_13">#REF!</definedName>
    <definedName name="_vena_cons2_b1_C_FV_134399665b374008851e5b8c04b5ee44_14">#REF!</definedName>
    <definedName name="_vena_cons2_b1_C_FV_134399665b374008851e5b8c04b5ee44_15">#REF!</definedName>
    <definedName name="_vena_cons2_b1_C_FV_134399665b374008851e5b8c04b5ee44_16">#REF!</definedName>
    <definedName name="_vena_cons2_b1_C_FV_134399665b374008851e5b8c04b5ee44_17">#REF!</definedName>
    <definedName name="_vena_cons2_b1_C_FV_134399665b374008851e5b8c04b5ee44_18">#REF!</definedName>
    <definedName name="_vena_cons2_b1_C_FV_134399665b374008851e5b8c04b5ee44_19">#REF!</definedName>
    <definedName name="_vena_cons2_b1_C_FV_134399665b374008851e5b8c04b5ee44_2">#REF!</definedName>
    <definedName name="_vena_cons2_b1_C_FV_134399665b374008851e5b8c04b5ee44_20">#REF!</definedName>
    <definedName name="_vena_cons2_b1_C_FV_134399665b374008851e5b8c04b5ee44_21">#REF!</definedName>
    <definedName name="_vena_cons2_b1_C_FV_134399665b374008851e5b8c04b5ee44_22">#REF!</definedName>
    <definedName name="_vena_cons2_b1_C_FV_134399665b374008851e5b8c04b5ee44_23">#REF!</definedName>
    <definedName name="_vena_cons2_b1_C_FV_134399665b374008851e5b8c04b5ee44_24">#REF!</definedName>
    <definedName name="_vena_cons2_b1_C_FV_134399665b374008851e5b8c04b5ee44_25">#REF!</definedName>
    <definedName name="_vena_cons2_b1_C_FV_134399665b374008851e5b8c04b5ee44_26">#REF!</definedName>
    <definedName name="_vena_cons2_b1_C_FV_134399665b374008851e5b8c04b5ee44_27">#REF!</definedName>
    <definedName name="_vena_cons2_b1_C_FV_134399665b374008851e5b8c04b5ee44_28">#REF!</definedName>
    <definedName name="_vena_cons2_b1_C_FV_134399665b374008851e5b8c04b5ee44_29">#REF!</definedName>
    <definedName name="_vena_cons2_b1_C_FV_134399665b374008851e5b8c04b5ee44_3">#REF!</definedName>
    <definedName name="_vena_cons2_b1_C_FV_134399665b374008851e5b8c04b5ee44_30">#REF!</definedName>
    <definedName name="_vena_cons2_b1_C_FV_134399665b374008851e5b8c04b5ee44_31">#REF!</definedName>
    <definedName name="_vena_cons2_b1_C_FV_134399665b374008851e5b8c04b5ee44_32">#REF!</definedName>
    <definedName name="_vena_cons2_b1_C_FV_134399665b374008851e5b8c04b5ee44_33">#REF!</definedName>
    <definedName name="_vena_cons2_b1_C_FV_134399665b374008851e5b8c04b5ee44_34">#REF!</definedName>
    <definedName name="_vena_cons2_b1_C_FV_134399665b374008851e5b8c04b5ee44_35">#REF!</definedName>
    <definedName name="_vena_cons2_b1_C_FV_134399665b374008851e5b8c04b5ee44_36">#REF!</definedName>
    <definedName name="_vena_cons2_b1_C_FV_134399665b374008851e5b8c04b5ee44_37">#REF!</definedName>
    <definedName name="_vena_cons2_b1_C_FV_134399665b374008851e5b8c04b5ee44_38">#REF!</definedName>
    <definedName name="_vena_cons2_b1_C_FV_134399665b374008851e5b8c04b5ee44_39">#REF!</definedName>
    <definedName name="_vena_cons2_b1_C_FV_134399665b374008851e5b8c04b5ee44_4">#REF!</definedName>
    <definedName name="_vena_cons2_b1_C_FV_134399665b374008851e5b8c04b5ee44_40">#REF!</definedName>
    <definedName name="_vena_cons2_b1_C_FV_134399665b374008851e5b8c04b5ee44_41">#REF!</definedName>
    <definedName name="_vena_cons2_b1_C_FV_134399665b374008851e5b8c04b5ee44_42">#REF!</definedName>
    <definedName name="_vena_cons2_b1_C_FV_134399665b374008851e5b8c04b5ee44_43">#REF!</definedName>
    <definedName name="_vena_cons2_b1_C_FV_134399665b374008851e5b8c04b5ee44_44">#REF!</definedName>
    <definedName name="_vena_cons2_b1_C_FV_134399665b374008851e5b8c04b5ee44_45">#REF!</definedName>
    <definedName name="_vena_cons2_b1_C_FV_134399665b374008851e5b8c04b5ee44_46">#REF!</definedName>
    <definedName name="_vena_cons2_b1_C_FV_134399665b374008851e5b8c04b5ee44_47">#REF!</definedName>
    <definedName name="_vena_cons2_b1_C_FV_134399665b374008851e5b8c04b5ee44_5">#REF!</definedName>
    <definedName name="_vena_cons2_b1_C_FV_134399665b374008851e5b8c04b5ee44_6">#REF!</definedName>
    <definedName name="_vena_cons2_b1_C_FV_134399665b374008851e5b8c04b5ee44_7">#REF!</definedName>
    <definedName name="_vena_cons2_b1_C_FV_134399665b374008851e5b8c04b5ee44_8">#REF!</definedName>
    <definedName name="_vena_cons2_b1_C_FV_134399665b374008851e5b8c04b5ee44_9">#REF!</definedName>
    <definedName name="_vena_cons2_b1_C_FV_7cc8369c0b744816a17486bee792b4d5">#REF!</definedName>
    <definedName name="_vena_cons2_b1_C_FV_7cc8369c0b744816a17486bee792b4d5_1">#REF!</definedName>
    <definedName name="_vena_cons2_b1_C_FV_7cc8369c0b744816a17486bee792b4d5_10">#REF!</definedName>
    <definedName name="_vena_cons2_b1_C_FV_7cc8369c0b744816a17486bee792b4d5_11">#REF!</definedName>
    <definedName name="_vena_cons2_b1_C_FV_7cc8369c0b744816a17486bee792b4d5_12">#REF!</definedName>
    <definedName name="_vena_cons2_b1_C_FV_7cc8369c0b744816a17486bee792b4d5_13">#REF!</definedName>
    <definedName name="_vena_cons2_b1_C_FV_7cc8369c0b744816a17486bee792b4d5_14">#REF!</definedName>
    <definedName name="_vena_cons2_b1_C_FV_7cc8369c0b744816a17486bee792b4d5_15">#REF!</definedName>
    <definedName name="_vena_cons2_b1_C_FV_7cc8369c0b744816a17486bee792b4d5_16">#REF!</definedName>
    <definedName name="_vena_cons2_b1_C_FV_7cc8369c0b744816a17486bee792b4d5_17">#REF!</definedName>
    <definedName name="_vena_cons2_b1_C_FV_7cc8369c0b744816a17486bee792b4d5_18">#REF!</definedName>
    <definedName name="_vena_cons2_b1_C_FV_7cc8369c0b744816a17486bee792b4d5_19">#REF!</definedName>
    <definedName name="_vena_cons2_b1_C_FV_7cc8369c0b744816a17486bee792b4d5_2">#REF!</definedName>
    <definedName name="_vena_cons2_b1_C_FV_7cc8369c0b744816a17486bee792b4d5_20">#REF!</definedName>
    <definedName name="_vena_cons2_b1_C_FV_7cc8369c0b744816a17486bee792b4d5_21">#REF!</definedName>
    <definedName name="_vena_cons2_b1_C_FV_7cc8369c0b744816a17486bee792b4d5_22">#REF!</definedName>
    <definedName name="_vena_cons2_b1_C_FV_7cc8369c0b744816a17486bee792b4d5_23">#REF!</definedName>
    <definedName name="_vena_cons2_b1_C_FV_7cc8369c0b744816a17486bee792b4d5_24">#REF!</definedName>
    <definedName name="_vena_cons2_b1_C_FV_7cc8369c0b744816a17486bee792b4d5_25">#REF!</definedName>
    <definedName name="_vena_cons2_b1_C_FV_7cc8369c0b744816a17486bee792b4d5_26">#REF!</definedName>
    <definedName name="_vena_cons2_b1_C_FV_7cc8369c0b744816a17486bee792b4d5_27">#REF!</definedName>
    <definedName name="_vena_cons2_b1_C_FV_7cc8369c0b744816a17486bee792b4d5_28">#REF!</definedName>
    <definedName name="_vena_cons2_b1_C_FV_7cc8369c0b744816a17486bee792b4d5_29">#REF!</definedName>
    <definedName name="_vena_cons2_b1_C_FV_7cc8369c0b744816a17486bee792b4d5_3">#REF!</definedName>
    <definedName name="_vena_cons2_b1_C_FV_7cc8369c0b744816a17486bee792b4d5_30">#REF!</definedName>
    <definedName name="_vena_cons2_b1_C_FV_7cc8369c0b744816a17486bee792b4d5_31">#REF!</definedName>
    <definedName name="_vena_cons2_b1_C_FV_7cc8369c0b744816a17486bee792b4d5_32">#REF!</definedName>
    <definedName name="_vena_cons2_b1_C_FV_7cc8369c0b744816a17486bee792b4d5_33">#REF!</definedName>
    <definedName name="_vena_cons2_b1_C_FV_7cc8369c0b744816a17486bee792b4d5_34">#REF!</definedName>
    <definedName name="_vena_cons2_b1_C_FV_7cc8369c0b744816a17486bee792b4d5_35">#REF!</definedName>
    <definedName name="_vena_cons2_b1_C_FV_7cc8369c0b744816a17486bee792b4d5_36">#REF!</definedName>
    <definedName name="_vena_cons2_b1_C_FV_7cc8369c0b744816a17486bee792b4d5_37">#REF!</definedName>
    <definedName name="_vena_cons2_b1_C_FV_7cc8369c0b744816a17486bee792b4d5_38">#REF!</definedName>
    <definedName name="_vena_cons2_b1_C_FV_7cc8369c0b744816a17486bee792b4d5_39">#REF!</definedName>
    <definedName name="_vena_cons2_b1_C_FV_7cc8369c0b744816a17486bee792b4d5_4">#REF!</definedName>
    <definedName name="_vena_cons2_b1_C_FV_7cc8369c0b744816a17486bee792b4d5_40">#REF!</definedName>
    <definedName name="_vena_cons2_b1_C_FV_7cc8369c0b744816a17486bee792b4d5_41">#REF!</definedName>
    <definedName name="_vena_cons2_b1_C_FV_7cc8369c0b744816a17486bee792b4d5_42">#REF!</definedName>
    <definedName name="_vena_cons2_b1_C_FV_7cc8369c0b744816a17486bee792b4d5_43">#REF!</definedName>
    <definedName name="_vena_cons2_b1_C_FV_7cc8369c0b744816a17486bee792b4d5_44">#REF!</definedName>
    <definedName name="_vena_cons2_b1_C_FV_7cc8369c0b744816a17486bee792b4d5_45">#REF!</definedName>
    <definedName name="_vena_cons2_b1_C_FV_7cc8369c0b744816a17486bee792b4d5_46">#REF!</definedName>
    <definedName name="_vena_cons2_b1_C_FV_7cc8369c0b744816a17486bee792b4d5_47">#REF!</definedName>
    <definedName name="_vena_cons2_b1_C_FV_7cc8369c0b744816a17486bee792b4d5_5">#REF!</definedName>
    <definedName name="_vena_cons2_b1_C_FV_7cc8369c0b744816a17486bee792b4d5_6">#REF!</definedName>
    <definedName name="_vena_cons2_b1_C_FV_7cc8369c0b744816a17486bee792b4d5_7">#REF!</definedName>
    <definedName name="_vena_cons2_b1_C_FV_7cc8369c0b744816a17486bee792b4d5_8">#REF!</definedName>
    <definedName name="_vena_cons2_b1_C_FV_7cc8369c0b744816a17486bee792b4d5_9">#REF!</definedName>
    <definedName name="_vena_cons2_b1_C_FV_f4ddf33ff6224574ba096b1a5435ea67">#REF!</definedName>
    <definedName name="_vena_cons2_b1_C_FV_f4ddf33ff6224574ba096b1a5435ea67_1">#REF!</definedName>
    <definedName name="_vena_cons2_b1_C_FV_f4ddf33ff6224574ba096b1a5435ea67_10">#REF!</definedName>
    <definedName name="_vena_cons2_b1_C_FV_f4ddf33ff6224574ba096b1a5435ea67_11">#REF!</definedName>
    <definedName name="_vena_cons2_b1_C_FV_f4ddf33ff6224574ba096b1a5435ea67_12">#REF!</definedName>
    <definedName name="_vena_cons2_b1_C_FV_f4ddf33ff6224574ba096b1a5435ea67_13">#REF!</definedName>
    <definedName name="_vena_cons2_b1_C_FV_f4ddf33ff6224574ba096b1a5435ea67_14">#REF!</definedName>
    <definedName name="_vena_cons2_b1_C_FV_f4ddf33ff6224574ba096b1a5435ea67_15">#REF!</definedName>
    <definedName name="_vena_cons2_b1_C_FV_f4ddf33ff6224574ba096b1a5435ea67_16">#REF!</definedName>
    <definedName name="_vena_cons2_b1_C_FV_f4ddf33ff6224574ba096b1a5435ea67_17">#REF!</definedName>
    <definedName name="_vena_cons2_b1_C_FV_f4ddf33ff6224574ba096b1a5435ea67_18">#REF!</definedName>
    <definedName name="_vena_cons2_b1_C_FV_f4ddf33ff6224574ba096b1a5435ea67_19">#REF!</definedName>
    <definedName name="_vena_cons2_b1_C_FV_f4ddf33ff6224574ba096b1a5435ea67_2">#REF!</definedName>
    <definedName name="_vena_cons2_b1_C_FV_f4ddf33ff6224574ba096b1a5435ea67_20">#REF!</definedName>
    <definedName name="_vena_cons2_b1_C_FV_f4ddf33ff6224574ba096b1a5435ea67_21">#REF!</definedName>
    <definedName name="_vena_cons2_b1_C_FV_f4ddf33ff6224574ba096b1a5435ea67_22">#REF!</definedName>
    <definedName name="_vena_cons2_b1_C_FV_f4ddf33ff6224574ba096b1a5435ea67_23">#REF!</definedName>
    <definedName name="_vena_cons2_b1_C_FV_f4ddf33ff6224574ba096b1a5435ea67_24">#REF!</definedName>
    <definedName name="_vena_cons2_b1_C_FV_f4ddf33ff6224574ba096b1a5435ea67_25">#REF!</definedName>
    <definedName name="_vena_cons2_b1_C_FV_f4ddf33ff6224574ba096b1a5435ea67_26">#REF!</definedName>
    <definedName name="_vena_cons2_b1_C_FV_f4ddf33ff6224574ba096b1a5435ea67_27">#REF!</definedName>
    <definedName name="_vena_cons2_b1_C_FV_f4ddf33ff6224574ba096b1a5435ea67_28">#REF!</definedName>
    <definedName name="_vena_cons2_b1_C_FV_f4ddf33ff6224574ba096b1a5435ea67_29">#REF!</definedName>
    <definedName name="_vena_cons2_b1_C_FV_f4ddf33ff6224574ba096b1a5435ea67_3">#REF!</definedName>
    <definedName name="_vena_cons2_b1_C_FV_f4ddf33ff6224574ba096b1a5435ea67_30">#REF!</definedName>
    <definedName name="_vena_cons2_b1_C_FV_f4ddf33ff6224574ba096b1a5435ea67_31">#REF!</definedName>
    <definedName name="_vena_cons2_b1_C_FV_f4ddf33ff6224574ba096b1a5435ea67_32">#REF!</definedName>
    <definedName name="_vena_cons2_b1_C_FV_f4ddf33ff6224574ba096b1a5435ea67_33">#REF!</definedName>
    <definedName name="_vena_cons2_b1_C_FV_f4ddf33ff6224574ba096b1a5435ea67_34">#REF!</definedName>
    <definedName name="_vena_cons2_b1_C_FV_f4ddf33ff6224574ba096b1a5435ea67_35">#REF!</definedName>
    <definedName name="_vena_cons2_b1_C_FV_f4ddf33ff6224574ba096b1a5435ea67_36">#REF!</definedName>
    <definedName name="_vena_cons2_b1_C_FV_f4ddf33ff6224574ba096b1a5435ea67_37">#REF!</definedName>
    <definedName name="_vena_cons2_b1_C_FV_f4ddf33ff6224574ba096b1a5435ea67_38">#REF!</definedName>
    <definedName name="_vena_cons2_b1_C_FV_f4ddf33ff6224574ba096b1a5435ea67_39">#REF!</definedName>
    <definedName name="_vena_cons2_b1_C_FV_f4ddf33ff6224574ba096b1a5435ea67_4">#REF!</definedName>
    <definedName name="_vena_cons2_b1_C_FV_f4ddf33ff6224574ba096b1a5435ea67_40">#REF!</definedName>
    <definedName name="_vena_cons2_b1_C_FV_f4ddf33ff6224574ba096b1a5435ea67_41">#REF!</definedName>
    <definedName name="_vena_cons2_b1_C_FV_f4ddf33ff6224574ba096b1a5435ea67_42">#REF!</definedName>
    <definedName name="_vena_cons2_b1_C_FV_f4ddf33ff6224574ba096b1a5435ea67_43">#REF!</definedName>
    <definedName name="_vena_cons2_b1_C_FV_f4ddf33ff6224574ba096b1a5435ea67_44">#REF!</definedName>
    <definedName name="_vena_cons2_b1_C_FV_f4ddf33ff6224574ba096b1a5435ea67_45">#REF!</definedName>
    <definedName name="_vena_cons2_b1_C_FV_f4ddf33ff6224574ba096b1a5435ea67_46">#REF!</definedName>
    <definedName name="_vena_cons2_b1_C_FV_f4ddf33ff6224574ba096b1a5435ea67_47">#REF!</definedName>
    <definedName name="_vena_cons2_b1_C_FV_f4ddf33ff6224574ba096b1a5435ea67_5">#REF!</definedName>
    <definedName name="_vena_cons2_b1_C_FV_f4ddf33ff6224574ba096b1a5435ea67_6">#REF!</definedName>
    <definedName name="_vena_cons2_b1_C_FV_f4ddf33ff6224574ba096b1a5435ea67_7">#REF!</definedName>
    <definedName name="_vena_cons2_b1_C_FV_f4ddf33ff6224574ba096b1a5435ea67_8">#REF!</definedName>
    <definedName name="_vena_cons2_b1_C_FV_f4ddf33ff6224574ba096b1a5435ea67_9">#REF!</definedName>
    <definedName name="_vena_cons2_b1_R_1_1126333519640395796">#REF!</definedName>
    <definedName name="_vena_cons2_b1_R_1_1126333519686533120">#REF!</definedName>
    <definedName name="_vena_cons2_b1_R_1_1126333519715893262">#REF!</definedName>
    <definedName name="_vena_cons2_b1_R_1_1126333519736864780">#REF!</definedName>
    <definedName name="_vena_cons2_b1_R_1_1126333519762030608">#REF!</definedName>
    <definedName name="_vena_cons2_b1_R_1_1126333519778807820">#REF!</definedName>
    <definedName name="_vena_cons2_b1_R_1_1126333519787196446">#REF!</definedName>
    <definedName name="_vena_cons2_b1_R_1_1126333519808167948">#REF!</definedName>
    <definedName name="_vena_cons2_b1_R_1_1126333519854305298">#REF!</definedName>
    <definedName name="_vena_cons2_b1_R_1_1126333519871082529">#REF!</definedName>
    <definedName name="_vena_cons2_b1_R_1_1126333519883665426">#REF!</definedName>
    <definedName name="_vena_cons2_b1_R_1_1126333519900442631">#REF!</definedName>
    <definedName name="_vena_cons2_b1_R_1_1126333519925608473">#REF!</definedName>
    <definedName name="_vena_cons2_b1_R_1_1126333519963357190">#REF!</definedName>
    <definedName name="_vena_cons2_b1_R_1_1176989022519558144">#REF!</definedName>
    <definedName name="_vena_cons2_b1_R_1_1177034623004573696">#REF!</definedName>
    <definedName name="_vena_cons2_b1_R_1_1177042009963233280">#REF!</definedName>
    <definedName name="_vena_cons2_b1_R_1_1177042321444044802">#REF!</definedName>
    <definedName name="_vena_cons2_b1_R_1_1182443237873811456">#REF!</definedName>
    <definedName name="_vena_cons2_b1_R_1_1192625627677589504">#REF!</definedName>
    <definedName name="_vena_cons2_b1_R_1_1193288113649483886">#REF!</definedName>
    <definedName name="_vena_cons2_b1_R_1_1258522529073987584">#REF!</definedName>
    <definedName name="_vena_cons2_b1_R_1_1336800240017473538">#REF!</definedName>
    <definedName name="_vena_cons2_b1_R_1_1525326324040761344">#REF!</definedName>
    <definedName name="_vena_cons2_b1_R_1_1547710538947624960">#REF!</definedName>
    <definedName name="_vena_cons2_b1_R_1_1547710569653993893">#REF!</definedName>
    <definedName name="_vena_cons2_b1_R_1_651631427951788032">#REF!</definedName>
    <definedName name="_vena_cons2_b1_R_1_651631427989536768">#REF!</definedName>
    <definedName name="_vena_cons2_b1_R_1_651631428002119680">#REF!</definedName>
    <definedName name="_vena_cons2_b1_R_1_651631428165697537">#REF!</definedName>
    <definedName name="_vena_cons2_b1_R_1_691119840308494336">#REF!</definedName>
    <definedName name="_vena_cons2_b1_R_1_691121205046280192">#REF!</definedName>
    <definedName name="_vena_cons2_b1_R_1_691121629820878848">#REF!</definedName>
    <definedName name="_vena_cons2_b1_R_1_691172173569589248">#REF!</definedName>
    <definedName name="_vena_cons2_b1_R_FV_385b1d086d8a4b8abf43c04eedb00d88_16c4319.76ccd3bc">#REF!</definedName>
    <definedName name="_vena_cons2_b1_R_FV_385b1d086d8a4b8abf43c04eedb00d88_187ee5f5.9f39dfbb">#REF!</definedName>
    <definedName name="_vena_cons2_b1_R_FV_385b1d086d8a4b8abf43c04eedb00d88_1a04a965.c0b28ac3">#REF!</definedName>
    <definedName name="_vena_cons2_b1_R_FV_385b1d086d8a4b8abf43c04eedb00d88_1bd45b56.288b6ecb">#REF!</definedName>
    <definedName name="_vena_cons2_b1_R_FV_385b1d086d8a4b8abf43c04eedb00d88_1d427035.62b33990">#REF!</definedName>
    <definedName name="_vena_cons2_b1_R_FV_385b1d086d8a4b8abf43c04eedb00d88_3e942bd0.d3facb5c">#REF!</definedName>
    <definedName name="_vena_cons2_b1_R_FV_385b1d086d8a4b8abf43c04eedb00d88_42ac221.645d81e7">#REF!</definedName>
    <definedName name="_vena_cons2_b1_R_FV_385b1d086d8a4b8abf43c04eedb00d88_440e71cd.c09ae3c3">#REF!</definedName>
    <definedName name="_vena_cons2_b1_R_FV_385b1d086d8a4b8abf43c04eedb00d88_451c03a4.d0d9f2cc">#REF!</definedName>
    <definedName name="_vena_cons2_b1_R_FV_385b1d086d8a4b8abf43c04eedb00d88_4ca1d102.4658c33f">#REF!</definedName>
    <definedName name="_vena_cons2_b1_R_FV_385b1d086d8a4b8abf43c04eedb00d88_4cb78f11.8fa62887">#REF!</definedName>
    <definedName name="_vena_cons2_b1_R_FV_385b1d086d8a4b8abf43c04eedb00d88_4f2353c0.c6aebe6c">#REF!</definedName>
    <definedName name="_vena_cons2_b1_R_FV_385b1d086d8a4b8abf43c04eedb00d88_68284711.4fd3c2c4">#REF!</definedName>
    <definedName name="_vena_cons2_b1_R_FV_385b1d086d8a4b8abf43c04eedb00d88_69a526f7.37bab7e0">#REF!</definedName>
    <definedName name="_vena_cons2_b1_R_FV_385b1d086d8a4b8abf43c04eedb00d88_6edfa628.9edb2f80">#REF!</definedName>
    <definedName name="_vena_cons2_b1_R_FV_385b1d086d8a4b8abf43c04eedb00d88_80fcfed1.1fc4b66">#REF!</definedName>
    <definedName name="_vena_cons2_b1_R_FV_385b1d086d8a4b8abf43c04eedb00d88_9fd7dcb3.1f24f13d">#REF!</definedName>
    <definedName name="_vena_cons2_b1_R_FV_385b1d086d8a4b8abf43c04eedb00d88_a9d1237c.a7acb7a7">#REF!</definedName>
    <definedName name="_vena_cons2_b1_R_FV_385b1d086d8a4b8abf43c04eedb00d88_b36c8305.cd1f8cf">#REF!</definedName>
    <definedName name="_vena_cons2_b1_R_FV_385b1d086d8a4b8abf43c04eedb00d88_bd5499ea.4b11297b">#REF!</definedName>
    <definedName name="_vena_cons2_b1_R_FV_385b1d086d8a4b8abf43c04eedb00d88_c826a44e.f12c954c">#REF!</definedName>
    <definedName name="_vena_cons2_b1_R_FV_385b1d086d8a4b8abf43c04eedb00d88_cf86b932.a75bbfe">#REF!</definedName>
    <definedName name="_vena_cons2_b1_R_FV_385b1d086d8a4b8abf43c04eedb00d88_d064c968.f2d71237">#REF!</definedName>
    <definedName name="_vena_cons2_b1_R_FV_385b1d086d8a4b8abf43c04eedb00d88_d4ecd655.9d45526e">#REF!</definedName>
    <definedName name="_vena_cons2_b1_R_FV_385b1d086d8a4b8abf43c04eedb00d88_e240bc9c.933c587f">#REF!</definedName>
    <definedName name="_vena_cons2_b1_R_FV_385b1d086d8a4b8abf43c04eedb00d88_e5a1fc0a.5ebeffd5">#REF!</definedName>
    <definedName name="_vena_cons2_P_11_651631431944765441" comment="*">#REF!</definedName>
    <definedName name="_vena_cons2_P_12_651631431982514177" comment="*">#REF!</definedName>
    <definedName name="_vena_cons2_P_2_651631429184913409" comment="*">#REF!</definedName>
    <definedName name="_vena_cons2_P_4_652241713652170752" comment="*">#REF!</definedName>
    <definedName name="_vena_cons2_P_5_652241713786388480" comment="*">#REF!</definedName>
    <definedName name="_vena_cons2_P_6_652241713908023296" comment="*">#REF!</definedName>
    <definedName name="_vena_cons2_P_7_652241714033852416" comment="*">#REF!</definedName>
    <definedName name="_vena_cons2_P_FV_a2a46c4bae444ba2ab0e2971d74e2ddb" comment="*">#REF!</definedName>
    <definedName name="_vena_DYNP_SLatestScenario_99d9f105">Scenario!$A$4</definedName>
    <definedName name="_vena_DYNP_SLatestScenario_9b9b8f9a">Scenario!$A$1</definedName>
    <definedName name="_vena_DYNP_SLatestScenario_d313879b">Scenario!$A$2</definedName>
    <definedName name="_vena_LatestScenario_B1_C_1_651631427951788032">Scenario!$C$2</definedName>
    <definedName name="_vena_LatestScenario_B1_C_11_651631431944765441">Scenario!$C$1</definedName>
    <definedName name="_vena_LatestScenario_B1_C_2_651631429184913409">Scenario!$C$7</definedName>
    <definedName name="_vena_LatestScenario_B1_C_4_652241713652170752">Scenario!$C$3</definedName>
    <definedName name="_vena_LatestScenario_B1_C_5_652241713786388480">Scenario!$C$4</definedName>
    <definedName name="_vena_LatestScenario_B1_C_6_652241713908023296">Scenario!$C$5</definedName>
    <definedName name="_vena_LatestScenario_B1_C_7_652241714033852416">Scenario!$C$6</definedName>
    <definedName name="_vena_LatestScenario_B1_R_12_651631431982514177">Scenario!$A$12</definedName>
    <definedName name="_vena_LatestScenario_P_10_1154264745422618626" comment="*">Scenario!$A$2</definedName>
    <definedName name="_vena_LatestScenario_P_10_1259357353544646656">Scenario!$A$2</definedName>
    <definedName name="_vena_LatestScenario_P_10_1294069620468613121">Scenario!$A$2</definedName>
    <definedName name="_vena_LatestScenario_P_10_1331817056460996612">Scenario!$A$2</definedName>
    <definedName name="_vena_LatestScenario_P_10_651631431898628097">Scenario!$A$2</definedName>
    <definedName name="_vena_LatestScenario_P_8_1590187079714209792" comment="*">Scenario!$A$1</definedName>
    <definedName name="_vena_LatestScenario_P_8_941915545283592192">Scenario!$A$1</definedName>
    <definedName name="_vena_LatestScenario_P_9_651631431697301504" comment="*">Scenario!$A$4</definedName>
    <definedName name="_vena_LatestScenario_P_9_651631431743438848">Scenario!$A$4</definedName>
    <definedName name="_vena_LatestScenario_P_9_651631431751827456">Scenario!$A$4</definedName>
    <definedName name="_vena_LatestScenario_P_9_659135040271286274">Scenario!$A$4</definedName>
    <definedName name="_vena_MDYNR_S1_BB1_1ec589b3_39b3f5d4">'609 IS Var'!$H$155</definedName>
    <definedName name="_vena_MDYNR_S1_BB1_25bff5c3_1876c04b">'609 IS Var'!$H$105</definedName>
    <definedName name="_vena_MDYNR_S1_BB1_2714494c_9abe388c">'609 IS Var'!$H$89</definedName>
    <definedName name="_vena_MDYNR_S1_BB1_3294a637_74007850">'609 IS Var'!$H$115</definedName>
    <definedName name="_vena_MDYNR_S1_BB1_414f34aa_afa17a01">'609 IS Var'!$H$76</definedName>
    <definedName name="_vena_MDYNR_S1_BB1_4595eea8_9900bd4d">'609 IS Var'!$H$33</definedName>
    <definedName name="_vena_MDYNR_S1_BB1_493e9e24_a598def5">'609 IS Var'!$H$150</definedName>
    <definedName name="_vena_MDYNR_S1_BB1_56fa9cda_6d66a4a3">'609 IS Var'!$H$122</definedName>
    <definedName name="_vena_MDYNR_S1_BB1_5b8c3f25_e93e8c36">'609 IS Var'!$H$145</definedName>
    <definedName name="_vena_MDYNR_S1_BB1_5f1ee2f1_147903ec">'609 IS Var'!$H$170</definedName>
    <definedName name="_vena_MDYNR_S1_BB1_60148fd9_8a7f705">'609 IS Var'!$H$143</definedName>
    <definedName name="_vena_MDYNR_S1_BB1_6fd17684_a7c87e86">'609 IS Var'!$H$68</definedName>
    <definedName name="_vena_MDYNR_S1_BB1_7b633d6_a3a1014e">'609 IS Var'!$H$56</definedName>
    <definedName name="_vena_MDYNR_S1_BB1_8b14c78f_f57fbe79">'609 IS Var'!$H$60</definedName>
    <definedName name="_vena_MDYNR_S1_BB1_8dc35574_a24692ea">'609 IS Var'!$H$39</definedName>
    <definedName name="_vena_MDYNR_S1_BB1_96aca248_19035cff">'609 IS Var'!$H$133</definedName>
    <definedName name="_vena_MDYNR_S1_BB1_9c988328_350e0e2d">'609 IS Var'!$H$165</definedName>
    <definedName name="_vena_MDYNR_S1_BB1_adfc71bf_7ae5b388">'609 IS Var'!$H$96</definedName>
    <definedName name="_vena_MDYNR_S1_BB1_b4be782f_ef55908e">'609 IS Var'!$H$92</definedName>
    <definedName name="_vena_MDYNR_S1_BB1_b7003ed4_266d13f5">'609 IS Var'!$H$45</definedName>
    <definedName name="_vena_MDYNR_S1_BB1_ba21577b_fb49e1f1">'609 IS Var'!$H$180</definedName>
    <definedName name="_vena_MDYNR_S1_BB1_bd85c5d7_69e98ab0">'609 IS Var'!$H$175</definedName>
    <definedName name="_vena_MDYNR_S1_BB1_c0fe04cd_c557d17f">'609 IS Var'!$H$127</definedName>
    <definedName name="_vena_MDYNR_S1_BB1_c49c509c_fe7b5801">'609 IS Var'!$H$130</definedName>
    <definedName name="_vena_MDYNR_S1_BB1_c4a3fd2d_fd06ec4c">'609 IS Var'!$H$37</definedName>
    <definedName name="_vena_MDYNR_S1_BB1_ca65fd1d_f2f20e5d">'609 IS Var'!$H$58</definedName>
    <definedName name="_vena_MDYNR_S11_Bb1_19722a3e_5a2c7276">#REF!</definedName>
    <definedName name="_vena_MDYNR_S11_Bb1_204abc65_973930a8">#REF!</definedName>
    <definedName name="_vena_MDYNR_S11_Bb1_2a39341b_939b20d9">#REF!</definedName>
    <definedName name="_vena_MDYNR_S11_Bb1_2c573e38_e7363a11">#REF!</definedName>
    <definedName name="_vena_MDYNR_S11_Bb1_2e0a8486_77161ab7">#REF!</definedName>
    <definedName name="_vena_MDYNR_S11_Bb1_2fb027f1_fe0d944a">#REF!</definedName>
    <definedName name="_vena_MDYNR_S11_Bb1_31cf1ceb_b531da81">#REF!</definedName>
    <definedName name="_vena_MDYNR_S11_Bb1_3241160a_fa9997f">#REF!</definedName>
    <definedName name="_vena_MDYNR_S11_Bb1_471624fe_45f1807a">#REF!</definedName>
    <definedName name="_vena_MDYNR_S11_Bb1_4dd26bb7_1df163ba">#REF!</definedName>
    <definedName name="_vena_MDYNR_S11_Bb1_532e15d_5e56eb09">#REF!</definedName>
    <definedName name="_vena_MDYNR_S11_Bb1_5354126d_36a6f4df">#REF!</definedName>
    <definedName name="_vena_MDYNR_S11_Bb1_5cdb8ef7_9c678382">#REF!</definedName>
    <definedName name="_vena_MDYNR_S11_Bb1_5d93617e_92c61e0a">#REF!</definedName>
    <definedName name="_vena_MDYNR_S11_Bb1_710dea0a_63419ea7">#REF!</definedName>
    <definedName name="_vena_MDYNR_S11_Bb1_7cf6ce40_2e923063">#REF!</definedName>
    <definedName name="_vena_MDYNR_S11_Bb1_7df812d_25c8380a">#REF!</definedName>
    <definedName name="_vena_MDYNR_S11_Bb1_8182ed99_ef53c490">#REF!</definedName>
    <definedName name="_vena_MDYNR_S11_Bb1_8741a0cb_1850c30b">#REF!</definedName>
    <definedName name="_vena_MDYNR_S11_Bb1_92ef4942_f5ca3d1d">#REF!</definedName>
    <definedName name="_vena_MDYNR_S11_Bb1_95f43d9_998bbc5b">#REF!</definedName>
    <definedName name="_vena_MDYNR_S11_Bb1_980f6545_156ad241">#REF!</definedName>
    <definedName name="_vena_MDYNR_S11_Bb1_acbff197_df8379dc">#REF!</definedName>
    <definedName name="_vena_MDYNR_S11_Bb1_bdc065f1_cd3c5558">#REF!</definedName>
    <definedName name="_vena_MDYNR_S11_Bb1_f9ab52cd_f8334882">#REF!</definedName>
    <definedName name="_vena_MDYNR_S11_Bb1_fb63e8d9_33d83cee">#REF!</definedName>
    <definedName name="_vena_MDYNR_S2_BB1_1b93a96a_eccdd5fb">'609 IS'!$G$26</definedName>
    <definedName name="_vena_MDYNR_S2_BB1_2750cbec_832c998a">'609 IS'!$G$151</definedName>
    <definedName name="_vena_MDYNR_S2_BB1_3888619d_708c8f26">'609 IS'!$G$94</definedName>
    <definedName name="_vena_MDYNR_S2_BB1_3fe6bec6_1d8da2dc">'609 IS'!$G$136</definedName>
    <definedName name="_vena_MDYNR_S2_BB1_5bbabfa1_756627a5">'609 IS'!$G$34</definedName>
    <definedName name="_vena_MDYNR_S2_BB1_60337174_8324ddc4">'609 IS'!$G$161</definedName>
    <definedName name="_vena_MDYNR_S2_BB1_6fc33715_4cc84226">'609 IS'!$G$81</definedName>
    <definedName name="_vena_MDYNR_S2_BB1_7276a90a_a181d49e">'609 IS'!$G$166</definedName>
    <definedName name="_vena_MDYNR_S2_BB1_823775d5_219c5c8e">'609 IS'!$G$104</definedName>
    <definedName name="_vena_MDYNR_S2_BB1_894991cf_142ea2a6">'609 IS'!$G$45</definedName>
    <definedName name="_vena_MDYNR_S2_BB1_8b02c9ed_14c6f598">'609 IS'!$G$116</definedName>
    <definedName name="_vena_MDYNR_S2_BB1_9c58fdae_bdeeef49">'609 IS'!$G$78</definedName>
    <definedName name="_vena_MDYNR_S2_BB1_b13bc8b_af6bfc97">'609 IS'!$G$156</definedName>
    <definedName name="_vena_MDYNR_S2_BB1_b7a7b58b_674db7db">'609 IS'!$G$49</definedName>
    <definedName name="_vena_MDYNR_S2_BB1_bc4e5472_f16fe35b">'609 IS'!$G$22</definedName>
    <definedName name="_vena_MDYNR_S2_BB1_c09a1d04_1e40570">'609 IS'!$G$141</definedName>
    <definedName name="_vena_MDYNR_S2_BB1_c8e90ce6_23b9a703">'609 IS'!$G$131</definedName>
    <definedName name="_vena_MDYNR_S2_BB1_c9ac1536_f8a484e3">'609 IS'!$G$122</definedName>
    <definedName name="_vena_MDYNR_S2_BB1_d1350884_f34c97a4">'609 IS'!$G$57</definedName>
    <definedName name="_vena_MDYNR_S2_BB1_d1906588_b9e362b4">'609 IS'!$G$119</definedName>
    <definedName name="_vena_MDYNR_S2_BB1_dbacd17b_b36ca404">'609 IS'!$G$85</definedName>
    <definedName name="_vena_MDYNR_S2_BB1_dbe69cf1_6780e2a">'609 IS'!$G$28</definedName>
    <definedName name="_vena_MDYNR_S2_BB1_e5edff55_1c14688c">'609 IS'!$G$111</definedName>
    <definedName name="_vena_MDYNR_S2_BB1_f0e35eab_2909e9cf">'609 IS'!$G$129</definedName>
    <definedName name="_vena_MDYNR_S2_BB1_f994a178_f547d40f">'609 IS'!$G$65</definedName>
    <definedName name="_vena_MDYNR_S2_BB1_fddaefe4_932e7370">'609 IS'!$G$47</definedName>
    <definedName name="_vena_MDYNR_S3_BB1_1ca368a5_225773b0">'610 IS Var'!$H$153</definedName>
    <definedName name="_vena_MDYNR_S3_BB1_1e7f81f1_c62b28be">'610 IS Var'!$H$185</definedName>
    <definedName name="_vena_MDYNR_S3_BB1_274e23f6_2ac1ec3f">'610 IS Var'!$H$107</definedName>
    <definedName name="_vena_MDYNR_S3_BB1_27f3cc6a_60765388">'610 IS Var'!$H$175</definedName>
    <definedName name="_vena_MDYNR_S3_BB1_2a916b00_4c0a4982">'610 IS Var'!$H$127</definedName>
    <definedName name="_vena_MDYNR_S3_BB1_3d805b23_20baecc2">'610 IS Var'!$H$58</definedName>
    <definedName name="_vena_MDYNR_S3_BB1_3eb3505b_2a0f6ed7">'610 IS Var'!$H$158</definedName>
    <definedName name="_vena_MDYNR_S3_BB1_4443e830_5fce07b2">'610 IS Var'!$H$170</definedName>
    <definedName name="_vena_MDYNR_S3_BB1_46d3e3d7_68953055">'610 IS Var'!$H$145</definedName>
    <definedName name="_vena_MDYNR_S3_BB1_495f7749_a1b28f8f">'610 IS Var'!$H$98</definedName>
    <definedName name="_vena_MDYNR_S3_BB1_4dc46ca8_4252f6b3">'610 IS Var'!$H$121</definedName>
    <definedName name="_vena_MDYNR_S3_BB1_5676f1b4_d3470de3">'610 IS Var'!$H$37</definedName>
    <definedName name="_vena_MDYNR_S3_BB1_5b5cdcb0_7ac4c49e">'610 IS Var'!$H$76</definedName>
    <definedName name="_vena_MDYNR_S3_BB1_61462c99_f18defc">'610 IS Var'!$H$60</definedName>
    <definedName name="_vena_MDYNR_S3_BB1_8c4967db_f7dbec5f">'610 IS Var'!$H$56</definedName>
    <definedName name="_vena_MDYNR_S3_BB1_930a243_a27b03dd">'610 IS Var'!$H$90</definedName>
    <definedName name="_vena_MDYNR_S3_BB1_9854f2da_52ccaac4">'610 IS Var'!$H$132</definedName>
    <definedName name="_vena_MDYNR_S3_BB1_a168a8aa_2b0a9667">'610 IS Var'!$H$93</definedName>
    <definedName name="_vena_MDYNR_S3_BB1_b3e56fa2_150077c7">'610 IS Var'!$H$68</definedName>
    <definedName name="_vena_MDYNR_S3_BB1_b721cb84_141a522a">'610 IS Var'!$H$180</definedName>
    <definedName name="_vena_MDYNR_S3_BB1_b8e1cf56_a973fc75">'610 IS Var'!$H$147</definedName>
    <definedName name="_vena_MDYNR_S3_BB1_bbb761df_6c1cb0a3">'610 IS Var'!$H$114</definedName>
    <definedName name="_vena_MDYNR_S3_BB1_d2eeae1e_ad0fce1a">'610 IS Var'!$H$45</definedName>
    <definedName name="_vena_MDYNR_S3_BB1_dad96222_b8cc0072">'610 IS Var'!$H$135</definedName>
    <definedName name="_vena_MDYNR_S3_BB1_ed6bbfbf_9ec69454">'610 IS Var'!$H$39</definedName>
    <definedName name="_vena_MDYNR_S3_BB1_f03b8892_5838aa62">'610 IS Var'!$H$33</definedName>
    <definedName name="_vena_MDYNR_S4_Bb1_15495e12_c9987004">'610 IS'!$G$34</definedName>
    <definedName name="_vena_MDYNR_S4_Bb1_18762335_6f9ef430">'610 IS'!$G$139</definedName>
    <definedName name="_vena_MDYNR_S4_Bb1_2617c592_fb7d261f">'610 IS'!$G$156</definedName>
    <definedName name="_vena_MDYNR_S4_Bb1_36a01a7_56807299">'610 IS'!$G$79</definedName>
    <definedName name="_vena_MDYNR_S4_Bb1_42b3d2b_8f4c7936">'610 IS'!$G$171</definedName>
    <definedName name="_vena_MDYNR_S4_Bb1_4cb361e4_fd906e84">'610 IS'!$G$57</definedName>
    <definedName name="_vena_MDYNR_S4_Bb1_4dab0ca4_776f168a">'610 IS'!$G$103</definedName>
    <definedName name="_vena_MDYNR_S4_Bb1_5207a3f6_7d337ef1">'610 IS'!$G$45</definedName>
    <definedName name="_vena_MDYNR_S4_Bb1_585222a2_9efb07e9">'610 IS'!$G$82</definedName>
    <definedName name="_vena_MDYNR_S4_Bb1_5bac4fd8_6e330de6">'610 IS'!$G$124</definedName>
    <definedName name="_vena_MDYNR_S4_Bb1_820b0bb_75c68e52">'610 IS'!$G$87</definedName>
    <definedName name="_vena_MDYNR_S4_Bb1_8934c402_e2f06f02">'610 IS'!$G$116</definedName>
    <definedName name="_vena_MDYNR_S4_Bb1_94e41104_5a3275e0">'610 IS'!$G$131</definedName>
    <definedName name="_vena_MDYNR_S4_Bb1_98668e67_5c6d7c6c">'610 IS'!$G$28</definedName>
    <definedName name="_vena_MDYNR_S4_Bb1_a2efbfda_4105cc0">'610 IS'!$G$110</definedName>
    <definedName name="_vena_MDYNR_S4_Bb1_a31340b6_2d180b3b">'610 IS'!$G$166</definedName>
    <definedName name="_vena_MDYNR_S4_Bb1_a349f560_9bdf5481">'610 IS'!$G$49</definedName>
    <definedName name="_vena_MDYNR_S4_Bb1_b9d368a8_1ba9f145">'610 IS'!$G$144</definedName>
    <definedName name="_vena_MDYNR_S4_Bb1_c9af24d3_81dcb49e">'610 IS'!$G$22</definedName>
    <definedName name="_vena_MDYNR_S4_Bb1_cfbe6cc6_eb9f6b82">'610 IS'!$G$121</definedName>
    <definedName name="_vena_MDYNR_S4_Bb1_d65d7527_58ff3ff9">'610 IS'!$G$26</definedName>
    <definedName name="_vena_MDYNR_S4_Bb1_d9ca2398_d912413d">'610 IS'!$G$133</definedName>
    <definedName name="_vena_MDYNR_S4_Bb1_da156865_731b33a5">'610 IS'!$G$47</definedName>
    <definedName name="_vena_MDYNR_S4_Bb1_eaf4f3ea_1872fa4a">'610 IS'!$G$96</definedName>
    <definedName name="_vena_MDYNR_S4_Bb1_fc23d169_70c01d53">'610 IS'!$G$65</definedName>
    <definedName name="_vena_MDYNR_S4_Bb1_fcb555cc_3d94e7e4">'610 IS'!$G$161</definedName>
    <definedName name="_vena_MDYNR_S5_Bb1_1187f4d9_7c554b94">'612 IS Var'!$H$133</definedName>
    <definedName name="_vena_MDYNR_S5_Bb1_155ab79e_9053d8f3">'612 IS Var'!$H$111</definedName>
    <definedName name="_vena_MDYNR_S5_Bb1_1b9356c0_b1a4afcc">'612 IS Var'!$H$143</definedName>
    <definedName name="_vena_MDYNR_S5_Bb1_3735033_d86aba5c">'612 IS Var'!$H$35</definedName>
    <definedName name="_vena_MDYNR_S5_Bb1_3a55bf2f_a306913a">'612 IS Var'!$H$50</definedName>
    <definedName name="_vena_MDYNR_S5_Bb1_3c347c9f_58e3e81f">'612 IS Var'!$H$148</definedName>
    <definedName name="_vena_MDYNR_S5_Bb1_3dc6ac28_2e20b67f">'612 IS Var'!$H$43</definedName>
    <definedName name="_vena_MDYNR_S5_Bb1_447da193_656f0498">'612 IS Var'!$H$138</definedName>
    <definedName name="_vena_MDYNR_S5_Bb1_54e7f65_f06d608c">'612 IS Var'!$H$37</definedName>
    <definedName name="_vena_MDYNR_S5_Bb1_695c0b7f_df102f4c">'612 IS Var'!$H$99</definedName>
    <definedName name="_vena_MDYNR_S5_Bb1_6c4351a1_8d7a2911">'612 IS Var'!$H$79</definedName>
    <definedName name="_vena_MDYNR_S5_Bb1_70407990_268fb20f">'612 IS Var'!$H$60</definedName>
    <definedName name="_vena_MDYNR_S5_Bb1_7f5a2474_222e1c5b">'612 IS Var'!$H$65</definedName>
    <definedName name="_vena_MDYNR_S5_Bb1_819c9a1c_c266b1a1">'612 IS Var'!$H$121</definedName>
    <definedName name="_vena_MDYNR_S5_Bb1_90df53cf_1422a135">'612 IS Var'!$H$108</definedName>
    <definedName name="_vena_MDYNR_S5_Bb1_9b9c5cbd_bbf3f67b">'612 IS Var'!$H$83</definedName>
    <definedName name="_vena_MDYNR_S5_Bb1_a9a44c10_a6caa262">'612 IS Var'!$H$93</definedName>
    <definedName name="_vena_MDYNR_S5_Bb1_ac8e848a_e812e9b7">'612 IS Var'!$H$48</definedName>
    <definedName name="_vena_MDYNR_S5_Bb1_b7ba3bf3_64f64756">'612 IS Var'!$H$105</definedName>
    <definedName name="_vena_MDYNR_S5_Bb1_bc94df4_69d89792">'612 IS Var'!$H$128</definedName>
    <definedName name="_vena_MDYNR_S5_Bb1_cf612f0b_544d92eb">'612 IS Var'!$H$153</definedName>
    <definedName name="_vena_MDYNR_S5_Bb1_e60729d_38c7fa8f">'612 IS Var'!$H$52</definedName>
    <definedName name="_vena_MDYNR_S5_Bb1_e80d901_74ded23b">'612 IS Var'!$H$123</definedName>
    <definedName name="_vena_MDYNR_S5_Bb1_f5f484dc_c077bddb">'612 IS Var'!$H$33</definedName>
    <definedName name="_vena_MDYNR_S5_Bb1_f64dcead_27340529">'612 IS Var'!$H$88</definedName>
    <definedName name="_vena_MDYNR_S5_Bb1_fb646e13_cc9587df">'612 IS Var'!$H$76</definedName>
    <definedName name="_vena_MDYNR_S6_Bb1_156df6bf_ecba946c">'612 IS'!$G$114</definedName>
    <definedName name="_vena_MDYNR_S6_Bb1_19b8c2ee_5fb8213">'612 IS'!$G$65</definedName>
    <definedName name="_vena_MDYNR_S6_Bb1_1c0d1915_aeeee52c">'612 IS'!$G$129</definedName>
    <definedName name="_vena_MDYNR_S6_Bb1_2923ceb6_fe96a94">'612 IS'!$G$124</definedName>
    <definedName name="_vena_MDYNR_S6_Bb1_2cf513c4_f69abac3">'612 IS'!$G$139</definedName>
    <definedName name="_vena_MDYNR_S6_Bb1_307887a1_ff902668">'612 IS'!$G$77</definedName>
    <definedName name="_vena_MDYNR_S6_Bb1_4f125e0d_6d736bcd">'612 IS'!$G$39</definedName>
    <definedName name="_vena_MDYNR_S6_Bb1_52ca7877_8890532e">'612 IS'!$G$119</definedName>
    <definedName name="_vena_MDYNR_S6_Bb1_71c63e31_3727c2f2">'612 IS'!$G$26</definedName>
    <definedName name="_vena_MDYNR_S6_Bb1_74405870_eeb28c15">'612 IS'!$G$97</definedName>
    <definedName name="_vena_MDYNR_S6_Bb1_81e0d8b7_dec71cc">'612 IS'!$G$88</definedName>
    <definedName name="_vena_MDYNR_S6_Bb1_8964ada4_82126d4c">'612 IS'!$G$100</definedName>
    <definedName name="_vena_MDYNR_S6_Bb1_8d74ad2_41ca4b2">'612 IS'!$G$72</definedName>
    <definedName name="_vena_MDYNR_S6_Bb1_8e9ac198_853ccc98">'612 IS'!$G$41</definedName>
    <definedName name="_vena_MDYNR_S6_Bb1_a15d8b8_28adb3c2">'612 IS'!$G$37</definedName>
    <definedName name="_vena_MDYNR_S6_Bb1_a204d652_6635eded">'612 IS'!$G$134</definedName>
    <definedName name="_vena_MDYNR_S6_Bb1_a53d80dd_accd7902">'612 IS'!$G$68</definedName>
    <definedName name="_vena_MDYNR_S6_Bb1_acb8f388_1f040aab">'612 IS'!$G$54</definedName>
    <definedName name="_vena_MDYNR_S6_Bb1_b59cca20_6f39c3a8">'612 IS'!$G$82</definedName>
    <definedName name="_vena_MDYNR_S6_Bb1_b6432b2a_853ba0a">'612 IS'!$G$49</definedName>
    <definedName name="_vena_MDYNR_S6_Bb1_bc3c453b_75078486">'612 IS'!$G$107</definedName>
    <definedName name="_vena_MDYNR_S6_Bb1_dc095f77_f735d8fd">'612 IS'!$G$32</definedName>
    <definedName name="_vena_MDYNR_S6_Bb1_df0dbebb_7c7f4ff2">'612 IS'!$G$94</definedName>
    <definedName name="_vena_MDYNR_S6_Bb1_e03a8579_47e1485">'612 IS'!$G$22</definedName>
    <definedName name="_vena_MDYNR_S6_Bb1_f1e20d00_7acbc233">'612 IS'!$G$109</definedName>
    <definedName name="_vena_MDYNR_S6_Bb1_fe5bd80f_1b2c0ea4">'612 IS'!$G$24</definedName>
    <definedName name="_vena_MDYNR_S7_Bb1_11bf0375_cab12030">#REF!</definedName>
    <definedName name="_vena_MDYNR_S7_Bb1_1a818e3d_97e46d9e">#REF!</definedName>
    <definedName name="_vena_MDYNR_S7_Bb1_22c123f6_19882e7d">#REF!</definedName>
    <definedName name="_vena_MDYNR_S7_Bb1_297449d2_9e610ca1">#REF!</definedName>
    <definedName name="_vena_MDYNR_S7_Bb1_31c7d286_c95ca373">#REF!</definedName>
    <definedName name="_vena_MDYNR_S7_Bb1_376b624d_30ef4d18">#REF!</definedName>
    <definedName name="_vena_MDYNR_S7_Bb1_3f0461f_7d36cc49">#REF!</definedName>
    <definedName name="_vena_MDYNR_S7_Bb1_49d3db81_5ccf64d1">#REF!</definedName>
    <definedName name="_vena_MDYNR_S7_Bb1_52b1e6cd_de2c5a8f">#REF!</definedName>
    <definedName name="_vena_MDYNR_S7_Bb1_598d060a_d02cbcfb">#REF!</definedName>
    <definedName name="_vena_MDYNR_S7_Bb1_6b503653_3501809a">#REF!</definedName>
    <definedName name="_vena_MDYNR_S7_Bb1_70ef63ad_b26e32c4">#REF!</definedName>
    <definedName name="_vena_MDYNR_S7_Bb1_751d0254_7cd7db86">#REF!</definedName>
    <definedName name="_vena_MDYNR_S7_Bb1_8a3c430b_9b60cb6c">#REF!</definedName>
    <definedName name="_vena_MDYNR_S7_Bb1_a337db52_531cd53">#REF!</definedName>
    <definedName name="_vena_MDYNR_S7_Bb1_a378672f_a1a3237a">#REF!</definedName>
    <definedName name="_vena_MDYNR_S7_Bb1_ac23b846_31a3c29b">#REF!</definedName>
    <definedName name="_vena_MDYNR_S7_Bb1_b7141aa4_f02e3678">#REF!</definedName>
    <definedName name="_vena_MDYNR_S7_Bb1_c0282ccf_4cd75877">#REF!</definedName>
    <definedName name="_vena_MDYNR_S7_Bb1_c639e143_9a94e7ce">#REF!</definedName>
    <definedName name="_vena_MDYNR_S7_Bb1_e1739d1e_9880e9aa">#REF!</definedName>
    <definedName name="_vena_MDYNR_S7_Bb1_eeb6f87c_bbe92044">#REF!</definedName>
    <definedName name="_vena_MDYNR_S7_Bb1_efb0611f_59a5e80c">#REF!</definedName>
    <definedName name="_vena_MDYNR_S7_Bb1_f07f258b_25e0b281">#REF!</definedName>
    <definedName name="_vena_MDYNR_S7_Bb1_f5ec9035_18ffff14">#REF!</definedName>
    <definedName name="_vena_MDYNR_S7_Bb1_fec63d9b_7afd1e2b">#REF!</definedName>
    <definedName name="_vena_MDYNR_S8_Bb1_119ae29b_48c7c3bb">#REF!</definedName>
    <definedName name="_vena_MDYNR_S8_Bb1_3c6e9f82_d9103631">#REF!</definedName>
    <definedName name="_vena_MDYNR_S8_Bb1_458fddd3_b22c52ed">#REF!</definedName>
    <definedName name="_vena_MDYNR_S8_Bb1_6a3d61a5_f522b89b">#REF!</definedName>
    <definedName name="_vena_MDYNR_S8_Bb1_6ce5f675_eadb83b4">#REF!</definedName>
    <definedName name="_vena_MDYNR_S8_Bb1_848936e8_7dbb28a">#REF!</definedName>
    <definedName name="_vena_MDYNR_S8_Bb1_8b1950a0_8b915887">#REF!</definedName>
    <definedName name="_vena_MDYNR_S8_Bb1_8cf5d03c_a441066">#REF!</definedName>
    <definedName name="_vena_MDYNR_S8_Bb1_8dde94ca_3acc61b8">#REF!</definedName>
    <definedName name="_vena_MDYNR_S8_Bb1_957e8b7a_c6522320">#REF!</definedName>
    <definedName name="_vena_MDYNR_S8_Bb1_a4a37a19_4ed5ef9d">#REF!</definedName>
    <definedName name="_vena_MDYNR_S8_Bb1_a9787ce8_c46286d7">#REF!</definedName>
    <definedName name="_vena_MDYNR_S8_Bb1_af90a3bb_55f4a087">#REF!</definedName>
    <definedName name="_vena_MDYNR_S8_Bb1_b2c17d1c_5bfb0c12">#REF!</definedName>
    <definedName name="_vena_MDYNR_S8_Bb1_ba7c6004_ea322f5e">#REF!</definedName>
    <definedName name="_vena_MDYNR_S8_Bb1_bc0c8b94_61f7998e">#REF!</definedName>
    <definedName name="_vena_MDYNR_S8_Bb1_bdaa9d84_77c519ab">#REF!</definedName>
    <definedName name="_vena_MDYNR_S8_Bb1_c1eda3a_4259e527">#REF!</definedName>
    <definedName name="_vena_MDYNR_S8_Bb1_e974a4ba_1a2eb0a8">#REF!</definedName>
    <definedName name="_vena_MDYNR_S8_Bb1_ed191b8c_5dd35cad">#REF!</definedName>
    <definedName name="_vena_MDYNR_S8_Bb1_ed6b636e_b2f2f4d6">#REF!</definedName>
    <definedName name="_vena_MDYNR_S8_Bb1_eef1a566_a1758847">#REF!</definedName>
    <definedName name="_vena_MDYNR_S8_Bb1_ef26e781_40259fac">#REF!</definedName>
    <definedName name="_vena_MDYNR_S8_Bb1_f218fd02_9bef376e">#REF!</definedName>
    <definedName name="_vena_MDYNR_S8_Bb1_f2504b47_43a12522">#REF!</definedName>
    <definedName name="_vena_MDYNR_S8_Bb1_f80ce2a_4eeca8ee">#REF!</definedName>
    <definedName name="_vena_MDYNR_S9_Bb1_353332c8_8b3aae24">#REF!</definedName>
    <definedName name="_vena_MDYNR_S9_Bb1_3b461360_5678769f">#REF!</definedName>
    <definedName name="_vena_MDYNR_S9_Bb1_400b00ad_c7debb">#REF!</definedName>
    <definedName name="_vena_MDYNR_S9_Bb1_40f6a53e_752fe0ea">#REF!</definedName>
    <definedName name="_vena_MDYNR_S9_Bb1_6e2a55d4_f647f7c9">#REF!</definedName>
    <definedName name="_vena_MDYNR_S9_Bb1_6ef351e5_2399d28a">#REF!</definedName>
    <definedName name="_vena_MDYNR_S9_Bb1_6f991c_ec4bc672">#REF!</definedName>
    <definedName name="_vena_MDYNR_S9_Bb1_796ddcb2_c6f659ad">#REF!</definedName>
    <definedName name="_vena_MDYNR_S9_Bb1_8aa271b1_b1067f7c">#REF!</definedName>
    <definedName name="_vena_MDYNR_S9_Bb1_996971d7_bef1ce53">#REF!</definedName>
    <definedName name="_vena_MDYNR_S9_Bb1_9cf7c5f0_e8b80eb9">#REF!</definedName>
    <definedName name="_vena_MDYNR_S9_Bb1_a654cd47_9bb1f031">#REF!</definedName>
    <definedName name="_vena_MDYNR_S9_Bb1_a831feef_4b744cb4">#REF!</definedName>
    <definedName name="_vena_MDYNR_S9_Bb1_b4533dd3_f621e3bb">#REF!</definedName>
    <definedName name="_vena_MDYNR_S9_Bb1_b7e0679d_d2d0892a">#REF!</definedName>
    <definedName name="_vena_MDYNR_S9_Bb1_b9c3e00b_377291a">#REF!</definedName>
    <definedName name="_vena_MDYNR_S9_Bb1_be7cd5aa_2286b8b">#REF!</definedName>
    <definedName name="_vena_MDYNR_S9_Bb1_bfc792d1_d6f2faa4">#REF!</definedName>
    <definedName name="_vena_MDYNR_S9_Bb1_c782351a_2459603b">#REF!</definedName>
    <definedName name="_vena_MDYNR_S9_Bb1_ca5e8fbe_79538224">#REF!</definedName>
    <definedName name="_vena_MDYNR_S9_Bb1_d4a9bae4_820169d">#REF!</definedName>
    <definedName name="_vena_MDYNR_S9_Bb1_d7d74246_249e02">#REF!</definedName>
    <definedName name="_vena_MDYNR_S9_Bb1_ee947509_d4ab246a">#REF!</definedName>
    <definedName name="_vena_MDYNR_S9_Bb1_f109a092_a4a4a7d4">#REF!</definedName>
    <definedName name="_vena_MDYNR_S9_Bb1_f8d4a74d_9576ad9f">#REF!</definedName>
    <definedName name="_vena_MDYNR_S9_Bb1_ffc4b79d_abf3e17e">#REF!</definedName>
    <definedName name="_vena_MDYNR_Scons1_Bb1_152e0fe9_c1eb63c">#REF!</definedName>
    <definedName name="_vena_MDYNR_Scons1_Bb1_24baa24a_5521d30">#REF!</definedName>
    <definedName name="_vena_MDYNR_Scons1_Bb1_4897a0f7_c3f975bc">#REF!</definedName>
    <definedName name="_vena_MDYNR_Scons1_Bb1_5653141f_5fe3fba5">#REF!</definedName>
    <definedName name="_vena_MDYNR_Scons1_Bb1_6511f329_7536d767">#REF!</definedName>
    <definedName name="_vena_MDYNR_Scons1_Bb1_6fe90d10_52455f20">#REF!</definedName>
    <definedName name="_vena_MDYNR_Scons1_Bb1_70574978_a3cba05">#REF!</definedName>
    <definedName name="_vena_MDYNR_Scons1_Bb1_72482f67_a6be0e2e">#REF!</definedName>
    <definedName name="_vena_MDYNR_Scons1_Bb1_7474b927_4cf3ebf6">#REF!</definedName>
    <definedName name="_vena_MDYNR_Scons1_Bb1_8b9b4b19_c47a0e42">#REF!</definedName>
    <definedName name="_vena_MDYNR_Scons1_Bb1_93db5fc6_ae71cef0">#REF!</definedName>
    <definedName name="_vena_MDYNR_Scons1_Bb1_9f3491e9_bb4575a4">#REF!</definedName>
    <definedName name="_vena_MDYNR_Scons1_Bb1_a25cce90_742b7200">#REF!</definedName>
    <definedName name="_vena_MDYNR_Scons1_Bb1_a66cc10b_11abce1b">#REF!</definedName>
    <definedName name="_vena_MDYNR_Scons1_Bb1_af0b3467_d1bc062">#REF!</definedName>
    <definedName name="_vena_MDYNR_Scons1_Bb1_b159e66f_e4e89c9f">#REF!</definedName>
    <definedName name="_vena_MDYNR_Scons1_Bb1_b3f12393_f4a422af">#REF!</definedName>
    <definedName name="_vena_MDYNR_Scons1_Bb1_b621738_16f09a32">#REF!</definedName>
    <definedName name="_vena_MDYNR_Scons1_Bb1_b81757f_5f9c2f0">#REF!</definedName>
    <definedName name="_vena_MDYNR_Scons1_Bb1_cf037229_ce045e7e">#REF!</definedName>
    <definedName name="_vena_MDYNR_Scons1_Bb1_d0e9f448_9809da1c">#REF!</definedName>
    <definedName name="_vena_MDYNR_Scons1_Bb1_d940a9c1_608e595a">#REF!</definedName>
    <definedName name="_vena_MDYNR_Scons1_Bb1_d9fcf8c2_949e0c96">#REF!</definedName>
    <definedName name="_vena_MDYNR_Scons1_Bb1_e3d1c033_958967e4">#REF!</definedName>
    <definedName name="_vena_MDYNR_Scons1_Bb1_f3b1b09_5d69376">#REF!</definedName>
    <definedName name="_vena_MDYNR_Scons1_Bb1_f4a5d13e_cbc8d129">#REF!</definedName>
    <definedName name="_vena_MDYNR_Scons2_Bb1_16c4319_76ccd3bc">#REF!</definedName>
    <definedName name="_vena_MDYNR_Scons2_Bb1_187ee5f5_9f39dfbb">#REF!</definedName>
    <definedName name="_vena_MDYNR_Scons2_Bb1_1a04a965_c0b28ac3">#REF!</definedName>
    <definedName name="_vena_MDYNR_Scons2_Bb1_1bd45b56_288b6ecb">#REF!</definedName>
    <definedName name="_vena_MDYNR_Scons2_Bb1_1d427035_62b33990">#REF!</definedName>
    <definedName name="_vena_MDYNR_Scons2_Bb1_3e942bd0_d3facb5c">#REF!</definedName>
    <definedName name="_vena_MDYNR_Scons2_Bb1_42ac221_645d81e7">#REF!</definedName>
    <definedName name="_vena_MDYNR_Scons2_Bb1_440e71cd_c09ae3c3">#REF!</definedName>
    <definedName name="_vena_MDYNR_Scons2_Bb1_451c03a4_d0d9f2cc">#REF!</definedName>
    <definedName name="_vena_MDYNR_Scons2_Bb1_4ca1d102_4658c33f">#REF!</definedName>
    <definedName name="_vena_MDYNR_Scons2_Bb1_4cb78f11_8fa62887">#REF!</definedName>
    <definedName name="_vena_MDYNR_Scons2_Bb1_4f2353c0_c6aebe6c">#REF!</definedName>
    <definedName name="_vena_MDYNR_Scons2_Bb1_68284711_4fd3c2c4">#REF!</definedName>
    <definedName name="_vena_MDYNR_Scons2_Bb1_69a526f7_37bab7e0">#REF!</definedName>
    <definedName name="_vena_MDYNR_Scons2_Bb1_6edfa628_9edb2f80">#REF!</definedName>
    <definedName name="_vena_MDYNR_Scons2_Bb1_80fcfed1_1fc4b66">#REF!</definedName>
    <definedName name="_vena_MDYNR_Scons2_Bb1_9fd7dcb3_1f24f13d">#REF!</definedName>
    <definedName name="_vena_MDYNR_Scons2_Bb1_a9d1237c_a7acb7a7">#REF!</definedName>
    <definedName name="_vena_MDYNR_Scons2_Bb1_b36c8305_cd1f8cf">#REF!</definedName>
    <definedName name="_vena_MDYNR_Scons2_Bb1_bd5499ea_4b11297b">#REF!</definedName>
    <definedName name="_vena_MDYNR_Scons2_Bb1_c826a44e_f12c954c">#REF!</definedName>
    <definedName name="_vena_MDYNR_Scons2_Bb1_cf86b932_a75bbfe">#REF!</definedName>
    <definedName name="_vena_MDYNR_Scons2_Bb1_d064c968_f2d71237">#REF!</definedName>
    <definedName name="_vena_MDYNR_Scons2_Bb1_d4ecd655_9d45526e">#REF!</definedName>
    <definedName name="_vena_MDYNR_Scons2_Bb1_e240bc9c_933c587f">#REF!</definedName>
    <definedName name="_vena_MDYNR_Scons2_Bb1_e5a1fc0a_5ebeffd5">#REF!</definedName>
    <definedName name="_vena_MDYNR_Stest1_BB1_1b5d3d40_bf947731">Sheet1!$H$355</definedName>
    <definedName name="_vena_MDYNR_Stest1_BB1_368b3bbd_8a2e3629">Sheet1!$H$328</definedName>
    <definedName name="_vena_MDYNR_Stest1_BB1_4156010c_a49ccb10">Sheet1!$H$145</definedName>
    <definedName name="_vena_MDYNR_Stest1_BB1_4184969c_c93f5df4">Sheet1!$H$338</definedName>
    <definedName name="_vena_MDYNR_Stest1_BB1_41ee03e0_4ff04570">Sheet1!$H$350</definedName>
    <definedName name="_vena_MDYNR_Stest1_BB1_616de4db_5295d267">Sheet1!$H$31</definedName>
    <definedName name="_vena_MDYNR_Stest1_BB1_744c0f41_e5e31590">Sheet1!$H$333</definedName>
    <definedName name="_vena_MDYNR_Stest1_BB1_8801e76d_dd2c63ad">Sheet1!$H$345</definedName>
    <definedName name="_vena_MDYNR_Stest1_BB1_94cf46d0_5913b575">Sheet1!$H$66</definedName>
    <definedName name="_vena_PO_LatestScenario_10_f1270a660b204cdeaaef955730a7a018">Scenario!$A$2</definedName>
    <definedName name="_vena_PO_LatestScenario_8_d12cbe6b074641d197dacd2e3702d192">Scenario!$A$1</definedName>
    <definedName name="_vena_PO_LatestScenario_9_891762b1d7184c45bc616439c954bde6">Scenario!$A$4</definedName>
    <definedName name="_vena_test1_B1_C_FV_134399665b374008851e5b8c04b5ee44">Sheet1!$M$6</definedName>
    <definedName name="_vena_test1_B1_C_FV_134399665b374008851e5b8c04b5ee44_1">Sheet1!$O$6</definedName>
    <definedName name="_vena_test1_B1_C_FV_134399665b374008851e5b8c04b5ee44_10">Sheet1!$AQ$6</definedName>
    <definedName name="_vena_test1_B1_C_FV_134399665b374008851e5b8c04b5ee44_11">Sheet1!$BA$6</definedName>
    <definedName name="_vena_test1_B1_C_FV_134399665b374008851e5b8c04b5ee44_12">Sheet1!$BC$6</definedName>
    <definedName name="_vena_test1_B1_C_FV_134399665b374008851e5b8c04b5ee44_13">Sheet1!$BE$6</definedName>
    <definedName name="_vena_test1_B1_C_FV_134399665b374008851e5b8c04b5ee44_2">Sheet1!$Q$6</definedName>
    <definedName name="_vena_test1_B1_C_FV_134399665b374008851e5b8c04b5ee44_3">Sheet1!$S$6</definedName>
    <definedName name="_vena_test1_B1_C_FV_134399665b374008851e5b8c04b5ee44_4">Sheet1!$AC$6</definedName>
    <definedName name="_vena_test1_B1_C_FV_134399665b374008851e5b8c04b5ee44_5">Sheet1!$AD$6</definedName>
    <definedName name="_vena_test1_B1_C_FV_134399665b374008851e5b8c04b5ee44_6">Sheet1!$AE$6</definedName>
    <definedName name="_vena_test1_B1_C_FV_134399665b374008851e5b8c04b5ee44_7">Sheet1!$AK$6</definedName>
    <definedName name="_vena_test1_B1_C_FV_134399665b374008851e5b8c04b5ee44_8">Sheet1!$AM$6</definedName>
    <definedName name="_vena_test1_B1_C_FV_134399665b374008851e5b8c04b5ee44_9">Sheet1!$AO$6</definedName>
    <definedName name="_vena_test1_B1_C_FV_7cc8369c0b744816a17486bee792b4d5">Sheet1!$M$4</definedName>
    <definedName name="_vena_test1_B1_C_FV_7cc8369c0b744816a17486bee792b4d5_1">Sheet1!$O$4</definedName>
    <definedName name="_vena_test1_B1_C_FV_7cc8369c0b744816a17486bee792b4d5_10">Sheet1!$AQ$4</definedName>
    <definedName name="_vena_test1_B1_C_FV_7cc8369c0b744816a17486bee792b4d5_11">Sheet1!$BA$4</definedName>
    <definedName name="_vena_test1_B1_C_FV_7cc8369c0b744816a17486bee792b4d5_12">Sheet1!$BC$4</definedName>
    <definedName name="_vena_test1_B1_C_FV_7cc8369c0b744816a17486bee792b4d5_13">Sheet1!$BE$4</definedName>
    <definedName name="_vena_test1_B1_C_FV_7cc8369c0b744816a17486bee792b4d5_2">Sheet1!$Q$4</definedName>
    <definedName name="_vena_test1_B1_C_FV_7cc8369c0b744816a17486bee792b4d5_3">Sheet1!$S$4</definedName>
    <definedName name="_vena_test1_B1_C_FV_7cc8369c0b744816a17486bee792b4d5_4">Sheet1!$AC$4</definedName>
    <definedName name="_vena_test1_B1_C_FV_7cc8369c0b744816a17486bee792b4d5_5">Sheet1!$AD$4</definedName>
    <definedName name="_vena_test1_B1_C_FV_7cc8369c0b744816a17486bee792b4d5_6">Sheet1!$AE$4</definedName>
    <definedName name="_vena_test1_B1_C_FV_7cc8369c0b744816a17486bee792b4d5_7">Sheet1!$AK$4</definedName>
    <definedName name="_vena_test1_B1_C_FV_7cc8369c0b744816a17486bee792b4d5_8">Sheet1!$AM$4</definedName>
    <definedName name="_vena_test1_B1_C_FV_7cc8369c0b744816a17486bee792b4d5_9">Sheet1!$AO$4</definedName>
    <definedName name="_vena_test1_B1_C_FV_f4ddf33ff6224574ba096b1a5435ea67">Sheet1!$M$5</definedName>
    <definedName name="_vena_test1_B1_C_FV_f4ddf33ff6224574ba096b1a5435ea67_1">Sheet1!$O$5</definedName>
    <definedName name="_vena_test1_B1_C_FV_f4ddf33ff6224574ba096b1a5435ea67_10">Sheet1!$AQ$5</definedName>
    <definedName name="_vena_test1_B1_C_FV_f4ddf33ff6224574ba096b1a5435ea67_11">Sheet1!$BA$5</definedName>
    <definedName name="_vena_test1_B1_C_FV_f4ddf33ff6224574ba096b1a5435ea67_12">Sheet1!$BC$5</definedName>
    <definedName name="_vena_test1_B1_C_FV_f4ddf33ff6224574ba096b1a5435ea67_13">Sheet1!$BE$5</definedName>
    <definedName name="_vena_test1_B1_C_FV_f4ddf33ff6224574ba096b1a5435ea67_2">Sheet1!$Q$5</definedName>
    <definedName name="_vena_test1_B1_C_FV_f4ddf33ff6224574ba096b1a5435ea67_3">Sheet1!$S$5</definedName>
    <definedName name="_vena_test1_B1_C_FV_f4ddf33ff6224574ba096b1a5435ea67_4">Sheet1!$AC$5</definedName>
    <definedName name="_vena_test1_B1_C_FV_f4ddf33ff6224574ba096b1a5435ea67_5">Sheet1!$AD$5</definedName>
    <definedName name="_vena_test1_B1_C_FV_f4ddf33ff6224574ba096b1a5435ea67_6">Sheet1!$AE$5</definedName>
    <definedName name="_vena_test1_B1_C_FV_f4ddf33ff6224574ba096b1a5435ea67_7">Sheet1!$AK$5</definedName>
    <definedName name="_vena_test1_B1_C_FV_f4ddf33ff6224574ba096b1a5435ea67_8">Sheet1!$AM$5</definedName>
    <definedName name="_vena_test1_B1_C_FV_f4ddf33ff6224574ba096b1a5435ea67_9">Sheet1!$AO$5</definedName>
    <definedName name="_vena_test1_B1_R_1_651631427951788032">Sheet1!$H$381</definedName>
    <definedName name="_vena_test1_B1_R_1_691119840308494336">Sheet1!$H$369</definedName>
    <definedName name="_vena_test1_B1_R_FV_385b1d086d8a4b8abf43c04eedb00d88_1b5d3d40.bf947731">Sheet1!$H$355</definedName>
    <definedName name="_vena_test1_B1_R_FV_385b1d086d8a4b8abf43c04eedb00d88_368b3bbd.8a2e3629">Sheet1!$H$328</definedName>
    <definedName name="_vena_test1_B1_R_FV_385b1d086d8a4b8abf43c04eedb00d88_4156010c.a49ccb10">Sheet1!$H$145:$H$320</definedName>
    <definedName name="_vena_test1_B1_R_FV_385b1d086d8a4b8abf43c04eedb00d88_4184969c.c93f5df4">Sheet1!$H$338:$H$340</definedName>
    <definedName name="_vena_test1_B1_R_FV_385b1d086d8a4b8abf43c04eedb00d88_41ee03e0.4ff04570">Sheet1!$H$350</definedName>
    <definedName name="_vena_test1_B1_R_FV_385b1d086d8a4b8abf43c04eedb00d88_616de4db.5295d267">Sheet1!$H$31:$H$61</definedName>
    <definedName name="_vena_test1_B1_R_FV_385b1d086d8a4b8abf43c04eedb00d88_744c0f41.e5e31590">Sheet1!$H$333</definedName>
    <definedName name="_vena_test1_B1_R_FV_385b1d086d8a4b8abf43c04eedb00d88_8801e76d.dd2c63ad">Sheet1!$H$345</definedName>
    <definedName name="_vena_test1_B1_R_FV_385b1d086d8a4b8abf43c04eedb00d88_94cf46d0.5913b575">Sheet1!$H$66:$H$138</definedName>
    <definedName name="_vena_test1_P_11_651631431944765441" comment="*">Sheet1!$E$10</definedName>
    <definedName name="_vena_test1_P_12_651631431982514177" comment="*">Sheet1!$E$11</definedName>
    <definedName name="_vena_test1_P_2_651631429184913409" comment="*">Sheet1!$E$12</definedName>
    <definedName name="_vena_test1_P_3_1117226713781239808" comment="*">Sheet1!$E$6</definedName>
    <definedName name="_vena_test1_P_4_652241713652170752" comment="*">Sheet1!$E$13</definedName>
    <definedName name="_vena_test1_P_5_652241713786388480" comment="*">Sheet1!$E$14</definedName>
    <definedName name="_vena_test1_P_6_652241713908023296" comment="*">Sheet1!$E$15</definedName>
    <definedName name="_vena_test1_P_7_652241714033852416" comment="*">Sheet1!$E$16</definedName>
    <definedName name="FlagShowComments">[1]Controls!$D$11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56" l="1"/>
  <c r="M61" i="56"/>
  <c r="BJ45" i="58" l="1"/>
  <c r="BI45" i="58"/>
  <c r="BH45" i="58"/>
  <c r="BG45" i="58"/>
  <c r="AX45" i="58"/>
  <c r="AW45" i="58"/>
  <c r="AV45" i="58"/>
  <c r="AU45" i="58"/>
  <c r="AT45" i="58"/>
  <c r="AS45" i="58"/>
  <c r="Z45" i="58"/>
  <c r="Y45" i="58"/>
  <c r="X45" i="58"/>
  <c r="W45" i="58"/>
  <c r="V45" i="58"/>
  <c r="U45" i="58"/>
  <c r="B45" i="58"/>
  <c r="BJ44" i="58"/>
  <c r="BI44" i="58"/>
  <c r="BH44" i="58"/>
  <c r="BG44" i="58"/>
  <c r="AX44" i="58"/>
  <c r="AW44" i="58"/>
  <c r="AV44" i="58"/>
  <c r="AU44" i="58"/>
  <c r="AT44" i="58"/>
  <c r="AS44" i="58"/>
  <c r="Z44" i="58"/>
  <c r="Y44" i="58"/>
  <c r="X44" i="58"/>
  <c r="W44" i="58"/>
  <c r="V44" i="58"/>
  <c r="U44" i="58"/>
  <c r="B44" i="58"/>
  <c r="BJ63" i="58"/>
  <c r="BI63" i="58"/>
  <c r="BH63" i="58"/>
  <c r="BG63" i="58"/>
  <c r="AX63" i="58"/>
  <c r="AW63" i="58"/>
  <c r="AV63" i="58"/>
  <c r="AU63" i="58"/>
  <c r="AT63" i="58"/>
  <c r="AS63" i="58"/>
  <c r="Z63" i="58"/>
  <c r="Y63" i="58"/>
  <c r="X63" i="58"/>
  <c r="W63" i="58"/>
  <c r="V63" i="58"/>
  <c r="U63" i="58"/>
  <c r="B63" i="58"/>
  <c r="BJ62" i="58"/>
  <c r="BI62" i="58"/>
  <c r="BH62" i="58"/>
  <c r="BG62" i="58"/>
  <c r="AX62" i="58"/>
  <c r="AW62" i="58"/>
  <c r="AV62" i="58"/>
  <c r="AU62" i="58"/>
  <c r="AT62" i="58"/>
  <c r="AS62" i="58"/>
  <c r="Z62" i="58"/>
  <c r="Y62" i="58"/>
  <c r="X62" i="58"/>
  <c r="W62" i="58"/>
  <c r="V62" i="58"/>
  <c r="U62" i="58"/>
  <c r="B62" i="58"/>
  <c r="BJ61" i="58"/>
  <c r="BI61" i="58"/>
  <c r="BH61" i="58"/>
  <c r="BG61" i="58"/>
  <c r="AX61" i="58"/>
  <c r="AW61" i="58"/>
  <c r="AV61" i="58"/>
  <c r="AU61" i="58"/>
  <c r="AT61" i="58"/>
  <c r="AS61" i="58"/>
  <c r="Z61" i="58"/>
  <c r="Y61" i="58"/>
  <c r="X61" i="58"/>
  <c r="W61" i="58"/>
  <c r="V61" i="58"/>
  <c r="U61" i="58"/>
  <c r="B61" i="58"/>
  <c r="BJ74" i="58"/>
  <c r="BI74" i="58"/>
  <c r="BH74" i="58"/>
  <c r="BG74" i="58"/>
  <c r="AX74" i="58"/>
  <c r="AW74" i="58"/>
  <c r="AV74" i="58"/>
  <c r="AU74" i="58"/>
  <c r="AT74" i="58"/>
  <c r="AS74" i="58"/>
  <c r="Z74" i="58"/>
  <c r="Y74" i="58"/>
  <c r="X74" i="58"/>
  <c r="W74" i="58"/>
  <c r="V74" i="58"/>
  <c r="U74" i="58"/>
  <c r="B74" i="58"/>
  <c r="BJ73" i="58"/>
  <c r="BI73" i="58"/>
  <c r="BH73" i="58"/>
  <c r="BG73" i="58"/>
  <c r="AX73" i="58"/>
  <c r="AW73" i="58"/>
  <c r="AV73" i="58"/>
  <c r="AU73" i="58"/>
  <c r="AT73" i="58"/>
  <c r="AS73" i="58"/>
  <c r="Z73" i="58"/>
  <c r="Y73" i="58"/>
  <c r="X73" i="58"/>
  <c r="W73" i="58"/>
  <c r="V73" i="58"/>
  <c r="U73" i="58"/>
  <c r="B73" i="58"/>
  <c r="BJ72" i="58"/>
  <c r="BI72" i="58"/>
  <c r="BH72" i="58"/>
  <c r="BG72" i="58"/>
  <c r="AX72" i="58"/>
  <c r="AW72" i="58"/>
  <c r="AV72" i="58"/>
  <c r="AU72" i="58"/>
  <c r="AT72" i="58"/>
  <c r="AS72" i="58"/>
  <c r="Z72" i="58"/>
  <c r="Y72" i="58"/>
  <c r="X72" i="58"/>
  <c r="W72" i="58"/>
  <c r="V72" i="58"/>
  <c r="U72" i="58"/>
  <c r="B72" i="58"/>
  <c r="BJ71" i="58"/>
  <c r="BI71" i="58"/>
  <c r="BH71" i="58"/>
  <c r="BG71" i="58"/>
  <c r="AX71" i="58"/>
  <c r="AW71" i="58"/>
  <c r="AV71" i="58"/>
  <c r="AU71" i="58"/>
  <c r="AT71" i="58"/>
  <c r="AS71" i="58"/>
  <c r="Z71" i="58"/>
  <c r="Y71" i="58"/>
  <c r="X71" i="58"/>
  <c r="W71" i="58"/>
  <c r="V71" i="58"/>
  <c r="U71" i="58"/>
  <c r="B71" i="58"/>
  <c r="BJ70" i="58"/>
  <c r="BI70" i="58"/>
  <c r="BH70" i="58"/>
  <c r="BG70" i="58"/>
  <c r="AX70" i="58"/>
  <c r="AW70" i="58"/>
  <c r="AV70" i="58"/>
  <c r="AU70" i="58"/>
  <c r="AT70" i="58"/>
  <c r="AS70" i="58"/>
  <c r="Z70" i="58"/>
  <c r="Y70" i="58"/>
  <c r="X70" i="58"/>
  <c r="W70" i="58"/>
  <c r="V70" i="58"/>
  <c r="U70" i="58"/>
  <c r="B70" i="58"/>
  <c r="BJ69" i="58"/>
  <c r="BI69" i="58"/>
  <c r="BH69" i="58"/>
  <c r="BG69" i="58"/>
  <c r="AX69" i="58"/>
  <c r="AW69" i="58"/>
  <c r="AV69" i="58"/>
  <c r="AU69" i="58"/>
  <c r="AT69" i="58"/>
  <c r="AS69" i="58"/>
  <c r="Z69" i="58"/>
  <c r="Y69" i="58"/>
  <c r="X69" i="58"/>
  <c r="W69" i="58"/>
  <c r="V69" i="58"/>
  <c r="U69" i="58"/>
  <c r="B69" i="58"/>
  <c r="BJ68" i="58"/>
  <c r="BI68" i="58"/>
  <c r="BH68" i="58"/>
  <c r="BG68" i="58"/>
  <c r="AX68" i="58"/>
  <c r="AW68" i="58"/>
  <c r="AV68" i="58"/>
  <c r="AU68" i="58"/>
  <c r="AT68" i="58"/>
  <c r="AS68" i="58"/>
  <c r="Z68" i="58"/>
  <c r="Y68" i="58"/>
  <c r="X68" i="58"/>
  <c r="W68" i="58"/>
  <c r="V68" i="58"/>
  <c r="U68" i="58"/>
  <c r="B68" i="58"/>
  <c r="BJ67" i="58"/>
  <c r="BI67" i="58"/>
  <c r="BH67" i="58"/>
  <c r="BG67" i="58"/>
  <c r="AX67" i="58"/>
  <c r="AW67" i="58"/>
  <c r="AV67" i="58"/>
  <c r="AU67" i="58"/>
  <c r="AT67" i="58"/>
  <c r="AS67" i="58"/>
  <c r="Z67" i="58"/>
  <c r="Y67" i="58"/>
  <c r="X67" i="58"/>
  <c r="W67" i="58"/>
  <c r="V67" i="58"/>
  <c r="U67" i="58"/>
  <c r="B67" i="58"/>
  <c r="BJ66" i="58"/>
  <c r="BI66" i="58"/>
  <c r="BH66" i="58"/>
  <c r="BG66" i="58"/>
  <c r="AX66" i="58"/>
  <c r="AW66" i="58"/>
  <c r="AV66" i="58"/>
  <c r="AU66" i="58"/>
  <c r="AT66" i="58"/>
  <c r="AS66" i="58"/>
  <c r="Z66" i="58"/>
  <c r="Y66" i="58"/>
  <c r="X66" i="58"/>
  <c r="W66" i="58"/>
  <c r="V66" i="58"/>
  <c r="U66" i="58"/>
  <c r="B66" i="58"/>
  <c r="BJ77" i="58"/>
  <c r="BI77" i="58"/>
  <c r="BH77" i="58"/>
  <c r="BG77" i="58"/>
  <c r="AX77" i="58"/>
  <c r="AW77" i="58"/>
  <c r="AV77" i="58"/>
  <c r="AU77" i="58"/>
  <c r="AT77" i="58"/>
  <c r="AS77" i="58"/>
  <c r="Z77" i="58"/>
  <c r="Y77" i="58"/>
  <c r="X77" i="58"/>
  <c r="W77" i="58"/>
  <c r="V77" i="58"/>
  <c r="U77" i="58"/>
  <c r="B77" i="58"/>
  <c r="BJ81" i="58"/>
  <c r="BI81" i="58"/>
  <c r="BH81" i="58"/>
  <c r="BG81" i="58"/>
  <c r="AX81" i="58"/>
  <c r="AW81" i="58"/>
  <c r="AV81" i="58"/>
  <c r="AU81" i="58"/>
  <c r="AT81" i="58"/>
  <c r="AS81" i="58"/>
  <c r="Z81" i="58"/>
  <c r="Y81" i="58"/>
  <c r="X81" i="58"/>
  <c r="W81" i="58"/>
  <c r="V81" i="58"/>
  <c r="U81" i="58"/>
  <c r="B81" i="58"/>
  <c r="BJ80" i="58"/>
  <c r="BI80" i="58"/>
  <c r="BH80" i="58"/>
  <c r="BG80" i="58"/>
  <c r="AX80" i="58"/>
  <c r="AW80" i="58"/>
  <c r="AV80" i="58"/>
  <c r="AU80" i="58"/>
  <c r="AT80" i="58"/>
  <c r="AS80" i="58"/>
  <c r="Z80" i="58"/>
  <c r="Y80" i="58"/>
  <c r="X80" i="58"/>
  <c r="W80" i="58"/>
  <c r="V80" i="58"/>
  <c r="U80" i="58"/>
  <c r="B80" i="58"/>
  <c r="BJ86" i="58"/>
  <c r="BI86" i="58"/>
  <c r="BH86" i="58"/>
  <c r="BG86" i="58"/>
  <c r="AX86" i="58"/>
  <c r="AW86" i="58"/>
  <c r="AV86" i="58"/>
  <c r="AU86" i="58"/>
  <c r="AT86" i="58"/>
  <c r="AS86" i="58"/>
  <c r="Z86" i="58"/>
  <c r="Y86" i="58"/>
  <c r="X86" i="58"/>
  <c r="W86" i="58"/>
  <c r="V86" i="58"/>
  <c r="U86" i="58"/>
  <c r="B86" i="58"/>
  <c r="BJ85" i="58"/>
  <c r="BI85" i="58"/>
  <c r="BH85" i="58"/>
  <c r="BG85" i="58"/>
  <c r="AX85" i="58"/>
  <c r="AW85" i="58"/>
  <c r="AV85" i="58"/>
  <c r="AU85" i="58"/>
  <c r="AT85" i="58"/>
  <c r="AS85" i="58"/>
  <c r="Z85" i="58"/>
  <c r="Y85" i="58"/>
  <c r="X85" i="58"/>
  <c r="W85" i="58"/>
  <c r="V85" i="58"/>
  <c r="U85" i="58"/>
  <c r="B85" i="58"/>
  <c r="BJ84" i="58"/>
  <c r="BI84" i="58"/>
  <c r="BH84" i="58"/>
  <c r="BG84" i="58"/>
  <c r="AX84" i="58"/>
  <c r="AW84" i="58"/>
  <c r="AV84" i="58"/>
  <c r="AU84" i="58"/>
  <c r="AT84" i="58"/>
  <c r="AS84" i="58"/>
  <c r="Z84" i="58"/>
  <c r="Y84" i="58"/>
  <c r="X84" i="58"/>
  <c r="W84" i="58"/>
  <c r="V84" i="58"/>
  <c r="U84" i="58"/>
  <c r="B84" i="58"/>
  <c r="BJ91" i="58"/>
  <c r="BI91" i="58"/>
  <c r="BH91" i="58"/>
  <c r="BG91" i="58"/>
  <c r="AX91" i="58"/>
  <c r="AW91" i="58"/>
  <c r="AV91" i="58"/>
  <c r="AU91" i="58"/>
  <c r="AT91" i="58"/>
  <c r="AS91" i="58"/>
  <c r="Z91" i="58"/>
  <c r="Y91" i="58"/>
  <c r="X91" i="58"/>
  <c r="W91" i="58"/>
  <c r="V91" i="58"/>
  <c r="U91" i="58"/>
  <c r="B91" i="58"/>
  <c r="BJ90" i="58"/>
  <c r="BI90" i="58"/>
  <c r="BH90" i="58"/>
  <c r="BG90" i="58"/>
  <c r="AX90" i="58"/>
  <c r="AW90" i="58"/>
  <c r="AV90" i="58"/>
  <c r="AU90" i="58"/>
  <c r="AT90" i="58"/>
  <c r="AS90" i="58"/>
  <c r="Z90" i="58"/>
  <c r="Y90" i="58"/>
  <c r="X90" i="58"/>
  <c r="W90" i="58"/>
  <c r="V90" i="58"/>
  <c r="U90" i="58"/>
  <c r="B90" i="58"/>
  <c r="BJ89" i="58"/>
  <c r="BI89" i="58"/>
  <c r="BH89" i="58"/>
  <c r="BG89" i="58"/>
  <c r="AX89" i="58"/>
  <c r="AW89" i="58"/>
  <c r="AV89" i="58"/>
  <c r="AU89" i="58"/>
  <c r="AT89" i="58"/>
  <c r="AS89" i="58"/>
  <c r="Z89" i="58"/>
  <c r="Y89" i="58"/>
  <c r="X89" i="58"/>
  <c r="W89" i="58"/>
  <c r="V89" i="58"/>
  <c r="U89" i="58"/>
  <c r="B89" i="58"/>
  <c r="BJ97" i="58"/>
  <c r="BI97" i="58"/>
  <c r="BH97" i="58"/>
  <c r="BG97" i="58"/>
  <c r="AX97" i="58"/>
  <c r="AW97" i="58"/>
  <c r="AV97" i="58"/>
  <c r="AU97" i="58"/>
  <c r="AT97" i="58"/>
  <c r="AS97" i="58"/>
  <c r="Z97" i="58"/>
  <c r="Y97" i="58"/>
  <c r="X97" i="58"/>
  <c r="W97" i="58"/>
  <c r="V97" i="58"/>
  <c r="U97" i="58"/>
  <c r="B97" i="58"/>
  <c r="BJ96" i="58"/>
  <c r="BI96" i="58"/>
  <c r="BH96" i="58"/>
  <c r="BG96" i="58"/>
  <c r="AX96" i="58"/>
  <c r="AW96" i="58"/>
  <c r="AV96" i="58"/>
  <c r="AU96" i="58"/>
  <c r="AT96" i="58"/>
  <c r="AS96" i="58"/>
  <c r="Z96" i="58"/>
  <c r="Y96" i="58"/>
  <c r="X96" i="58"/>
  <c r="W96" i="58"/>
  <c r="V96" i="58"/>
  <c r="U96" i="58"/>
  <c r="B96" i="58"/>
  <c r="BJ95" i="58"/>
  <c r="BI95" i="58"/>
  <c r="BH95" i="58"/>
  <c r="BG95" i="58"/>
  <c r="AX95" i="58"/>
  <c r="AW95" i="58"/>
  <c r="AV95" i="58"/>
  <c r="AU95" i="58"/>
  <c r="AT95" i="58"/>
  <c r="AS95" i="58"/>
  <c r="Z95" i="58"/>
  <c r="Y95" i="58"/>
  <c r="X95" i="58"/>
  <c r="W95" i="58"/>
  <c r="V95" i="58"/>
  <c r="U95" i="58"/>
  <c r="B95" i="58"/>
  <c r="BJ94" i="58"/>
  <c r="BI94" i="58"/>
  <c r="BH94" i="58"/>
  <c r="BG94" i="58"/>
  <c r="AX94" i="58"/>
  <c r="AW94" i="58"/>
  <c r="AV94" i="58"/>
  <c r="AU94" i="58"/>
  <c r="AT94" i="58"/>
  <c r="AS94" i="58"/>
  <c r="Z94" i="58"/>
  <c r="Y94" i="58"/>
  <c r="X94" i="58"/>
  <c r="W94" i="58"/>
  <c r="V94" i="58"/>
  <c r="U94" i="58"/>
  <c r="B94" i="58"/>
  <c r="BJ103" i="58"/>
  <c r="BI103" i="58"/>
  <c r="BH103" i="58"/>
  <c r="BG103" i="58"/>
  <c r="AX103" i="58"/>
  <c r="AW103" i="58"/>
  <c r="AV103" i="58"/>
  <c r="AU103" i="58"/>
  <c r="AT103" i="58"/>
  <c r="AS103" i="58"/>
  <c r="Z103" i="58"/>
  <c r="Y103" i="58"/>
  <c r="X103" i="58"/>
  <c r="W103" i="58"/>
  <c r="V103" i="58"/>
  <c r="U103" i="58"/>
  <c r="B103" i="58"/>
  <c r="BJ102" i="58"/>
  <c r="BI102" i="58"/>
  <c r="BH102" i="58"/>
  <c r="BG102" i="58"/>
  <c r="AX102" i="58"/>
  <c r="AW102" i="58"/>
  <c r="AV102" i="58"/>
  <c r="AU102" i="58"/>
  <c r="AT102" i="58"/>
  <c r="AS102" i="58"/>
  <c r="Z102" i="58"/>
  <c r="Y102" i="58"/>
  <c r="X102" i="58"/>
  <c r="W102" i="58"/>
  <c r="V102" i="58"/>
  <c r="U102" i="58"/>
  <c r="B102" i="58"/>
  <c r="BJ101" i="58"/>
  <c r="BI101" i="58"/>
  <c r="BH101" i="58"/>
  <c r="BG101" i="58"/>
  <c r="AX101" i="58"/>
  <c r="AW101" i="58"/>
  <c r="AV101" i="58"/>
  <c r="AU101" i="58"/>
  <c r="AT101" i="58"/>
  <c r="AS101" i="58"/>
  <c r="Z101" i="58"/>
  <c r="Y101" i="58"/>
  <c r="X101" i="58"/>
  <c r="W101" i="58"/>
  <c r="V101" i="58"/>
  <c r="U101" i="58"/>
  <c r="B101" i="58"/>
  <c r="BJ100" i="58"/>
  <c r="BI100" i="58"/>
  <c r="BH100" i="58"/>
  <c r="BG100" i="58"/>
  <c r="AX100" i="58"/>
  <c r="AW100" i="58"/>
  <c r="AV100" i="58"/>
  <c r="AU100" i="58"/>
  <c r="AT100" i="58"/>
  <c r="AS100" i="58"/>
  <c r="Z100" i="58"/>
  <c r="Y100" i="58"/>
  <c r="X100" i="58"/>
  <c r="W100" i="58"/>
  <c r="V100" i="58"/>
  <c r="U100" i="58"/>
  <c r="B100" i="58"/>
  <c r="BJ106" i="58"/>
  <c r="BI106" i="58"/>
  <c r="BH106" i="58"/>
  <c r="BG106" i="58"/>
  <c r="AX106" i="58"/>
  <c r="AW106" i="58"/>
  <c r="AV106" i="58"/>
  <c r="AU106" i="58"/>
  <c r="AT106" i="58"/>
  <c r="AS106" i="58"/>
  <c r="Z106" i="58"/>
  <c r="Y106" i="58"/>
  <c r="X106" i="58"/>
  <c r="W106" i="58"/>
  <c r="V106" i="58"/>
  <c r="U106" i="58"/>
  <c r="B106" i="58"/>
  <c r="BJ109" i="58"/>
  <c r="BI109" i="58"/>
  <c r="BH109" i="58"/>
  <c r="BG109" i="58"/>
  <c r="AX109" i="58"/>
  <c r="AW109" i="58"/>
  <c r="AV109" i="58"/>
  <c r="AU109" i="58"/>
  <c r="AT109" i="58"/>
  <c r="AS109" i="58"/>
  <c r="Z109" i="58"/>
  <c r="Y109" i="58"/>
  <c r="X109" i="58"/>
  <c r="W109" i="58"/>
  <c r="V109" i="58"/>
  <c r="U109" i="58"/>
  <c r="B109" i="58"/>
  <c r="BN24" i="57"/>
  <c r="AZ24" i="57"/>
  <c r="AL24" i="57"/>
  <c r="X24" i="57"/>
  <c r="A24" i="57"/>
  <c r="BN23" i="57"/>
  <c r="AZ23" i="57"/>
  <c r="AL23" i="57"/>
  <c r="X23" i="57"/>
  <c r="A23" i="57"/>
  <c r="BN42" i="57"/>
  <c r="AZ42" i="57"/>
  <c r="AL42" i="57"/>
  <c r="X42" i="57"/>
  <c r="A42" i="57"/>
  <c r="BN41" i="57"/>
  <c r="AZ41" i="57"/>
  <c r="AL41" i="57"/>
  <c r="X41" i="57"/>
  <c r="A41" i="57"/>
  <c r="BN40" i="57"/>
  <c r="AZ40" i="57"/>
  <c r="AL40" i="57"/>
  <c r="X40" i="57"/>
  <c r="A40" i="57"/>
  <c r="BN39" i="57"/>
  <c r="AZ39" i="57"/>
  <c r="AL39" i="57"/>
  <c r="X39" i="57"/>
  <c r="A39" i="57"/>
  <c r="BN38" i="57"/>
  <c r="AZ38" i="57"/>
  <c r="AL38" i="57"/>
  <c r="X38" i="57"/>
  <c r="A38" i="57"/>
  <c r="BN37" i="57"/>
  <c r="AZ37" i="57"/>
  <c r="AL37" i="57"/>
  <c r="X37" i="57"/>
  <c r="A37" i="57"/>
  <c r="BN36" i="57"/>
  <c r="AZ36" i="57"/>
  <c r="AL36" i="57"/>
  <c r="X36" i="57"/>
  <c r="A36" i="57"/>
  <c r="BN35" i="57"/>
  <c r="AZ35" i="57"/>
  <c r="AL35" i="57"/>
  <c r="X35" i="57"/>
  <c r="A35" i="57"/>
  <c r="BN63" i="57"/>
  <c r="AZ63" i="57"/>
  <c r="AL63" i="57"/>
  <c r="X63" i="57"/>
  <c r="A63" i="57"/>
  <c r="BN62" i="57"/>
  <c r="AZ62" i="57"/>
  <c r="AL62" i="57"/>
  <c r="X62" i="57"/>
  <c r="A62" i="57"/>
  <c r="BN61" i="57"/>
  <c r="AZ61" i="57"/>
  <c r="AL61" i="57"/>
  <c r="X61" i="57"/>
  <c r="A61" i="57"/>
  <c r="BN60" i="57"/>
  <c r="AZ60" i="57"/>
  <c r="AL60" i="57"/>
  <c r="X60" i="57"/>
  <c r="A60" i="57"/>
  <c r="BN59" i="57"/>
  <c r="AZ59" i="57"/>
  <c r="AL59" i="57"/>
  <c r="X59" i="57"/>
  <c r="A59" i="57"/>
  <c r="BN58" i="57"/>
  <c r="AZ58" i="57"/>
  <c r="AL58" i="57"/>
  <c r="X58" i="57"/>
  <c r="A58" i="57"/>
  <c r="BN77" i="57"/>
  <c r="AZ77" i="57"/>
  <c r="AL77" i="57"/>
  <c r="X77" i="57"/>
  <c r="A77" i="57"/>
  <c r="BN76" i="57"/>
  <c r="AZ76" i="57"/>
  <c r="AL76" i="57"/>
  <c r="X76" i="57"/>
  <c r="A76" i="57"/>
  <c r="BN75" i="57"/>
  <c r="AZ75" i="57"/>
  <c r="AL75" i="57"/>
  <c r="X75" i="57"/>
  <c r="A75" i="57"/>
  <c r="BN74" i="57"/>
  <c r="AZ74" i="57"/>
  <c r="AL74" i="57"/>
  <c r="X74" i="57"/>
  <c r="A74" i="57"/>
  <c r="BN73" i="57"/>
  <c r="AZ73" i="57"/>
  <c r="AL73" i="57"/>
  <c r="X73" i="57"/>
  <c r="A73" i="57"/>
  <c r="BN72" i="57"/>
  <c r="AZ72" i="57"/>
  <c r="AL72" i="57"/>
  <c r="X72" i="57"/>
  <c r="A72" i="57"/>
  <c r="BN71" i="57"/>
  <c r="AZ71" i="57"/>
  <c r="AL71" i="57"/>
  <c r="X71" i="57"/>
  <c r="A71" i="57"/>
  <c r="BN70" i="57"/>
  <c r="AZ70" i="57"/>
  <c r="AL70" i="57"/>
  <c r="X70" i="57"/>
  <c r="A70" i="57"/>
  <c r="BN69" i="57"/>
  <c r="AZ69" i="57"/>
  <c r="AL69" i="57"/>
  <c r="X69" i="57"/>
  <c r="A69" i="57"/>
  <c r="BN68" i="57"/>
  <c r="AZ68" i="57"/>
  <c r="AL68" i="57"/>
  <c r="X68" i="57"/>
  <c r="A68" i="57"/>
  <c r="BN67" i="57"/>
  <c r="AZ67" i="57"/>
  <c r="AL67" i="57"/>
  <c r="X67" i="57"/>
  <c r="A67" i="57"/>
  <c r="BN66" i="57"/>
  <c r="AZ66" i="57"/>
  <c r="AL66" i="57"/>
  <c r="X66" i="57"/>
  <c r="A66" i="57"/>
  <c r="BN80" i="57"/>
  <c r="AZ80" i="57"/>
  <c r="AL80" i="57"/>
  <c r="X80" i="57"/>
  <c r="A80" i="57"/>
  <c r="BN85" i="57"/>
  <c r="AZ85" i="57"/>
  <c r="AL85" i="57"/>
  <c r="X85" i="57"/>
  <c r="A85" i="57"/>
  <c r="BN84" i="57"/>
  <c r="AZ84" i="57"/>
  <c r="AL84" i="57"/>
  <c r="X84" i="57"/>
  <c r="A84" i="57"/>
  <c r="BN83" i="57"/>
  <c r="AZ83" i="57"/>
  <c r="AL83" i="57"/>
  <c r="X83" i="57"/>
  <c r="A83" i="57"/>
  <c r="BN94" i="57"/>
  <c r="AZ94" i="57"/>
  <c r="AL94" i="57"/>
  <c r="X94" i="57"/>
  <c r="A94" i="57"/>
  <c r="BN93" i="57"/>
  <c r="AZ93" i="57"/>
  <c r="AL93" i="57"/>
  <c r="X93" i="57"/>
  <c r="A93" i="57"/>
  <c r="BN92" i="57"/>
  <c r="AZ92" i="57"/>
  <c r="AL92" i="57"/>
  <c r="X92" i="57"/>
  <c r="A92" i="57"/>
  <c r="BN91" i="57"/>
  <c r="AZ91" i="57"/>
  <c r="AL91" i="57"/>
  <c r="X91" i="57"/>
  <c r="A91" i="57"/>
  <c r="BN90" i="57"/>
  <c r="AZ90" i="57"/>
  <c r="AL90" i="57"/>
  <c r="X90" i="57"/>
  <c r="A90" i="57"/>
  <c r="BN89" i="57"/>
  <c r="AZ89" i="57"/>
  <c r="AL89" i="57"/>
  <c r="X89" i="57"/>
  <c r="A89" i="57"/>
  <c r="BN88" i="57"/>
  <c r="AZ88" i="57"/>
  <c r="AL88" i="57"/>
  <c r="X88" i="57"/>
  <c r="A88" i="57"/>
  <c r="BN101" i="57"/>
  <c r="AZ101" i="57"/>
  <c r="AL101" i="57"/>
  <c r="X101" i="57"/>
  <c r="A101" i="57"/>
  <c r="BN100" i="57"/>
  <c r="AZ100" i="57"/>
  <c r="AL100" i="57"/>
  <c r="X100" i="57"/>
  <c r="A100" i="57"/>
  <c r="BN99" i="57"/>
  <c r="AZ99" i="57"/>
  <c r="AL99" i="57"/>
  <c r="X99" i="57"/>
  <c r="A99" i="57"/>
  <c r="BN98" i="57"/>
  <c r="AZ98" i="57"/>
  <c r="AL98" i="57"/>
  <c r="X98" i="57"/>
  <c r="A98" i="57"/>
  <c r="BN97" i="57"/>
  <c r="AZ97" i="57"/>
  <c r="AL97" i="57"/>
  <c r="X97" i="57"/>
  <c r="A97" i="57"/>
  <c r="BN108" i="57"/>
  <c r="AZ108" i="57"/>
  <c r="AL108" i="57"/>
  <c r="X108" i="57"/>
  <c r="A108" i="57"/>
  <c r="BN107" i="57"/>
  <c r="AZ107" i="57"/>
  <c r="AL107" i="57"/>
  <c r="X107" i="57"/>
  <c r="A107" i="57"/>
  <c r="BN106" i="57"/>
  <c r="AZ106" i="57"/>
  <c r="AL106" i="57"/>
  <c r="X106" i="57"/>
  <c r="A106" i="57"/>
  <c r="BN105" i="57"/>
  <c r="AZ105" i="57"/>
  <c r="AL105" i="57"/>
  <c r="X105" i="57"/>
  <c r="A105" i="57"/>
  <c r="BN104" i="57"/>
  <c r="AZ104" i="57"/>
  <c r="AL104" i="57"/>
  <c r="X104" i="57"/>
  <c r="A104" i="57"/>
  <c r="BN114" i="57"/>
  <c r="AZ114" i="57"/>
  <c r="AL114" i="57"/>
  <c r="X114" i="57"/>
  <c r="A114" i="57"/>
  <c r="BN113" i="57"/>
  <c r="AZ113" i="57"/>
  <c r="AL113" i="57"/>
  <c r="X113" i="57"/>
  <c r="A113" i="57"/>
  <c r="BN112" i="57"/>
  <c r="AZ112" i="57"/>
  <c r="AL112" i="57"/>
  <c r="X112" i="57"/>
  <c r="A112" i="57"/>
  <c r="BN111" i="57"/>
  <c r="AZ111" i="57"/>
  <c r="AL111" i="57"/>
  <c r="X111" i="57"/>
  <c r="A111" i="57"/>
  <c r="BN119" i="57"/>
  <c r="AZ119" i="57"/>
  <c r="AL119" i="57"/>
  <c r="X119" i="57"/>
  <c r="A119" i="57"/>
  <c r="BN118" i="57"/>
  <c r="AZ118" i="57"/>
  <c r="AL118" i="57"/>
  <c r="X118" i="57"/>
  <c r="A118" i="57"/>
  <c r="BN117" i="57"/>
  <c r="AZ117" i="57"/>
  <c r="AL117" i="57"/>
  <c r="X117" i="57"/>
  <c r="A117" i="57"/>
  <c r="BN122" i="57"/>
  <c r="AZ122" i="57"/>
  <c r="AL122" i="57"/>
  <c r="X122" i="57"/>
  <c r="A122" i="57"/>
  <c r="BN134" i="57"/>
  <c r="AZ134" i="57"/>
  <c r="AL134" i="57"/>
  <c r="X134" i="57"/>
  <c r="A134" i="57"/>
  <c r="X151" i="57"/>
  <c r="A151" i="57"/>
  <c r="X150" i="57"/>
  <c r="A150" i="57"/>
  <c r="X149" i="57"/>
  <c r="A149" i="57"/>
  <c r="X148" i="57"/>
  <c r="A148" i="57"/>
  <c r="X147" i="57"/>
  <c r="A147" i="57"/>
  <c r="X146" i="57"/>
  <c r="A146" i="57"/>
  <c r="X145" i="57"/>
  <c r="A145" i="57"/>
  <c r="BN34" i="59"/>
  <c r="AZ34" i="59"/>
  <c r="AL34" i="59"/>
  <c r="X34" i="59"/>
  <c r="A34" i="59"/>
  <c r="BN33" i="59"/>
  <c r="AZ33" i="59"/>
  <c r="AL33" i="59"/>
  <c r="X33" i="59"/>
  <c r="A33" i="59"/>
  <c r="BN52" i="59"/>
  <c r="AZ52" i="59"/>
  <c r="AL52" i="59"/>
  <c r="X52" i="59"/>
  <c r="A52" i="59"/>
  <c r="BN51" i="59"/>
  <c r="AZ51" i="59"/>
  <c r="AL51" i="59"/>
  <c r="X51" i="59"/>
  <c r="A51" i="59"/>
  <c r="BN50" i="59"/>
  <c r="AZ50" i="59"/>
  <c r="AL50" i="59"/>
  <c r="X50" i="59"/>
  <c r="A50" i="59"/>
  <c r="BN63" i="59"/>
  <c r="AZ63" i="59"/>
  <c r="AL63" i="59"/>
  <c r="X63" i="59"/>
  <c r="A63" i="59"/>
  <c r="BN62" i="59"/>
  <c r="AZ62" i="59"/>
  <c r="AL62" i="59"/>
  <c r="X62" i="59"/>
  <c r="A62" i="59"/>
  <c r="BN61" i="59"/>
  <c r="AZ61" i="59"/>
  <c r="AL61" i="59"/>
  <c r="X61" i="59"/>
  <c r="A61" i="59"/>
  <c r="BN60" i="59"/>
  <c r="AZ60" i="59"/>
  <c r="AL60" i="59"/>
  <c r="X60" i="59"/>
  <c r="A60" i="59"/>
  <c r="BN59" i="59"/>
  <c r="AZ59" i="59"/>
  <c r="AL59" i="59"/>
  <c r="X59" i="59"/>
  <c r="A59" i="59"/>
  <c r="BN58" i="59"/>
  <c r="AZ58" i="59"/>
  <c r="AL58" i="59"/>
  <c r="X58" i="59"/>
  <c r="A58" i="59"/>
  <c r="BN57" i="59"/>
  <c r="AZ57" i="59"/>
  <c r="AL57" i="59"/>
  <c r="X57" i="59"/>
  <c r="A57" i="59"/>
  <c r="BN56" i="59"/>
  <c r="AZ56" i="59"/>
  <c r="AL56" i="59"/>
  <c r="X56" i="59"/>
  <c r="A56" i="59"/>
  <c r="BN55" i="59"/>
  <c r="AZ55" i="59"/>
  <c r="AL55" i="59"/>
  <c r="X55" i="59"/>
  <c r="A55" i="59"/>
  <c r="BN66" i="59"/>
  <c r="AZ66" i="59"/>
  <c r="AL66" i="59"/>
  <c r="X66" i="59"/>
  <c r="A66" i="59"/>
  <c r="BN70" i="59"/>
  <c r="AZ70" i="59"/>
  <c r="AL70" i="59"/>
  <c r="X70" i="59"/>
  <c r="A70" i="59"/>
  <c r="BN69" i="59"/>
  <c r="AZ69" i="59"/>
  <c r="AL69" i="59"/>
  <c r="X69" i="59"/>
  <c r="A69" i="59"/>
  <c r="BN75" i="59"/>
  <c r="AZ75" i="59"/>
  <c r="AL75" i="59"/>
  <c r="X75" i="59"/>
  <c r="A75" i="59"/>
  <c r="BN74" i="59"/>
  <c r="AZ74" i="59"/>
  <c r="AL74" i="59"/>
  <c r="X74" i="59"/>
  <c r="A74" i="59"/>
  <c r="BN73" i="59"/>
  <c r="AZ73" i="59"/>
  <c r="AL73" i="59"/>
  <c r="X73" i="59"/>
  <c r="A73" i="59"/>
  <c r="BN80" i="59"/>
  <c r="AZ80" i="59"/>
  <c r="AL80" i="59"/>
  <c r="X80" i="59"/>
  <c r="A80" i="59"/>
  <c r="BN79" i="59"/>
  <c r="AZ79" i="59"/>
  <c r="AL79" i="59"/>
  <c r="X79" i="59"/>
  <c r="A79" i="59"/>
  <c r="BN78" i="59"/>
  <c r="AZ78" i="59"/>
  <c r="AL78" i="59"/>
  <c r="X78" i="59"/>
  <c r="A78" i="59"/>
  <c r="BN86" i="59"/>
  <c r="AZ86" i="59"/>
  <c r="AL86" i="59"/>
  <c r="X86" i="59"/>
  <c r="A86" i="59"/>
  <c r="BN85" i="59"/>
  <c r="AZ85" i="59"/>
  <c r="AL85" i="59"/>
  <c r="X85" i="59"/>
  <c r="A85" i="59"/>
  <c r="BN84" i="59"/>
  <c r="AZ84" i="59"/>
  <c r="AL84" i="59"/>
  <c r="X84" i="59"/>
  <c r="A84" i="59"/>
  <c r="BN83" i="59"/>
  <c r="AZ83" i="59"/>
  <c r="AL83" i="59"/>
  <c r="X83" i="59"/>
  <c r="A83" i="59"/>
  <c r="BN92" i="59"/>
  <c r="AZ92" i="59"/>
  <c r="AL92" i="59"/>
  <c r="X92" i="59"/>
  <c r="A92" i="59"/>
  <c r="BN91" i="59"/>
  <c r="AZ91" i="59"/>
  <c r="AL91" i="59"/>
  <c r="X91" i="59"/>
  <c r="A91" i="59"/>
  <c r="BN90" i="59"/>
  <c r="AZ90" i="59"/>
  <c r="AL90" i="59"/>
  <c r="X90" i="59"/>
  <c r="A90" i="59"/>
  <c r="BN89" i="59"/>
  <c r="AZ89" i="59"/>
  <c r="AL89" i="59"/>
  <c r="X89" i="59"/>
  <c r="A89" i="59"/>
  <c r="BN95" i="59"/>
  <c r="AZ95" i="59"/>
  <c r="AL95" i="59"/>
  <c r="X95" i="59"/>
  <c r="A95" i="59"/>
  <c r="BN98" i="59"/>
  <c r="AZ98" i="59"/>
  <c r="AL98" i="59"/>
  <c r="X98" i="59"/>
  <c r="A98" i="59"/>
  <c r="BJ35" i="53"/>
  <c r="BI35" i="53"/>
  <c r="BH35" i="53"/>
  <c r="BG35" i="53"/>
  <c r="AX35" i="53"/>
  <c r="AW35" i="53"/>
  <c r="AV35" i="53"/>
  <c r="AU35" i="53"/>
  <c r="AT35" i="53"/>
  <c r="AS35" i="53"/>
  <c r="Z35" i="53"/>
  <c r="Y35" i="53"/>
  <c r="X35" i="53"/>
  <c r="W35" i="53"/>
  <c r="V35" i="53"/>
  <c r="U35" i="53"/>
  <c r="B35" i="53"/>
  <c r="BJ34" i="53"/>
  <c r="BI34" i="53"/>
  <c r="BH34" i="53"/>
  <c r="BG34" i="53"/>
  <c r="AX34" i="53"/>
  <c r="AW34" i="53"/>
  <c r="AV34" i="53"/>
  <c r="AU34" i="53"/>
  <c r="AT34" i="53"/>
  <c r="AS34" i="53"/>
  <c r="Z34" i="53"/>
  <c r="Y34" i="53"/>
  <c r="X34" i="53"/>
  <c r="W34" i="53"/>
  <c r="V34" i="53"/>
  <c r="U34" i="53"/>
  <c r="B34" i="53"/>
  <c r="BJ53" i="53"/>
  <c r="BI53" i="53"/>
  <c r="BH53" i="53"/>
  <c r="BG53" i="53"/>
  <c r="AX53" i="53"/>
  <c r="AW53" i="53"/>
  <c r="AV53" i="53"/>
  <c r="AU53" i="53"/>
  <c r="AT53" i="53"/>
  <c r="AS53" i="53"/>
  <c r="Z53" i="53"/>
  <c r="Y53" i="53"/>
  <c r="X53" i="53"/>
  <c r="W53" i="53"/>
  <c r="V53" i="53"/>
  <c r="U53" i="53"/>
  <c r="B53" i="53"/>
  <c r="BJ52" i="53"/>
  <c r="BI52" i="53"/>
  <c r="BH52" i="53"/>
  <c r="BG52" i="53"/>
  <c r="AX52" i="53"/>
  <c r="AW52" i="53"/>
  <c r="AV52" i="53"/>
  <c r="AU52" i="53"/>
  <c r="AT52" i="53"/>
  <c r="AS52" i="53"/>
  <c r="Z52" i="53"/>
  <c r="Y52" i="53"/>
  <c r="X52" i="53"/>
  <c r="W52" i="53"/>
  <c r="V52" i="53"/>
  <c r="U52" i="53"/>
  <c r="B52" i="53"/>
  <c r="BJ51" i="53"/>
  <c r="BI51" i="53"/>
  <c r="BH51" i="53"/>
  <c r="BG51" i="53"/>
  <c r="AX51" i="53"/>
  <c r="AW51" i="53"/>
  <c r="AV51" i="53"/>
  <c r="AU51" i="53"/>
  <c r="AT51" i="53"/>
  <c r="AS51" i="53"/>
  <c r="Z51" i="53"/>
  <c r="Y51" i="53"/>
  <c r="X51" i="53"/>
  <c r="W51" i="53"/>
  <c r="V51" i="53"/>
  <c r="U51" i="53"/>
  <c r="B51" i="53"/>
  <c r="BJ50" i="53"/>
  <c r="BI50" i="53"/>
  <c r="BH50" i="53"/>
  <c r="BG50" i="53"/>
  <c r="AX50" i="53"/>
  <c r="AW50" i="53"/>
  <c r="AV50" i="53"/>
  <c r="AU50" i="53"/>
  <c r="AT50" i="53"/>
  <c r="AS50" i="53"/>
  <c r="Z50" i="53"/>
  <c r="Y50" i="53"/>
  <c r="X50" i="53"/>
  <c r="W50" i="53"/>
  <c r="V50" i="53"/>
  <c r="U50" i="53"/>
  <c r="B50" i="53"/>
  <c r="BJ49" i="53"/>
  <c r="BI49" i="53"/>
  <c r="BH49" i="53"/>
  <c r="BG49" i="53"/>
  <c r="AX49" i="53"/>
  <c r="AW49" i="53"/>
  <c r="AV49" i="53"/>
  <c r="AU49" i="53"/>
  <c r="AT49" i="53"/>
  <c r="AS49" i="53"/>
  <c r="Z49" i="53"/>
  <c r="Y49" i="53"/>
  <c r="X49" i="53"/>
  <c r="W49" i="53"/>
  <c r="V49" i="53"/>
  <c r="U49" i="53"/>
  <c r="B49" i="53"/>
  <c r="BJ48" i="53"/>
  <c r="BI48" i="53"/>
  <c r="BH48" i="53"/>
  <c r="BG48" i="53"/>
  <c r="AX48" i="53"/>
  <c r="AW48" i="53"/>
  <c r="AV48" i="53"/>
  <c r="AU48" i="53"/>
  <c r="AT48" i="53"/>
  <c r="AS48" i="53"/>
  <c r="Z48" i="53"/>
  <c r="Y48" i="53"/>
  <c r="X48" i="53"/>
  <c r="W48" i="53"/>
  <c r="V48" i="53"/>
  <c r="U48" i="53"/>
  <c r="B48" i="53"/>
  <c r="BJ47" i="53"/>
  <c r="BI47" i="53"/>
  <c r="BH47" i="53"/>
  <c r="BG47" i="53"/>
  <c r="AX47" i="53"/>
  <c r="AW47" i="53"/>
  <c r="AV47" i="53"/>
  <c r="AU47" i="53"/>
  <c r="AT47" i="53"/>
  <c r="AS47" i="53"/>
  <c r="Z47" i="53"/>
  <c r="Y47" i="53"/>
  <c r="X47" i="53"/>
  <c r="W47" i="53"/>
  <c r="V47" i="53"/>
  <c r="U47" i="53"/>
  <c r="B47" i="53"/>
  <c r="BJ46" i="53"/>
  <c r="BI46" i="53"/>
  <c r="BH46" i="53"/>
  <c r="BG46" i="53"/>
  <c r="AX46" i="53"/>
  <c r="AW46" i="53"/>
  <c r="AV46" i="53"/>
  <c r="AU46" i="53"/>
  <c r="AT46" i="53"/>
  <c r="AS46" i="53"/>
  <c r="Z46" i="53"/>
  <c r="Y46" i="53"/>
  <c r="X46" i="53"/>
  <c r="W46" i="53"/>
  <c r="V46" i="53"/>
  <c r="U46" i="53"/>
  <c r="B46" i="53"/>
  <c r="BJ74" i="53"/>
  <c r="BI74" i="53"/>
  <c r="BH74" i="53"/>
  <c r="BG74" i="53"/>
  <c r="AX74" i="53"/>
  <c r="AW74" i="53"/>
  <c r="AV74" i="53"/>
  <c r="AU74" i="53"/>
  <c r="AT74" i="53"/>
  <c r="AS74" i="53"/>
  <c r="Z74" i="53"/>
  <c r="Y74" i="53"/>
  <c r="X74" i="53"/>
  <c r="W74" i="53"/>
  <c r="V74" i="53"/>
  <c r="U74" i="53"/>
  <c r="B74" i="53"/>
  <c r="BJ73" i="53"/>
  <c r="BI73" i="53"/>
  <c r="BH73" i="53"/>
  <c r="BG73" i="53"/>
  <c r="AX73" i="53"/>
  <c r="AW73" i="53"/>
  <c r="AV73" i="53"/>
  <c r="AU73" i="53"/>
  <c r="AT73" i="53"/>
  <c r="AS73" i="53"/>
  <c r="Z73" i="53"/>
  <c r="Y73" i="53"/>
  <c r="X73" i="53"/>
  <c r="W73" i="53"/>
  <c r="V73" i="53"/>
  <c r="U73" i="53"/>
  <c r="B73" i="53"/>
  <c r="BJ72" i="53"/>
  <c r="BI72" i="53"/>
  <c r="BH72" i="53"/>
  <c r="BG72" i="53"/>
  <c r="AX72" i="53"/>
  <c r="AW72" i="53"/>
  <c r="AV72" i="53"/>
  <c r="AU72" i="53"/>
  <c r="AT72" i="53"/>
  <c r="AS72" i="53"/>
  <c r="Z72" i="53"/>
  <c r="Y72" i="53"/>
  <c r="X72" i="53"/>
  <c r="W72" i="53"/>
  <c r="V72" i="53"/>
  <c r="U72" i="53"/>
  <c r="B72" i="53"/>
  <c r="BJ71" i="53"/>
  <c r="BI71" i="53"/>
  <c r="BH71" i="53"/>
  <c r="BG71" i="53"/>
  <c r="AX71" i="53"/>
  <c r="AW71" i="53"/>
  <c r="AV71" i="53"/>
  <c r="AU71" i="53"/>
  <c r="AT71" i="53"/>
  <c r="AS71" i="53"/>
  <c r="Z71" i="53"/>
  <c r="Y71" i="53"/>
  <c r="X71" i="53"/>
  <c r="W71" i="53"/>
  <c r="V71" i="53"/>
  <c r="U71" i="53"/>
  <c r="B71" i="53"/>
  <c r="BJ70" i="53"/>
  <c r="BI70" i="53"/>
  <c r="BH70" i="53"/>
  <c r="BG70" i="53"/>
  <c r="AX70" i="53"/>
  <c r="AW70" i="53"/>
  <c r="AV70" i="53"/>
  <c r="AU70" i="53"/>
  <c r="AT70" i="53"/>
  <c r="AS70" i="53"/>
  <c r="Z70" i="53"/>
  <c r="Y70" i="53"/>
  <c r="X70" i="53"/>
  <c r="W70" i="53"/>
  <c r="V70" i="53"/>
  <c r="U70" i="53"/>
  <c r="B70" i="53"/>
  <c r="BJ69" i="53"/>
  <c r="BI69" i="53"/>
  <c r="BH69" i="53"/>
  <c r="BG69" i="53"/>
  <c r="AX69" i="53"/>
  <c r="AW69" i="53"/>
  <c r="AV69" i="53"/>
  <c r="AU69" i="53"/>
  <c r="AT69" i="53"/>
  <c r="AS69" i="53"/>
  <c r="Z69" i="53"/>
  <c r="Y69" i="53"/>
  <c r="X69" i="53"/>
  <c r="W69" i="53"/>
  <c r="V69" i="53"/>
  <c r="U69" i="53"/>
  <c r="B69" i="53"/>
  <c r="BJ87" i="53"/>
  <c r="BI87" i="53"/>
  <c r="BH87" i="53"/>
  <c r="BG87" i="53"/>
  <c r="AX87" i="53"/>
  <c r="AW87" i="53"/>
  <c r="AV87" i="53"/>
  <c r="AU87" i="53"/>
  <c r="AT87" i="53"/>
  <c r="AS87" i="53"/>
  <c r="Z87" i="53"/>
  <c r="Y87" i="53"/>
  <c r="X87" i="53"/>
  <c r="W87" i="53"/>
  <c r="V87" i="53"/>
  <c r="U87" i="53"/>
  <c r="B87" i="53"/>
  <c r="BJ86" i="53"/>
  <c r="BI86" i="53"/>
  <c r="BH86" i="53"/>
  <c r="BG86" i="53"/>
  <c r="AX86" i="53"/>
  <c r="AW86" i="53"/>
  <c r="AV86" i="53"/>
  <c r="AU86" i="53"/>
  <c r="AT86" i="53"/>
  <c r="AS86" i="53"/>
  <c r="Z86" i="53"/>
  <c r="Y86" i="53"/>
  <c r="X86" i="53"/>
  <c r="W86" i="53"/>
  <c r="V86" i="53"/>
  <c r="U86" i="53"/>
  <c r="B86" i="53"/>
  <c r="BJ85" i="53"/>
  <c r="BI85" i="53"/>
  <c r="BH85" i="53"/>
  <c r="BG85" i="53"/>
  <c r="AX85" i="53"/>
  <c r="AW85" i="53"/>
  <c r="AV85" i="53"/>
  <c r="AU85" i="53"/>
  <c r="AT85" i="53"/>
  <c r="AS85" i="53"/>
  <c r="Z85" i="53"/>
  <c r="Y85" i="53"/>
  <c r="X85" i="53"/>
  <c r="W85" i="53"/>
  <c r="V85" i="53"/>
  <c r="U85" i="53"/>
  <c r="B85" i="53"/>
  <c r="BJ84" i="53"/>
  <c r="BI84" i="53"/>
  <c r="BH84" i="53"/>
  <c r="BG84" i="53"/>
  <c r="AX84" i="53"/>
  <c r="AW84" i="53"/>
  <c r="AV84" i="53"/>
  <c r="AU84" i="53"/>
  <c r="AT84" i="53"/>
  <c r="AS84" i="53"/>
  <c r="Z84" i="53"/>
  <c r="Y84" i="53"/>
  <c r="X84" i="53"/>
  <c r="W84" i="53"/>
  <c r="V84" i="53"/>
  <c r="U84" i="53"/>
  <c r="B84" i="53"/>
  <c r="BJ83" i="53"/>
  <c r="BI83" i="53"/>
  <c r="BH83" i="53"/>
  <c r="BG83" i="53"/>
  <c r="AX83" i="53"/>
  <c r="AW83" i="53"/>
  <c r="AV83" i="53"/>
  <c r="AU83" i="53"/>
  <c r="AT83" i="53"/>
  <c r="AS83" i="53"/>
  <c r="Z83" i="53"/>
  <c r="Y83" i="53"/>
  <c r="X83" i="53"/>
  <c r="W83" i="53"/>
  <c r="V83" i="53"/>
  <c r="U83" i="53"/>
  <c r="B83" i="53"/>
  <c r="BJ82" i="53"/>
  <c r="BI82" i="53"/>
  <c r="BH82" i="53"/>
  <c r="BG82" i="53"/>
  <c r="AX82" i="53"/>
  <c r="AW82" i="53"/>
  <c r="AV82" i="53"/>
  <c r="AU82" i="53"/>
  <c r="AT82" i="53"/>
  <c r="AS82" i="53"/>
  <c r="Z82" i="53"/>
  <c r="Y82" i="53"/>
  <c r="X82" i="53"/>
  <c r="W82" i="53"/>
  <c r="V82" i="53"/>
  <c r="U82" i="53"/>
  <c r="B82" i="53"/>
  <c r="BJ81" i="53"/>
  <c r="BI81" i="53"/>
  <c r="BH81" i="53"/>
  <c r="BG81" i="53"/>
  <c r="AX81" i="53"/>
  <c r="AW81" i="53"/>
  <c r="AV81" i="53"/>
  <c r="AU81" i="53"/>
  <c r="AT81" i="53"/>
  <c r="AS81" i="53"/>
  <c r="Z81" i="53"/>
  <c r="Y81" i="53"/>
  <c r="X81" i="53"/>
  <c r="W81" i="53"/>
  <c r="V81" i="53"/>
  <c r="U81" i="53"/>
  <c r="B81" i="53"/>
  <c r="BJ80" i="53"/>
  <c r="BI80" i="53"/>
  <c r="BH80" i="53"/>
  <c r="BG80" i="53"/>
  <c r="AX80" i="53"/>
  <c r="AW80" i="53"/>
  <c r="AV80" i="53"/>
  <c r="AU80" i="53"/>
  <c r="AT80" i="53"/>
  <c r="AS80" i="53"/>
  <c r="Z80" i="53"/>
  <c r="Y80" i="53"/>
  <c r="X80" i="53"/>
  <c r="W80" i="53"/>
  <c r="V80" i="53"/>
  <c r="U80" i="53"/>
  <c r="B80" i="53"/>
  <c r="BJ79" i="53"/>
  <c r="BI79" i="53"/>
  <c r="BH79" i="53"/>
  <c r="BG79" i="53"/>
  <c r="AX79" i="53"/>
  <c r="AW79" i="53"/>
  <c r="AV79" i="53"/>
  <c r="AU79" i="53"/>
  <c r="AT79" i="53"/>
  <c r="AS79" i="53"/>
  <c r="Z79" i="53"/>
  <c r="Y79" i="53"/>
  <c r="X79" i="53"/>
  <c r="W79" i="53"/>
  <c r="V79" i="53"/>
  <c r="U79" i="53"/>
  <c r="B79" i="53"/>
  <c r="BJ78" i="53"/>
  <c r="BI78" i="53"/>
  <c r="BH78" i="53"/>
  <c r="BG78" i="53"/>
  <c r="AX78" i="53"/>
  <c r="AW78" i="53"/>
  <c r="AV78" i="53"/>
  <c r="AU78" i="53"/>
  <c r="AT78" i="53"/>
  <c r="AS78" i="53"/>
  <c r="Z78" i="53"/>
  <c r="Y78" i="53"/>
  <c r="X78" i="53"/>
  <c r="W78" i="53"/>
  <c r="V78" i="53"/>
  <c r="U78" i="53"/>
  <c r="B78" i="53"/>
  <c r="BJ77" i="53"/>
  <c r="BI77" i="53"/>
  <c r="BH77" i="53"/>
  <c r="BG77" i="53"/>
  <c r="AX77" i="53"/>
  <c r="AW77" i="53"/>
  <c r="AV77" i="53"/>
  <c r="AU77" i="53"/>
  <c r="AT77" i="53"/>
  <c r="AS77" i="53"/>
  <c r="Z77" i="53"/>
  <c r="Y77" i="53"/>
  <c r="X77" i="53"/>
  <c r="W77" i="53"/>
  <c r="V77" i="53"/>
  <c r="U77" i="53"/>
  <c r="B77" i="53"/>
  <c r="BJ90" i="53"/>
  <c r="BI90" i="53"/>
  <c r="BH90" i="53"/>
  <c r="BG90" i="53"/>
  <c r="AX90" i="53"/>
  <c r="AW90" i="53"/>
  <c r="AV90" i="53"/>
  <c r="AU90" i="53"/>
  <c r="AT90" i="53"/>
  <c r="AS90" i="53"/>
  <c r="Z90" i="53"/>
  <c r="Y90" i="53"/>
  <c r="X90" i="53"/>
  <c r="W90" i="53"/>
  <c r="V90" i="53"/>
  <c r="U90" i="53"/>
  <c r="B90" i="53"/>
  <c r="BJ94" i="53"/>
  <c r="BI94" i="53"/>
  <c r="BH94" i="53"/>
  <c r="BG94" i="53"/>
  <c r="AX94" i="53"/>
  <c r="AW94" i="53"/>
  <c r="AV94" i="53"/>
  <c r="AU94" i="53"/>
  <c r="AT94" i="53"/>
  <c r="AS94" i="53"/>
  <c r="Z94" i="53"/>
  <c r="Y94" i="53"/>
  <c r="X94" i="53"/>
  <c r="W94" i="53"/>
  <c r="V94" i="53"/>
  <c r="U94" i="53"/>
  <c r="B94" i="53"/>
  <c r="BJ93" i="53"/>
  <c r="BI93" i="53"/>
  <c r="BH93" i="53"/>
  <c r="BG93" i="53"/>
  <c r="AX93" i="53"/>
  <c r="AW93" i="53"/>
  <c r="AV93" i="53"/>
  <c r="AU93" i="53"/>
  <c r="AT93" i="53"/>
  <c r="AS93" i="53"/>
  <c r="Z93" i="53"/>
  <c r="Y93" i="53"/>
  <c r="X93" i="53"/>
  <c r="W93" i="53"/>
  <c r="V93" i="53"/>
  <c r="U93" i="53"/>
  <c r="B93" i="53"/>
  <c r="BJ103" i="53"/>
  <c r="BI103" i="53"/>
  <c r="BH103" i="53"/>
  <c r="BG103" i="53"/>
  <c r="AX103" i="53"/>
  <c r="AW103" i="53"/>
  <c r="AV103" i="53"/>
  <c r="AU103" i="53"/>
  <c r="AT103" i="53"/>
  <c r="AS103" i="53"/>
  <c r="Z103" i="53"/>
  <c r="Y103" i="53"/>
  <c r="X103" i="53"/>
  <c r="W103" i="53"/>
  <c r="V103" i="53"/>
  <c r="U103" i="53"/>
  <c r="B103" i="53"/>
  <c r="BJ102" i="53"/>
  <c r="BI102" i="53"/>
  <c r="BH102" i="53"/>
  <c r="BG102" i="53"/>
  <c r="AX102" i="53"/>
  <c r="AW102" i="53"/>
  <c r="AV102" i="53"/>
  <c r="AU102" i="53"/>
  <c r="AT102" i="53"/>
  <c r="AS102" i="53"/>
  <c r="Z102" i="53"/>
  <c r="Y102" i="53"/>
  <c r="X102" i="53"/>
  <c r="W102" i="53"/>
  <c r="V102" i="53"/>
  <c r="U102" i="53"/>
  <c r="B102" i="53"/>
  <c r="BJ101" i="53"/>
  <c r="BI101" i="53"/>
  <c r="BH101" i="53"/>
  <c r="BG101" i="53"/>
  <c r="AX101" i="53"/>
  <c r="AW101" i="53"/>
  <c r="AV101" i="53"/>
  <c r="AU101" i="53"/>
  <c r="AT101" i="53"/>
  <c r="AS101" i="53"/>
  <c r="Z101" i="53"/>
  <c r="Y101" i="53"/>
  <c r="X101" i="53"/>
  <c r="W101" i="53"/>
  <c r="V101" i="53"/>
  <c r="U101" i="53"/>
  <c r="B101" i="53"/>
  <c r="BJ100" i="53"/>
  <c r="BI100" i="53"/>
  <c r="BH100" i="53"/>
  <c r="BG100" i="53"/>
  <c r="AX100" i="53"/>
  <c r="AW100" i="53"/>
  <c r="AV100" i="53"/>
  <c r="AU100" i="53"/>
  <c r="AT100" i="53"/>
  <c r="AS100" i="53"/>
  <c r="Z100" i="53"/>
  <c r="Y100" i="53"/>
  <c r="X100" i="53"/>
  <c r="W100" i="53"/>
  <c r="V100" i="53"/>
  <c r="U100" i="53"/>
  <c r="B100" i="53"/>
  <c r="BJ99" i="53"/>
  <c r="BI99" i="53"/>
  <c r="BH99" i="53"/>
  <c r="BG99" i="53"/>
  <c r="AX99" i="53"/>
  <c r="AW99" i="53"/>
  <c r="AV99" i="53"/>
  <c r="AU99" i="53"/>
  <c r="AT99" i="53"/>
  <c r="AS99" i="53"/>
  <c r="Z99" i="53"/>
  <c r="Y99" i="53"/>
  <c r="X99" i="53"/>
  <c r="W99" i="53"/>
  <c r="V99" i="53"/>
  <c r="U99" i="53"/>
  <c r="B99" i="53"/>
  <c r="BJ98" i="53"/>
  <c r="BI98" i="53"/>
  <c r="BH98" i="53"/>
  <c r="BG98" i="53"/>
  <c r="AX98" i="53"/>
  <c r="AW98" i="53"/>
  <c r="AV98" i="53"/>
  <c r="AU98" i="53"/>
  <c r="AT98" i="53"/>
  <c r="AS98" i="53"/>
  <c r="Z98" i="53"/>
  <c r="Y98" i="53"/>
  <c r="X98" i="53"/>
  <c r="W98" i="53"/>
  <c r="V98" i="53"/>
  <c r="U98" i="53"/>
  <c r="B98" i="53"/>
  <c r="BJ97" i="53"/>
  <c r="BI97" i="53"/>
  <c r="BH97" i="53"/>
  <c r="BG97" i="53"/>
  <c r="AX97" i="53"/>
  <c r="AW97" i="53"/>
  <c r="AV97" i="53"/>
  <c r="AU97" i="53"/>
  <c r="AT97" i="53"/>
  <c r="AS97" i="53"/>
  <c r="Z97" i="53"/>
  <c r="Y97" i="53"/>
  <c r="X97" i="53"/>
  <c r="W97" i="53"/>
  <c r="V97" i="53"/>
  <c r="U97" i="53"/>
  <c r="B97" i="53"/>
  <c r="BJ113" i="53"/>
  <c r="BI113" i="53"/>
  <c r="BH113" i="53"/>
  <c r="BG113" i="53"/>
  <c r="AX113" i="53"/>
  <c r="AW113" i="53"/>
  <c r="AV113" i="53"/>
  <c r="AU113" i="53"/>
  <c r="AT113" i="53"/>
  <c r="AS113" i="53"/>
  <c r="Z113" i="53"/>
  <c r="Y113" i="53"/>
  <c r="X113" i="53"/>
  <c r="W113" i="53"/>
  <c r="V113" i="53"/>
  <c r="U113" i="53"/>
  <c r="B113" i="53"/>
  <c r="BJ112" i="53"/>
  <c r="BI112" i="53"/>
  <c r="BH112" i="53"/>
  <c r="BG112" i="53"/>
  <c r="AX112" i="53"/>
  <c r="AW112" i="53"/>
  <c r="AV112" i="53"/>
  <c r="AU112" i="53"/>
  <c r="AT112" i="53"/>
  <c r="AS112" i="53"/>
  <c r="Z112" i="53"/>
  <c r="Y112" i="53"/>
  <c r="X112" i="53"/>
  <c r="W112" i="53"/>
  <c r="V112" i="53"/>
  <c r="U112" i="53"/>
  <c r="B112" i="53"/>
  <c r="BJ111" i="53"/>
  <c r="BI111" i="53"/>
  <c r="BH111" i="53"/>
  <c r="BG111" i="53"/>
  <c r="AX111" i="53"/>
  <c r="AW111" i="53"/>
  <c r="AV111" i="53"/>
  <c r="AU111" i="53"/>
  <c r="AT111" i="53"/>
  <c r="AS111" i="53"/>
  <c r="Z111" i="53"/>
  <c r="Y111" i="53"/>
  <c r="X111" i="53"/>
  <c r="W111" i="53"/>
  <c r="V111" i="53"/>
  <c r="U111" i="53"/>
  <c r="B111" i="53"/>
  <c r="BJ110" i="53"/>
  <c r="BI110" i="53"/>
  <c r="BH110" i="53"/>
  <c r="BG110" i="53"/>
  <c r="AX110" i="53"/>
  <c r="AW110" i="53"/>
  <c r="AV110" i="53"/>
  <c r="AU110" i="53"/>
  <c r="AT110" i="53"/>
  <c r="AS110" i="53"/>
  <c r="Z110" i="53"/>
  <c r="Y110" i="53"/>
  <c r="X110" i="53"/>
  <c r="W110" i="53"/>
  <c r="V110" i="53"/>
  <c r="U110" i="53"/>
  <c r="B110" i="53"/>
  <c r="BJ109" i="53"/>
  <c r="BI109" i="53"/>
  <c r="BH109" i="53"/>
  <c r="BG109" i="53"/>
  <c r="AX109" i="53"/>
  <c r="AW109" i="53"/>
  <c r="AV109" i="53"/>
  <c r="AU109" i="53"/>
  <c r="AT109" i="53"/>
  <c r="AS109" i="53"/>
  <c r="Z109" i="53"/>
  <c r="Y109" i="53"/>
  <c r="X109" i="53"/>
  <c r="W109" i="53"/>
  <c r="V109" i="53"/>
  <c r="U109" i="53"/>
  <c r="B109" i="53"/>
  <c r="BJ108" i="53"/>
  <c r="BI108" i="53"/>
  <c r="BH108" i="53"/>
  <c r="BG108" i="53"/>
  <c r="AX108" i="53"/>
  <c r="AW108" i="53"/>
  <c r="AV108" i="53"/>
  <c r="AU108" i="53"/>
  <c r="AT108" i="53"/>
  <c r="AS108" i="53"/>
  <c r="Z108" i="53"/>
  <c r="Y108" i="53"/>
  <c r="X108" i="53"/>
  <c r="W108" i="53"/>
  <c r="V108" i="53"/>
  <c r="U108" i="53"/>
  <c r="B108" i="53"/>
  <c r="BJ107" i="53"/>
  <c r="BI107" i="53"/>
  <c r="BH107" i="53"/>
  <c r="BG107" i="53"/>
  <c r="AX107" i="53"/>
  <c r="AW107" i="53"/>
  <c r="AV107" i="53"/>
  <c r="AU107" i="53"/>
  <c r="AT107" i="53"/>
  <c r="AS107" i="53"/>
  <c r="Z107" i="53"/>
  <c r="Y107" i="53"/>
  <c r="X107" i="53"/>
  <c r="W107" i="53"/>
  <c r="V107" i="53"/>
  <c r="U107" i="53"/>
  <c r="B107" i="53"/>
  <c r="BJ106" i="53"/>
  <c r="BI106" i="53"/>
  <c r="BH106" i="53"/>
  <c r="BG106" i="53"/>
  <c r="AX106" i="53"/>
  <c r="AW106" i="53"/>
  <c r="AV106" i="53"/>
  <c r="AU106" i="53"/>
  <c r="AT106" i="53"/>
  <c r="AS106" i="53"/>
  <c r="Z106" i="53"/>
  <c r="Y106" i="53"/>
  <c r="X106" i="53"/>
  <c r="W106" i="53"/>
  <c r="V106" i="53"/>
  <c r="U106" i="53"/>
  <c r="B106" i="53"/>
  <c r="BJ120" i="53"/>
  <c r="BI120" i="53"/>
  <c r="BH120" i="53"/>
  <c r="BG120" i="53"/>
  <c r="AX120" i="53"/>
  <c r="AW120" i="53"/>
  <c r="AV120" i="53"/>
  <c r="AU120" i="53"/>
  <c r="AT120" i="53"/>
  <c r="AS120" i="53"/>
  <c r="Z120" i="53"/>
  <c r="Y120" i="53"/>
  <c r="X120" i="53"/>
  <c r="W120" i="53"/>
  <c r="V120" i="53"/>
  <c r="U120" i="53"/>
  <c r="B120" i="53"/>
  <c r="BJ119" i="53"/>
  <c r="BI119" i="53"/>
  <c r="BH119" i="53"/>
  <c r="BG119" i="53"/>
  <c r="AX119" i="53"/>
  <c r="AW119" i="53"/>
  <c r="AV119" i="53"/>
  <c r="AU119" i="53"/>
  <c r="AT119" i="53"/>
  <c r="AS119" i="53"/>
  <c r="Z119" i="53"/>
  <c r="Y119" i="53"/>
  <c r="X119" i="53"/>
  <c r="W119" i="53"/>
  <c r="V119" i="53"/>
  <c r="U119" i="53"/>
  <c r="B119" i="53"/>
  <c r="BJ118" i="53"/>
  <c r="BI118" i="53"/>
  <c r="BH118" i="53"/>
  <c r="BG118" i="53"/>
  <c r="AX118" i="53"/>
  <c r="AW118" i="53"/>
  <c r="AV118" i="53"/>
  <c r="AU118" i="53"/>
  <c r="AT118" i="53"/>
  <c r="AS118" i="53"/>
  <c r="Z118" i="53"/>
  <c r="Y118" i="53"/>
  <c r="X118" i="53"/>
  <c r="W118" i="53"/>
  <c r="V118" i="53"/>
  <c r="U118" i="53"/>
  <c r="B118" i="53"/>
  <c r="BJ117" i="53"/>
  <c r="BI117" i="53"/>
  <c r="BH117" i="53"/>
  <c r="BG117" i="53"/>
  <c r="AX117" i="53"/>
  <c r="AW117" i="53"/>
  <c r="AV117" i="53"/>
  <c r="AU117" i="53"/>
  <c r="AT117" i="53"/>
  <c r="AS117" i="53"/>
  <c r="Z117" i="53"/>
  <c r="Y117" i="53"/>
  <c r="X117" i="53"/>
  <c r="W117" i="53"/>
  <c r="V117" i="53"/>
  <c r="U117" i="53"/>
  <c r="B117" i="53"/>
  <c r="BJ116" i="53"/>
  <c r="BI116" i="53"/>
  <c r="BH116" i="53"/>
  <c r="BG116" i="53"/>
  <c r="AX116" i="53"/>
  <c r="AW116" i="53"/>
  <c r="AV116" i="53"/>
  <c r="AU116" i="53"/>
  <c r="AT116" i="53"/>
  <c r="AS116" i="53"/>
  <c r="Z116" i="53"/>
  <c r="Y116" i="53"/>
  <c r="X116" i="53"/>
  <c r="W116" i="53"/>
  <c r="V116" i="53"/>
  <c r="U116" i="53"/>
  <c r="B116" i="53"/>
  <c r="BJ125" i="53"/>
  <c r="BI125" i="53"/>
  <c r="BH125" i="53"/>
  <c r="BG125" i="53"/>
  <c r="AX125" i="53"/>
  <c r="AW125" i="53"/>
  <c r="AV125" i="53"/>
  <c r="AU125" i="53"/>
  <c r="AT125" i="53"/>
  <c r="AS125" i="53"/>
  <c r="Z125" i="53"/>
  <c r="Y125" i="53"/>
  <c r="X125" i="53"/>
  <c r="W125" i="53"/>
  <c r="V125" i="53"/>
  <c r="U125" i="53"/>
  <c r="B125" i="53"/>
  <c r="BJ124" i="53"/>
  <c r="BI124" i="53"/>
  <c r="BH124" i="53"/>
  <c r="BG124" i="53"/>
  <c r="AX124" i="53"/>
  <c r="AW124" i="53"/>
  <c r="AV124" i="53"/>
  <c r="AU124" i="53"/>
  <c r="AT124" i="53"/>
  <c r="AS124" i="53"/>
  <c r="Z124" i="53"/>
  <c r="Y124" i="53"/>
  <c r="X124" i="53"/>
  <c r="W124" i="53"/>
  <c r="V124" i="53"/>
  <c r="U124" i="53"/>
  <c r="B124" i="53"/>
  <c r="BJ123" i="53"/>
  <c r="BI123" i="53"/>
  <c r="BH123" i="53"/>
  <c r="BG123" i="53"/>
  <c r="AX123" i="53"/>
  <c r="AW123" i="53"/>
  <c r="AV123" i="53"/>
  <c r="AU123" i="53"/>
  <c r="AT123" i="53"/>
  <c r="AS123" i="53"/>
  <c r="Z123" i="53"/>
  <c r="Y123" i="53"/>
  <c r="X123" i="53"/>
  <c r="W123" i="53"/>
  <c r="V123" i="53"/>
  <c r="U123" i="53"/>
  <c r="B123" i="53"/>
  <c r="BJ128" i="53"/>
  <c r="BI128" i="53"/>
  <c r="BH128" i="53"/>
  <c r="BG128" i="53"/>
  <c r="AX128" i="53"/>
  <c r="AW128" i="53"/>
  <c r="AV128" i="53"/>
  <c r="AU128" i="53"/>
  <c r="AT128" i="53"/>
  <c r="AS128" i="53"/>
  <c r="Z128" i="53"/>
  <c r="Y128" i="53"/>
  <c r="X128" i="53"/>
  <c r="W128" i="53"/>
  <c r="V128" i="53"/>
  <c r="U128" i="53"/>
  <c r="B128" i="53"/>
  <c r="BJ131" i="53"/>
  <c r="BI131" i="53"/>
  <c r="BH131" i="53"/>
  <c r="BG131" i="53"/>
  <c r="AX131" i="53"/>
  <c r="AW131" i="53"/>
  <c r="AV131" i="53"/>
  <c r="AU131" i="53"/>
  <c r="AT131" i="53"/>
  <c r="AS131" i="53"/>
  <c r="Z131" i="53"/>
  <c r="Y131" i="53"/>
  <c r="X131" i="53"/>
  <c r="W131" i="53"/>
  <c r="V131" i="53"/>
  <c r="U131" i="53"/>
  <c r="B131" i="53"/>
  <c r="BJ160" i="53"/>
  <c r="BI160" i="53"/>
  <c r="BH160" i="53"/>
  <c r="BG160" i="53"/>
  <c r="AX160" i="53"/>
  <c r="AW160" i="53"/>
  <c r="AV160" i="53"/>
  <c r="AU160" i="53"/>
  <c r="AT160" i="53"/>
  <c r="AS160" i="53"/>
  <c r="AI160" i="53"/>
  <c r="AH160" i="53"/>
  <c r="AG160" i="53"/>
  <c r="AF160" i="53"/>
  <c r="Z160" i="53"/>
  <c r="Y160" i="53"/>
  <c r="X160" i="53"/>
  <c r="W160" i="53"/>
  <c r="V160" i="53"/>
  <c r="U160" i="53"/>
  <c r="B160" i="53"/>
  <c r="BJ159" i="53"/>
  <c r="BI159" i="53"/>
  <c r="BH159" i="53"/>
  <c r="BG159" i="53"/>
  <c r="AX159" i="53"/>
  <c r="AW159" i="53"/>
  <c r="AV159" i="53"/>
  <c r="AU159" i="53"/>
  <c r="AT159" i="53"/>
  <c r="AS159" i="53"/>
  <c r="AI159" i="53"/>
  <c r="AH159" i="53"/>
  <c r="AG159" i="53"/>
  <c r="AF159" i="53"/>
  <c r="Z159" i="53"/>
  <c r="Y159" i="53"/>
  <c r="X159" i="53"/>
  <c r="W159" i="53"/>
  <c r="V159" i="53"/>
  <c r="U159" i="53"/>
  <c r="B159" i="53"/>
  <c r="BJ158" i="53"/>
  <c r="BI158" i="53"/>
  <c r="BH158" i="53"/>
  <c r="BG158" i="53"/>
  <c r="AX158" i="53"/>
  <c r="AW158" i="53"/>
  <c r="AV158" i="53"/>
  <c r="AU158" i="53"/>
  <c r="AT158" i="53"/>
  <c r="AS158" i="53"/>
  <c r="AI158" i="53"/>
  <c r="AH158" i="53"/>
  <c r="AG158" i="53"/>
  <c r="AF158" i="53"/>
  <c r="Z158" i="53"/>
  <c r="Y158" i="53"/>
  <c r="X158" i="53"/>
  <c r="W158" i="53"/>
  <c r="V158" i="53"/>
  <c r="U158" i="53"/>
  <c r="B158" i="53"/>
  <c r="BJ157" i="53"/>
  <c r="BI157" i="53"/>
  <c r="BH157" i="53"/>
  <c r="BG157" i="53"/>
  <c r="AX157" i="53"/>
  <c r="AW157" i="53"/>
  <c r="AV157" i="53"/>
  <c r="AU157" i="53"/>
  <c r="AT157" i="53"/>
  <c r="AS157" i="53"/>
  <c r="AI157" i="53"/>
  <c r="AH157" i="53"/>
  <c r="AG157" i="53"/>
  <c r="AF157" i="53"/>
  <c r="Z157" i="53"/>
  <c r="Y157" i="53"/>
  <c r="X157" i="53"/>
  <c r="W157" i="53"/>
  <c r="V157" i="53"/>
  <c r="U157" i="53"/>
  <c r="B157" i="53"/>
  <c r="BJ156" i="53"/>
  <c r="BI156" i="53"/>
  <c r="BH156" i="53"/>
  <c r="BG156" i="53"/>
  <c r="AX156" i="53"/>
  <c r="AW156" i="53"/>
  <c r="AV156" i="53"/>
  <c r="AU156" i="53"/>
  <c r="AT156" i="53"/>
  <c r="AS156" i="53"/>
  <c r="AI156" i="53"/>
  <c r="AH156" i="53"/>
  <c r="AG156" i="53"/>
  <c r="AF156" i="53"/>
  <c r="Z156" i="53"/>
  <c r="Y156" i="53"/>
  <c r="X156" i="53"/>
  <c r="W156" i="53"/>
  <c r="V156" i="53"/>
  <c r="U156" i="53"/>
  <c r="B156" i="53"/>
  <c r="BJ35" i="56"/>
  <c r="BI35" i="56"/>
  <c r="BH35" i="56"/>
  <c r="BG35" i="56"/>
  <c r="AX35" i="56"/>
  <c r="AW35" i="56"/>
  <c r="AV35" i="56"/>
  <c r="AU35" i="56"/>
  <c r="AT35" i="56"/>
  <c r="AS35" i="56"/>
  <c r="Z35" i="56"/>
  <c r="Y35" i="56"/>
  <c r="X35" i="56"/>
  <c r="W35" i="56"/>
  <c r="V35" i="56"/>
  <c r="U35" i="56"/>
  <c r="B35" i="56"/>
  <c r="BJ34" i="56"/>
  <c r="BI34" i="56"/>
  <c r="BH34" i="56"/>
  <c r="BG34" i="56"/>
  <c r="AX34" i="56"/>
  <c r="AW34" i="56"/>
  <c r="AV34" i="56"/>
  <c r="AU34" i="56"/>
  <c r="AT34" i="56"/>
  <c r="AS34" i="56"/>
  <c r="Z34" i="56"/>
  <c r="Y34" i="56"/>
  <c r="X34" i="56"/>
  <c r="W34" i="56"/>
  <c r="V34" i="56"/>
  <c r="U34" i="56"/>
  <c r="B34" i="56"/>
  <c r="BJ53" i="56"/>
  <c r="BI53" i="56"/>
  <c r="BH53" i="56"/>
  <c r="BG53" i="56"/>
  <c r="AX53" i="56"/>
  <c r="AW53" i="56"/>
  <c r="AV53" i="56"/>
  <c r="AU53" i="56"/>
  <c r="AT53" i="56"/>
  <c r="AS53" i="56"/>
  <c r="Z53" i="56"/>
  <c r="Y53" i="56"/>
  <c r="X53" i="56"/>
  <c r="W53" i="56"/>
  <c r="V53" i="56"/>
  <c r="U53" i="56"/>
  <c r="B53" i="56"/>
  <c r="BJ52" i="56"/>
  <c r="BI52" i="56"/>
  <c r="BH52" i="56"/>
  <c r="BG52" i="56"/>
  <c r="AX52" i="56"/>
  <c r="AW52" i="56"/>
  <c r="AV52" i="56"/>
  <c r="AU52" i="56"/>
  <c r="AT52" i="56"/>
  <c r="AS52" i="56"/>
  <c r="Z52" i="56"/>
  <c r="Y52" i="56"/>
  <c r="X52" i="56"/>
  <c r="W52" i="56"/>
  <c r="V52" i="56"/>
  <c r="U52" i="56"/>
  <c r="B52" i="56"/>
  <c r="BJ51" i="56"/>
  <c r="BI51" i="56"/>
  <c r="BH51" i="56"/>
  <c r="BG51" i="56"/>
  <c r="AX51" i="56"/>
  <c r="AW51" i="56"/>
  <c r="AV51" i="56"/>
  <c r="AU51" i="56"/>
  <c r="AT51" i="56"/>
  <c r="AS51" i="56"/>
  <c r="Z51" i="56"/>
  <c r="Y51" i="56"/>
  <c r="X51" i="56"/>
  <c r="W51" i="56"/>
  <c r="V51" i="56"/>
  <c r="U51" i="56"/>
  <c r="B51" i="56"/>
  <c r="BJ50" i="56"/>
  <c r="BI50" i="56"/>
  <c r="BH50" i="56"/>
  <c r="BG50" i="56"/>
  <c r="AX50" i="56"/>
  <c r="AW50" i="56"/>
  <c r="AV50" i="56"/>
  <c r="AU50" i="56"/>
  <c r="AT50" i="56"/>
  <c r="AS50" i="56"/>
  <c r="Z50" i="56"/>
  <c r="Y50" i="56"/>
  <c r="X50" i="56"/>
  <c r="W50" i="56"/>
  <c r="V50" i="56"/>
  <c r="U50" i="56"/>
  <c r="B50" i="56"/>
  <c r="BJ49" i="56"/>
  <c r="BI49" i="56"/>
  <c r="BH49" i="56"/>
  <c r="BG49" i="56"/>
  <c r="AX49" i="56"/>
  <c r="AW49" i="56"/>
  <c r="AV49" i="56"/>
  <c r="AU49" i="56"/>
  <c r="AT49" i="56"/>
  <c r="AS49" i="56"/>
  <c r="Z49" i="56"/>
  <c r="Y49" i="56"/>
  <c r="X49" i="56"/>
  <c r="W49" i="56"/>
  <c r="V49" i="56"/>
  <c r="U49" i="56"/>
  <c r="B49" i="56"/>
  <c r="BJ48" i="56"/>
  <c r="BI48" i="56"/>
  <c r="BH48" i="56"/>
  <c r="BG48" i="56"/>
  <c r="AX48" i="56"/>
  <c r="AW48" i="56"/>
  <c r="AV48" i="56"/>
  <c r="AU48" i="56"/>
  <c r="AT48" i="56"/>
  <c r="AS48" i="56"/>
  <c r="Z48" i="56"/>
  <c r="Y48" i="56"/>
  <c r="X48" i="56"/>
  <c r="W48" i="56"/>
  <c r="V48" i="56"/>
  <c r="U48" i="56"/>
  <c r="B48" i="56"/>
  <c r="BJ47" i="56"/>
  <c r="BI47" i="56"/>
  <c r="BH47" i="56"/>
  <c r="BG47" i="56"/>
  <c r="AX47" i="56"/>
  <c r="AW47" i="56"/>
  <c r="AV47" i="56"/>
  <c r="AU47" i="56"/>
  <c r="AT47" i="56"/>
  <c r="AS47" i="56"/>
  <c r="Z47" i="56"/>
  <c r="Y47" i="56"/>
  <c r="X47" i="56"/>
  <c r="W47" i="56"/>
  <c r="V47" i="56"/>
  <c r="U47" i="56"/>
  <c r="B47" i="56"/>
  <c r="BJ46" i="56"/>
  <c r="BI46" i="56"/>
  <c r="BH46" i="56"/>
  <c r="BG46" i="56"/>
  <c r="AX46" i="56"/>
  <c r="AW46" i="56"/>
  <c r="AV46" i="56"/>
  <c r="AU46" i="56"/>
  <c r="AT46" i="56"/>
  <c r="AS46" i="56"/>
  <c r="Z46" i="56"/>
  <c r="Y46" i="56"/>
  <c r="X46" i="56"/>
  <c r="W46" i="56"/>
  <c r="V46" i="56"/>
  <c r="U46" i="56"/>
  <c r="B46" i="56"/>
  <c r="BJ74" i="56"/>
  <c r="BI74" i="56"/>
  <c r="BH74" i="56"/>
  <c r="BG74" i="56"/>
  <c r="AX74" i="56"/>
  <c r="AW74" i="56"/>
  <c r="AV74" i="56"/>
  <c r="AU74" i="56"/>
  <c r="AT74" i="56"/>
  <c r="AS74" i="56"/>
  <c r="Z74" i="56"/>
  <c r="Y74" i="56"/>
  <c r="X74" i="56"/>
  <c r="W74" i="56"/>
  <c r="V74" i="56"/>
  <c r="U74" i="56"/>
  <c r="B74" i="56"/>
  <c r="BJ73" i="56"/>
  <c r="BI73" i="56"/>
  <c r="BH73" i="56"/>
  <c r="BG73" i="56"/>
  <c r="AX73" i="56"/>
  <c r="AW73" i="56"/>
  <c r="AV73" i="56"/>
  <c r="AU73" i="56"/>
  <c r="AT73" i="56"/>
  <c r="AS73" i="56"/>
  <c r="Z73" i="56"/>
  <c r="Y73" i="56"/>
  <c r="X73" i="56"/>
  <c r="W73" i="56"/>
  <c r="V73" i="56"/>
  <c r="U73" i="56"/>
  <c r="B73" i="56"/>
  <c r="BJ72" i="56"/>
  <c r="BI72" i="56"/>
  <c r="BH72" i="56"/>
  <c r="BG72" i="56"/>
  <c r="AX72" i="56"/>
  <c r="AW72" i="56"/>
  <c r="AV72" i="56"/>
  <c r="AU72" i="56"/>
  <c r="AT72" i="56"/>
  <c r="AS72" i="56"/>
  <c r="Z72" i="56"/>
  <c r="Y72" i="56"/>
  <c r="X72" i="56"/>
  <c r="W72" i="56"/>
  <c r="V72" i="56"/>
  <c r="U72" i="56"/>
  <c r="B72" i="56"/>
  <c r="BJ71" i="56"/>
  <c r="BI71" i="56"/>
  <c r="BH71" i="56"/>
  <c r="BG71" i="56"/>
  <c r="AX71" i="56"/>
  <c r="AW71" i="56"/>
  <c r="AV71" i="56"/>
  <c r="AU71" i="56"/>
  <c r="AT71" i="56"/>
  <c r="AS71" i="56"/>
  <c r="Z71" i="56"/>
  <c r="Y71" i="56"/>
  <c r="X71" i="56"/>
  <c r="W71" i="56"/>
  <c r="V71" i="56"/>
  <c r="U71" i="56"/>
  <c r="B71" i="56"/>
  <c r="BJ70" i="56"/>
  <c r="BI70" i="56"/>
  <c r="BH70" i="56"/>
  <c r="BG70" i="56"/>
  <c r="AX70" i="56"/>
  <c r="AW70" i="56"/>
  <c r="AV70" i="56"/>
  <c r="AU70" i="56"/>
  <c r="AT70" i="56"/>
  <c r="AS70" i="56"/>
  <c r="Z70" i="56"/>
  <c r="Y70" i="56"/>
  <c r="X70" i="56"/>
  <c r="W70" i="56"/>
  <c r="V70" i="56"/>
  <c r="U70" i="56"/>
  <c r="B70" i="56"/>
  <c r="BJ69" i="56"/>
  <c r="BI69" i="56"/>
  <c r="BH69" i="56"/>
  <c r="BG69" i="56"/>
  <c r="AX69" i="56"/>
  <c r="AW69" i="56"/>
  <c r="AV69" i="56"/>
  <c r="AU69" i="56"/>
  <c r="AT69" i="56"/>
  <c r="AS69" i="56"/>
  <c r="Z69" i="56"/>
  <c r="Y69" i="56"/>
  <c r="X69" i="56"/>
  <c r="W69" i="56"/>
  <c r="V69" i="56"/>
  <c r="U69" i="56"/>
  <c r="B69" i="56"/>
  <c r="BJ88" i="56"/>
  <c r="BI88" i="56"/>
  <c r="BH88" i="56"/>
  <c r="BG88" i="56"/>
  <c r="AX88" i="56"/>
  <c r="AW88" i="56"/>
  <c r="AV88" i="56"/>
  <c r="AU88" i="56"/>
  <c r="AT88" i="56"/>
  <c r="AS88" i="56"/>
  <c r="Z88" i="56"/>
  <c r="Y88" i="56"/>
  <c r="X88" i="56"/>
  <c r="W88" i="56"/>
  <c r="V88" i="56"/>
  <c r="U88" i="56"/>
  <c r="B88" i="56"/>
  <c r="BJ87" i="56"/>
  <c r="BI87" i="56"/>
  <c r="BH87" i="56"/>
  <c r="BG87" i="56"/>
  <c r="AX87" i="56"/>
  <c r="AW87" i="56"/>
  <c r="AV87" i="56"/>
  <c r="AU87" i="56"/>
  <c r="AT87" i="56"/>
  <c r="AS87" i="56"/>
  <c r="Z87" i="56"/>
  <c r="Y87" i="56"/>
  <c r="X87" i="56"/>
  <c r="W87" i="56"/>
  <c r="V87" i="56"/>
  <c r="U87" i="56"/>
  <c r="B87" i="56"/>
  <c r="BJ86" i="56"/>
  <c r="BI86" i="56"/>
  <c r="BH86" i="56"/>
  <c r="BG86" i="56"/>
  <c r="AX86" i="56"/>
  <c r="AW86" i="56"/>
  <c r="AV86" i="56"/>
  <c r="AU86" i="56"/>
  <c r="AT86" i="56"/>
  <c r="AS86" i="56"/>
  <c r="Z86" i="56"/>
  <c r="Y86" i="56"/>
  <c r="X86" i="56"/>
  <c r="W86" i="56"/>
  <c r="V86" i="56"/>
  <c r="U86" i="56"/>
  <c r="B86" i="56"/>
  <c r="BJ85" i="56"/>
  <c r="BI85" i="56"/>
  <c r="BH85" i="56"/>
  <c r="BG85" i="56"/>
  <c r="AX85" i="56"/>
  <c r="AW85" i="56"/>
  <c r="AV85" i="56"/>
  <c r="AU85" i="56"/>
  <c r="AT85" i="56"/>
  <c r="AS85" i="56"/>
  <c r="Z85" i="56"/>
  <c r="Y85" i="56"/>
  <c r="X85" i="56"/>
  <c r="W85" i="56"/>
  <c r="V85" i="56"/>
  <c r="U85" i="56"/>
  <c r="B85" i="56"/>
  <c r="BJ84" i="56"/>
  <c r="BI84" i="56"/>
  <c r="BH84" i="56"/>
  <c r="BG84" i="56"/>
  <c r="AX84" i="56"/>
  <c r="AW84" i="56"/>
  <c r="AV84" i="56"/>
  <c r="AU84" i="56"/>
  <c r="AT84" i="56"/>
  <c r="AS84" i="56"/>
  <c r="Z84" i="56"/>
  <c r="Y84" i="56"/>
  <c r="X84" i="56"/>
  <c r="W84" i="56"/>
  <c r="V84" i="56"/>
  <c r="U84" i="56"/>
  <c r="B84" i="56"/>
  <c r="BJ83" i="56"/>
  <c r="BI83" i="56"/>
  <c r="BH83" i="56"/>
  <c r="BG83" i="56"/>
  <c r="AX83" i="56"/>
  <c r="AW83" i="56"/>
  <c r="AV83" i="56"/>
  <c r="AU83" i="56"/>
  <c r="AT83" i="56"/>
  <c r="AS83" i="56"/>
  <c r="Z83" i="56"/>
  <c r="Y83" i="56"/>
  <c r="X83" i="56"/>
  <c r="W83" i="56"/>
  <c r="V83" i="56"/>
  <c r="U83" i="56"/>
  <c r="B83" i="56"/>
  <c r="BJ82" i="56"/>
  <c r="BI82" i="56"/>
  <c r="BH82" i="56"/>
  <c r="BG82" i="56"/>
  <c r="AX82" i="56"/>
  <c r="AW82" i="56"/>
  <c r="AV82" i="56"/>
  <c r="AU82" i="56"/>
  <c r="AT82" i="56"/>
  <c r="AS82" i="56"/>
  <c r="Z82" i="56"/>
  <c r="Y82" i="56"/>
  <c r="X82" i="56"/>
  <c r="W82" i="56"/>
  <c r="V82" i="56"/>
  <c r="U82" i="56"/>
  <c r="B82" i="56"/>
  <c r="BJ81" i="56"/>
  <c r="BI81" i="56"/>
  <c r="BH81" i="56"/>
  <c r="BG81" i="56"/>
  <c r="AX81" i="56"/>
  <c r="AW81" i="56"/>
  <c r="AV81" i="56"/>
  <c r="AU81" i="56"/>
  <c r="AT81" i="56"/>
  <c r="AS81" i="56"/>
  <c r="Z81" i="56"/>
  <c r="Y81" i="56"/>
  <c r="X81" i="56"/>
  <c r="W81" i="56"/>
  <c r="V81" i="56"/>
  <c r="U81" i="56"/>
  <c r="B81" i="56"/>
  <c r="BJ80" i="56"/>
  <c r="BI80" i="56"/>
  <c r="BH80" i="56"/>
  <c r="BG80" i="56"/>
  <c r="AX80" i="56"/>
  <c r="AW80" i="56"/>
  <c r="AV80" i="56"/>
  <c r="AU80" i="56"/>
  <c r="AT80" i="56"/>
  <c r="AS80" i="56"/>
  <c r="Z80" i="56"/>
  <c r="Y80" i="56"/>
  <c r="X80" i="56"/>
  <c r="W80" i="56"/>
  <c r="V80" i="56"/>
  <c r="U80" i="56"/>
  <c r="B80" i="56"/>
  <c r="BJ79" i="56"/>
  <c r="BI79" i="56"/>
  <c r="BH79" i="56"/>
  <c r="BG79" i="56"/>
  <c r="AX79" i="56"/>
  <c r="AW79" i="56"/>
  <c r="AV79" i="56"/>
  <c r="AU79" i="56"/>
  <c r="AT79" i="56"/>
  <c r="AS79" i="56"/>
  <c r="Z79" i="56"/>
  <c r="Y79" i="56"/>
  <c r="X79" i="56"/>
  <c r="W79" i="56"/>
  <c r="V79" i="56"/>
  <c r="U79" i="56"/>
  <c r="B79" i="56"/>
  <c r="BJ78" i="56"/>
  <c r="BI78" i="56"/>
  <c r="BH78" i="56"/>
  <c r="BG78" i="56"/>
  <c r="AX78" i="56"/>
  <c r="AW78" i="56"/>
  <c r="AV78" i="56"/>
  <c r="AU78" i="56"/>
  <c r="AT78" i="56"/>
  <c r="AS78" i="56"/>
  <c r="Z78" i="56"/>
  <c r="Y78" i="56"/>
  <c r="X78" i="56"/>
  <c r="W78" i="56"/>
  <c r="V78" i="56"/>
  <c r="U78" i="56"/>
  <c r="B78" i="56"/>
  <c r="BJ77" i="56"/>
  <c r="BI77" i="56"/>
  <c r="BH77" i="56"/>
  <c r="BG77" i="56"/>
  <c r="AX77" i="56"/>
  <c r="AW77" i="56"/>
  <c r="AV77" i="56"/>
  <c r="AU77" i="56"/>
  <c r="AT77" i="56"/>
  <c r="AS77" i="56"/>
  <c r="Z77" i="56"/>
  <c r="Y77" i="56"/>
  <c r="X77" i="56"/>
  <c r="W77" i="56"/>
  <c r="V77" i="56"/>
  <c r="U77" i="56"/>
  <c r="B77" i="56"/>
  <c r="BJ91" i="56"/>
  <c r="BI91" i="56"/>
  <c r="BH91" i="56"/>
  <c r="BG91" i="56"/>
  <c r="AX91" i="56"/>
  <c r="AW91" i="56"/>
  <c r="AV91" i="56"/>
  <c r="AU91" i="56"/>
  <c r="AT91" i="56"/>
  <c r="AS91" i="56"/>
  <c r="Z91" i="56"/>
  <c r="Y91" i="56"/>
  <c r="X91" i="56"/>
  <c r="W91" i="56"/>
  <c r="V91" i="56"/>
  <c r="U91" i="56"/>
  <c r="B91" i="56"/>
  <c r="BJ96" i="56"/>
  <c r="BI96" i="56"/>
  <c r="BH96" i="56"/>
  <c r="BG96" i="56"/>
  <c r="AX96" i="56"/>
  <c r="AW96" i="56"/>
  <c r="AV96" i="56"/>
  <c r="AU96" i="56"/>
  <c r="AT96" i="56"/>
  <c r="AS96" i="56"/>
  <c r="Z96" i="56"/>
  <c r="Y96" i="56"/>
  <c r="X96" i="56"/>
  <c r="W96" i="56"/>
  <c r="V96" i="56"/>
  <c r="U96" i="56"/>
  <c r="B96" i="56"/>
  <c r="BJ95" i="56"/>
  <c r="BI95" i="56"/>
  <c r="BH95" i="56"/>
  <c r="BG95" i="56"/>
  <c r="AX95" i="56"/>
  <c r="AW95" i="56"/>
  <c r="AV95" i="56"/>
  <c r="AU95" i="56"/>
  <c r="AT95" i="56"/>
  <c r="AS95" i="56"/>
  <c r="Z95" i="56"/>
  <c r="Y95" i="56"/>
  <c r="X95" i="56"/>
  <c r="W95" i="56"/>
  <c r="V95" i="56"/>
  <c r="U95" i="56"/>
  <c r="B95" i="56"/>
  <c r="BJ94" i="56"/>
  <c r="BI94" i="56"/>
  <c r="BH94" i="56"/>
  <c r="BG94" i="56"/>
  <c r="AX94" i="56"/>
  <c r="AW94" i="56"/>
  <c r="AV94" i="56"/>
  <c r="AU94" i="56"/>
  <c r="AT94" i="56"/>
  <c r="AS94" i="56"/>
  <c r="Z94" i="56"/>
  <c r="Y94" i="56"/>
  <c r="X94" i="56"/>
  <c r="W94" i="56"/>
  <c r="V94" i="56"/>
  <c r="U94" i="56"/>
  <c r="B94" i="56"/>
  <c r="BJ105" i="56"/>
  <c r="BI105" i="56"/>
  <c r="BH105" i="56"/>
  <c r="BG105" i="56"/>
  <c r="AX105" i="56"/>
  <c r="AW105" i="56"/>
  <c r="AV105" i="56"/>
  <c r="AU105" i="56"/>
  <c r="AT105" i="56"/>
  <c r="AS105" i="56"/>
  <c r="Z105" i="56"/>
  <c r="Y105" i="56"/>
  <c r="X105" i="56"/>
  <c r="W105" i="56"/>
  <c r="V105" i="56"/>
  <c r="U105" i="56"/>
  <c r="B105" i="56"/>
  <c r="BJ104" i="56"/>
  <c r="BI104" i="56"/>
  <c r="BH104" i="56"/>
  <c r="BG104" i="56"/>
  <c r="AX104" i="56"/>
  <c r="AW104" i="56"/>
  <c r="AV104" i="56"/>
  <c r="AU104" i="56"/>
  <c r="AT104" i="56"/>
  <c r="AS104" i="56"/>
  <c r="Z104" i="56"/>
  <c r="Y104" i="56"/>
  <c r="X104" i="56"/>
  <c r="W104" i="56"/>
  <c r="V104" i="56"/>
  <c r="U104" i="56"/>
  <c r="B104" i="56"/>
  <c r="BJ103" i="56"/>
  <c r="BI103" i="56"/>
  <c r="BH103" i="56"/>
  <c r="BG103" i="56"/>
  <c r="AX103" i="56"/>
  <c r="AW103" i="56"/>
  <c r="AV103" i="56"/>
  <c r="AU103" i="56"/>
  <c r="AT103" i="56"/>
  <c r="AS103" i="56"/>
  <c r="Z103" i="56"/>
  <c r="Y103" i="56"/>
  <c r="X103" i="56"/>
  <c r="W103" i="56"/>
  <c r="V103" i="56"/>
  <c r="U103" i="56"/>
  <c r="B103" i="56"/>
  <c r="BJ102" i="56"/>
  <c r="BI102" i="56"/>
  <c r="BH102" i="56"/>
  <c r="BG102" i="56"/>
  <c r="AX102" i="56"/>
  <c r="AW102" i="56"/>
  <c r="AV102" i="56"/>
  <c r="AU102" i="56"/>
  <c r="AT102" i="56"/>
  <c r="AS102" i="56"/>
  <c r="Z102" i="56"/>
  <c r="Y102" i="56"/>
  <c r="X102" i="56"/>
  <c r="W102" i="56"/>
  <c r="V102" i="56"/>
  <c r="U102" i="56"/>
  <c r="B102" i="56"/>
  <c r="BJ101" i="56"/>
  <c r="BI101" i="56"/>
  <c r="BH101" i="56"/>
  <c r="BG101" i="56"/>
  <c r="AX101" i="56"/>
  <c r="AW101" i="56"/>
  <c r="AV101" i="56"/>
  <c r="AU101" i="56"/>
  <c r="AT101" i="56"/>
  <c r="AS101" i="56"/>
  <c r="Z101" i="56"/>
  <c r="Y101" i="56"/>
  <c r="X101" i="56"/>
  <c r="W101" i="56"/>
  <c r="V101" i="56"/>
  <c r="U101" i="56"/>
  <c r="B101" i="56"/>
  <c r="BJ100" i="56"/>
  <c r="BI100" i="56"/>
  <c r="BH100" i="56"/>
  <c r="BG100" i="56"/>
  <c r="AX100" i="56"/>
  <c r="AW100" i="56"/>
  <c r="AV100" i="56"/>
  <c r="AU100" i="56"/>
  <c r="AT100" i="56"/>
  <c r="AS100" i="56"/>
  <c r="Z100" i="56"/>
  <c r="Y100" i="56"/>
  <c r="X100" i="56"/>
  <c r="W100" i="56"/>
  <c r="V100" i="56"/>
  <c r="U100" i="56"/>
  <c r="B100" i="56"/>
  <c r="BJ99" i="56"/>
  <c r="BI99" i="56"/>
  <c r="BH99" i="56"/>
  <c r="BG99" i="56"/>
  <c r="AX99" i="56"/>
  <c r="AW99" i="56"/>
  <c r="AV99" i="56"/>
  <c r="AU99" i="56"/>
  <c r="AT99" i="56"/>
  <c r="AS99" i="56"/>
  <c r="Z99" i="56"/>
  <c r="Y99" i="56"/>
  <c r="X99" i="56"/>
  <c r="W99" i="56"/>
  <c r="V99" i="56"/>
  <c r="U99" i="56"/>
  <c r="B99" i="56"/>
  <c r="BJ112" i="56"/>
  <c r="BI112" i="56"/>
  <c r="BH112" i="56"/>
  <c r="BG112" i="56"/>
  <c r="AX112" i="56"/>
  <c r="AW112" i="56"/>
  <c r="AV112" i="56"/>
  <c r="AU112" i="56"/>
  <c r="AT112" i="56"/>
  <c r="AS112" i="56"/>
  <c r="Z112" i="56"/>
  <c r="Y112" i="56"/>
  <c r="X112" i="56"/>
  <c r="W112" i="56"/>
  <c r="V112" i="56"/>
  <c r="U112" i="56"/>
  <c r="B112" i="56"/>
  <c r="BJ111" i="56"/>
  <c r="BI111" i="56"/>
  <c r="BH111" i="56"/>
  <c r="BG111" i="56"/>
  <c r="AX111" i="56"/>
  <c r="AW111" i="56"/>
  <c r="AV111" i="56"/>
  <c r="AU111" i="56"/>
  <c r="AT111" i="56"/>
  <c r="AS111" i="56"/>
  <c r="Z111" i="56"/>
  <c r="Y111" i="56"/>
  <c r="X111" i="56"/>
  <c r="W111" i="56"/>
  <c r="V111" i="56"/>
  <c r="U111" i="56"/>
  <c r="B111" i="56"/>
  <c r="BJ110" i="56"/>
  <c r="BI110" i="56"/>
  <c r="BH110" i="56"/>
  <c r="BG110" i="56"/>
  <c r="AX110" i="56"/>
  <c r="AW110" i="56"/>
  <c r="AV110" i="56"/>
  <c r="AU110" i="56"/>
  <c r="AT110" i="56"/>
  <c r="AS110" i="56"/>
  <c r="Z110" i="56"/>
  <c r="Y110" i="56"/>
  <c r="X110" i="56"/>
  <c r="W110" i="56"/>
  <c r="V110" i="56"/>
  <c r="U110" i="56"/>
  <c r="B110" i="56"/>
  <c r="BJ109" i="56"/>
  <c r="BI109" i="56"/>
  <c r="BH109" i="56"/>
  <c r="BG109" i="56"/>
  <c r="AX109" i="56"/>
  <c r="AW109" i="56"/>
  <c r="AV109" i="56"/>
  <c r="AU109" i="56"/>
  <c r="AT109" i="56"/>
  <c r="AS109" i="56"/>
  <c r="Z109" i="56"/>
  <c r="Y109" i="56"/>
  <c r="X109" i="56"/>
  <c r="W109" i="56"/>
  <c r="V109" i="56"/>
  <c r="U109" i="56"/>
  <c r="B109" i="56"/>
  <c r="BJ108" i="56"/>
  <c r="BI108" i="56"/>
  <c r="BH108" i="56"/>
  <c r="BG108" i="56"/>
  <c r="AX108" i="56"/>
  <c r="AW108" i="56"/>
  <c r="AV108" i="56"/>
  <c r="AU108" i="56"/>
  <c r="AT108" i="56"/>
  <c r="AS108" i="56"/>
  <c r="Z108" i="56"/>
  <c r="Y108" i="56"/>
  <c r="X108" i="56"/>
  <c r="W108" i="56"/>
  <c r="V108" i="56"/>
  <c r="U108" i="56"/>
  <c r="B108" i="56"/>
  <c r="BJ119" i="56"/>
  <c r="BI119" i="56"/>
  <c r="BH119" i="56"/>
  <c r="BG119" i="56"/>
  <c r="AX119" i="56"/>
  <c r="AW119" i="56"/>
  <c r="AV119" i="56"/>
  <c r="AU119" i="56"/>
  <c r="AT119" i="56"/>
  <c r="AS119" i="56"/>
  <c r="Z119" i="56"/>
  <c r="Y119" i="56"/>
  <c r="X119" i="56"/>
  <c r="W119" i="56"/>
  <c r="V119" i="56"/>
  <c r="U119" i="56"/>
  <c r="B119" i="56"/>
  <c r="BJ118" i="56"/>
  <c r="BI118" i="56"/>
  <c r="BH118" i="56"/>
  <c r="BG118" i="56"/>
  <c r="AX118" i="56"/>
  <c r="AW118" i="56"/>
  <c r="AV118" i="56"/>
  <c r="AU118" i="56"/>
  <c r="AT118" i="56"/>
  <c r="AS118" i="56"/>
  <c r="Z118" i="56"/>
  <c r="Y118" i="56"/>
  <c r="X118" i="56"/>
  <c r="W118" i="56"/>
  <c r="V118" i="56"/>
  <c r="U118" i="56"/>
  <c r="B118" i="56"/>
  <c r="BJ117" i="56"/>
  <c r="BI117" i="56"/>
  <c r="BH117" i="56"/>
  <c r="BG117" i="56"/>
  <c r="AX117" i="56"/>
  <c r="AW117" i="56"/>
  <c r="AV117" i="56"/>
  <c r="AU117" i="56"/>
  <c r="AT117" i="56"/>
  <c r="AS117" i="56"/>
  <c r="Z117" i="56"/>
  <c r="Y117" i="56"/>
  <c r="X117" i="56"/>
  <c r="W117" i="56"/>
  <c r="V117" i="56"/>
  <c r="U117" i="56"/>
  <c r="B117" i="56"/>
  <c r="BJ116" i="56"/>
  <c r="BI116" i="56"/>
  <c r="BH116" i="56"/>
  <c r="BG116" i="56"/>
  <c r="AX116" i="56"/>
  <c r="AW116" i="56"/>
  <c r="AV116" i="56"/>
  <c r="AU116" i="56"/>
  <c r="AT116" i="56"/>
  <c r="AS116" i="56"/>
  <c r="Z116" i="56"/>
  <c r="Y116" i="56"/>
  <c r="X116" i="56"/>
  <c r="W116" i="56"/>
  <c r="V116" i="56"/>
  <c r="U116" i="56"/>
  <c r="B116" i="56"/>
  <c r="BJ115" i="56"/>
  <c r="BI115" i="56"/>
  <c r="BH115" i="56"/>
  <c r="BG115" i="56"/>
  <c r="AX115" i="56"/>
  <c r="AW115" i="56"/>
  <c r="AV115" i="56"/>
  <c r="AU115" i="56"/>
  <c r="AT115" i="56"/>
  <c r="AS115" i="56"/>
  <c r="Z115" i="56"/>
  <c r="Y115" i="56"/>
  <c r="X115" i="56"/>
  <c r="W115" i="56"/>
  <c r="V115" i="56"/>
  <c r="U115" i="56"/>
  <c r="B115" i="56"/>
  <c r="BJ125" i="56"/>
  <c r="BI125" i="56"/>
  <c r="BH125" i="56"/>
  <c r="BG125" i="56"/>
  <c r="AX125" i="56"/>
  <c r="AW125" i="56"/>
  <c r="AV125" i="56"/>
  <c r="AU125" i="56"/>
  <c r="AT125" i="56"/>
  <c r="AS125" i="56"/>
  <c r="Z125" i="56"/>
  <c r="Y125" i="56"/>
  <c r="X125" i="56"/>
  <c r="W125" i="56"/>
  <c r="V125" i="56"/>
  <c r="U125" i="56"/>
  <c r="B125" i="56"/>
  <c r="BJ124" i="56"/>
  <c r="BI124" i="56"/>
  <c r="BH124" i="56"/>
  <c r="BG124" i="56"/>
  <c r="AX124" i="56"/>
  <c r="AW124" i="56"/>
  <c r="AV124" i="56"/>
  <c r="AU124" i="56"/>
  <c r="AT124" i="56"/>
  <c r="AS124" i="56"/>
  <c r="Z124" i="56"/>
  <c r="Y124" i="56"/>
  <c r="X124" i="56"/>
  <c r="W124" i="56"/>
  <c r="V124" i="56"/>
  <c r="U124" i="56"/>
  <c r="B124" i="56"/>
  <c r="BJ123" i="56"/>
  <c r="BI123" i="56"/>
  <c r="BH123" i="56"/>
  <c r="BG123" i="56"/>
  <c r="AX123" i="56"/>
  <c r="AW123" i="56"/>
  <c r="AV123" i="56"/>
  <c r="AU123" i="56"/>
  <c r="AT123" i="56"/>
  <c r="AS123" i="56"/>
  <c r="Z123" i="56"/>
  <c r="Y123" i="56"/>
  <c r="X123" i="56"/>
  <c r="W123" i="56"/>
  <c r="V123" i="56"/>
  <c r="U123" i="56"/>
  <c r="B123" i="56"/>
  <c r="BJ122" i="56"/>
  <c r="BI122" i="56"/>
  <c r="BH122" i="56"/>
  <c r="BG122" i="56"/>
  <c r="AX122" i="56"/>
  <c r="AW122" i="56"/>
  <c r="AV122" i="56"/>
  <c r="AU122" i="56"/>
  <c r="AT122" i="56"/>
  <c r="AS122" i="56"/>
  <c r="Z122" i="56"/>
  <c r="Y122" i="56"/>
  <c r="X122" i="56"/>
  <c r="W122" i="56"/>
  <c r="V122" i="56"/>
  <c r="U122" i="56"/>
  <c r="B122" i="56"/>
  <c r="BJ130" i="56"/>
  <c r="BI130" i="56"/>
  <c r="BH130" i="56"/>
  <c r="BG130" i="56"/>
  <c r="AX130" i="56"/>
  <c r="AW130" i="56"/>
  <c r="AV130" i="56"/>
  <c r="AU130" i="56"/>
  <c r="AT130" i="56"/>
  <c r="AS130" i="56"/>
  <c r="Z130" i="56"/>
  <c r="Y130" i="56"/>
  <c r="X130" i="56"/>
  <c r="W130" i="56"/>
  <c r="V130" i="56"/>
  <c r="U130" i="56"/>
  <c r="B130" i="56"/>
  <c r="BJ129" i="56"/>
  <c r="BI129" i="56"/>
  <c r="BH129" i="56"/>
  <c r="BG129" i="56"/>
  <c r="AX129" i="56"/>
  <c r="AW129" i="56"/>
  <c r="AV129" i="56"/>
  <c r="AU129" i="56"/>
  <c r="AT129" i="56"/>
  <c r="AS129" i="56"/>
  <c r="Z129" i="56"/>
  <c r="Y129" i="56"/>
  <c r="X129" i="56"/>
  <c r="W129" i="56"/>
  <c r="V129" i="56"/>
  <c r="U129" i="56"/>
  <c r="B129" i="56"/>
  <c r="BJ128" i="56"/>
  <c r="BI128" i="56"/>
  <c r="BH128" i="56"/>
  <c r="BG128" i="56"/>
  <c r="AX128" i="56"/>
  <c r="AW128" i="56"/>
  <c r="AV128" i="56"/>
  <c r="AU128" i="56"/>
  <c r="AT128" i="56"/>
  <c r="AS128" i="56"/>
  <c r="Z128" i="56"/>
  <c r="Y128" i="56"/>
  <c r="X128" i="56"/>
  <c r="W128" i="56"/>
  <c r="V128" i="56"/>
  <c r="U128" i="56"/>
  <c r="B128" i="56"/>
  <c r="BJ133" i="56"/>
  <c r="BI133" i="56"/>
  <c r="BH133" i="56"/>
  <c r="BG133" i="56"/>
  <c r="AX133" i="56"/>
  <c r="AW133" i="56"/>
  <c r="AV133" i="56"/>
  <c r="AU133" i="56"/>
  <c r="AT133" i="56"/>
  <c r="AS133" i="56"/>
  <c r="Z133" i="56"/>
  <c r="Y133" i="56"/>
  <c r="X133" i="56"/>
  <c r="W133" i="56"/>
  <c r="V133" i="56"/>
  <c r="U133" i="56"/>
  <c r="B133" i="56"/>
  <c r="BJ148" i="56"/>
  <c r="BI148" i="56"/>
  <c r="BH148" i="56"/>
  <c r="BG148" i="56"/>
  <c r="AX148" i="56"/>
  <c r="AW148" i="56"/>
  <c r="AV148" i="56"/>
  <c r="AU148" i="56"/>
  <c r="AT148" i="56"/>
  <c r="AS148" i="56"/>
  <c r="Z148" i="56"/>
  <c r="Y148" i="56"/>
  <c r="X148" i="56"/>
  <c r="W148" i="56"/>
  <c r="V148" i="56"/>
  <c r="U148" i="56"/>
  <c r="B148" i="56"/>
  <c r="BJ165" i="56"/>
  <c r="BI165" i="56"/>
  <c r="BH165" i="56"/>
  <c r="BG165" i="56"/>
  <c r="AX165" i="56"/>
  <c r="AW165" i="56"/>
  <c r="AV165" i="56"/>
  <c r="AU165" i="56"/>
  <c r="AT165" i="56"/>
  <c r="AS165" i="56"/>
  <c r="AI165" i="56"/>
  <c r="AH165" i="56"/>
  <c r="AG165" i="56"/>
  <c r="AF165" i="56"/>
  <c r="Z165" i="56"/>
  <c r="Y165" i="56"/>
  <c r="X165" i="56"/>
  <c r="W165" i="56"/>
  <c r="V165" i="56"/>
  <c r="U165" i="56"/>
  <c r="B165" i="56"/>
  <c r="BJ164" i="56"/>
  <c r="BI164" i="56"/>
  <c r="BH164" i="56"/>
  <c r="BG164" i="56"/>
  <c r="AX164" i="56"/>
  <c r="AW164" i="56"/>
  <c r="AV164" i="56"/>
  <c r="AU164" i="56"/>
  <c r="AT164" i="56"/>
  <c r="AS164" i="56"/>
  <c r="AI164" i="56"/>
  <c r="AH164" i="56"/>
  <c r="AG164" i="56"/>
  <c r="AF164" i="56"/>
  <c r="Z164" i="56"/>
  <c r="Y164" i="56"/>
  <c r="X164" i="56"/>
  <c r="W164" i="56"/>
  <c r="V164" i="56"/>
  <c r="U164" i="56"/>
  <c r="B164" i="56"/>
  <c r="BJ163" i="56"/>
  <c r="BI163" i="56"/>
  <c r="BH163" i="56"/>
  <c r="BG163" i="56"/>
  <c r="AX163" i="56"/>
  <c r="AW163" i="56"/>
  <c r="AV163" i="56"/>
  <c r="AU163" i="56"/>
  <c r="AT163" i="56"/>
  <c r="AS163" i="56"/>
  <c r="AI163" i="56"/>
  <c r="AH163" i="56"/>
  <c r="AG163" i="56"/>
  <c r="AF163" i="56"/>
  <c r="Z163" i="56"/>
  <c r="Y163" i="56"/>
  <c r="X163" i="56"/>
  <c r="W163" i="56"/>
  <c r="V163" i="56"/>
  <c r="U163" i="56"/>
  <c r="B163" i="56"/>
  <c r="BJ162" i="56"/>
  <c r="BI162" i="56"/>
  <c r="BH162" i="56"/>
  <c r="BG162" i="56"/>
  <c r="AX162" i="56"/>
  <c r="AW162" i="56"/>
  <c r="AV162" i="56"/>
  <c r="AU162" i="56"/>
  <c r="AT162" i="56"/>
  <c r="AS162" i="56"/>
  <c r="AI162" i="56"/>
  <c r="AH162" i="56"/>
  <c r="AG162" i="56"/>
  <c r="AF162" i="56"/>
  <c r="Z162" i="56"/>
  <c r="Y162" i="56"/>
  <c r="X162" i="56"/>
  <c r="W162" i="56"/>
  <c r="V162" i="56"/>
  <c r="U162" i="56"/>
  <c r="B162" i="56"/>
  <c r="BJ161" i="56"/>
  <c r="BI161" i="56"/>
  <c r="BH161" i="56"/>
  <c r="BG161" i="56"/>
  <c r="AX161" i="56"/>
  <c r="AW161" i="56"/>
  <c r="AV161" i="56"/>
  <c r="AU161" i="56"/>
  <c r="AT161" i="56"/>
  <c r="AS161" i="56"/>
  <c r="AI161" i="56"/>
  <c r="AH161" i="56"/>
  <c r="AG161" i="56"/>
  <c r="AF161" i="56"/>
  <c r="Z161" i="56"/>
  <c r="Y161" i="56"/>
  <c r="X161" i="56"/>
  <c r="W161" i="56"/>
  <c r="V161" i="56"/>
  <c r="U161" i="56"/>
  <c r="B161" i="56"/>
  <c r="BJ160" i="56"/>
  <c r="BI160" i="56"/>
  <c r="BH160" i="56"/>
  <c r="BG160" i="56"/>
  <c r="AX160" i="56"/>
  <c r="AW160" i="56"/>
  <c r="AV160" i="56"/>
  <c r="AU160" i="56"/>
  <c r="AT160" i="56"/>
  <c r="AS160" i="56"/>
  <c r="AI160" i="56"/>
  <c r="AH160" i="56"/>
  <c r="AG160" i="56"/>
  <c r="AF160" i="56"/>
  <c r="Z160" i="56"/>
  <c r="Y160" i="56"/>
  <c r="X160" i="56"/>
  <c r="W160" i="56"/>
  <c r="V160" i="56"/>
  <c r="U160" i="56"/>
  <c r="B160" i="56"/>
  <c r="BJ159" i="56"/>
  <c r="BI159" i="56"/>
  <c r="BH159" i="56"/>
  <c r="BG159" i="56"/>
  <c r="AX159" i="56"/>
  <c r="AW159" i="56"/>
  <c r="AV159" i="56"/>
  <c r="AU159" i="56"/>
  <c r="AT159" i="56"/>
  <c r="AS159" i="56"/>
  <c r="AI159" i="56"/>
  <c r="AH159" i="56"/>
  <c r="AG159" i="56"/>
  <c r="AF159" i="56"/>
  <c r="Z159" i="56"/>
  <c r="Y159" i="56"/>
  <c r="X159" i="56"/>
  <c r="W159" i="56"/>
  <c r="V159" i="56"/>
  <c r="U159" i="56"/>
  <c r="B159" i="56"/>
  <c r="BJ61" i="52"/>
  <c r="BI61" i="52"/>
  <c r="BH61" i="52"/>
  <c r="BG61" i="52"/>
  <c r="AX61" i="52"/>
  <c r="AW61" i="52"/>
  <c r="AV61" i="52"/>
  <c r="AU61" i="52"/>
  <c r="AT61" i="52"/>
  <c r="AS61" i="52"/>
  <c r="AI61" i="52"/>
  <c r="AH61" i="52"/>
  <c r="AG61" i="52"/>
  <c r="AF61" i="52"/>
  <c r="Z61" i="52"/>
  <c r="Y61" i="52"/>
  <c r="X61" i="52"/>
  <c r="W61" i="52"/>
  <c r="V61" i="52"/>
  <c r="U61" i="52"/>
  <c r="BJ60" i="52"/>
  <c r="BI60" i="52"/>
  <c r="BH60" i="52"/>
  <c r="BG60" i="52"/>
  <c r="AX60" i="52"/>
  <c r="AW60" i="52"/>
  <c r="AV60" i="52"/>
  <c r="AU60" i="52"/>
  <c r="AT60" i="52"/>
  <c r="AS60" i="52"/>
  <c r="AI60" i="52"/>
  <c r="AH60" i="52"/>
  <c r="AG60" i="52"/>
  <c r="AF60" i="52"/>
  <c r="Z60" i="52"/>
  <c r="Y60" i="52"/>
  <c r="X60" i="52"/>
  <c r="W60" i="52"/>
  <c r="V60" i="52"/>
  <c r="U60" i="52"/>
  <c r="BJ59" i="52"/>
  <c r="BI59" i="52"/>
  <c r="BH59" i="52"/>
  <c r="BG59" i="52"/>
  <c r="AX59" i="52"/>
  <c r="AW59" i="52"/>
  <c r="AV59" i="52"/>
  <c r="AU59" i="52"/>
  <c r="AT59" i="52"/>
  <c r="AS59" i="52"/>
  <c r="AI59" i="52"/>
  <c r="AH59" i="52"/>
  <c r="AG59" i="52"/>
  <c r="AF59" i="52"/>
  <c r="Z59" i="52"/>
  <c r="Y59" i="52"/>
  <c r="X59" i="52"/>
  <c r="W59" i="52"/>
  <c r="V59" i="52"/>
  <c r="U59" i="52"/>
  <c r="BJ58" i="52"/>
  <c r="BI58" i="52"/>
  <c r="BH58" i="52"/>
  <c r="BG58" i="52"/>
  <c r="AX58" i="52"/>
  <c r="AW58" i="52"/>
  <c r="AV58" i="52"/>
  <c r="AU58" i="52"/>
  <c r="AT58" i="52"/>
  <c r="AS58" i="52"/>
  <c r="AI58" i="52"/>
  <c r="AH58" i="52"/>
  <c r="AG58" i="52"/>
  <c r="AF58" i="52"/>
  <c r="Z58" i="52"/>
  <c r="Y58" i="52"/>
  <c r="X58" i="52"/>
  <c r="W58" i="52"/>
  <c r="V58" i="52"/>
  <c r="U58" i="52"/>
  <c r="BJ57" i="52"/>
  <c r="BI57" i="52"/>
  <c r="BH57" i="52"/>
  <c r="BG57" i="52"/>
  <c r="AX57" i="52"/>
  <c r="AW57" i="52"/>
  <c r="AV57" i="52"/>
  <c r="AU57" i="52"/>
  <c r="AT57" i="52"/>
  <c r="AS57" i="52"/>
  <c r="AI57" i="52"/>
  <c r="AH57" i="52"/>
  <c r="AG57" i="52"/>
  <c r="AF57" i="52"/>
  <c r="Z57" i="52"/>
  <c r="Y57" i="52"/>
  <c r="X57" i="52"/>
  <c r="W57" i="52"/>
  <c r="V57" i="52"/>
  <c r="U57" i="52"/>
  <c r="BJ56" i="52"/>
  <c r="BI56" i="52"/>
  <c r="BH56" i="52"/>
  <c r="BG56" i="52"/>
  <c r="AX56" i="52"/>
  <c r="AW56" i="52"/>
  <c r="AV56" i="52"/>
  <c r="AU56" i="52"/>
  <c r="AT56" i="52"/>
  <c r="AS56" i="52"/>
  <c r="AI56" i="52"/>
  <c r="AH56" i="52"/>
  <c r="AG56" i="52"/>
  <c r="AF56" i="52"/>
  <c r="Z56" i="52"/>
  <c r="Y56" i="52"/>
  <c r="X56" i="52"/>
  <c r="W56" i="52"/>
  <c r="V56" i="52"/>
  <c r="U56" i="52"/>
  <c r="BJ55" i="52"/>
  <c r="BI55" i="52"/>
  <c r="BH55" i="52"/>
  <c r="BG55" i="52"/>
  <c r="AX55" i="52"/>
  <c r="AW55" i="52"/>
  <c r="AV55" i="52"/>
  <c r="AU55" i="52"/>
  <c r="AT55" i="52"/>
  <c r="AS55" i="52"/>
  <c r="AI55" i="52"/>
  <c r="AH55" i="52"/>
  <c r="AG55" i="52"/>
  <c r="AF55" i="52"/>
  <c r="Z55" i="52"/>
  <c r="Y55" i="52"/>
  <c r="X55" i="52"/>
  <c r="W55" i="52"/>
  <c r="V55" i="52"/>
  <c r="U55" i="52"/>
  <c r="BJ54" i="52"/>
  <c r="BI54" i="52"/>
  <c r="BH54" i="52"/>
  <c r="BG54" i="52"/>
  <c r="AX54" i="52"/>
  <c r="AW54" i="52"/>
  <c r="AV54" i="52"/>
  <c r="AU54" i="52"/>
  <c r="AT54" i="52"/>
  <c r="AS54" i="52"/>
  <c r="AI54" i="52"/>
  <c r="AH54" i="52"/>
  <c r="AG54" i="52"/>
  <c r="AF54" i="52"/>
  <c r="Z54" i="52"/>
  <c r="Y54" i="52"/>
  <c r="X54" i="52"/>
  <c r="W54" i="52"/>
  <c r="V54" i="52"/>
  <c r="U54" i="52"/>
  <c r="BJ53" i="52"/>
  <c r="BI53" i="52"/>
  <c r="BH53" i="52"/>
  <c r="BG53" i="52"/>
  <c r="AX53" i="52"/>
  <c r="AW53" i="52"/>
  <c r="AV53" i="52"/>
  <c r="AU53" i="52"/>
  <c r="AT53" i="52"/>
  <c r="AS53" i="52"/>
  <c r="AI53" i="52"/>
  <c r="AH53" i="52"/>
  <c r="AG53" i="52"/>
  <c r="AF53" i="52"/>
  <c r="Z53" i="52"/>
  <c r="Y53" i="52"/>
  <c r="X53" i="52"/>
  <c r="W53" i="52"/>
  <c r="V53" i="52"/>
  <c r="U53" i="52"/>
  <c r="BJ52" i="52"/>
  <c r="BI52" i="52"/>
  <c r="BH52" i="52"/>
  <c r="BG52" i="52"/>
  <c r="AX52" i="52"/>
  <c r="AW52" i="52"/>
  <c r="AV52" i="52"/>
  <c r="AU52" i="52"/>
  <c r="AT52" i="52"/>
  <c r="AS52" i="52"/>
  <c r="AI52" i="52"/>
  <c r="AH52" i="52"/>
  <c r="AG52" i="52"/>
  <c r="AF52" i="52"/>
  <c r="Z52" i="52"/>
  <c r="Y52" i="52"/>
  <c r="X52" i="52"/>
  <c r="W52" i="52"/>
  <c r="V52" i="52"/>
  <c r="U52" i="52"/>
  <c r="BJ51" i="52"/>
  <c r="BI51" i="52"/>
  <c r="BH51" i="52"/>
  <c r="BG51" i="52"/>
  <c r="AX51" i="52"/>
  <c r="AW51" i="52"/>
  <c r="AV51" i="52"/>
  <c r="AU51" i="52"/>
  <c r="AT51" i="52"/>
  <c r="AS51" i="52"/>
  <c r="AI51" i="52"/>
  <c r="AH51" i="52"/>
  <c r="AG51" i="52"/>
  <c r="AF51" i="52"/>
  <c r="Z51" i="52"/>
  <c r="Y51" i="52"/>
  <c r="X51" i="52"/>
  <c r="W51" i="52"/>
  <c r="V51" i="52"/>
  <c r="U51" i="52"/>
  <c r="BJ50" i="52"/>
  <c r="BI50" i="52"/>
  <c r="BH50" i="52"/>
  <c r="BG50" i="52"/>
  <c r="AX50" i="52"/>
  <c r="AW50" i="52"/>
  <c r="AV50" i="52"/>
  <c r="AU50" i="52"/>
  <c r="AT50" i="52"/>
  <c r="AS50" i="52"/>
  <c r="AI50" i="52"/>
  <c r="AH50" i="52"/>
  <c r="AG50" i="52"/>
  <c r="AF50" i="52"/>
  <c r="Z50" i="52"/>
  <c r="Y50" i="52"/>
  <c r="X50" i="52"/>
  <c r="W50" i="52"/>
  <c r="V50" i="52"/>
  <c r="U50" i="52"/>
  <c r="BJ49" i="52"/>
  <c r="BI49" i="52"/>
  <c r="BH49" i="52"/>
  <c r="BG49" i="52"/>
  <c r="AX49" i="52"/>
  <c r="AW49" i="52"/>
  <c r="AV49" i="52"/>
  <c r="AU49" i="52"/>
  <c r="AT49" i="52"/>
  <c r="AS49" i="52"/>
  <c r="AI49" i="52"/>
  <c r="AH49" i="52"/>
  <c r="AG49" i="52"/>
  <c r="AF49" i="52"/>
  <c r="Z49" i="52"/>
  <c r="Y49" i="52"/>
  <c r="X49" i="52"/>
  <c r="W49" i="52"/>
  <c r="V49" i="52"/>
  <c r="U49" i="52"/>
  <c r="BJ48" i="52"/>
  <c r="BI48" i="52"/>
  <c r="BH48" i="52"/>
  <c r="BG48" i="52"/>
  <c r="AX48" i="52"/>
  <c r="AW48" i="52"/>
  <c r="AV48" i="52"/>
  <c r="AU48" i="52"/>
  <c r="AT48" i="52"/>
  <c r="AS48" i="52"/>
  <c r="AI48" i="52"/>
  <c r="AH48" i="52"/>
  <c r="AG48" i="52"/>
  <c r="AF48" i="52"/>
  <c r="Z48" i="52"/>
  <c r="Y48" i="52"/>
  <c r="X48" i="52"/>
  <c r="W48" i="52"/>
  <c r="V48" i="52"/>
  <c r="U48" i="52"/>
  <c r="BJ47" i="52"/>
  <c r="BI47" i="52"/>
  <c r="BH47" i="52"/>
  <c r="BG47" i="52"/>
  <c r="AX47" i="52"/>
  <c r="AW47" i="52"/>
  <c r="AV47" i="52"/>
  <c r="AU47" i="52"/>
  <c r="AT47" i="52"/>
  <c r="AS47" i="52"/>
  <c r="AI47" i="52"/>
  <c r="AH47" i="52"/>
  <c r="AG47" i="52"/>
  <c r="AF47" i="52"/>
  <c r="Z47" i="52"/>
  <c r="Y47" i="52"/>
  <c r="X47" i="52"/>
  <c r="W47" i="52"/>
  <c r="V47" i="52"/>
  <c r="U47" i="52"/>
  <c r="BJ46" i="52"/>
  <c r="BI46" i="52"/>
  <c r="BH46" i="52"/>
  <c r="BG46" i="52"/>
  <c r="AX46" i="52"/>
  <c r="AW46" i="52"/>
  <c r="AV46" i="52"/>
  <c r="AU46" i="52"/>
  <c r="AT46" i="52"/>
  <c r="AS46" i="52"/>
  <c r="AI46" i="52"/>
  <c r="AH46" i="52"/>
  <c r="AG46" i="52"/>
  <c r="AF46" i="52"/>
  <c r="Z46" i="52"/>
  <c r="Y46" i="52"/>
  <c r="X46" i="52"/>
  <c r="W46" i="52"/>
  <c r="V46" i="52"/>
  <c r="U46" i="52"/>
  <c r="BJ45" i="52"/>
  <c r="BI45" i="52"/>
  <c r="BH45" i="52"/>
  <c r="BG45" i="52"/>
  <c r="AX45" i="52"/>
  <c r="AW45" i="52"/>
  <c r="AV45" i="52"/>
  <c r="AU45" i="52"/>
  <c r="AT45" i="52"/>
  <c r="AS45" i="52"/>
  <c r="AI45" i="52"/>
  <c r="AH45" i="52"/>
  <c r="AG45" i="52"/>
  <c r="AF45" i="52"/>
  <c r="Z45" i="52"/>
  <c r="Y45" i="52"/>
  <c r="X45" i="52"/>
  <c r="W45" i="52"/>
  <c r="V45" i="52"/>
  <c r="U45" i="52"/>
  <c r="BJ44" i="52"/>
  <c r="BI44" i="52"/>
  <c r="BH44" i="52"/>
  <c r="BG44" i="52"/>
  <c r="AX44" i="52"/>
  <c r="AW44" i="52"/>
  <c r="AV44" i="52"/>
  <c r="AU44" i="52"/>
  <c r="AT44" i="52"/>
  <c r="AS44" i="52"/>
  <c r="AI44" i="52"/>
  <c r="AH44" i="52"/>
  <c r="AG44" i="52"/>
  <c r="AF44" i="52"/>
  <c r="Z44" i="52"/>
  <c r="Y44" i="52"/>
  <c r="X44" i="52"/>
  <c r="W44" i="52"/>
  <c r="V44" i="52"/>
  <c r="U44" i="52"/>
  <c r="BJ43" i="52"/>
  <c r="BI43" i="52"/>
  <c r="BH43" i="52"/>
  <c r="BG43" i="52"/>
  <c r="AX43" i="52"/>
  <c r="AW43" i="52"/>
  <c r="AV43" i="52"/>
  <c r="AU43" i="52"/>
  <c r="AT43" i="52"/>
  <c r="AS43" i="52"/>
  <c r="AI43" i="52"/>
  <c r="AH43" i="52"/>
  <c r="AG43" i="52"/>
  <c r="AF43" i="52"/>
  <c r="Z43" i="52"/>
  <c r="Y43" i="52"/>
  <c r="X43" i="52"/>
  <c r="W43" i="52"/>
  <c r="V43" i="52"/>
  <c r="U43" i="52"/>
  <c r="BJ42" i="52"/>
  <c r="BI42" i="52"/>
  <c r="BH42" i="52"/>
  <c r="BG42" i="52"/>
  <c r="AX42" i="52"/>
  <c r="AW42" i="52"/>
  <c r="AV42" i="52"/>
  <c r="AU42" i="52"/>
  <c r="AT42" i="52"/>
  <c r="AS42" i="52"/>
  <c r="AI42" i="52"/>
  <c r="AH42" i="52"/>
  <c r="AG42" i="52"/>
  <c r="AF42" i="52"/>
  <c r="Z42" i="52"/>
  <c r="Y42" i="52"/>
  <c r="X42" i="52"/>
  <c r="W42" i="52"/>
  <c r="V42" i="52"/>
  <c r="U42" i="52"/>
  <c r="BJ41" i="52"/>
  <c r="BI41" i="52"/>
  <c r="BH41" i="52"/>
  <c r="BG41" i="52"/>
  <c r="AX41" i="52"/>
  <c r="AW41" i="52"/>
  <c r="AV41" i="52"/>
  <c r="AU41" i="52"/>
  <c r="AT41" i="52"/>
  <c r="AS41" i="52"/>
  <c r="AI41" i="52"/>
  <c r="AH41" i="52"/>
  <c r="AG41" i="52"/>
  <c r="AF41" i="52"/>
  <c r="Z41" i="52"/>
  <c r="Y41" i="52"/>
  <c r="X41" i="52"/>
  <c r="W41" i="52"/>
  <c r="V41" i="52"/>
  <c r="U41" i="52"/>
  <c r="BJ40" i="52"/>
  <c r="BI40" i="52"/>
  <c r="BH40" i="52"/>
  <c r="BG40" i="52"/>
  <c r="AX40" i="52"/>
  <c r="AW40" i="52"/>
  <c r="AV40" i="52"/>
  <c r="AU40" i="52"/>
  <c r="AT40" i="52"/>
  <c r="AS40" i="52"/>
  <c r="AI40" i="52"/>
  <c r="AH40" i="52"/>
  <c r="AG40" i="52"/>
  <c r="AF40" i="52"/>
  <c r="Z40" i="52"/>
  <c r="Y40" i="52"/>
  <c r="X40" i="52"/>
  <c r="W40" i="52"/>
  <c r="V40" i="52"/>
  <c r="U40" i="52"/>
  <c r="BJ39" i="52"/>
  <c r="BI39" i="52"/>
  <c r="BH39" i="52"/>
  <c r="BG39" i="52"/>
  <c r="AX39" i="52"/>
  <c r="AW39" i="52"/>
  <c r="AV39" i="52"/>
  <c r="AU39" i="52"/>
  <c r="AT39" i="52"/>
  <c r="AS39" i="52"/>
  <c r="AI39" i="52"/>
  <c r="AH39" i="52"/>
  <c r="AG39" i="52"/>
  <c r="AF39" i="52"/>
  <c r="Z39" i="52"/>
  <c r="Y39" i="52"/>
  <c r="X39" i="52"/>
  <c r="W39" i="52"/>
  <c r="V39" i="52"/>
  <c r="U39" i="52"/>
  <c r="BJ38" i="52"/>
  <c r="BI38" i="52"/>
  <c r="BH38" i="52"/>
  <c r="BG38" i="52"/>
  <c r="AX38" i="52"/>
  <c r="AW38" i="52"/>
  <c r="AV38" i="52"/>
  <c r="AU38" i="52"/>
  <c r="AT38" i="52"/>
  <c r="AS38" i="52"/>
  <c r="AI38" i="52"/>
  <c r="AH38" i="52"/>
  <c r="AG38" i="52"/>
  <c r="AF38" i="52"/>
  <c r="Z38" i="52"/>
  <c r="Y38" i="52"/>
  <c r="X38" i="52"/>
  <c r="W38" i="52"/>
  <c r="V38" i="52"/>
  <c r="U38" i="52"/>
  <c r="BJ37" i="52"/>
  <c r="BI37" i="52"/>
  <c r="BH37" i="52"/>
  <c r="BG37" i="52"/>
  <c r="AX37" i="52"/>
  <c r="AW37" i="52"/>
  <c r="AV37" i="52"/>
  <c r="AU37" i="52"/>
  <c r="AT37" i="52"/>
  <c r="AS37" i="52"/>
  <c r="AI37" i="52"/>
  <c r="AH37" i="52"/>
  <c r="AG37" i="52"/>
  <c r="AF37" i="52"/>
  <c r="Z37" i="52"/>
  <c r="Y37" i="52"/>
  <c r="X37" i="52"/>
  <c r="W37" i="52"/>
  <c r="V37" i="52"/>
  <c r="U37" i="52"/>
  <c r="BJ36" i="52"/>
  <c r="BI36" i="52"/>
  <c r="BH36" i="52"/>
  <c r="BG36" i="52"/>
  <c r="AX36" i="52"/>
  <c r="AW36" i="52"/>
  <c r="AV36" i="52"/>
  <c r="AU36" i="52"/>
  <c r="AT36" i="52"/>
  <c r="AS36" i="52"/>
  <c r="AI36" i="52"/>
  <c r="AH36" i="52"/>
  <c r="AG36" i="52"/>
  <c r="AF36" i="52"/>
  <c r="Z36" i="52"/>
  <c r="Y36" i="52"/>
  <c r="X36" i="52"/>
  <c r="W36" i="52"/>
  <c r="V36" i="52"/>
  <c r="U36" i="52"/>
  <c r="BJ35" i="52"/>
  <c r="BI35" i="52"/>
  <c r="BH35" i="52"/>
  <c r="BG35" i="52"/>
  <c r="AX35" i="52"/>
  <c r="AW35" i="52"/>
  <c r="AV35" i="52"/>
  <c r="AU35" i="52"/>
  <c r="AT35" i="52"/>
  <c r="AS35" i="52"/>
  <c r="AI35" i="52"/>
  <c r="AH35" i="52"/>
  <c r="AG35" i="52"/>
  <c r="AF35" i="52"/>
  <c r="Z35" i="52"/>
  <c r="Y35" i="52"/>
  <c r="X35" i="52"/>
  <c r="W35" i="52"/>
  <c r="V35" i="52"/>
  <c r="U35" i="52"/>
  <c r="BJ34" i="52"/>
  <c r="BI34" i="52"/>
  <c r="BH34" i="52"/>
  <c r="BG34" i="52"/>
  <c r="AX34" i="52"/>
  <c r="AW34" i="52"/>
  <c r="AV34" i="52"/>
  <c r="AU34" i="52"/>
  <c r="AT34" i="52"/>
  <c r="AS34" i="52"/>
  <c r="AI34" i="52"/>
  <c r="AH34" i="52"/>
  <c r="AG34" i="52"/>
  <c r="AF34" i="52"/>
  <c r="Z34" i="52"/>
  <c r="Y34" i="52"/>
  <c r="X34" i="52"/>
  <c r="W34" i="52"/>
  <c r="V34" i="52"/>
  <c r="U34" i="52"/>
  <c r="BJ33" i="52"/>
  <c r="BI33" i="52"/>
  <c r="BH33" i="52"/>
  <c r="BG33" i="52"/>
  <c r="AX33" i="52"/>
  <c r="AW33" i="52"/>
  <c r="AV33" i="52"/>
  <c r="AU33" i="52"/>
  <c r="AT33" i="52"/>
  <c r="AS33" i="52"/>
  <c r="AI33" i="52"/>
  <c r="AH33" i="52"/>
  <c r="AG33" i="52"/>
  <c r="AF33" i="52"/>
  <c r="Z33" i="52"/>
  <c r="Y33" i="52"/>
  <c r="X33" i="52"/>
  <c r="W33" i="52"/>
  <c r="V33" i="52"/>
  <c r="U33" i="52"/>
  <c r="BJ32" i="52"/>
  <c r="BI32" i="52"/>
  <c r="BH32" i="52"/>
  <c r="BG32" i="52"/>
  <c r="AX32" i="52"/>
  <c r="AW32" i="52"/>
  <c r="AV32" i="52"/>
  <c r="AU32" i="52"/>
  <c r="AT32" i="52"/>
  <c r="AS32" i="52"/>
  <c r="AI32" i="52"/>
  <c r="AH32" i="52"/>
  <c r="AG32" i="52"/>
  <c r="AF32" i="52"/>
  <c r="Z32" i="52"/>
  <c r="Y32" i="52"/>
  <c r="X32" i="52"/>
  <c r="W32" i="52"/>
  <c r="V32" i="52"/>
  <c r="U32" i="52"/>
  <c r="BJ138" i="52"/>
  <c r="BI138" i="52"/>
  <c r="BH138" i="52"/>
  <c r="BG138" i="52"/>
  <c r="AX138" i="52"/>
  <c r="AW138" i="52"/>
  <c r="AV138" i="52"/>
  <c r="AU138" i="52"/>
  <c r="AT138" i="52"/>
  <c r="AS138" i="52"/>
  <c r="AI138" i="52"/>
  <c r="AH138" i="52"/>
  <c r="AG138" i="52"/>
  <c r="AF138" i="52"/>
  <c r="Z138" i="52"/>
  <c r="Y138" i="52"/>
  <c r="X138" i="52"/>
  <c r="W138" i="52"/>
  <c r="V138" i="52"/>
  <c r="U138" i="52"/>
  <c r="BJ137" i="52"/>
  <c r="BI137" i="52"/>
  <c r="BH137" i="52"/>
  <c r="BG137" i="52"/>
  <c r="AX137" i="52"/>
  <c r="AW137" i="52"/>
  <c r="AV137" i="52"/>
  <c r="AU137" i="52"/>
  <c r="AT137" i="52"/>
  <c r="AS137" i="52"/>
  <c r="AI137" i="52"/>
  <c r="AH137" i="52"/>
  <c r="AG137" i="52"/>
  <c r="AF137" i="52"/>
  <c r="Z137" i="52"/>
  <c r="Y137" i="52"/>
  <c r="X137" i="52"/>
  <c r="W137" i="52"/>
  <c r="V137" i="52"/>
  <c r="U137" i="52"/>
  <c r="BJ136" i="52"/>
  <c r="BI136" i="52"/>
  <c r="BH136" i="52"/>
  <c r="BG136" i="52"/>
  <c r="AX136" i="52"/>
  <c r="AW136" i="52"/>
  <c r="AV136" i="52"/>
  <c r="AU136" i="52"/>
  <c r="AT136" i="52"/>
  <c r="AS136" i="52"/>
  <c r="AI136" i="52"/>
  <c r="AH136" i="52"/>
  <c r="AG136" i="52"/>
  <c r="AF136" i="52"/>
  <c r="Z136" i="52"/>
  <c r="Y136" i="52"/>
  <c r="X136" i="52"/>
  <c r="W136" i="52"/>
  <c r="V136" i="52"/>
  <c r="U136" i="52"/>
  <c r="BJ135" i="52"/>
  <c r="BI135" i="52"/>
  <c r="BH135" i="52"/>
  <c r="BG135" i="52"/>
  <c r="AX135" i="52"/>
  <c r="AW135" i="52"/>
  <c r="AV135" i="52"/>
  <c r="AU135" i="52"/>
  <c r="AT135" i="52"/>
  <c r="AS135" i="52"/>
  <c r="AI135" i="52"/>
  <c r="AH135" i="52"/>
  <c r="AG135" i="52"/>
  <c r="AF135" i="52"/>
  <c r="Z135" i="52"/>
  <c r="Y135" i="52"/>
  <c r="X135" i="52"/>
  <c r="W135" i="52"/>
  <c r="V135" i="52"/>
  <c r="U135" i="52"/>
  <c r="BJ134" i="52"/>
  <c r="BI134" i="52"/>
  <c r="BH134" i="52"/>
  <c r="BG134" i="52"/>
  <c r="AX134" i="52"/>
  <c r="AW134" i="52"/>
  <c r="AV134" i="52"/>
  <c r="AU134" i="52"/>
  <c r="AT134" i="52"/>
  <c r="AS134" i="52"/>
  <c r="AI134" i="52"/>
  <c r="AH134" i="52"/>
  <c r="AG134" i="52"/>
  <c r="AF134" i="52"/>
  <c r="Z134" i="52"/>
  <c r="Y134" i="52"/>
  <c r="X134" i="52"/>
  <c r="W134" i="52"/>
  <c r="V134" i="52"/>
  <c r="U134" i="52"/>
  <c r="BJ133" i="52"/>
  <c r="BI133" i="52"/>
  <c r="BH133" i="52"/>
  <c r="BG133" i="52"/>
  <c r="AX133" i="52"/>
  <c r="AW133" i="52"/>
  <c r="AV133" i="52"/>
  <c r="AU133" i="52"/>
  <c r="AT133" i="52"/>
  <c r="AS133" i="52"/>
  <c r="AI133" i="52"/>
  <c r="AH133" i="52"/>
  <c r="AG133" i="52"/>
  <c r="AF133" i="52"/>
  <c r="Z133" i="52"/>
  <c r="Y133" i="52"/>
  <c r="X133" i="52"/>
  <c r="W133" i="52"/>
  <c r="V133" i="52"/>
  <c r="U133" i="52"/>
  <c r="BJ132" i="52"/>
  <c r="BI132" i="52"/>
  <c r="BH132" i="52"/>
  <c r="BG132" i="52"/>
  <c r="AX132" i="52"/>
  <c r="AW132" i="52"/>
  <c r="AV132" i="52"/>
  <c r="AU132" i="52"/>
  <c r="AT132" i="52"/>
  <c r="AS132" i="52"/>
  <c r="AI132" i="52"/>
  <c r="AH132" i="52"/>
  <c r="AG132" i="52"/>
  <c r="AF132" i="52"/>
  <c r="Z132" i="52"/>
  <c r="Y132" i="52"/>
  <c r="X132" i="52"/>
  <c r="W132" i="52"/>
  <c r="V132" i="52"/>
  <c r="U132" i="52"/>
  <c r="BJ131" i="52"/>
  <c r="BI131" i="52"/>
  <c r="BH131" i="52"/>
  <c r="BG131" i="52"/>
  <c r="AX131" i="52"/>
  <c r="AW131" i="52"/>
  <c r="AV131" i="52"/>
  <c r="AU131" i="52"/>
  <c r="AT131" i="52"/>
  <c r="AS131" i="52"/>
  <c r="AI131" i="52"/>
  <c r="AH131" i="52"/>
  <c r="AG131" i="52"/>
  <c r="AF131" i="52"/>
  <c r="Z131" i="52"/>
  <c r="Y131" i="52"/>
  <c r="X131" i="52"/>
  <c r="W131" i="52"/>
  <c r="V131" i="52"/>
  <c r="U131" i="52"/>
  <c r="BJ130" i="52"/>
  <c r="BI130" i="52"/>
  <c r="BH130" i="52"/>
  <c r="BG130" i="52"/>
  <c r="AX130" i="52"/>
  <c r="AW130" i="52"/>
  <c r="AV130" i="52"/>
  <c r="AU130" i="52"/>
  <c r="AT130" i="52"/>
  <c r="AS130" i="52"/>
  <c r="AI130" i="52"/>
  <c r="AH130" i="52"/>
  <c r="AG130" i="52"/>
  <c r="AF130" i="52"/>
  <c r="Z130" i="52"/>
  <c r="Y130" i="52"/>
  <c r="X130" i="52"/>
  <c r="W130" i="52"/>
  <c r="V130" i="52"/>
  <c r="U130" i="52"/>
  <c r="BJ129" i="52"/>
  <c r="BI129" i="52"/>
  <c r="BH129" i="52"/>
  <c r="BG129" i="52"/>
  <c r="AX129" i="52"/>
  <c r="AW129" i="52"/>
  <c r="AV129" i="52"/>
  <c r="AU129" i="52"/>
  <c r="AT129" i="52"/>
  <c r="AS129" i="52"/>
  <c r="AI129" i="52"/>
  <c r="AH129" i="52"/>
  <c r="AG129" i="52"/>
  <c r="AF129" i="52"/>
  <c r="Z129" i="52"/>
  <c r="Y129" i="52"/>
  <c r="X129" i="52"/>
  <c r="W129" i="52"/>
  <c r="V129" i="52"/>
  <c r="U129" i="52"/>
  <c r="BJ128" i="52"/>
  <c r="BI128" i="52"/>
  <c r="BH128" i="52"/>
  <c r="BG128" i="52"/>
  <c r="AX128" i="52"/>
  <c r="AW128" i="52"/>
  <c r="AV128" i="52"/>
  <c r="AU128" i="52"/>
  <c r="AT128" i="52"/>
  <c r="AS128" i="52"/>
  <c r="AI128" i="52"/>
  <c r="AH128" i="52"/>
  <c r="AG128" i="52"/>
  <c r="AF128" i="52"/>
  <c r="Z128" i="52"/>
  <c r="Y128" i="52"/>
  <c r="X128" i="52"/>
  <c r="W128" i="52"/>
  <c r="V128" i="52"/>
  <c r="U128" i="52"/>
  <c r="BJ127" i="52"/>
  <c r="BI127" i="52"/>
  <c r="BH127" i="52"/>
  <c r="BG127" i="52"/>
  <c r="AX127" i="52"/>
  <c r="AW127" i="52"/>
  <c r="AV127" i="52"/>
  <c r="AU127" i="52"/>
  <c r="AT127" i="52"/>
  <c r="AS127" i="52"/>
  <c r="AI127" i="52"/>
  <c r="AH127" i="52"/>
  <c r="AG127" i="52"/>
  <c r="AF127" i="52"/>
  <c r="Z127" i="52"/>
  <c r="Y127" i="52"/>
  <c r="X127" i="52"/>
  <c r="W127" i="52"/>
  <c r="V127" i="52"/>
  <c r="U127" i="52"/>
  <c r="BJ126" i="52"/>
  <c r="BI126" i="52"/>
  <c r="BH126" i="52"/>
  <c r="BG126" i="52"/>
  <c r="AX126" i="52"/>
  <c r="AW126" i="52"/>
  <c r="AV126" i="52"/>
  <c r="AU126" i="52"/>
  <c r="AT126" i="52"/>
  <c r="AS126" i="52"/>
  <c r="AI126" i="52"/>
  <c r="AH126" i="52"/>
  <c r="AG126" i="52"/>
  <c r="AF126" i="52"/>
  <c r="Z126" i="52"/>
  <c r="Y126" i="52"/>
  <c r="X126" i="52"/>
  <c r="W126" i="52"/>
  <c r="V126" i="52"/>
  <c r="U126" i="52"/>
  <c r="BJ125" i="52"/>
  <c r="BI125" i="52"/>
  <c r="BH125" i="52"/>
  <c r="BG125" i="52"/>
  <c r="AX125" i="52"/>
  <c r="AW125" i="52"/>
  <c r="AV125" i="52"/>
  <c r="AU125" i="52"/>
  <c r="AT125" i="52"/>
  <c r="AS125" i="52"/>
  <c r="AI125" i="52"/>
  <c r="AH125" i="52"/>
  <c r="AG125" i="52"/>
  <c r="AF125" i="52"/>
  <c r="Z125" i="52"/>
  <c r="Y125" i="52"/>
  <c r="X125" i="52"/>
  <c r="W125" i="52"/>
  <c r="V125" i="52"/>
  <c r="U125" i="52"/>
  <c r="BJ124" i="52"/>
  <c r="BI124" i="52"/>
  <c r="BH124" i="52"/>
  <c r="BG124" i="52"/>
  <c r="AX124" i="52"/>
  <c r="AW124" i="52"/>
  <c r="AV124" i="52"/>
  <c r="AU124" i="52"/>
  <c r="AT124" i="52"/>
  <c r="AS124" i="52"/>
  <c r="AI124" i="52"/>
  <c r="AH124" i="52"/>
  <c r="AG124" i="52"/>
  <c r="AF124" i="52"/>
  <c r="Z124" i="52"/>
  <c r="Y124" i="52"/>
  <c r="X124" i="52"/>
  <c r="W124" i="52"/>
  <c r="V124" i="52"/>
  <c r="U124" i="52"/>
  <c r="BJ123" i="52"/>
  <c r="BI123" i="52"/>
  <c r="BH123" i="52"/>
  <c r="BG123" i="52"/>
  <c r="AX123" i="52"/>
  <c r="AW123" i="52"/>
  <c r="AV123" i="52"/>
  <c r="AU123" i="52"/>
  <c r="AT123" i="52"/>
  <c r="AS123" i="52"/>
  <c r="AI123" i="52"/>
  <c r="AH123" i="52"/>
  <c r="AG123" i="52"/>
  <c r="AF123" i="52"/>
  <c r="Z123" i="52"/>
  <c r="Y123" i="52"/>
  <c r="X123" i="52"/>
  <c r="W123" i="52"/>
  <c r="V123" i="52"/>
  <c r="U123" i="52"/>
  <c r="BJ122" i="52"/>
  <c r="BI122" i="52"/>
  <c r="BH122" i="52"/>
  <c r="BG122" i="52"/>
  <c r="AX122" i="52"/>
  <c r="AW122" i="52"/>
  <c r="AV122" i="52"/>
  <c r="AU122" i="52"/>
  <c r="AT122" i="52"/>
  <c r="AS122" i="52"/>
  <c r="AI122" i="52"/>
  <c r="AH122" i="52"/>
  <c r="AG122" i="52"/>
  <c r="AF122" i="52"/>
  <c r="Z122" i="52"/>
  <c r="Y122" i="52"/>
  <c r="X122" i="52"/>
  <c r="W122" i="52"/>
  <c r="V122" i="52"/>
  <c r="U122" i="52"/>
  <c r="BJ121" i="52"/>
  <c r="BI121" i="52"/>
  <c r="BH121" i="52"/>
  <c r="BG121" i="52"/>
  <c r="AX121" i="52"/>
  <c r="AW121" i="52"/>
  <c r="AV121" i="52"/>
  <c r="AU121" i="52"/>
  <c r="AT121" i="52"/>
  <c r="AS121" i="52"/>
  <c r="AI121" i="52"/>
  <c r="AH121" i="52"/>
  <c r="AG121" i="52"/>
  <c r="AF121" i="52"/>
  <c r="Z121" i="52"/>
  <c r="Y121" i="52"/>
  <c r="X121" i="52"/>
  <c r="W121" i="52"/>
  <c r="V121" i="52"/>
  <c r="U121" i="52"/>
  <c r="BJ120" i="52"/>
  <c r="BI120" i="52"/>
  <c r="BH120" i="52"/>
  <c r="BG120" i="52"/>
  <c r="AX120" i="52"/>
  <c r="AW120" i="52"/>
  <c r="AV120" i="52"/>
  <c r="AU120" i="52"/>
  <c r="AT120" i="52"/>
  <c r="AS120" i="52"/>
  <c r="AI120" i="52"/>
  <c r="AH120" i="52"/>
  <c r="AG120" i="52"/>
  <c r="AF120" i="52"/>
  <c r="Z120" i="52"/>
  <c r="Y120" i="52"/>
  <c r="X120" i="52"/>
  <c r="W120" i="52"/>
  <c r="V120" i="52"/>
  <c r="U120" i="52"/>
  <c r="BJ119" i="52"/>
  <c r="BI119" i="52"/>
  <c r="BH119" i="52"/>
  <c r="BG119" i="52"/>
  <c r="AX119" i="52"/>
  <c r="AW119" i="52"/>
  <c r="AV119" i="52"/>
  <c r="AU119" i="52"/>
  <c r="AT119" i="52"/>
  <c r="AS119" i="52"/>
  <c r="AI119" i="52"/>
  <c r="AH119" i="52"/>
  <c r="AG119" i="52"/>
  <c r="AF119" i="52"/>
  <c r="Z119" i="52"/>
  <c r="Y119" i="52"/>
  <c r="X119" i="52"/>
  <c r="W119" i="52"/>
  <c r="V119" i="52"/>
  <c r="U119" i="52"/>
  <c r="BJ118" i="52"/>
  <c r="BI118" i="52"/>
  <c r="BH118" i="52"/>
  <c r="BG118" i="52"/>
  <c r="AX118" i="52"/>
  <c r="AW118" i="52"/>
  <c r="AV118" i="52"/>
  <c r="AU118" i="52"/>
  <c r="AT118" i="52"/>
  <c r="AS118" i="52"/>
  <c r="AI118" i="52"/>
  <c r="AH118" i="52"/>
  <c r="AG118" i="52"/>
  <c r="AF118" i="52"/>
  <c r="Z118" i="52"/>
  <c r="Y118" i="52"/>
  <c r="X118" i="52"/>
  <c r="W118" i="52"/>
  <c r="V118" i="52"/>
  <c r="U118" i="52"/>
  <c r="BJ117" i="52"/>
  <c r="BI117" i="52"/>
  <c r="BH117" i="52"/>
  <c r="BG117" i="52"/>
  <c r="AX117" i="52"/>
  <c r="AW117" i="52"/>
  <c r="AV117" i="52"/>
  <c r="AU117" i="52"/>
  <c r="AT117" i="52"/>
  <c r="AS117" i="52"/>
  <c r="AI117" i="52"/>
  <c r="AH117" i="52"/>
  <c r="AG117" i="52"/>
  <c r="AF117" i="52"/>
  <c r="Z117" i="52"/>
  <c r="Y117" i="52"/>
  <c r="X117" i="52"/>
  <c r="W117" i="52"/>
  <c r="V117" i="52"/>
  <c r="U117" i="52"/>
  <c r="BJ116" i="52"/>
  <c r="BI116" i="52"/>
  <c r="BH116" i="52"/>
  <c r="BG116" i="52"/>
  <c r="AX116" i="52"/>
  <c r="AW116" i="52"/>
  <c r="AV116" i="52"/>
  <c r="AU116" i="52"/>
  <c r="AT116" i="52"/>
  <c r="AS116" i="52"/>
  <c r="AI116" i="52"/>
  <c r="AH116" i="52"/>
  <c r="AG116" i="52"/>
  <c r="AF116" i="52"/>
  <c r="Z116" i="52"/>
  <c r="Y116" i="52"/>
  <c r="X116" i="52"/>
  <c r="W116" i="52"/>
  <c r="V116" i="52"/>
  <c r="U116" i="52"/>
  <c r="BJ115" i="52"/>
  <c r="BI115" i="52"/>
  <c r="BH115" i="52"/>
  <c r="BG115" i="52"/>
  <c r="AX115" i="52"/>
  <c r="AW115" i="52"/>
  <c r="AV115" i="52"/>
  <c r="AU115" i="52"/>
  <c r="AT115" i="52"/>
  <c r="AS115" i="52"/>
  <c r="AI115" i="52"/>
  <c r="AH115" i="52"/>
  <c r="AG115" i="52"/>
  <c r="AF115" i="52"/>
  <c r="Z115" i="52"/>
  <c r="Y115" i="52"/>
  <c r="X115" i="52"/>
  <c r="W115" i="52"/>
  <c r="V115" i="52"/>
  <c r="U115" i="52"/>
  <c r="BJ114" i="52"/>
  <c r="BI114" i="52"/>
  <c r="BH114" i="52"/>
  <c r="BG114" i="52"/>
  <c r="AX114" i="52"/>
  <c r="AW114" i="52"/>
  <c r="AV114" i="52"/>
  <c r="AU114" i="52"/>
  <c r="AT114" i="52"/>
  <c r="AS114" i="52"/>
  <c r="AI114" i="52"/>
  <c r="AH114" i="52"/>
  <c r="AG114" i="52"/>
  <c r="AF114" i="52"/>
  <c r="Z114" i="52"/>
  <c r="Y114" i="52"/>
  <c r="X114" i="52"/>
  <c r="W114" i="52"/>
  <c r="V114" i="52"/>
  <c r="U114" i="52"/>
  <c r="BJ113" i="52"/>
  <c r="BI113" i="52"/>
  <c r="BH113" i="52"/>
  <c r="BG113" i="52"/>
  <c r="AX113" i="52"/>
  <c r="AW113" i="52"/>
  <c r="AV113" i="52"/>
  <c r="AU113" i="52"/>
  <c r="AT113" i="52"/>
  <c r="AS113" i="52"/>
  <c r="AI113" i="52"/>
  <c r="AH113" i="52"/>
  <c r="AG113" i="52"/>
  <c r="AF113" i="52"/>
  <c r="Z113" i="52"/>
  <c r="Y113" i="52"/>
  <c r="X113" i="52"/>
  <c r="W113" i="52"/>
  <c r="V113" i="52"/>
  <c r="U113" i="52"/>
  <c r="BJ112" i="52"/>
  <c r="BI112" i="52"/>
  <c r="BH112" i="52"/>
  <c r="BG112" i="52"/>
  <c r="AX112" i="52"/>
  <c r="AW112" i="52"/>
  <c r="AV112" i="52"/>
  <c r="AU112" i="52"/>
  <c r="AT112" i="52"/>
  <c r="AS112" i="52"/>
  <c r="AI112" i="52"/>
  <c r="AH112" i="52"/>
  <c r="AG112" i="52"/>
  <c r="AF112" i="52"/>
  <c r="Z112" i="52"/>
  <c r="Y112" i="52"/>
  <c r="X112" i="52"/>
  <c r="W112" i="52"/>
  <c r="V112" i="52"/>
  <c r="U112" i="52"/>
  <c r="BJ111" i="52"/>
  <c r="BI111" i="52"/>
  <c r="BH111" i="52"/>
  <c r="BG111" i="52"/>
  <c r="AX111" i="52"/>
  <c r="AW111" i="52"/>
  <c r="AV111" i="52"/>
  <c r="AU111" i="52"/>
  <c r="AT111" i="52"/>
  <c r="AS111" i="52"/>
  <c r="AI111" i="52"/>
  <c r="AH111" i="52"/>
  <c r="AG111" i="52"/>
  <c r="AF111" i="52"/>
  <c r="Z111" i="52"/>
  <c r="Y111" i="52"/>
  <c r="X111" i="52"/>
  <c r="W111" i="52"/>
  <c r="V111" i="52"/>
  <c r="U111" i="52"/>
  <c r="BJ110" i="52"/>
  <c r="BI110" i="52"/>
  <c r="BH110" i="52"/>
  <c r="BG110" i="52"/>
  <c r="AX110" i="52"/>
  <c r="AW110" i="52"/>
  <c r="AV110" i="52"/>
  <c r="AU110" i="52"/>
  <c r="AT110" i="52"/>
  <c r="AS110" i="52"/>
  <c r="AI110" i="52"/>
  <c r="AH110" i="52"/>
  <c r="AG110" i="52"/>
  <c r="AF110" i="52"/>
  <c r="Z110" i="52"/>
  <c r="Y110" i="52"/>
  <c r="X110" i="52"/>
  <c r="W110" i="52"/>
  <c r="V110" i="52"/>
  <c r="U110" i="52"/>
  <c r="BJ109" i="52"/>
  <c r="BI109" i="52"/>
  <c r="BH109" i="52"/>
  <c r="BG109" i="52"/>
  <c r="AX109" i="52"/>
  <c r="AW109" i="52"/>
  <c r="AV109" i="52"/>
  <c r="AU109" i="52"/>
  <c r="AT109" i="52"/>
  <c r="AS109" i="52"/>
  <c r="AI109" i="52"/>
  <c r="AH109" i="52"/>
  <c r="AG109" i="52"/>
  <c r="AF109" i="52"/>
  <c r="Z109" i="52"/>
  <c r="Y109" i="52"/>
  <c r="X109" i="52"/>
  <c r="W109" i="52"/>
  <c r="V109" i="52"/>
  <c r="U109" i="52"/>
  <c r="BJ108" i="52"/>
  <c r="BI108" i="52"/>
  <c r="BH108" i="52"/>
  <c r="BG108" i="52"/>
  <c r="AX108" i="52"/>
  <c r="AW108" i="52"/>
  <c r="AV108" i="52"/>
  <c r="AU108" i="52"/>
  <c r="AT108" i="52"/>
  <c r="AS108" i="52"/>
  <c r="AI108" i="52"/>
  <c r="AH108" i="52"/>
  <c r="AG108" i="52"/>
  <c r="AF108" i="52"/>
  <c r="Z108" i="52"/>
  <c r="Y108" i="52"/>
  <c r="X108" i="52"/>
  <c r="W108" i="52"/>
  <c r="V108" i="52"/>
  <c r="U108" i="52"/>
  <c r="BJ107" i="52"/>
  <c r="BI107" i="52"/>
  <c r="BH107" i="52"/>
  <c r="BG107" i="52"/>
  <c r="AX107" i="52"/>
  <c r="AW107" i="52"/>
  <c r="AV107" i="52"/>
  <c r="AU107" i="52"/>
  <c r="AT107" i="52"/>
  <c r="AS107" i="52"/>
  <c r="AI107" i="52"/>
  <c r="AH107" i="52"/>
  <c r="AG107" i="52"/>
  <c r="AF107" i="52"/>
  <c r="Z107" i="52"/>
  <c r="Y107" i="52"/>
  <c r="X107" i="52"/>
  <c r="W107" i="52"/>
  <c r="V107" i="52"/>
  <c r="U107" i="52"/>
  <c r="BJ106" i="52"/>
  <c r="BI106" i="52"/>
  <c r="BH106" i="52"/>
  <c r="BG106" i="52"/>
  <c r="AX106" i="52"/>
  <c r="AW106" i="52"/>
  <c r="AV106" i="52"/>
  <c r="AU106" i="52"/>
  <c r="AT106" i="52"/>
  <c r="AS106" i="52"/>
  <c r="AI106" i="52"/>
  <c r="AH106" i="52"/>
  <c r="AG106" i="52"/>
  <c r="AF106" i="52"/>
  <c r="Z106" i="52"/>
  <c r="Y106" i="52"/>
  <c r="X106" i="52"/>
  <c r="W106" i="52"/>
  <c r="V106" i="52"/>
  <c r="U106" i="52"/>
  <c r="BJ105" i="52"/>
  <c r="BI105" i="52"/>
  <c r="BH105" i="52"/>
  <c r="BG105" i="52"/>
  <c r="AX105" i="52"/>
  <c r="AW105" i="52"/>
  <c r="AV105" i="52"/>
  <c r="AU105" i="52"/>
  <c r="AT105" i="52"/>
  <c r="AS105" i="52"/>
  <c r="AI105" i="52"/>
  <c r="AH105" i="52"/>
  <c r="AG105" i="52"/>
  <c r="AF105" i="52"/>
  <c r="Z105" i="52"/>
  <c r="Y105" i="52"/>
  <c r="X105" i="52"/>
  <c r="W105" i="52"/>
  <c r="V105" i="52"/>
  <c r="U105" i="52"/>
  <c r="BJ104" i="52"/>
  <c r="BI104" i="52"/>
  <c r="BH104" i="52"/>
  <c r="BG104" i="52"/>
  <c r="AX104" i="52"/>
  <c r="AW104" i="52"/>
  <c r="AV104" i="52"/>
  <c r="AU104" i="52"/>
  <c r="AT104" i="52"/>
  <c r="AS104" i="52"/>
  <c r="AI104" i="52"/>
  <c r="AH104" i="52"/>
  <c r="AG104" i="52"/>
  <c r="AF104" i="52"/>
  <c r="Z104" i="52"/>
  <c r="Y104" i="52"/>
  <c r="X104" i="52"/>
  <c r="W104" i="52"/>
  <c r="V104" i="52"/>
  <c r="U104" i="52"/>
  <c r="BJ103" i="52"/>
  <c r="BI103" i="52"/>
  <c r="BH103" i="52"/>
  <c r="BG103" i="52"/>
  <c r="AX103" i="52"/>
  <c r="AW103" i="52"/>
  <c r="AV103" i="52"/>
  <c r="AU103" i="52"/>
  <c r="AT103" i="52"/>
  <c r="AS103" i="52"/>
  <c r="AI103" i="52"/>
  <c r="AH103" i="52"/>
  <c r="AG103" i="52"/>
  <c r="AF103" i="52"/>
  <c r="Z103" i="52"/>
  <c r="Y103" i="52"/>
  <c r="X103" i="52"/>
  <c r="W103" i="52"/>
  <c r="V103" i="52"/>
  <c r="U103" i="52"/>
  <c r="BJ102" i="52"/>
  <c r="BI102" i="52"/>
  <c r="BH102" i="52"/>
  <c r="BG102" i="52"/>
  <c r="AX102" i="52"/>
  <c r="AW102" i="52"/>
  <c r="AV102" i="52"/>
  <c r="AU102" i="52"/>
  <c r="AT102" i="52"/>
  <c r="AS102" i="52"/>
  <c r="AI102" i="52"/>
  <c r="AH102" i="52"/>
  <c r="AG102" i="52"/>
  <c r="AF102" i="52"/>
  <c r="Z102" i="52"/>
  <c r="Y102" i="52"/>
  <c r="X102" i="52"/>
  <c r="W102" i="52"/>
  <c r="V102" i="52"/>
  <c r="U102" i="52"/>
  <c r="BJ101" i="52"/>
  <c r="BI101" i="52"/>
  <c r="BH101" i="52"/>
  <c r="BG101" i="52"/>
  <c r="AX101" i="52"/>
  <c r="AW101" i="52"/>
  <c r="AV101" i="52"/>
  <c r="AU101" i="52"/>
  <c r="AT101" i="52"/>
  <c r="AS101" i="52"/>
  <c r="AI101" i="52"/>
  <c r="AH101" i="52"/>
  <c r="AG101" i="52"/>
  <c r="AF101" i="52"/>
  <c r="Z101" i="52"/>
  <c r="Y101" i="52"/>
  <c r="X101" i="52"/>
  <c r="W101" i="52"/>
  <c r="V101" i="52"/>
  <c r="U101" i="52"/>
  <c r="BJ100" i="52"/>
  <c r="BI100" i="52"/>
  <c r="BH100" i="52"/>
  <c r="BG100" i="52"/>
  <c r="AX100" i="52"/>
  <c r="AW100" i="52"/>
  <c r="AV100" i="52"/>
  <c r="AU100" i="52"/>
  <c r="AT100" i="52"/>
  <c r="AS100" i="52"/>
  <c r="AI100" i="52"/>
  <c r="AH100" i="52"/>
  <c r="AG100" i="52"/>
  <c r="AF100" i="52"/>
  <c r="Z100" i="52"/>
  <c r="Y100" i="52"/>
  <c r="X100" i="52"/>
  <c r="W100" i="52"/>
  <c r="V100" i="52"/>
  <c r="U100" i="52"/>
  <c r="BJ99" i="52"/>
  <c r="BI99" i="52"/>
  <c r="BH99" i="52"/>
  <c r="BG99" i="52"/>
  <c r="AX99" i="52"/>
  <c r="AW99" i="52"/>
  <c r="AV99" i="52"/>
  <c r="AU99" i="52"/>
  <c r="AT99" i="52"/>
  <c r="AS99" i="52"/>
  <c r="AI99" i="52"/>
  <c r="AH99" i="52"/>
  <c r="AG99" i="52"/>
  <c r="AF99" i="52"/>
  <c r="Z99" i="52"/>
  <c r="Y99" i="52"/>
  <c r="X99" i="52"/>
  <c r="W99" i="52"/>
  <c r="V99" i="52"/>
  <c r="U99" i="52"/>
  <c r="BJ98" i="52"/>
  <c r="BI98" i="52"/>
  <c r="BH98" i="52"/>
  <c r="BG98" i="52"/>
  <c r="AX98" i="52"/>
  <c r="AW98" i="52"/>
  <c r="AV98" i="52"/>
  <c r="AU98" i="52"/>
  <c r="AT98" i="52"/>
  <c r="AS98" i="52"/>
  <c r="AI98" i="52"/>
  <c r="AH98" i="52"/>
  <c r="AG98" i="52"/>
  <c r="AF98" i="52"/>
  <c r="Z98" i="52"/>
  <c r="Y98" i="52"/>
  <c r="X98" i="52"/>
  <c r="W98" i="52"/>
  <c r="V98" i="52"/>
  <c r="U98" i="52"/>
  <c r="BJ97" i="52"/>
  <c r="BI97" i="52"/>
  <c r="BH97" i="52"/>
  <c r="BG97" i="52"/>
  <c r="AX97" i="52"/>
  <c r="AW97" i="52"/>
  <c r="AV97" i="52"/>
  <c r="AU97" i="52"/>
  <c r="AT97" i="52"/>
  <c r="AS97" i="52"/>
  <c r="AI97" i="52"/>
  <c r="AH97" i="52"/>
  <c r="AG97" i="52"/>
  <c r="AF97" i="52"/>
  <c r="Z97" i="52"/>
  <c r="Y97" i="52"/>
  <c r="X97" i="52"/>
  <c r="W97" i="52"/>
  <c r="V97" i="52"/>
  <c r="U97" i="52"/>
  <c r="BJ96" i="52"/>
  <c r="BI96" i="52"/>
  <c r="BH96" i="52"/>
  <c r="BG96" i="52"/>
  <c r="AX96" i="52"/>
  <c r="AW96" i="52"/>
  <c r="AV96" i="52"/>
  <c r="AU96" i="52"/>
  <c r="AT96" i="52"/>
  <c r="AS96" i="52"/>
  <c r="AI96" i="52"/>
  <c r="AH96" i="52"/>
  <c r="AG96" i="52"/>
  <c r="AF96" i="52"/>
  <c r="Z96" i="52"/>
  <c r="Y96" i="52"/>
  <c r="X96" i="52"/>
  <c r="W96" i="52"/>
  <c r="V96" i="52"/>
  <c r="U96" i="52"/>
  <c r="BJ95" i="52"/>
  <c r="BI95" i="52"/>
  <c r="BH95" i="52"/>
  <c r="BG95" i="52"/>
  <c r="AX95" i="52"/>
  <c r="AW95" i="52"/>
  <c r="AV95" i="52"/>
  <c r="AU95" i="52"/>
  <c r="AT95" i="52"/>
  <c r="AS95" i="52"/>
  <c r="AI95" i="52"/>
  <c r="AH95" i="52"/>
  <c r="AG95" i="52"/>
  <c r="AF95" i="52"/>
  <c r="Z95" i="52"/>
  <c r="Y95" i="52"/>
  <c r="X95" i="52"/>
  <c r="W95" i="52"/>
  <c r="V95" i="52"/>
  <c r="U95" i="52"/>
  <c r="BJ94" i="52"/>
  <c r="BI94" i="52"/>
  <c r="BH94" i="52"/>
  <c r="BG94" i="52"/>
  <c r="AX94" i="52"/>
  <c r="AW94" i="52"/>
  <c r="AV94" i="52"/>
  <c r="AU94" i="52"/>
  <c r="AT94" i="52"/>
  <c r="AS94" i="52"/>
  <c r="AI94" i="52"/>
  <c r="AH94" i="52"/>
  <c r="AG94" i="52"/>
  <c r="AF94" i="52"/>
  <c r="Z94" i="52"/>
  <c r="Y94" i="52"/>
  <c r="X94" i="52"/>
  <c r="W94" i="52"/>
  <c r="V94" i="52"/>
  <c r="U94" i="52"/>
  <c r="BJ93" i="52"/>
  <c r="BI93" i="52"/>
  <c r="BH93" i="52"/>
  <c r="BG93" i="52"/>
  <c r="AX93" i="52"/>
  <c r="AW93" i="52"/>
  <c r="AV93" i="52"/>
  <c r="AU93" i="52"/>
  <c r="AT93" i="52"/>
  <c r="AS93" i="52"/>
  <c r="AI93" i="52"/>
  <c r="AH93" i="52"/>
  <c r="AG93" i="52"/>
  <c r="AF93" i="52"/>
  <c r="Z93" i="52"/>
  <c r="Y93" i="52"/>
  <c r="X93" i="52"/>
  <c r="W93" i="52"/>
  <c r="V93" i="52"/>
  <c r="U93" i="52"/>
  <c r="BJ92" i="52"/>
  <c r="BI92" i="52"/>
  <c r="BH92" i="52"/>
  <c r="BG92" i="52"/>
  <c r="AX92" i="52"/>
  <c r="AW92" i="52"/>
  <c r="AV92" i="52"/>
  <c r="AU92" i="52"/>
  <c r="AT92" i="52"/>
  <c r="AS92" i="52"/>
  <c r="AI92" i="52"/>
  <c r="AH92" i="52"/>
  <c r="AG92" i="52"/>
  <c r="AF92" i="52"/>
  <c r="Z92" i="52"/>
  <c r="Y92" i="52"/>
  <c r="X92" i="52"/>
  <c r="W92" i="52"/>
  <c r="V92" i="52"/>
  <c r="U92" i="52"/>
  <c r="BJ91" i="52"/>
  <c r="BI91" i="52"/>
  <c r="BH91" i="52"/>
  <c r="BG91" i="52"/>
  <c r="AX91" i="52"/>
  <c r="AW91" i="52"/>
  <c r="AV91" i="52"/>
  <c r="AU91" i="52"/>
  <c r="AT91" i="52"/>
  <c r="AS91" i="52"/>
  <c r="AI91" i="52"/>
  <c r="AH91" i="52"/>
  <c r="AG91" i="52"/>
  <c r="AF91" i="52"/>
  <c r="Z91" i="52"/>
  <c r="Y91" i="52"/>
  <c r="X91" i="52"/>
  <c r="W91" i="52"/>
  <c r="V91" i="52"/>
  <c r="U91" i="52"/>
  <c r="BJ90" i="52"/>
  <c r="BI90" i="52"/>
  <c r="BH90" i="52"/>
  <c r="BG90" i="52"/>
  <c r="AX90" i="52"/>
  <c r="AW90" i="52"/>
  <c r="AV90" i="52"/>
  <c r="AU90" i="52"/>
  <c r="AT90" i="52"/>
  <c r="AS90" i="52"/>
  <c r="AI90" i="52"/>
  <c r="AH90" i="52"/>
  <c r="AG90" i="52"/>
  <c r="AF90" i="52"/>
  <c r="Z90" i="52"/>
  <c r="Y90" i="52"/>
  <c r="X90" i="52"/>
  <c r="W90" i="52"/>
  <c r="V90" i="52"/>
  <c r="U90" i="52"/>
  <c r="BJ89" i="52"/>
  <c r="BI89" i="52"/>
  <c r="BH89" i="52"/>
  <c r="BG89" i="52"/>
  <c r="AX89" i="52"/>
  <c r="AW89" i="52"/>
  <c r="AV89" i="52"/>
  <c r="AU89" i="52"/>
  <c r="AT89" i="52"/>
  <c r="AS89" i="52"/>
  <c r="AI89" i="52"/>
  <c r="AH89" i="52"/>
  <c r="AG89" i="52"/>
  <c r="AF89" i="52"/>
  <c r="Z89" i="52"/>
  <c r="Y89" i="52"/>
  <c r="X89" i="52"/>
  <c r="W89" i="52"/>
  <c r="V89" i="52"/>
  <c r="U89" i="52"/>
  <c r="BJ88" i="52"/>
  <c r="BI88" i="52"/>
  <c r="BH88" i="52"/>
  <c r="BG88" i="52"/>
  <c r="AX88" i="52"/>
  <c r="AW88" i="52"/>
  <c r="AV88" i="52"/>
  <c r="AU88" i="52"/>
  <c r="AT88" i="52"/>
  <c r="AS88" i="52"/>
  <c r="AI88" i="52"/>
  <c r="AH88" i="52"/>
  <c r="AG88" i="52"/>
  <c r="AF88" i="52"/>
  <c r="Z88" i="52"/>
  <c r="Y88" i="52"/>
  <c r="X88" i="52"/>
  <c r="W88" i="52"/>
  <c r="V88" i="52"/>
  <c r="U88" i="52"/>
  <c r="BJ87" i="52"/>
  <c r="BI87" i="52"/>
  <c r="BH87" i="52"/>
  <c r="BG87" i="52"/>
  <c r="AX87" i="52"/>
  <c r="AW87" i="52"/>
  <c r="AV87" i="52"/>
  <c r="AU87" i="52"/>
  <c r="AT87" i="52"/>
  <c r="AS87" i="52"/>
  <c r="AI87" i="52"/>
  <c r="AH87" i="52"/>
  <c r="AG87" i="52"/>
  <c r="AF87" i="52"/>
  <c r="Z87" i="52"/>
  <c r="Y87" i="52"/>
  <c r="X87" i="52"/>
  <c r="W87" i="52"/>
  <c r="V87" i="52"/>
  <c r="U87" i="52"/>
  <c r="BJ86" i="52"/>
  <c r="BI86" i="52"/>
  <c r="BH86" i="52"/>
  <c r="BG86" i="52"/>
  <c r="AX86" i="52"/>
  <c r="AW86" i="52"/>
  <c r="AV86" i="52"/>
  <c r="AU86" i="52"/>
  <c r="AT86" i="52"/>
  <c r="AS86" i="52"/>
  <c r="AI86" i="52"/>
  <c r="AH86" i="52"/>
  <c r="AG86" i="52"/>
  <c r="AF86" i="52"/>
  <c r="Z86" i="52"/>
  <c r="Y86" i="52"/>
  <c r="X86" i="52"/>
  <c r="W86" i="52"/>
  <c r="V86" i="52"/>
  <c r="U86" i="52"/>
  <c r="BJ85" i="52"/>
  <c r="BI85" i="52"/>
  <c r="BH85" i="52"/>
  <c r="BG85" i="52"/>
  <c r="AX85" i="52"/>
  <c r="AW85" i="52"/>
  <c r="AV85" i="52"/>
  <c r="AU85" i="52"/>
  <c r="AT85" i="52"/>
  <c r="AS85" i="52"/>
  <c r="AI85" i="52"/>
  <c r="AH85" i="52"/>
  <c r="AG85" i="52"/>
  <c r="AF85" i="52"/>
  <c r="Z85" i="52"/>
  <c r="Y85" i="52"/>
  <c r="X85" i="52"/>
  <c r="W85" i="52"/>
  <c r="V85" i="52"/>
  <c r="U85" i="52"/>
  <c r="BJ84" i="52"/>
  <c r="BI84" i="52"/>
  <c r="BH84" i="52"/>
  <c r="BG84" i="52"/>
  <c r="AX84" i="52"/>
  <c r="AW84" i="52"/>
  <c r="AV84" i="52"/>
  <c r="AU84" i="52"/>
  <c r="AT84" i="52"/>
  <c r="AS84" i="52"/>
  <c r="AI84" i="52"/>
  <c r="AH84" i="52"/>
  <c r="AG84" i="52"/>
  <c r="AF84" i="52"/>
  <c r="Z84" i="52"/>
  <c r="Y84" i="52"/>
  <c r="X84" i="52"/>
  <c r="W84" i="52"/>
  <c r="V84" i="52"/>
  <c r="U84" i="52"/>
  <c r="BJ83" i="52"/>
  <c r="BI83" i="52"/>
  <c r="BH83" i="52"/>
  <c r="BG83" i="52"/>
  <c r="AX83" i="52"/>
  <c r="AW83" i="52"/>
  <c r="AV83" i="52"/>
  <c r="AU83" i="52"/>
  <c r="AT83" i="52"/>
  <c r="AS83" i="52"/>
  <c r="AI83" i="52"/>
  <c r="AH83" i="52"/>
  <c r="AG83" i="52"/>
  <c r="AF83" i="52"/>
  <c r="Z83" i="52"/>
  <c r="Y83" i="52"/>
  <c r="X83" i="52"/>
  <c r="W83" i="52"/>
  <c r="V83" i="52"/>
  <c r="U83" i="52"/>
  <c r="BJ82" i="52"/>
  <c r="BI82" i="52"/>
  <c r="BH82" i="52"/>
  <c r="BG82" i="52"/>
  <c r="AX82" i="52"/>
  <c r="AW82" i="52"/>
  <c r="AV82" i="52"/>
  <c r="AU82" i="52"/>
  <c r="AT82" i="52"/>
  <c r="AS82" i="52"/>
  <c r="AI82" i="52"/>
  <c r="AH82" i="52"/>
  <c r="AG82" i="52"/>
  <c r="AF82" i="52"/>
  <c r="Z82" i="52"/>
  <c r="Y82" i="52"/>
  <c r="X82" i="52"/>
  <c r="W82" i="52"/>
  <c r="V82" i="52"/>
  <c r="U82" i="52"/>
  <c r="BJ81" i="52"/>
  <c r="BI81" i="52"/>
  <c r="BH81" i="52"/>
  <c r="BG81" i="52"/>
  <c r="AX81" i="52"/>
  <c r="AW81" i="52"/>
  <c r="AV81" i="52"/>
  <c r="AU81" i="52"/>
  <c r="AT81" i="52"/>
  <c r="AS81" i="52"/>
  <c r="AI81" i="52"/>
  <c r="AH81" i="52"/>
  <c r="AG81" i="52"/>
  <c r="AF81" i="52"/>
  <c r="Z81" i="52"/>
  <c r="Y81" i="52"/>
  <c r="X81" i="52"/>
  <c r="W81" i="52"/>
  <c r="V81" i="52"/>
  <c r="U81" i="52"/>
  <c r="BJ80" i="52"/>
  <c r="BI80" i="52"/>
  <c r="BH80" i="52"/>
  <c r="BG80" i="52"/>
  <c r="AX80" i="52"/>
  <c r="AW80" i="52"/>
  <c r="AV80" i="52"/>
  <c r="AU80" i="52"/>
  <c r="AT80" i="52"/>
  <c r="AS80" i="52"/>
  <c r="AI80" i="52"/>
  <c r="AH80" i="52"/>
  <c r="AG80" i="52"/>
  <c r="AF80" i="52"/>
  <c r="Z80" i="52"/>
  <c r="Y80" i="52"/>
  <c r="X80" i="52"/>
  <c r="W80" i="52"/>
  <c r="V80" i="52"/>
  <c r="U80" i="52"/>
  <c r="BJ79" i="52"/>
  <c r="BI79" i="52"/>
  <c r="BH79" i="52"/>
  <c r="BG79" i="52"/>
  <c r="AX79" i="52"/>
  <c r="AW79" i="52"/>
  <c r="AV79" i="52"/>
  <c r="AU79" i="52"/>
  <c r="AT79" i="52"/>
  <c r="AS79" i="52"/>
  <c r="AI79" i="52"/>
  <c r="AH79" i="52"/>
  <c r="AG79" i="52"/>
  <c r="AF79" i="52"/>
  <c r="Z79" i="52"/>
  <c r="Y79" i="52"/>
  <c r="X79" i="52"/>
  <c r="W79" i="52"/>
  <c r="V79" i="52"/>
  <c r="U79" i="52"/>
  <c r="BJ78" i="52"/>
  <c r="BI78" i="52"/>
  <c r="BH78" i="52"/>
  <c r="BG78" i="52"/>
  <c r="AX78" i="52"/>
  <c r="AW78" i="52"/>
  <c r="AV78" i="52"/>
  <c r="AU78" i="52"/>
  <c r="AT78" i="52"/>
  <c r="AS78" i="52"/>
  <c r="AI78" i="52"/>
  <c r="AH78" i="52"/>
  <c r="AG78" i="52"/>
  <c r="AF78" i="52"/>
  <c r="Z78" i="52"/>
  <c r="Y78" i="52"/>
  <c r="X78" i="52"/>
  <c r="W78" i="52"/>
  <c r="V78" i="52"/>
  <c r="U78" i="52"/>
  <c r="BJ77" i="52"/>
  <c r="BI77" i="52"/>
  <c r="BH77" i="52"/>
  <c r="BG77" i="52"/>
  <c r="AX77" i="52"/>
  <c r="AW77" i="52"/>
  <c r="AV77" i="52"/>
  <c r="AU77" i="52"/>
  <c r="AT77" i="52"/>
  <c r="AS77" i="52"/>
  <c r="AI77" i="52"/>
  <c r="AH77" i="52"/>
  <c r="AG77" i="52"/>
  <c r="AF77" i="52"/>
  <c r="Z77" i="52"/>
  <c r="Y77" i="52"/>
  <c r="X77" i="52"/>
  <c r="W77" i="52"/>
  <c r="V77" i="52"/>
  <c r="U77" i="52"/>
  <c r="BJ76" i="52"/>
  <c r="BI76" i="52"/>
  <c r="BH76" i="52"/>
  <c r="BG76" i="52"/>
  <c r="AX76" i="52"/>
  <c r="AW76" i="52"/>
  <c r="AV76" i="52"/>
  <c r="AU76" i="52"/>
  <c r="AT76" i="52"/>
  <c r="AS76" i="52"/>
  <c r="AI76" i="52"/>
  <c r="AH76" i="52"/>
  <c r="AG76" i="52"/>
  <c r="AF76" i="52"/>
  <c r="Z76" i="52"/>
  <c r="Y76" i="52"/>
  <c r="X76" i="52"/>
  <c r="W76" i="52"/>
  <c r="V76" i="52"/>
  <c r="U76" i="52"/>
  <c r="BJ75" i="52"/>
  <c r="BI75" i="52"/>
  <c r="BH75" i="52"/>
  <c r="BG75" i="52"/>
  <c r="AX75" i="52"/>
  <c r="AW75" i="52"/>
  <c r="AV75" i="52"/>
  <c r="AU75" i="52"/>
  <c r="AT75" i="52"/>
  <c r="AS75" i="52"/>
  <c r="AI75" i="52"/>
  <c r="AH75" i="52"/>
  <c r="AG75" i="52"/>
  <c r="AF75" i="52"/>
  <c r="Z75" i="52"/>
  <c r="Y75" i="52"/>
  <c r="X75" i="52"/>
  <c r="W75" i="52"/>
  <c r="V75" i="52"/>
  <c r="U75" i="52"/>
  <c r="BJ74" i="52"/>
  <c r="BI74" i="52"/>
  <c r="BH74" i="52"/>
  <c r="BG74" i="52"/>
  <c r="AX74" i="52"/>
  <c r="AW74" i="52"/>
  <c r="AV74" i="52"/>
  <c r="AU74" i="52"/>
  <c r="AT74" i="52"/>
  <c r="AS74" i="52"/>
  <c r="AI74" i="52"/>
  <c r="AH74" i="52"/>
  <c r="AG74" i="52"/>
  <c r="AF74" i="52"/>
  <c r="Z74" i="52"/>
  <c r="Y74" i="52"/>
  <c r="X74" i="52"/>
  <c r="W74" i="52"/>
  <c r="V74" i="52"/>
  <c r="U74" i="52"/>
  <c r="BJ73" i="52"/>
  <c r="BI73" i="52"/>
  <c r="BH73" i="52"/>
  <c r="BG73" i="52"/>
  <c r="AX73" i="52"/>
  <c r="AW73" i="52"/>
  <c r="AV73" i="52"/>
  <c r="AU73" i="52"/>
  <c r="AT73" i="52"/>
  <c r="AS73" i="52"/>
  <c r="AI73" i="52"/>
  <c r="AH73" i="52"/>
  <c r="AG73" i="52"/>
  <c r="AF73" i="52"/>
  <c r="Z73" i="52"/>
  <c r="Y73" i="52"/>
  <c r="X73" i="52"/>
  <c r="W73" i="52"/>
  <c r="V73" i="52"/>
  <c r="U73" i="52"/>
  <c r="BJ72" i="52"/>
  <c r="BI72" i="52"/>
  <c r="BH72" i="52"/>
  <c r="BG72" i="52"/>
  <c r="AX72" i="52"/>
  <c r="AW72" i="52"/>
  <c r="AV72" i="52"/>
  <c r="AU72" i="52"/>
  <c r="AT72" i="52"/>
  <c r="AS72" i="52"/>
  <c r="AI72" i="52"/>
  <c r="AH72" i="52"/>
  <c r="AG72" i="52"/>
  <c r="AF72" i="52"/>
  <c r="Z72" i="52"/>
  <c r="Y72" i="52"/>
  <c r="X72" i="52"/>
  <c r="W72" i="52"/>
  <c r="V72" i="52"/>
  <c r="U72" i="52"/>
  <c r="BJ71" i="52"/>
  <c r="BI71" i="52"/>
  <c r="BH71" i="52"/>
  <c r="BG71" i="52"/>
  <c r="AX71" i="52"/>
  <c r="AW71" i="52"/>
  <c r="AV71" i="52"/>
  <c r="AU71" i="52"/>
  <c r="AT71" i="52"/>
  <c r="AS71" i="52"/>
  <c r="AI71" i="52"/>
  <c r="AH71" i="52"/>
  <c r="AG71" i="52"/>
  <c r="AF71" i="52"/>
  <c r="Z71" i="52"/>
  <c r="Y71" i="52"/>
  <c r="X71" i="52"/>
  <c r="W71" i="52"/>
  <c r="V71" i="52"/>
  <c r="U71" i="52"/>
  <c r="BJ70" i="52"/>
  <c r="BI70" i="52"/>
  <c r="BH70" i="52"/>
  <c r="BG70" i="52"/>
  <c r="AX70" i="52"/>
  <c r="AW70" i="52"/>
  <c r="AV70" i="52"/>
  <c r="AU70" i="52"/>
  <c r="AT70" i="52"/>
  <c r="AS70" i="52"/>
  <c r="AI70" i="52"/>
  <c r="AH70" i="52"/>
  <c r="AG70" i="52"/>
  <c r="AF70" i="52"/>
  <c r="Z70" i="52"/>
  <c r="Y70" i="52"/>
  <c r="X70" i="52"/>
  <c r="W70" i="52"/>
  <c r="V70" i="52"/>
  <c r="U70" i="52"/>
  <c r="BJ69" i="52"/>
  <c r="BI69" i="52"/>
  <c r="BH69" i="52"/>
  <c r="BG69" i="52"/>
  <c r="AX69" i="52"/>
  <c r="AW69" i="52"/>
  <c r="AV69" i="52"/>
  <c r="AU69" i="52"/>
  <c r="AT69" i="52"/>
  <c r="AS69" i="52"/>
  <c r="AI69" i="52"/>
  <c r="AH69" i="52"/>
  <c r="AG69" i="52"/>
  <c r="AF69" i="52"/>
  <c r="Z69" i="52"/>
  <c r="Y69" i="52"/>
  <c r="X69" i="52"/>
  <c r="W69" i="52"/>
  <c r="V69" i="52"/>
  <c r="U69" i="52"/>
  <c r="BJ68" i="52"/>
  <c r="BI68" i="52"/>
  <c r="BH68" i="52"/>
  <c r="BG68" i="52"/>
  <c r="AX68" i="52"/>
  <c r="AW68" i="52"/>
  <c r="AV68" i="52"/>
  <c r="AU68" i="52"/>
  <c r="AT68" i="52"/>
  <c r="AS68" i="52"/>
  <c r="AI68" i="52"/>
  <c r="AH68" i="52"/>
  <c r="AG68" i="52"/>
  <c r="AF68" i="52"/>
  <c r="Z68" i="52"/>
  <c r="Y68" i="52"/>
  <c r="X68" i="52"/>
  <c r="W68" i="52"/>
  <c r="V68" i="52"/>
  <c r="U68" i="52"/>
  <c r="BJ67" i="52"/>
  <c r="BI67" i="52"/>
  <c r="BH67" i="52"/>
  <c r="BG67" i="52"/>
  <c r="AX67" i="52"/>
  <c r="AW67" i="52"/>
  <c r="AV67" i="52"/>
  <c r="AU67" i="52"/>
  <c r="AT67" i="52"/>
  <c r="AS67" i="52"/>
  <c r="AI67" i="52"/>
  <c r="AH67" i="52"/>
  <c r="AG67" i="52"/>
  <c r="AF67" i="52"/>
  <c r="Z67" i="52"/>
  <c r="Y67" i="52"/>
  <c r="X67" i="52"/>
  <c r="W67" i="52"/>
  <c r="V67" i="52"/>
  <c r="U67" i="52"/>
  <c r="BJ320" i="52"/>
  <c r="BI320" i="52"/>
  <c r="BH320" i="52"/>
  <c r="BG320" i="52"/>
  <c r="AX320" i="52"/>
  <c r="AW320" i="52"/>
  <c r="AV320" i="52"/>
  <c r="AU320" i="52"/>
  <c r="AT320" i="52"/>
  <c r="AS320" i="52"/>
  <c r="AI320" i="52"/>
  <c r="AH320" i="52"/>
  <c r="AG320" i="52"/>
  <c r="AF320" i="52"/>
  <c r="Z320" i="52"/>
  <c r="Y320" i="52"/>
  <c r="X320" i="52"/>
  <c r="W320" i="52"/>
  <c r="V320" i="52"/>
  <c r="U320" i="52"/>
  <c r="BJ319" i="52"/>
  <c r="BI319" i="52"/>
  <c r="BH319" i="52"/>
  <c r="BG319" i="52"/>
  <c r="AX319" i="52"/>
  <c r="AW319" i="52"/>
  <c r="AV319" i="52"/>
  <c r="AU319" i="52"/>
  <c r="AT319" i="52"/>
  <c r="AS319" i="52"/>
  <c r="AI319" i="52"/>
  <c r="AH319" i="52"/>
  <c r="AG319" i="52"/>
  <c r="AF319" i="52"/>
  <c r="Z319" i="52"/>
  <c r="Y319" i="52"/>
  <c r="X319" i="52"/>
  <c r="W319" i="52"/>
  <c r="V319" i="52"/>
  <c r="U319" i="52"/>
  <c r="BJ318" i="52"/>
  <c r="BI318" i="52"/>
  <c r="BH318" i="52"/>
  <c r="BG318" i="52"/>
  <c r="AX318" i="52"/>
  <c r="AW318" i="52"/>
  <c r="AV318" i="52"/>
  <c r="AU318" i="52"/>
  <c r="AT318" i="52"/>
  <c r="AS318" i="52"/>
  <c r="AI318" i="52"/>
  <c r="AH318" i="52"/>
  <c r="AG318" i="52"/>
  <c r="AF318" i="52"/>
  <c r="Z318" i="52"/>
  <c r="Y318" i="52"/>
  <c r="X318" i="52"/>
  <c r="W318" i="52"/>
  <c r="V318" i="52"/>
  <c r="U318" i="52"/>
  <c r="BJ317" i="52"/>
  <c r="BI317" i="52"/>
  <c r="BH317" i="52"/>
  <c r="BG317" i="52"/>
  <c r="AX317" i="52"/>
  <c r="AW317" i="52"/>
  <c r="AV317" i="52"/>
  <c r="AU317" i="52"/>
  <c r="AT317" i="52"/>
  <c r="AS317" i="52"/>
  <c r="AI317" i="52"/>
  <c r="AH317" i="52"/>
  <c r="AG317" i="52"/>
  <c r="AF317" i="52"/>
  <c r="Z317" i="52"/>
  <c r="Y317" i="52"/>
  <c r="X317" i="52"/>
  <c r="W317" i="52"/>
  <c r="V317" i="52"/>
  <c r="U317" i="52"/>
  <c r="BJ316" i="52"/>
  <c r="BI316" i="52"/>
  <c r="BH316" i="52"/>
  <c r="BG316" i="52"/>
  <c r="AX316" i="52"/>
  <c r="AW316" i="52"/>
  <c r="AV316" i="52"/>
  <c r="AU316" i="52"/>
  <c r="AT316" i="52"/>
  <c r="AS316" i="52"/>
  <c r="AI316" i="52"/>
  <c r="AH316" i="52"/>
  <c r="AG316" i="52"/>
  <c r="AF316" i="52"/>
  <c r="Z316" i="52"/>
  <c r="Y316" i="52"/>
  <c r="X316" i="52"/>
  <c r="W316" i="52"/>
  <c r="V316" i="52"/>
  <c r="U316" i="52"/>
  <c r="BJ315" i="52"/>
  <c r="BI315" i="52"/>
  <c r="BH315" i="52"/>
  <c r="BG315" i="52"/>
  <c r="AX315" i="52"/>
  <c r="AW315" i="52"/>
  <c r="AV315" i="52"/>
  <c r="AU315" i="52"/>
  <c r="AT315" i="52"/>
  <c r="AS315" i="52"/>
  <c r="AI315" i="52"/>
  <c r="AH315" i="52"/>
  <c r="AG315" i="52"/>
  <c r="AF315" i="52"/>
  <c r="Z315" i="52"/>
  <c r="Y315" i="52"/>
  <c r="X315" i="52"/>
  <c r="W315" i="52"/>
  <c r="V315" i="52"/>
  <c r="U315" i="52"/>
  <c r="BJ314" i="52"/>
  <c r="BI314" i="52"/>
  <c r="BH314" i="52"/>
  <c r="BG314" i="52"/>
  <c r="AX314" i="52"/>
  <c r="AW314" i="52"/>
  <c r="AV314" i="52"/>
  <c r="AU314" i="52"/>
  <c r="AT314" i="52"/>
  <c r="AS314" i="52"/>
  <c r="AI314" i="52"/>
  <c r="AH314" i="52"/>
  <c r="AG314" i="52"/>
  <c r="AF314" i="52"/>
  <c r="Z314" i="52"/>
  <c r="Y314" i="52"/>
  <c r="X314" i="52"/>
  <c r="W314" i="52"/>
  <c r="V314" i="52"/>
  <c r="U314" i="52"/>
  <c r="BJ313" i="52"/>
  <c r="BI313" i="52"/>
  <c r="BH313" i="52"/>
  <c r="BG313" i="52"/>
  <c r="AX313" i="52"/>
  <c r="AW313" i="52"/>
  <c r="AV313" i="52"/>
  <c r="AU313" i="52"/>
  <c r="AT313" i="52"/>
  <c r="AS313" i="52"/>
  <c r="AI313" i="52"/>
  <c r="AH313" i="52"/>
  <c r="AG313" i="52"/>
  <c r="AF313" i="52"/>
  <c r="Z313" i="52"/>
  <c r="Y313" i="52"/>
  <c r="X313" i="52"/>
  <c r="W313" i="52"/>
  <c r="V313" i="52"/>
  <c r="U313" i="52"/>
  <c r="BJ312" i="52"/>
  <c r="BI312" i="52"/>
  <c r="BH312" i="52"/>
  <c r="BG312" i="52"/>
  <c r="AX312" i="52"/>
  <c r="AW312" i="52"/>
  <c r="AV312" i="52"/>
  <c r="AU312" i="52"/>
  <c r="AT312" i="52"/>
  <c r="AS312" i="52"/>
  <c r="AI312" i="52"/>
  <c r="AH312" i="52"/>
  <c r="AG312" i="52"/>
  <c r="AF312" i="52"/>
  <c r="Z312" i="52"/>
  <c r="Y312" i="52"/>
  <c r="X312" i="52"/>
  <c r="W312" i="52"/>
  <c r="V312" i="52"/>
  <c r="U312" i="52"/>
  <c r="BJ311" i="52"/>
  <c r="BI311" i="52"/>
  <c r="BH311" i="52"/>
  <c r="BG311" i="52"/>
  <c r="AX311" i="52"/>
  <c r="AW311" i="52"/>
  <c r="AV311" i="52"/>
  <c r="AU311" i="52"/>
  <c r="AT311" i="52"/>
  <c r="AS311" i="52"/>
  <c r="AI311" i="52"/>
  <c r="AH311" i="52"/>
  <c r="AG311" i="52"/>
  <c r="AF311" i="52"/>
  <c r="Z311" i="52"/>
  <c r="Y311" i="52"/>
  <c r="X311" i="52"/>
  <c r="W311" i="52"/>
  <c r="V311" i="52"/>
  <c r="U311" i="52"/>
  <c r="BJ310" i="52"/>
  <c r="BI310" i="52"/>
  <c r="BH310" i="52"/>
  <c r="BG310" i="52"/>
  <c r="AX310" i="52"/>
  <c r="AW310" i="52"/>
  <c r="AV310" i="52"/>
  <c r="AU310" i="52"/>
  <c r="AT310" i="52"/>
  <c r="AS310" i="52"/>
  <c r="AI310" i="52"/>
  <c r="AH310" i="52"/>
  <c r="AG310" i="52"/>
  <c r="AF310" i="52"/>
  <c r="Z310" i="52"/>
  <c r="Y310" i="52"/>
  <c r="X310" i="52"/>
  <c r="W310" i="52"/>
  <c r="V310" i="52"/>
  <c r="U310" i="52"/>
  <c r="BJ309" i="52"/>
  <c r="BI309" i="52"/>
  <c r="BH309" i="52"/>
  <c r="BG309" i="52"/>
  <c r="AX309" i="52"/>
  <c r="AW309" i="52"/>
  <c r="AV309" i="52"/>
  <c r="AU309" i="52"/>
  <c r="AT309" i="52"/>
  <c r="AS309" i="52"/>
  <c r="AI309" i="52"/>
  <c r="AH309" i="52"/>
  <c r="AG309" i="52"/>
  <c r="AF309" i="52"/>
  <c r="Z309" i="52"/>
  <c r="Y309" i="52"/>
  <c r="X309" i="52"/>
  <c r="W309" i="52"/>
  <c r="V309" i="52"/>
  <c r="U309" i="52"/>
  <c r="BJ308" i="52"/>
  <c r="BI308" i="52"/>
  <c r="BH308" i="52"/>
  <c r="BG308" i="52"/>
  <c r="AX308" i="52"/>
  <c r="AW308" i="52"/>
  <c r="AV308" i="52"/>
  <c r="AU308" i="52"/>
  <c r="AT308" i="52"/>
  <c r="AS308" i="52"/>
  <c r="AI308" i="52"/>
  <c r="AH308" i="52"/>
  <c r="AG308" i="52"/>
  <c r="AF308" i="52"/>
  <c r="Z308" i="52"/>
  <c r="Y308" i="52"/>
  <c r="X308" i="52"/>
  <c r="W308" i="52"/>
  <c r="V308" i="52"/>
  <c r="U308" i="52"/>
  <c r="BJ307" i="52"/>
  <c r="BI307" i="52"/>
  <c r="BH307" i="52"/>
  <c r="BG307" i="52"/>
  <c r="AX307" i="52"/>
  <c r="AW307" i="52"/>
  <c r="AV307" i="52"/>
  <c r="AU307" i="52"/>
  <c r="AT307" i="52"/>
  <c r="AS307" i="52"/>
  <c r="AI307" i="52"/>
  <c r="AH307" i="52"/>
  <c r="AG307" i="52"/>
  <c r="AF307" i="52"/>
  <c r="Z307" i="52"/>
  <c r="Y307" i="52"/>
  <c r="X307" i="52"/>
  <c r="W307" i="52"/>
  <c r="V307" i="52"/>
  <c r="U307" i="52"/>
  <c r="BJ306" i="52"/>
  <c r="BI306" i="52"/>
  <c r="BH306" i="52"/>
  <c r="BG306" i="52"/>
  <c r="AX306" i="52"/>
  <c r="AW306" i="52"/>
  <c r="AV306" i="52"/>
  <c r="AU306" i="52"/>
  <c r="AT306" i="52"/>
  <c r="AS306" i="52"/>
  <c r="AI306" i="52"/>
  <c r="AH306" i="52"/>
  <c r="AG306" i="52"/>
  <c r="AF306" i="52"/>
  <c r="Z306" i="52"/>
  <c r="Y306" i="52"/>
  <c r="X306" i="52"/>
  <c r="W306" i="52"/>
  <c r="V306" i="52"/>
  <c r="U306" i="52"/>
  <c r="BJ305" i="52"/>
  <c r="BI305" i="52"/>
  <c r="BH305" i="52"/>
  <c r="BG305" i="52"/>
  <c r="AX305" i="52"/>
  <c r="AW305" i="52"/>
  <c r="AV305" i="52"/>
  <c r="AU305" i="52"/>
  <c r="AT305" i="52"/>
  <c r="AS305" i="52"/>
  <c r="AI305" i="52"/>
  <c r="AH305" i="52"/>
  <c r="AG305" i="52"/>
  <c r="AF305" i="52"/>
  <c r="Z305" i="52"/>
  <c r="Y305" i="52"/>
  <c r="X305" i="52"/>
  <c r="W305" i="52"/>
  <c r="V305" i="52"/>
  <c r="U305" i="52"/>
  <c r="BJ304" i="52"/>
  <c r="BI304" i="52"/>
  <c r="BH304" i="52"/>
  <c r="BG304" i="52"/>
  <c r="AX304" i="52"/>
  <c r="AW304" i="52"/>
  <c r="AV304" i="52"/>
  <c r="AU304" i="52"/>
  <c r="AT304" i="52"/>
  <c r="AS304" i="52"/>
  <c r="AI304" i="52"/>
  <c r="AH304" i="52"/>
  <c r="AG304" i="52"/>
  <c r="AF304" i="52"/>
  <c r="Z304" i="52"/>
  <c r="Y304" i="52"/>
  <c r="X304" i="52"/>
  <c r="W304" i="52"/>
  <c r="V304" i="52"/>
  <c r="U304" i="52"/>
  <c r="BJ303" i="52"/>
  <c r="BI303" i="52"/>
  <c r="BH303" i="52"/>
  <c r="BG303" i="52"/>
  <c r="AX303" i="52"/>
  <c r="AW303" i="52"/>
  <c r="AV303" i="52"/>
  <c r="AU303" i="52"/>
  <c r="AT303" i="52"/>
  <c r="AS303" i="52"/>
  <c r="AI303" i="52"/>
  <c r="AH303" i="52"/>
  <c r="AG303" i="52"/>
  <c r="AF303" i="52"/>
  <c r="Z303" i="52"/>
  <c r="Y303" i="52"/>
  <c r="X303" i="52"/>
  <c r="W303" i="52"/>
  <c r="V303" i="52"/>
  <c r="U303" i="52"/>
  <c r="BJ302" i="52"/>
  <c r="BI302" i="52"/>
  <c r="BH302" i="52"/>
  <c r="BG302" i="52"/>
  <c r="AX302" i="52"/>
  <c r="AW302" i="52"/>
  <c r="AV302" i="52"/>
  <c r="AU302" i="52"/>
  <c r="AT302" i="52"/>
  <c r="AS302" i="52"/>
  <c r="AI302" i="52"/>
  <c r="AH302" i="52"/>
  <c r="AG302" i="52"/>
  <c r="AF302" i="52"/>
  <c r="Z302" i="52"/>
  <c r="Y302" i="52"/>
  <c r="X302" i="52"/>
  <c r="W302" i="52"/>
  <c r="V302" i="52"/>
  <c r="U302" i="52"/>
  <c r="BJ301" i="52"/>
  <c r="BI301" i="52"/>
  <c r="BH301" i="52"/>
  <c r="BG301" i="52"/>
  <c r="AX301" i="52"/>
  <c r="AW301" i="52"/>
  <c r="AV301" i="52"/>
  <c r="AU301" i="52"/>
  <c r="AT301" i="52"/>
  <c r="AS301" i="52"/>
  <c r="AI301" i="52"/>
  <c r="AH301" i="52"/>
  <c r="AG301" i="52"/>
  <c r="AF301" i="52"/>
  <c r="Z301" i="52"/>
  <c r="Y301" i="52"/>
  <c r="X301" i="52"/>
  <c r="W301" i="52"/>
  <c r="V301" i="52"/>
  <c r="U301" i="52"/>
  <c r="BJ300" i="52"/>
  <c r="BI300" i="52"/>
  <c r="BH300" i="52"/>
  <c r="BG300" i="52"/>
  <c r="AX300" i="52"/>
  <c r="AW300" i="52"/>
  <c r="AV300" i="52"/>
  <c r="AU300" i="52"/>
  <c r="AT300" i="52"/>
  <c r="AS300" i="52"/>
  <c r="AI300" i="52"/>
  <c r="AH300" i="52"/>
  <c r="AG300" i="52"/>
  <c r="AF300" i="52"/>
  <c r="Z300" i="52"/>
  <c r="Y300" i="52"/>
  <c r="X300" i="52"/>
  <c r="W300" i="52"/>
  <c r="V300" i="52"/>
  <c r="U300" i="52"/>
  <c r="BJ299" i="52"/>
  <c r="BI299" i="52"/>
  <c r="BH299" i="52"/>
  <c r="BG299" i="52"/>
  <c r="AX299" i="52"/>
  <c r="AW299" i="52"/>
  <c r="AV299" i="52"/>
  <c r="AU299" i="52"/>
  <c r="AT299" i="52"/>
  <c r="AS299" i="52"/>
  <c r="AI299" i="52"/>
  <c r="AH299" i="52"/>
  <c r="AG299" i="52"/>
  <c r="AF299" i="52"/>
  <c r="Z299" i="52"/>
  <c r="Y299" i="52"/>
  <c r="X299" i="52"/>
  <c r="W299" i="52"/>
  <c r="V299" i="52"/>
  <c r="U299" i="52"/>
  <c r="BJ298" i="52"/>
  <c r="BI298" i="52"/>
  <c r="BH298" i="52"/>
  <c r="BG298" i="52"/>
  <c r="AX298" i="52"/>
  <c r="AW298" i="52"/>
  <c r="AV298" i="52"/>
  <c r="AU298" i="52"/>
  <c r="AT298" i="52"/>
  <c r="AS298" i="52"/>
  <c r="AI298" i="52"/>
  <c r="AH298" i="52"/>
  <c r="AG298" i="52"/>
  <c r="AF298" i="52"/>
  <c r="Z298" i="52"/>
  <c r="Y298" i="52"/>
  <c r="X298" i="52"/>
  <c r="W298" i="52"/>
  <c r="V298" i="52"/>
  <c r="U298" i="52"/>
  <c r="BJ297" i="52"/>
  <c r="BI297" i="52"/>
  <c r="BH297" i="52"/>
  <c r="BG297" i="52"/>
  <c r="AX297" i="52"/>
  <c r="AW297" i="52"/>
  <c r="AV297" i="52"/>
  <c r="AU297" i="52"/>
  <c r="AT297" i="52"/>
  <c r="AS297" i="52"/>
  <c r="AI297" i="52"/>
  <c r="AH297" i="52"/>
  <c r="AG297" i="52"/>
  <c r="AF297" i="52"/>
  <c r="Z297" i="52"/>
  <c r="Y297" i="52"/>
  <c r="X297" i="52"/>
  <c r="W297" i="52"/>
  <c r="V297" i="52"/>
  <c r="U297" i="52"/>
  <c r="BJ296" i="52"/>
  <c r="BI296" i="52"/>
  <c r="BH296" i="52"/>
  <c r="BG296" i="52"/>
  <c r="AX296" i="52"/>
  <c r="AW296" i="52"/>
  <c r="AV296" i="52"/>
  <c r="AU296" i="52"/>
  <c r="AT296" i="52"/>
  <c r="AS296" i="52"/>
  <c r="AI296" i="52"/>
  <c r="AH296" i="52"/>
  <c r="AG296" i="52"/>
  <c r="AF296" i="52"/>
  <c r="Z296" i="52"/>
  <c r="Y296" i="52"/>
  <c r="X296" i="52"/>
  <c r="W296" i="52"/>
  <c r="V296" i="52"/>
  <c r="U296" i="52"/>
  <c r="BJ295" i="52"/>
  <c r="BI295" i="52"/>
  <c r="BH295" i="52"/>
  <c r="BG295" i="52"/>
  <c r="AX295" i="52"/>
  <c r="AW295" i="52"/>
  <c r="AV295" i="52"/>
  <c r="AU295" i="52"/>
  <c r="AT295" i="52"/>
  <c r="AS295" i="52"/>
  <c r="AI295" i="52"/>
  <c r="AH295" i="52"/>
  <c r="AG295" i="52"/>
  <c r="AF295" i="52"/>
  <c r="Z295" i="52"/>
  <c r="Y295" i="52"/>
  <c r="X295" i="52"/>
  <c r="W295" i="52"/>
  <c r="V295" i="52"/>
  <c r="U295" i="52"/>
  <c r="BJ294" i="52"/>
  <c r="BI294" i="52"/>
  <c r="BH294" i="52"/>
  <c r="BG294" i="52"/>
  <c r="AX294" i="52"/>
  <c r="AW294" i="52"/>
  <c r="AV294" i="52"/>
  <c r="AU294" i="52"/>
  <c r="AT294" i="52"/>
  <c r="AS294" i="52"/>
  <c r="AI294" i="52"/>
  <c r="AH294" i="52"/>
  <c r="AG294" i="52"/>
  <c r="AF294" i="52"/>
  <c r="Z294" i="52"/>
  <c r="Y294" i="52"/>
  <c r="X294" i="52"/>
  <c r="W294" i="52"/>
  <c r="V294" i="52"/>
  <c r="U294" i="52"/>
  <c r="BJ293" i="52"/>
  <c r="BI293" i="52"/>
  <c r="BH293" i="52"/>
  <c r="BG293" i="52"/>
  <c r="AX293" i="52"/>
  <c r="AW293" i="52"/>
  <c r="AV293" i="52"/>
  <c r="AU293" i="52"/>
  <c r="AT293" i="52"/>
  <c r="AS293" i="52"/>
  <c r="AI293" i="52"/>
  <c r="AH293" i="52"/>
  <c r="AG293" i="52"/>
  <c r="AF293" i="52"/>
  <c r="Z293" i="52"/>
  <c r="Y293" i="52"/>
  <c r="X293" i="52"/>
  <c r="W293" i="52"/>
  <c r="V293" i="52"/>
  <c r="U293" i="52"/>
  <c r="BJ292" i="52"/>
  <c r="BI292" i="52"/>
  <c r="BH292" i="52"/>
  <c r="BG292" i="52"/>
  <c r="AX292" i="52"/>
  <c r="AW292" i="52"/>
  <c r="AV292" i="52"/>
  <c r="AU292" i="52"/>
  <c r="AT292" i="52"/>
  <c r="AS292" i="52"/>
  <c r="AI292" i="52"/>
  <c r="AH292" i="52"/>
  <c r="AG292" i="52"/>
  <c r="AF292" i="52"/>
  <c r="Z292" i="52"/>
  <c r="Y292" i="52"/>
  <c r="X292" i="52"/>
  <c r="W292" i="52"/>
  <c r="V292" i="52"/>
  <c r="U292" i="52"/>
  <c r="BJ291" i="52"/>
  <c r="BI291" i="52"/>
  <c r="BH291" i="52"/>
  <c r="BG291" i="52"/>
  <c r="AX291" i="52"/>
  <c r="AW291" i="52"/>
  <c r="AV291" i="52"/>
  <c r="AU291" i="52"/>
  <c r="AT291" i="52"/>
  <c r="AS291" i="52"/>
  <c r="AI291" i="52"/>
  <c r="AH291" i="52"/>
  <c r="AG291" i="52"/>
  <c r="AF291" i="52"/>
  <c r="Z291" i="52"/>
  <c r="Y291" i="52"/>
  <c r="X291" i="52"/>
  <c r="W291" i="52"/>
  <c r="V291" i="52"/>
  <c r="U291" i="52"/>
  <c r="BJ290" i="52"/>
  <c r="BI290" i="52"/>
  <c r="BH290" i="52"/>
  <c r="BG290" i="52"/>
  <c r="AX290" i="52"/>
  <c r="AW290" i="52"/>
  <c r="AV290" i="52"/>
  <c r="AU290" i="52"/>
  <c r="AT290" i="52"/>
  <c r="AS290" i="52"/>
  <c r="AI290" i="52"/>
  <c r="AH290" i="52"/>
  <c r="AG290" i="52"/>
  <c r="AF290" i="52"/>
  <c r="Z290" i="52"/>
  <c r="Y290" i="52"/>
  <c r="X290" i="52"/>
  <c r="W290" i="52"/>
  <c r="V290" i="52"/>
  <c r="U290" i="52"/>
  <c r="BJ289" i="52"/>
  <c r="BI289" i="52"/>
  <c r="BH289" i="52"/>
  <c r="BG289" i="52"/>
  <c r="AX289" i="52"/>
  <c r="AW289" i="52"/>
  <c r="AV289" i="52"/>
  <c r="AU289" i="52"/>
  <c r="AT289" i="52"/>
  <c r="AS289" i="52"/>
  <c r="AI289" i="52"/>
  <c r="AH289" i="52"/>
  <c r="AG289" i="52"/>
  <c r="AF289" i="52"/>
  <c r="Z289" i="52"/>
  <c r="Y289" i="52"/>
  <c r="X289" i="52"/>
  <c r="W289" i="52"/>
  <c r="V289" i="52"/>
  <c r="U289" i="52"/>
  <c r="BJ288" i="52"/>
  <c r="BI288" i="52"/>
  <c r="BH288" i="52"/>
  <c r="BG288" i="52"/>
  <c r="AX288" i="52"/>
  <c r="AW288" i="52"/>
  <c r="AV288" i="52"/>
  <c r="AU288" i="52"/>
  <c r="AT288" i="52"/>
  <c r="AS288" i="52"/>
  <c r="AI288" i="52"/>
  <c r="AH288" i="52"/>
  <c r="AG288" i="52"/>
  <c r="AF288" i="52"/>
  <c r="Z288" i="52"/>
  <c r="Y288" i="52"/>
  <c r="X288" i="52"/>
  <c r="W288" i="52"/>
  <c r="V288" i="52"/>
  <c r="U288" i="52"/>
  <c r="BJ287" i="52"/>
  <c r="BI287" i="52"/>
  <c r="BH287" i="52"/>
  <c r="BG287" i="52"/>
  <c r="AX287" i="52"/>
  <c r="AW287" i="52"/>
  <c r="AV287" i="52"/>
  <c r="AU287" i="52"/>
  <c r="AT287" i="52"/>
  <c r="AS287" i="52"/>
  <c r="AI287" i="52"/>
  <c r="AH287" i="52"/>
  <c r="AG287" i="52"/>
  <c r="AF287" i="52"/>
  <c r="Z287" i="52"/>
  <c r="Y287" i="52"/>
  <c r="X287" i="52"/>
  <c r="W287" i="52"/>
  <c r="V287" i="52"/>
  <c r="U287" i="52"/>
  <c r="BJ286" i="52"/>
  <c r="BI286" i="52"/>
  <c r="BH286" i="52"/>
  <c r="BG286" i="52"/>
  <c r="AX286" i="52"/>
  <c r="AW286" i="52"/>
  <c r="AV286" i="52"/>
  <c r="AU286" i="52"/>
  <c r="AT286" i="52"/>
  <c r="AS286" i="52"/>
  <c r="AI286" i="52"/>
  <c r="AH286" i="52"/>
  <c r="AG286" i="52"/>
  <c r="AF286" i="52"/>
  <c r="Z286" i="52"/>
  <c r="Y286" i="52"/>
  <c r="X286" i="52"/>
  <c r="W286" i="52"/>
  <c r="V286" i="52"/>
  <c r="U286" i="52"/>
  <c r="BJ285" i="52"/>
  <c r="BI285" i="52"/>
  <c r="BH285" i="52"/>
  <c r="BG285" i="52"/>
  <c r="AX285" i="52"/>
  <c r="AW285" i="52"/>
  <c r="AV285" i="52"/>
  <c r="AU285" i="52"/>
  <c r="AT285" i="52"/>
  <c r="AS285" i="52"/>
  <c r="AI285" i="52"/>
  <c r="AH285" i="52"/>
  <c r="AG285" i="52"/>
  <c r="AF285" i="52"/>
  <c r="Z285" i="52"/>
  <c r="Y285" i="52"/>
  <c r="X285" i="52"/>
  <c r="W285" i="52"/>
  <c r="V285" i="52"/>
  <c r="U285" i="52"/>
  <c r="BJ284" i="52"/>
  <c r="BI284" i="52"/>
  <c r="BH284" i="52"/>
  <c r="BG284" i="52"/>
  <c r="AX284" i="52"/>
  <c r="AW284" i="52"/>
  <c r="AV284" i="52"/>
  <c r="AU284" i="52"/>
  <c r="AT284" i="52"/>
  <c r="AS284" i="52"/>
  <c r="AI284" i="52"/>
  <c r="AH284" i="52"/>
  <c r="AG284" i="52"/>
  <c r="AF284" i="52"/>
  <c r="Z284" i="52"/>
  <c r="Y284" i="52"/>
  <c r="X284" i="52"/>
  <c r="W284" i="52"/>
  <c r="V284" i="52"/>
  <c r="U284" i="52"/>
  <c r="BJ283" i="52"/>
  <c r="BI283" i="52"/>
  <c r="BH283" i="52"/>
  <c r="BG283" i="52"/>
  <c r="AX283" i="52"/>
  <c r="AW283" i="52"/>
  <c r="AV283" i="52"/>
  <c r="AU283" i="52"/>
  <c r="AT283" i="52"/>
  <c r="AS283" i="52"/>
  <c r="AI283" i="52"/>
  <c r="AH283" i="52"/>
  <c r="AG283" i="52"/>
  <c r="AF283" i="52"/>
  <c r="Z283" i="52"/>
  <c r="Y283" i="52"/>
  <c r="X283" i="52"/>
  <c r="W283" i="52"/>
  <c r="V283" i="52"/>
  <c r="U283" i="52"/>
  <c r="BJ282" i="52"/>
  <c r="BI282" i="52"/>
  <c r="BH282" i="52"/>
  <c r="BG282" i="52"/>
  <c r="AX282" i="52"/>
  <c r="AW282" i="52"/>
  <c r="AV282" i="52"/>
  <c r="AU282" i="52"/>
  <c r="AT282" i="52"/>
  <c r="AS282" i="52"/>
  <c r="AI282" i="52"/>
  <c r="AH282" i="52"/>
  <c r="AG282" i="52"/>
  <c r="AF282" i="52"/>
  <c r="Z282" i="52"/>
  <c r="Y282" i="52"/>
  <c r="X282" i="52"/>
  <c r="W282" i="52"/>
  <c r="V282" i="52"/>
  <c r="U282" i="52"/>
  <c r="BJ281" i="52"/>
  <c r="BI281" i="52"/>
  <c r="BH281" i="52"/>
  <c r="BG281" i="52"/>
  <c r="AX281" i="52"/>
  <c r="AW281" i="52"/>
  <c r="AV281" i="52"/>
  <c r="AU281" i="52"/>
  <c r="AT281" i="52"/>
  <c r="AS281" i="52"/>
  <c r="AI281" i="52"/>
  <c r="AH281" i="52"/>
  <c r="AG281" i="52"/>
  <c r="AF281" i="52"/>
  <c r="Z281" i="52"/>
  <c r="Y281" i="52"/>
  <c r="X281" i="52"/>
  <c r="W281" i="52"/>
  <c r="V281" i="52"/>
  <c r="U281" i="52"/>
  <c r="BJ280" i="52"/>
  <c r="BI280" i="52"/>
  <c r="BH280" i="52"/>
  <c r="BG280" i="52"/>
  <c r="AX280" i="52"/>
  <c r="AW280" i="52"/>
  <c r="AV280" i="52"/>
  <c r="AU280" i="52"/>
  <c r="AT280" i="52"/>
  <c r="AS280" i="52"/>
  <c r="AI280" i="52"/>
  <c r="AH280" i="52"/>
  <c r="AG280" i="52"/>
  <c r="AF280" i="52"/>
  <c r="Z280" i="52"/>
  <c r="Y280" i="52"/>
  <c r="X280" i="52"/>
  <c r="W280" i="52"/>
  <c r="V280" i="52"/>
  <c r="U280" i="52"/>
  <c r="BJ279" i="52"/>
  <c r="BI279" i="52"/>
  <c r="BH279" i="52"/>
  <c r="BG279" i="52"/>
  <c r="AX279" i="52"/>
  <c r="AW279" i="52"/>
  <c r="AV279" i="52"/>
  <c r="AU279" i="52"/>
  <c r="AT279" i="52"/>
  <c r="AS279" i="52"/>
  <c r="AI279" i="52"/>
  <c r="AH279" i="52"/>
  <c r="AG279" i="52"/>
  <c r="AF279" i="52"/>
  <c r="Z279" i="52"/>
  <c r="Y279" i="52"/>
  <c r="X279" i="52"/>
  <c r="W279" i="52"/>
  <c r="V279" i="52"/>
  <c r="U279" i="52"/>
  <c r="BJ278" i="52"/>
  <c r="BI278" i="52"/>
  <c r="BH278" i="52"/>
  <c r="BG278" i="52"/>
  <c r="AX278" i="52"/>
  <c r="AW278" i="52"/>
  <c r="AV278" i="52"/>
  <c r="AU278" i="52"/>
  <c r="AT278" i="52"/>
  <c r="AS278" i="52"/>
  <c r="AI278" i="52"/>
  <c r="AH278" i="52"/>
  <c r="AG278" i="52"/>
  <c r="AF278" i="52"/>
  <c r="Z278" i="52"/>
  <c r="Y278" i="52"/>
  <c r="X278" i="52"/>
  <c r="W278" i="52"/>
  <c r="V278" i="52"/>
  <c r="U278" i="52"/>
  <c r="BJ277" i="52"/>
  <c r="BI277" i="52"/>
  <c r="BH277" i="52"/>
  <c r="BG277" i="52"/>
  <c r="AX277" i="52"/>
  <c r="AW277" i="52"/>
  <c r="AV277" i="52"/>
  <c r="AU277" i="52"/>
  <c r="AT277" i="52"/>
  <c r="AS277" i="52"/>
  <c r="AI277" i="52"/>
  <c r="AH277" i="52"/>
  <c r="AG277" i="52"/>
  <c r="AF277" i="52"/>
  <c r="Z277" i="52"/>
  <c r="Y277" i="52"/>
  <c r="X277" i="52"/>
  <c r="W277" i="52"/>
  <c r="V277" i="52"/>
  <c r="U277" i="52"/>
  <c r="BJ276" i="52"/>
  <c r="BI276" i="52"/>
  <c r="BH276" i="52"/>
  <c r="BG276" i="52"/>
  <c r="AX276" i="52"/>
  <c r="AW276" i="52"/>
  <c r="AV276" i="52"/>
  <c r="AU276" i="52"/>
  <c r="AT276" i="52"/>
  <c r="AS276" i="52"/>
  <c r="AI276" i="52"/>
  <c r="AH276" i="52"/>
  <c r="AG276" i="52"/>
  <c r="AF276" i="52"/>
  <c r="Z276" i="52"/>
  <c r="Y276" i="52"/>
  <c r="X276" i="52"/>
  <c r="W276" i="52"/>
  <c r="V276" i="52"/>
  <c r="U276" i="52"/>
  <c r="BJ275" i="52"/>
  <c r="BI275" i="52"/>
  <c r="BH275" i="52"/>
  <c r="BG275" i="52"/>
  <c r="AX275" i="52"/>
  <c r="AW275" i="52"/>
  <c r="AV275" i="52"/>
  <c r="AU275" i="52"/>
  <c r="AT275" i="52"/>
  <c r="AS275" i="52"/>
  <c r="AI275" i="52"/>
  <c r="AH275" i="52"/>
  <c r="AG275" i="52"/>
  <c r="AF275" i="52"/>
  <c r="Z275" i="52"/>
  <c r="Y275" i="52"/>
  <c r="X275" i="52"/>
  <c r="W275" i="52"/>
  <c r="V275" i="52"/>
  <c r="U275" i="52"/>
  <c r="BJ274" i="52"/>
  <c r="BI274" i="52"/>
  <c r="BH274" i="52"/>
  <c r="BG274" i="52"/>
  <c r="AX274" i="52"/>
  <c r="AW274" i="52"/>
  <c r="AV274" i="52"/>
  <c r="AU274" i="52"/>
  <c r="AT274" i="52"/>
  <c r="AS274" i="52"/>
  <c r="AI274" i="52"/>
  <c r="AH274" i="52"/>
  <c r="AG274" i="52"/>
  <c r="AF274" i="52"/>
  <c r="Z274" i="52"/>
  <c r="Y274" i="52"/>
  <c r="X274" i="52"/>
  <c r="W274" i="52"/>
  <c r="V274" i="52"/>
  <c r="U274" i="52"/>
  <c r="BJ273" i="52"/>
  <c r="BI273" i="52"/>
  <c r="BH273" i="52"/>
  <c r="BG273" i="52"/>
  <c r="AX273" i="52"/>
  <c r="AW273" i="52"/>
  <c r="AV273" i="52"/>
  <c r="AU273" i="52"/>
  <c r="AT273" i="52"/>
  <c r="AS273" i="52"/>
  <c r="AI273" i="52"/>
  <c r="AH273" i="52"/>
  <c r="AG273" i="52"/>
  <c r="AF273" i="52"/>
  <c r="Z273" i="52"/>
  <c r="Y273" i="52"/>
  <c r="X273" i="52"/>
  <c r="W273" i="52"/>
  <c r="V273" i="52"/>
  <c r="U273" i="52"/>
  <c r="BJ272" i="52"/>
  <c r="BI272" i="52"/>
  <c r="BH272" i="52"/>
  <c r="BG272" i="52"/>
  <c r="AX272" i="52"/>
  <c r="AW272" i="52"/>
  <c r="AV272" i="52"/>
  <c r="AU272" i="52"/>
  <c r="AT272" i="52"/>
  <c r="AS272" i="52"/>
  <c r="AI272" i="52"/>
  <c r="AH272" i="52"/>
  <c r="AG272" i="52"/>
  <c r="AF272" i="52"/>
  <c r="Z272" i="52"/>
  <c r="Y272" i="52"/>
  <c r="X272" i="52"/>
  <c r="W272" i="52"/>
  <c r="V272" i="52"/>
  <c r="U272" i="52"/>
  <c r="BJ271" i="52"/>
  <c r="BI271" i="52"/>
  <c r="BH271" i="52"/>
  <c r="BG271" i="52"/>
  <c r="AX271" i="52"/>
  <c r="AW271" i="52"/>
  <c r="AV271" i="52"/>
  <c r="AU271" i="52"/>
  <c r="AT271" i="52"/>
  <c r="AS271" i="52"/>
  <c r="AI271" i="52"/>
  <c r="AH271" i="52"/>
  <c r="AG271" i="52"/>
  <c r="AF271" i="52"/>
  <c r="Z271" i="52"/>
  <c r="Y271" i="52"/>
  <c r="X271" i="52"/>
  <c r="W271" i="52"/>
  <c r="V271" i="52"/>
  <c r="U271" i="52"/>
  <c r="BJ270" i="52"/>
  <c r="BI270" i="52"/>
  <c r="BH270" i="52"/>
  <c r="BG270" i="52"/>
  <c r="AX270" i="52"/>
  <c r="AW270" i="52"/>
  <c r="AV270" i="52"/>
  <c r="AU270" i="52"/>
  <c r="AT270" i="52"/>
  <c r="AS270" i="52"/>
  <c r="AI270" i="52"/>
  <c r="AH270" i="52"/>
  <c r="AG270" i="52"/>
  <c r="AF270" i="52"/>
  <c r="Z270" i="52"/>
  <c r="Y270" i="52"/>
  <c r="X270" i="52"/>
  <c r="W270" i="52"/>
  <c r="V270" i="52"/>
  <c r="U270" i="52"/>
  <c r="BJ269" i="52"/>
  <c r="BI269" i="52"/>
  <c r="BH269" i="52"/>
  <c r="BG269" i="52"/>
  <c r="AX269" i="52"/>
  <c r="AW269" i="52"/>
  <c r="AV269" i="52"/>
  <c r="AU269" i="52"/>
  <c r="AT269" i="52"/>
  <c r="AS269" i="52"/>
  <c r="AI269" i="52"/>
  <c r="AH269" i="52"/>
  <c r="AG269" i="52"/>
  <c r="AF269" i="52"/>
  <c r="Z269" i="52"/>
  <c r="Y269" i="52"/>
  <c r="X269" i="52"/>
  <c r="W269" i="52"/>
  <c r="V269" i="52"/>
  <c r="U269" i="52"/>
  <c r="BJ268" i="52"/>
  <c r="BI268" i="52"/>
  <c r="BH268" i="52"/>
  <c r="BG268" i="52"/>
  <c r="AX268" i="52"/>
  <c r="AW268" i="52"/>
  <c r="AV268" i="52"/>
  <c r="AU268" i="52"/>
  <c r="AT268" i="52"/>
  <c r="AS268" i="52"/>
  <c r="AI268" i="52"/>
  <c r="AH268" i="52"/>
  <c r="AG268" i="52"/>
  <c r="AF268" i="52"/>
  <c r="Z268" i="52"/>
  <c r="Y268" i="52"/>
  <c r="X268" i="52"/>
  <c r="W268" i="52"/>
  <c r="V268" i="52"/>
  <c r="U268" i="52"/>
  <c r="BJ267" i="52"/>
  <c r="BI267" i="52"/>
  <c r="BH267" i="52"/>
  <c r="BG267" i="52"/>
  <c r="AX267" i="52"/>
  <c r="AW267" i="52"/>
  <c r="AV267" i="52"/>
  <c r="AU267" i="52"/>
  <c r="AT267" i="52"/>
  <c r="AS267" i="52"/>
  <c r="AI267" i="52"/>
  <c r="AH267" i="52"/>
  <c r="AG267" i="52"/>
  <c r="AF267" i="52"/>
  <c r="Z267" i="52"/>
  <c r="Y267" i="52"/>
  <c r="X267" i="52"/>
  <c r="W267" i="52"/>
  <c r="V267" i="52"/>
  <c r="U267" i="52"/>
  <c r="BJ266" i="52"/>
  <c r="BI266" i="52"/>
  <c r="BH266" i="52"/>
  <c r="BG266" i="52"/>
  <c r="AX266" i="52"/>
  <c r="AW266" i="52"/>
  <c r="AV266" i="52"/>
  <c r="AU266" i="52"/>
  <c r="AT266" i="52"/>
  <c r="AS266" i="52"/>
  <c r="AI266" i="52"/>
  <c r="AH266" i="52"/>
  <c r="AG266" i="52"/>
  <c r="AF266" i="52"/>
  <c r="Z266" i="52"/>
  <c r="Y266" i="52"/>
  <c r="X266" i="52"/>
  <c r="W266" i="52"/>
  <c r="V266" i="52"/>
  <c r="U266" i="52"/>
  <c r="BJ265" i="52"/>
  <c r="BI265" i="52"/>
  <c r="BH265" i="52"/>
  <c r="BG265" i="52"/>
  <c r="AX265" i="52"/>
  <c r="AW265" i="52"/>
  <c r="AV265" i="52"/>
  <c r="AU265" i="52"/>
  <c r="AT265" i="52"/>
  <c r="AS265" i="52"/>
  <c r="AI265" i="52"/>
  <c r="AH265" i="52"/>
  <c r="AG265" i="52"/>
  <c r="AF265" i="52"/>
  <c r="Z265" i="52"/>
  <c r="Y265" i="52"/>
  <c r="X265" i="52"/>
  <c r="W265" i="52"/>
  <c r="V265" i="52"/>
  <c r="U265" i="52"/>
  <c r="BJ264" i="52"/>
  <c r="BI264" i="52"/>
  <c r="BH264" i="52"/>
  <c r="BG264" i="52"/>
  <c r="AX264" i="52"/>
  <c r="AW264" i="52"/>
  <c r="AV264" i="52"/>
  <c r="AU264" i="52"/>
  <c r="AT264" i="52"/>
  <c r="AS264" i="52"/>
  <c r="AI264" i="52"/>
  <c r="AH264" i="52"/>
  <c r="AG264" i="52"/>
  <c r="AF264" i="52"/>
  <c r="Z264" i="52"/>
  <c r="Y264" i="52"/>
  <c r="X264" i="52"/>
  <c r="W264" i="52"/>
  <c r="V264" i="52"/>
  <c r="U264" i="52"/>
  <c r="BJ263" i="52"/>
  <c r="BI263" i="52"/>
  <c r="BH263" i="52"/>
  <c r="BG263" i="52"/>
  <c r="AX263" i="52"/>
  <c r="AW263" i="52"/>
  <c r="AV263" i="52"/>
  <c r="AU263" i="52"/>
  <c r="AT263" i="52"/>
  <c r="AS263" i="52"/>
  <c r="AI263" i="52"/>
  <c r="AH263" i="52"/>
  <c r="AG263" i="52"/>
  <c r="AF263" i="52"/>
  <c r="Z263" i="52"/>
  <c r="Y263" i="52"/>
  <c r="X263" i="52"/>
  <c r="W263" i="52"/>
  <c r="V263" i="52"/>
  <c r="U263" i="52"/>
  <c r="BJ262" i="52"/>
  <c r="BI262" i="52"/>
  <c r="BH262" i="52"/>
  <c r="BG262" i="52"/>
  <c r="AX262" i="52"/>
  <c r="AW262" i="52"/>
  <c r="AV262" i="52"/>
  <c r="AU262" i="52"/>
  <c r="AT262" i="52"/>
  <c r="AS262" i="52"/>
  <c r="AI262" i="52"/>
  <c r="AH262" i="52"/>
  <c r="AG262" i="52"/>
  <c r="AF262" i="52"/>
  <c r="Z262" i="52"/>
  <c r="Y262" i="52"/>
  <c r="X262" i="52"/>
  <c r="W262" i="52"/>
  <c r="V262" i="52"/>
  <c r="U262" i="52"/>
  <c r="BJ261" i="52"/>
  <c r="BI261" i="52"/>
  <c r="BH261" i="52"/>
  <c r="BG261" i="52"/>
  <c r="AX261" i="52"/>
  <c r="AW261" i="52"/>
  <c r="AV261" i="52"/>
  <c r="AU261" i="52"/>
  <c r="AT261" i="52"/>
  <c r="AS261" i="52"/>
  <c r="AI261" i="52"/>
  <c r="AH261" i="52"/>
  <c r="AG261" i="52"/>
  <c r="AF261" i="52"/>
  <c r="Z261" i="52"/>
  <c r="Y261" i="52"/>
  <c r="X261" i="52"/>
  <c r="W261" i="52"/>
  <c r="V261" i="52"/>
  <c r="U261" i="52"/>
  <c r="BJ260" i="52"/>
  <c r="BI260" i="52"/>
  <c r="BH260" i="52"/>
  <c r="BG260" i="52"/>
  <c r="AX260" i="52"/>
  <c r="AW260" i="52"/>
  <c r="AV260" i="52"/>
  <c r="AU260" i="52"/>
  <c r="AT260" i="52"/>
  <c r="AS260" i="52"/>
  <c r="AI260" i="52"/>
  <c r="AH260" i="52"/>
  <c r="AG260" i="52"/>
  <c r="AF260" i="52"/>
  <c r="Z260" i="52"/>
  <c r="Y260" i="52"/>
  <c r="X260" i="52"/>
  <c r="W260" i="52"/>
  <c r="V260" i="52"/>
  <c r="U260" i="52"/>
  <c r="BJ259" i="52"/>
  <c r="BI259" i="52"/>
  <c r="BH259" i="52"/>
  <c r="BG259" i="52"/>
  <c r="AX259" i="52"/>
  <c r="AW259" i="52"/>
  <c r="AV259" i="52"/>
  <c r="AU259" i="52"/>
  <c r="AT259" i="52"/>
  <c r="AS259" i="52"/>
  <c r="AI259" i="52"/>
  <c r="AH259" i="52"/>
  <c r="AG259" i="52"/>
  <c r="AF259" i="52"/>
  <c r="Z259" i="52"/>
  <c r="Y259" i="52"/>
  <c r="X259" i="52"/>
  <c r="W259" i="52"/>
  <c r="V259" i="52"/>
  <c r="U259" i="52"/>
  <c r="BJ258" i="52"/>
  <c r="BI258" i="52"/>
  <c r="BH258" i="52"/>
  <c r="BG258" i="52"/>
  <c r="AX258" i="52"/>
  <c r="AW258" i="52"/>
  <c r="AV258" i="52"/>
  <c r="AU258" i="52"/>
  <c r="AT258" i="52"/>
  <c r="AS258" i="52"/>
  <c r="AI258" i="52"/>
  <c r="AH258" i="52"/>
  <c r="AG258" i="52"/>
  <c r="AF258" i="52"/>
  <c r="Z258" i="52"/>
  <c r="Y258" i="52"/>
  <c r="X258" i="52"/>
  <c r="W258" i="52"/>
  <c r="V258" i="52"/>
  <c r="U258" i="52"/>
  <c r="BJ257" i="52"/>
  <c r="BI257" i="52"/>
  <c r="BH257" i="52"/>
  <c r="BG257" i="52"/>
  <c r="AX257" i="52"/>
  <c r="AW257" i="52"/>
  <c r="AV257" i="52"/>
  <c r="AU257" i="52"/>
  <c r="AT257" i="52"/>
  <c r="AS257" i="52"/>
  <c r="AI257" i="52"/>
  <c r="AH257" i="52"/>
  <c r="AG257" i="52"/>
  <c r="AF257" i="52"/>
  <c r="Z257" i="52"/>
  <c r="Y257" i="52"/>
  <c r="X257" i="52"/>
  <c r="W257" i="52"/>
  <c r="V257" i="52"/>
  <c r="U257" i="52"/>
  <c r="BJ256" i="52"/>
  <c r="BI256" i="52"/>
  <c r="BH256" i="52"/>
  <c r="BG256" i="52"/>
  <c r="AX256" i="52"/>
  <c r="AW256" i="52"/>
  <c r="AV256" i="52"/>
  <c r="AU256" i="52"/>
  <c r="AT256" i="52"/>
  <c r="AS256" i="52"/>
  <c r="AI256" i="52"/>
  <c r="AH256" i="52"/>
  <c r="AG256" i="52"/>
  <c r="AF256" i="52"/>
  <c r="Z256" i="52"/>
  <c r="Y256" i="52"/>
  <c r="X256" i="52"/>
  <c r="W256" i="52"/>
  <c r="V256" i="52"/>
  <c r="U256" i="52"/>
  <c r="BJ255" i="52"/>
  <c r="BI255" i="52"/>
  <c r="BH255" i="52"/>
  <c r="BG255" i="52"/>
  <c r="AX255" i="52"/>
  <c r="AW255" i="52"/>
  <c r="AV255" i="52"/>
  <c r="AU255" i="52"/>
  <c r="AT255" i="52"/>
  <c r="AS255" i="52"/>
  <c r="AI255" i="52"/>
  <c r="AH255" i="52"/>
  <c r="AG255" i="52"/>
  <c r="AF255" i="52"/>
  <c r="Z255" i="52"/>
  <c r="Y255" i="52"/>
  <c r="X255" i="52"/>
  <c r="W255" i="52"/>
  <c r="V255" i="52"/>
  <c r="U255" i="52"/>
  <c r="BJ254" i="52"/>
  <c r="BI254" i="52"/>
  <c r="BH254" i="52"/>
  <c r="BG254" i="52"/>
  <c r="AX254" i="52"/>
  <c r="AW254" i="52"/>
  <c r="AV254" i="52"/>
  <c r="AU254" i="52"/>
  <c r="AT254" i="52"/>
  <c r="AS254" i="52"/>
  <c r="AI254" i="52"/>
  <c r="AH254" i="52"/>
  <c r="AG254" i="52"/>
  <c r="AF254" i="52"/>
  <c r="Z254" i="52"/>
  <c r="Y254" i="52"/>
  <c r="X254" i="52"/>
  <c r="W254" i="52"/>
  <c r="V254" i="52"/>
  <c r="U254" i="52"/>
  <c r="BJ253" i="52"/>
  <c r="BI253" i="52"/>
  <c r="BH253" i="52"/>
  <c r="BG253" i="52"/>
  <c r="AX253" i="52"/>
  <c r="AW253" i="52"/>
  <c r="AV253" i="52"/>
  <c r="AU253" i="52"/>
  <c r="AT253" i="52"/>
  <c r="AS253" i="52"/>
  <c r="AI253" i="52"/>
  <c r="AH253" i="52"/>
  <c r="AG253" i="52"/>
  <c r="AF253" i="52"/>
  <c r="Z253" i="52"/>
  <c r="Y253" i="52"/>
  <c r="X253" i="52"/>
  <c r="W253" i="52"/>
  <c r="V253" i="52"/>
  <c r="U253" i="52"/>
  <c r="BJ252" i="52"/>
  <c r="BI252" i="52"/>
  <c r="BH252" i="52"/>
  <c r="BG252" i="52"/>
  <c r="AX252" i="52"/>
  <c r="AW252" i="52"/>
  <c r="AV252" i="52"/>
  <c r="AU252" i="52"/>
  <c r="AT252" i="52"/>
  <c r="AS252" i="52"/>
  <c r="AI252" i="52"/>
  <c r="AH252" i="52"/>
  <c r="AG252" i="52"/>
  <c r="AF252" i="52"/>
  <c r="Z252" i="52"/>
  <c r="Y252" i="52"/>
  <c r="X252" i="52"/>
  <c r="W252" i="52"/>
  <c r="V252" i="52"/>
  <c r="U252" i="52"/>
  <c r="BJ251" i="52"/>
  <c r="BI251" i="52"/>
  <c r="BH251" i="52"/>
  <c r="BG251" i="52"/>
  <c r="AX251" i="52"/>
  <c r="AW251" i="52"/>
  <c r="AV251" i="52"/>
  <c r="AU251" i="52"/>
  <c r="AT251" i="52"/>
  <c r="AS251" i="52"/>
  <c r="AI251" i="52"/>
  <c r="AH251" i="52"/>
  <c r="AG251" i="52"/>
  <c r="AF251" i="52"/>
  <c r="Z251" i="52"/>
  <c r="Y251" i="52"/>
  <c r="X251" i="52"/>
  <c r="W251" i="52"/>
  <c r="V251" i="52"/>
  <c r="U251" i="52"/>
  <c r="BJ250" i="52"/>
  <c r="BI250" i="52"/>
  <c r="BH250" i="52"/>
  <c r="BG250" i="52"/>
  <c r="AX250" i="52"/>
  <c r="AW250" i="52"/>
  <c r="AV250" i="52"/>
  <c r="AU250" i="52"/>
  <c r="AT250" i="52"/>
  <c r="AS250" i="52"/>
  <c r="AI250" i="52"/>
  <c r="AH250" i="52"/>
  <c r="AG250" i="52"/>
  <c r="AF250" i="52"/>
  <c r="Z250" i="52"/>
  <c r="Y250" i="52"/>
  <c r="X250" i="52"/>
  <c r="W250" i="52"/>
  <c r="V250" i="52"/>
  <c r="U250" i="52"/>
  <c r="BJ249" i="52"/>
  <c r="BI249" i="52"/>
  <c r="BH249" i="52"/>
  <c r="BG249" i="52"/>
  <c r="AX249" i="52"/>
  <c r="AW249" i="52"/>
  <c r="AV249" i="52"/>
  <c r="AU249" i="52"/>
  <c r="AT249" i="52"/>
  <c r="AS249" i="52"/>
  <c r="AI249" i="52"/>
  <c r="AH249" i="52"/>
  <c r="AG249" i="52"/>
  <c r="AF249" i="52"/>
  <c r="Z249" i="52"/>
  <c r="Y249" i="52"/>
  <c r="X249" i="52"/>
  <c r="W249" i="52"/>
  <c r="V249" i="52"/>
  <c r="U249" i="52"/>
  <c r="BJ248" i="52"/>
  <c r="BI248" i="52"/>
  <c r="BH248" i="52"/>
  <c r="BG248" i="52"/>
  <c r="AX248" i="52"/>
  <c r="AW248" i="52"/>
  <c r="AV248" i="52"/>
  <c r="AU248" i="52"/>
  <c r="AT248" i="52"/>
  <c r="AS248" i="52"/>
  <c r="AI248" i="52"/>
  <c r="AH248" i="52"/>
  <c r="AG248" i="52"/>
  <c r="AF248" i="52"/>
  <c r="Z248" i="52"/>
  <c r="Y248" i="52"/>
  <c r="X248" i="52"/>
  <c r="W248" i="52"/>
  <c r="V248" i="52"/>
  <c r="U248" i="52"/>
  <c r="BJ247" i="52"/>
  <c r="BI247" i="52"/>
  <c r="BH247" i="52"/>
  <c r="BG247" i="52"/>
  <c r="AX247" i="52"/>
  <c r="AW247" i="52"/>
  <c r="AV247" i="52"/>
  <c r="AU247" i="52"/>
  <c r="AT247" i="52"/>
  <c r="AS247" i="52"/>
  <c r="AI247" i="52"/>
  <c r="AH247" i="52"/>
  <c r="AG247" i="52"/>
  <c r="AF247" i="52"/>
  <c r="Z247" i="52"/>
  <c r="Y247" i="52"/>
  <c r="X247" i="52"/>
  <c r="W247" i="52"/>
  <c r="V247" i="52"/>
  <c r="U247" i="52"/>
  <c r="BJ246" i="52"/>
  <c r="BI246" i="52"/>
  <c r="BH246" i="52"/>
  <c r="BG246" i="52"/>
  <c r="AX246" i="52"/>
  <c r="AW246" i="52"/>
  <c r="AV246" i="52"/>
  <c r="AU246" i="52"/>
  <c r="AT246" i="52"/>
  <c r="AS246" i="52"/>
  <c r="AI246" i="52"/>
  <c r="AH246" i="52"/>
  <c r="AG246" i="52"/>
  <c r="AF246" i="52"/>
  <c r="Z246" i="52"/>
  <c r="Y246" i="52"/>
  <c r="X246" i="52"/>
  <c r="W246" i="52"/>
  <c r="V246" i="52"/>
  <c r="U246" i="52"/>
  <c r="BJ245" i="52"/>
  <c r="BI245" i="52"/>
  <c r="BH245" i="52"/>
  <c r="BG245" i="52"/>
  <c r="AX245" i="52"/>
  <c r="AW245" i="52"/>
  <c r="AV245" i="52"/>
  <c r="AU245" i="52"/>
  <c r="AT245" i="52"/>
  <c r="AS245" i="52"/>
  <c r="AI245" i="52"/>
  <c r="AH245" i="52"/>
  <c r="AG245" i="52"/>
  <c r="AF245" i="52"/>
  <c r="Z245" i="52"/>
  <c r="Y245" i="52"/>
  <c r="X245" i="52"/>
  <c r="W245" i="52"/>
  <c r="V245" i="52"/>
  <c r="U245" i="52"/>
  <c r="BJ244" i="52"/>
  <c r="BI244" i="52"/>
  <c r="BH244" i="52"/>
  <c r="BG244" i="52"/>
  <c r="AX244" i="52"/>
  <c r="AW244" i="52"/>
  <c r="AV244" i="52"/>
  <c r="AU244" i="52"/>
  <c r="AT244" i="52"/>
  <c r="AS244" i="52"/>
  <c r="AI244" i="52"/>
  <c r="AH244" i="52"/>
  <c r="AG244" i="52"/>
  <c r="AF244" i="52"/>
  <c r="Z244" i="52"/>
  <c r="Y244" i="52"/>
  <c r="X244" i="52"/>
  <c r="W244" i="52"/>
  <c r="V244" i="52"/>
  <c r="U244" i="52"/>
  <c r="BJ243" i="52"/>
  <c r="BI243" i="52"/>
  <c r="BH243" i="52"/>
  <c r="BG243" i="52"/>
  <c r="AX243" i="52"/>
  <c r="AW243" i="52"/>
  <c r="AV243" i="52"/>
  <c r="AU243" i="52"/>
  <c r="AT243" i="52"/>
  <c r="AS243" i="52"/>
  <c r="AI243" i="52"/>
  <c r="AH243" i="52"/>
  <c r="AG243" i="52"/>
  <c r="AF243" i="52"/>
  <c r="Z243" i="52"/>
  <c r="Y243" i="52"/>
  <c r="X243" i="52"/>
  <c r="W243" i="52"/>
  <c r="V243" i="52"/>
  <c r="U243" i="52"/>
  <c r="BJ242" i="52"/>
  <c r="BI242" i="52"/>
  <c r="BH242" i="52"/>
  <c r="BG242" i="52"/>
  <c r="AX242" i="52"/>
  <c r="AW242" i="52"/>
  <c r="AV242" i="52"/>
  <c r="AU242" i="52"/>
  <c r="AT242" i="52"/>
  <c r="AS242" i="52"/>
  <c r="AI242" i="52"/>
  <c r="AH242" i="52"/>
  <c r="AG242" i="52"/>
  <c r="AF242" i="52"/>
  <c r="Z242" i="52"/>
  <c r="Y242" i="52"/>
  <c r="X242" i="52"/>
  <c r="W242" i="52"/>
  <c r="V242" i="52"/>
  <c r="U242" i="52"/>
  <c r="BJ241" i="52"/>
  <c r="BI241" i="52"/>
  <c r="BH241" i="52"/>
  <c r="BG241" i="52"/>
  <c r="AX241" i="52"/>
  <c r="AW241" i="52"/>
  <c r="AV241" i="52"/>
  <c r="AU241" i="52"/>
  <c r="AT241" i="52"/>
  <c r="AS241" i="52"/>
  <c r="AI241" i="52"/>
  <c r="AH241" i="52"/>
  <c r="AG241" i="52"/>
  <c r="AF241" i="52"/>
  <c r="Z241" i="52"/>
  <c r="Y241" i="52"/>
  <c r="X241" i="52"/>
  <c r="W241" i="52"/>
  <c r="V241" i="52"/>
  <c r="U241" i="52"/>
  <c r="BJ240" i="52"/>
  <c r="BI240" i="52"/>
  <c r="BH240" i="52"/>
  <c r="BG240" i="52"/>
  <c r="AX240" i="52"/>
  <c r="AW240" i="52"/>
  <c r="AV240" i="52"/>
  <c r="AU240" i="52"/>
  <c r="AT240" i="52"/>
  <c r="AS240" i="52"/>
  <c r="AI240" i="52"/>
  <c r="AH240" i="52"/>
  <c r="AG240" i="52"/>
  <c r="AF240" i="52"/>
  <c r="Z240" i="52"/>
  <c r="Y240" i="52"/>
  <c r="X240" i="52"/>
  <c r="W240" i="52"/>
  <c r="V240" i="52"/>
  <c r="U240" i="52"/>
  <c r="BJ239" i="52"/>
  <c r="BI239" i="52"/>
  <c r="BH239" i="52"/>
  <c r="BG239" i="52"/>
  <c r="AX239" i="52"/>
  <c r="AW239" i="52"/>
  <c r="AV239" i="52"/>
  <c r="AU239" i="52"/>
  <c r="AT239" i="52"/>
  <c r="AS239" i="52"/>
  <c r="AI239" i="52"/>
  <c r="AH239" i="52"/>
  <c r="AG239" i="52"/>
  <c r="AF239" i="52"/>
  <c r="Z239" i="52"/>
  <c r="Y239" i="52"/>
  <c r="X239" i="52"/>
  <c r="W239" i="52"/>
  <c r="V239" i="52"/>
  <c r="U239" i="52"/>
  <c r="BJ238" i="52"/>
  <c r="BI238" i="52"/>
  <c r="BH238" i="52"/>
  <c r="BG238" i="52"/>
  <c r="AX238" i="52"/>
  <c r="AW238" i="52"/>
  <c r="AV238" i="52"/>
  <c r="AU238" i="52"/>
  <c r="AT238" i="52"/>
  <c r="AS238" i="52"/>
  <c r="AI238" i="52"/>
  <c r="AH238" i="52"/>
  <c r="AG238" i="52"/>
  <c r="AF238" i="52"/>
  <c r="Z238" i="52"/>
  <c r="Y238" i="52"/>
  <c r="X238" i="52"/>
  <c r="W238" i="52"/>
  <c r="V238" i="52"/>
  <c r="U238" i="52"/>
  <c r="BJ237" i="52"/>
  <c r="BI237" i="52"/>
  <c r="BH237" i="52"/>
  <c r="BG237" i="52"/>
  <c r="AX237" i="52"/>
  <c r="AW237" i="52"/>
  <c r="AV237" i="52"/>
  <c r="AU237" i="52"/>
  <c r="AT237" i="52"/>
  <c r="AS237" i="52"/>
  <c r="AI237" i="52"/>
  <c r="AH237" i="52"/>
  <c r="AG237" i="52"/>
  <c r="AF237" i="52"/>
  <c r="Z237" i="52"/>
  <c r="Y237" i="52"/>
  <c r="X237" i="52"/>
  <c r="W237" i="52"/>
  <c r="V237" i="52"/>
  <c r="U237" i="52"/>
  <c r="BJ236" i="52"/>
  <c r="BI236" i="52"/>
  <c r="BH236" i="52"/>
  <c r="BG236" i="52"/>
  <c r="AX236" i="52"/>
  <c r="AW236" i="52"/>
  <c r="AV236" i="52"/>
  <c r="AU236" i="52"/>
  <c r="AT236" i="52"/>
  <c r="AS236" i="52"/>
  <c r="AI236" i="52"/>
  <c r="AH236" i="52"/>
  <c r="AG236" i="52"/>
  <c r="AF236" i="52"/>
  <c r="Z236" i="52"/>
  <c r="Y236" i="52"/>
  <c r="X236" i="52"/>
  <c r="W236" i="52"/>
  <c r="V236" i="52"/>
  <c r="U236" i="52"/>
  <c r="BJ235" i="52"/>
  <c r="BI235" i="52"/>
  <c r="BH235" i="52"/>
  <c r="BG235" i="52"/>
  <c r="AX235" i="52"/>
  <c r="AW235" i="52"/>
  <c r="AV235" i="52"/>
  <c r="AU235" i="52"/>
  <c r="AT235" i="52"/>
  <c r="AS235" i="52"/>
  <c r="AI235" i="52"/>
  <c r="AH235" i="52"/>
  <c r="AG235" i="52"/>
  <c r="AF235" i="52"/>
  <c r="Z235" i="52"/>
  <c r="Y235" i="52"/>
  <c r="X235" i="52"/>
  <c r="W235" i="52"/>
  <c r="V235" i="52"/>
  <c r="U235" i="52"/>
  <c r="BJ234" i="52"/>
  <c r="BI234" i="52"/>
  <c r="BH234" i="52"/>
  <c r="BG234" i="52"/>
  <c r="AX234" i="52"/>
  <c r="AW234" i="52"/>
  <c r="AV234" i="52"/>
  <c r="AU234" i="52"/>
  <c r="AT234" i="52"/>
  <c r="AS234" i="52"/>
  <c r="AI234" i="52"/>
  <c r="AH234" i="52"/>
  <c r="AG234" i="52"/>
  <c r="AF234" i="52"/>
  <c r="Z234" i="52"/>
  <c r="Y234" i="52"/>
  <c r="X234" i="52"/>
  <c r="W234" i="52"/>
  <c r="V234" i="52"/>
  <c r="U234" i="52"/>
  <c r="BJ233" i="52"/>
  <c r="BI233" i="52"/>
  <c r="BH233" i="52"/>
  <c r="BG233" i="52"/>
  <c r="AX233" i="52"/>
  <c r="AW233" i="52"/>
  <c r="AV233" i="52"/>
  <c r="AU233" i="52"/>
  <c r="AT233" i="52"/>
  <c r="AS233" i="52"/>
  <c r="AI233" i="52"/>
  <c r="AH233" i="52"/>
  <c r="AG233" i="52"/>
  <c r="AF233" i="52"/>
  <c r="Z233" i="52"/>
  <c r="Y233" i="52"/>
  <c r="X233" i="52"/>
  <c r="W233" i="52"/>
  <c r="V233" i="52"/>
  <c r="U233" i="52"/>
  <c r="BJ232" i="52"/>
  <c r="BI232" i="52"/>
  <c r="BH232" i="52"/>
  <c r="BG232" i="52"/>
  <c r="AX232" i="52"/>
  <c r="AW232" i="52"/>
  <c r="AV232" i="52"/>
  <c r="AU232" i="52"/>
  <c r="AT232" i="52"/>
  <c r="AS232" i="52"/>
  <c r="AI232" i="52"/>
  <c r="AH232" i="52"/>
  <c r="AG232" i="52"/>
  <c r="AF232" i="52"/>
  <c r="Z232" i="52"/>
  <c r="Y232" i="52"/>
  <c r="X232" i="52"/>
  <c r="W232" i="52"/>
  <c r="V232" i="52"/>
  <c r="U232" i="52"/>
  <c r="BJ231" i="52"/>
  <c r="BI231" i="52"/>
  <c r="BH231" i="52"/>
  <c r="BG231" i="52"/>
  <c r="AX231" i="52"/>
  <c r="AW231" i="52"/>
  <c r="AV231" i="52"/>
  <c r="AU231" i="52"/>
  <c r="AT231" i="52"/>
  <c r="AS231" i="52"/>
  <c r="AI231" i="52"/>
  <c r="AH231" i="52"/>
  <c r="AG231" i="52"/>
  <c r="AF231" i="52"/>
  <c r="Z231" i="52"/>
  <c r="Y231" i="52"/>
  <c r="X231" i="52"/>
  <c r="W231" i="52"/>
  <c r="V231" i="52"/>
  <c r="U231" i="52"/>
  <c r="BJ230" i="52"/>
  <c r="BI230" i="52"/>
  <c r="BH230" i="52"/>
  <c r="BG230" i="52"/>
  <c r="AX230" i="52"/>
  <c r="AW230" i="52"/>
  <c r="AV230" i="52"/>
  <c r="AU230" i="52"/>
  <c r="AT230" i="52"/>
  <c r="AS230" i="52"/>
  <c r="AI230" i="52"/>
  <c r="AH230" i="52"/>
  <c r="AG230" i="52"/>
  <c r="AF230" i="52"/>
  <c r="Z230" i="52"/>
  <c r="Y230" i="52"/>
  <c r="X230" i="52"/>
  <c r="W230" i="52"/>
  <c r="V230" i="52"/>
  <c r="U230" i="52"/>
  <c r="BJ229" i="52"/>
  <c r="BI229" i="52"/>
  <c r="BH229" i="52"/>
  <c r="BG229" i="52"/>
  <c r="AX229" i="52"/>
  <c r="AW229" i="52"/>
  <c r="AV229" i="52"/>
  <c r="AU229" i="52"/>
  <c r="AT229" i="52"/>
  <c r="AS229" i="52"/>
  <c r="AI229" i="52"/>
  <c r="AH229" i="52"/>
  <c r="AG229" i="52"/>
  <c r="AF229" i="52"/>
  <c r="Z229" i="52"/>
  <c r="Y229" i="52"/>
  <c r="X229" i="52"/>
  <c r="W229" i="52"/>
  <c r="V229" i="52"/>
  <c r="U229" i="52"/>
  <c r="BJ228" i="52"/>
  <c r="BI228" i="52"/>
  <c r="BH228" i="52"/>
  <c r="BG228" i="52"/>
  <c r="AX228" i="52"/>
  <c r="AW228" i="52"/>
  <c r="AV228" i="52"/>
  <c r="AU228" i="52"/>
  <c r="AT228" i="52"/>
  <c r="AS228" i="52"/>
  <c r="AI228" i="52"/>
  <c r="AH228" i="52"/>
  <c r="AG228" i="52"/>
  <c r="AF228" i="52"/>
  <c r="Z228" i="52"/>
  <c r="Y228" i="52"/>
  <c r="X228" i="52"/>
  <c r="W228" i="52"/>
  <c r="V228" i="52"/>
  <c r="U228" i="52"/>
  <c r="BJ227" i="52"/>
  <c r="BI227" i="52"/>
  <c r="BH227" i="52"/>
  <c r="BG227" i="52"/>
  <c r="AX227" i="52"/>
  <c r="AW227" i="52"/>
  <c r="AV227" i="52"/>
  <c r="AU227" i="52"/>
  <c r="AT227" i="52"/>
  <c r="AS227" i="52"/>
  <c r="AI227" i="52"/>
  <c r="AH227" i="52"/>
  <c r="AG227" i="52"/>
  <c r="AF227" i="52"/>
  <c r="Z227" i="52"/>
  <c r="Y227" i="52"/>
  <c r="X227" i="52"/>
  <c r="W227" i="52"/>
  <c r="V227" i="52"/>
  <c r="U227" i="52"/>
  <c r="BJ226" i="52"/>
  <c r="BI226" i="52"/>
  <c r="BH226" i="52"/>
  <c r="BG226" i="52"/>
  <c r="AX226" i="52"/>
  <c r="AW226" i="52"/>
  <c r="AV226" i="52"/>
  <c r="AU226" i="52"/>
  <c r="AT226" i="52"/>
  <c r="AS226" i="52"/>
  <c r="AI226" i="52"/>
  <c r="AH226" i="52"/>
  <c r="AG226" i="52"/>
  <c r="AF226" i="52"/>
  <c r="Z226" i="52"/>
  <c r="Y226" i="52"/>
  <c r="X226" i="52"/>
  <c r="W226" i="52"/>
  <c r="V226" i="52"/>
  <c r="U226" i="52"/>
  <c r="BJ225" i="52"/>
  <c r="BI225" i="52"/>
  <c r="BH225" i="52"/>
  <c r="BG225" i="52"/>
  <c r="AX225" i="52"/>
  <c r="AW225" i="52"/>
  <c r="AV225" i="52"/>
  <c r="AU225" i="52"/>
  <c r="AT225" i="52"/>
  <c r="AS225" i="52"/>
  <c r="AI225" i="52"/>
  <c r="AH225" i="52"/>
  <c r="AG225" i="52"/>
  <c r="AF225" i="52"/>
  <c r="Z225" i="52"/>
  <c r="Y225" i="52"/>
  <c r="X225" i="52"/>
  <c r="W225" i="52"/>
  <c r="V225" i="52"/>
  <c r="U225" i="52"/>
  <c r="BJ224" i="52"/>
  <c r="BI224" i="52"/>
  <c r="BH224" i="52"/>
  <c r="BG224" i="52"/>
  <c r="AX224" i="52"/>
  <c r="AW224" i="52"/>
  <c r="AV224" i="52"/>
  <c r="AU224" i="52"/>
  <c r="AT224" i="52"/>
  <c r="AS224" i="52"/>
  <c r="AI224" i="52"/>
  <c r="AH224" i="52"/>
  <c r="AG224" i="52"/>
  <c r="AF224" i="52"/>
  <c r="Z224" i="52"/>
  <c r="Y224" i="52"/>
  <c r="X224" i="52"/>
  <c r="W224" i="52"/>
  <c r="V224" i="52"/>
  <c r="U224" i="52"/>
  <c r="BJ223" i="52"/>
  <c r="BI223" i="52"/>
  <c r="BH223" i="52"/>
  <c r="BG223" i="52"/>
  <c r="AX223" i="52"/>
  <c r="AW223" i="52"/>
  <c r="AV223" i="52"/>
  <c r="AU223" i="52"/>
  <c r="AT223" i="52"/>
  <c r="AS223" i="52"/>
  <c r="AI223" i="52"/>
  <c r="AH223" i="52"/>
  <c r="AG223" i="52"/>
  <c r="AF223" i="52"/>
  <c r="Z223" i="52"/>
  <c r="Y223" i="52"/>
  <c r="X223" i="52"/>
  <c r="W223" i="52"/>
  <c r="V223" i="52"/>
  <c r="U223" i="52"/>
  <c r="BJ222" i="52"/>
  <c r="BI222" i="52"/>
  <c r="BH222" i="52"/>
  <c r="BG222" i="52"/>
  <c r="AX222" i="52"/>
  <c r="AW222" i="52"/>
  <c r="AV222" i="52"/>
  <c r="AU222" i="52"/>
  <c r="AT222" i="52"/>
  <c r="AS222" i="52"/>
  <c r="AI222" i="52"/>
  <c r="AH222" i="52"/>
  <c r="AG222" i="52"/>
  <c r="AF222" i="52"/>
  <c r="Z222" i="52"/>
  <c r="Y222" i="52"/>
  <c r="X222" i="52"/>
  <c r="W222" i="52"/>
  <c r="V222" i="52"/>
  <c r="U222" i="52"/>
  <c r="BJ221" i="52"/>
  <c r="BI221" i="52"/>
  <c r="BH221" i="52"/>
  <c r="BG221" i="52"/>
  <c r="AX221" i="52"/>
  <c r="AW221" i="52"/>
  <c r="AV221" i="52"/>
  <c r="AU221" i="52"/>
  <c r="AT221" i="52"/>
  <c r="AS221" i="52"/>
  <c r="AI221" i="52"/>
  <c r="AH221" i="52"/>
  <c r="AG221" i="52"/>
  <c r="AF221" i="52"/>
  <c r="Z221" i="52"/>
  <c r="Y221" i="52"/>
  <c r="X221" i="52"/>
  <c r="W221" i="52"/>
  <c r="V221" i="52"/>
  <c r="U221" i="52"/>
  <c r="BJ220" i="52"/>
  <c r="BI220" i="52"/>
  <c r="BH220" i="52"/>
  <c r="BG220" i="52"/>
  <c r="AX220" i="52"/>
  <c r="AW220" i="52"/>
  <c r="AV220" i="52"/>
  <c r="AU220" i="52"/>
  <c r="AT220" i="52"/>
  <c r="AS220" i="52"/>
  <c r="AI220" i="52"/>
  <c r="AH220" i="52"/>
  <c r="AG220" i="52"/>
  <c r="AF220" i="52"/>
  <c r="Z220" i="52"/>
  <c r="Y220" i="52"/>
  <c r="X220" i="52"/>
  <c r="W220" i="52"/>
  <c r="V220" i="52"/>
  <c r="U220" i="52"/>
  <c r="BJ219" i="52"/>
  <c r="BI219" i="52"/>
  <c r="BH219" i="52"/>
  <c r="BG219" i="52"/>
  <c r="AX219" i="52"/>
  <c r="AW219" i="52"/>
  <c r="AV219" i="52"/>
  <c r="AU219" i="52"/>
  <c r="AT219" i="52"/>
  <c r="AS219" i="52"/>
  <c r="AI219" i="52"/>
  <c r="AH219" i="52"/>
  <c r="AG219" i="52"/>
  <c r="AF219" i="52"/>
  <c r="Z219" i="52"/>
  <c r="Y219" i="52"/>
  <c r="X219" i="52"/>
  <c r="W219" i="52"/>
  <c r="V219" i="52"/>
  <c r="U219" i="52"/>
  <c r="BJ218" i="52"/>
  <c r="BI218" i="52"/>
  <c r="BH218" i="52"/>
  <c r="BG218" i="52"/>
  <c r="AX218" i="52"/>
  <c r="AW218" i="52"/>
  <c r="AV218" i="52"/>
  <c r="AU218" i="52"/>
  <c r="AT218" i="52"/>
  <c r="AS218" i="52"/>
  <c r="AI218" i="52"/>
  <c r="AH218" i="52"/>
  <c r="AG218" i="52"/>
  <c r="AF218" i="52"/>
  <c r="Z218" i="52"/>
  <c r="Y218" i="52"/>
  <c r="X218" i="52"/>
  <c r="W218" i="52"/>
  <c r="V218" i="52"/>
  <c r="U218" i="52"/>
  <c r="BJ217" i="52"/>
  <c r="BI217" i="52"/>
  <c r="BH217" i="52"/>
  <c r="BG217" i="52"/>
  <c r="AX217" i="52"/>
  <c r="AW217" i="52"/>
  <c r="AV217" i="52"/>
  <c r="AU217" i="52"/>
  <c r="AT217" i="52"/>
  <c r="AS217" i="52"/>
  <c r="AI217" i="52"/>
  <c r="AH217" i="52"/>
  <c r="AG217" i="52"/>
  <c r="AF217" i="52"/>
  <c r="Z217" i="52"/>
  <c r="Y217" i="52"/>
  <c r="X217" i="52"/>
  <c r="W217" i="52"/>
  <c r="V217" i="52"/>
  <c r="U217" i="52"/>
  <c r="BJ216" i="52"/>
  <c r="BI216" i="52"/>
  <c r="BH216" i="52"/>
  <c r="BG216" i="52"/>
  <c r="AX216" i="52"/>
  <c r="AW216" i="52"/>
  <c r="AV216" i="52"/>
  <c r="AU216" i="52"/>
  <c r="AT216" i="52"/>
  <c r="AS216" i="52"/>
  <c r="AI216" i="52"/>
  <c r="AH216" i="52"/>
  <c r="AG216" i="52"/>
  <c r="AF216" i="52"/>
  <c r="Z216" i="52"/>
  <c r="Y216" i="52"/>
  <c r="X216" i="52"/>
  <c r="W216" i="52"/>
  <c r="V216" i="52"/>
  <c r="U216" i="52"/>
  <c r="BJ215" i="52"/>
  <c r="BI215" i="52"/>
  <c r="BH215" i="52"/>
  <c r="BG215" i="52"/>
  <c r="AX215" i="52"/>
  <c r="AW215" i="52"/>
  <c r="AV215" i="52"/>
  <c r="AU215" i="52"/>
  <c r="AT215" i="52"/>
  <c r="AS215" i="52"/>
  <c r="AI215" i="52"/>
  <c r="AH215" i="52"/>
  <c r="AG215" i="52"/>
  <c r="AF215" i="52"/>
  <c r="Z215" i="52"/>
  <c r="Y215" i="52"/>
  <c r="X215" i="52"/>
  <c r="W215" i="52"/>
  <c r="V215" i="52"/>
  <c r="U215" i="52"/>
  <c r="BJ214" i="52"/>
  <c r="BI214" i="52"/>
  <c r="BH214" i="52"/>
  <c r="BG214" i="52"/>
  <c r="AX214" i="52"/>
  <c r="AW214" i="52"/>
  <c r="AV214" i="52"/>
  <c r="AU214" i="52"/>
  <c r="AT214" i="52"/>
  <c r="AS214" i="52"/>
  <c r="AI214" i="52"/>
  <c r="AH214" i="52"/>
  <c r="AG214" i="52"/>
  <c r="AF214" i="52"/>
  <c r="Z214" i="52"/>
  <c r="Y214" i="52"/>
  <c r="X214" i="52"/>
  <c r="W214" i="52"/>
  <c r="V214" i="52"/>
  <c r="U214" i="52"/>
  <c r="BJ213" i="52"/>
  <c r="BI213" i="52"/>
  <c r="BH213" i="52"/>
  <c r="BG213" i="52"/>
  <c r="AX213" i="52"/>
  <c r="AW213" i="52"/>
  <c r="AV213" i="52"/>
  <c r="AU213" i="52"/>
  <c r="AT213" i="52"/>
  <c r="AS213" i="52"/>
  <c r="AI213" i="52"/>
  <c r="AH213" i="52"/>
  <c r="AG213" i="52"/>
  <c r="AF213" i="52"/>
  <c r="Z213" i="52"/>
  <c r="Y213" i="52"/>
  <c r="X213" i="52"/>
  <c r="W213" i="52"/>
  <c r="V213" i="52"/>
  <c r="U213" i="52"/>
  <c r="BJ212" i="52"/>
  <c r="BI212" i="52"/>
  <c r="BH212" i="52"/>
  <c r="BG212" i="52"/>
  <c r="AX212" i="52"/>
  <c r="AW212" i="52"/>
  <c r="AV212" i="52"/>
  <c r="AU212" i="52"/>
  <c r="AT212" i="52"/>
  <c r="AS212" i="52"/>
  <c r="AI212" i="52"/>
  <c r="AH212" i="52"/>
  <c r="AG212" i="52"/>
  <c r="AF212" i="52"/>
  <c r="Z212" i="52"/>
  <c r="Y212" i="52"/>
  <c r="X212" i="52"/>
  <c r="W212" i="52"/>
  <c r="V212" i="52"/>
  <c r="U212" i="52"/>
  <c r="BJ211" i="52"/>
  <c r="BI211" i="52"/>
  <c r="BH211" i="52"/>
  <c r="BG211" i="52"/>
  <c r="AX211" i="52"/>
  <c r="AW211" i="52"/>
  <c r="AV211" i="52"/>
  <c r="AU211" i="52"/>
  <c r="AT211" i="52"/>
  <c r="AS211" i="52"/>
  <c r="AI211" i="52"/>
  <c r="AH211" i="52"/>
  <c r="AG211" i="52"/>
  <c r="AF211" i="52"/>
  <c r="Z211" i="52"/>
  <c r="Y211" i="52"/>
  <c r="X211" i="52"/>
  <c r="W211" i="52"/>
  <c r="V211" i="52"/>
  <c r="U211" i="52"/>
  <c r="BJ210" i="52"/>
  <c r="BI210" i="52"/>
  <c r="BH210" i="52"/>
  <c r="BG210" i="52"/>
  <c r="AX210" i="52"/>
  <c r="AW210" i="52"/>
  <c r="AV210" i="52"/>
  <c r="AU210" i="52"/>
  <c r="AT210" i="52"/>
  <c r="AS210" i="52"/>
  <c r="AI210" i="52"/>
  <c r="AH210" i="52"/>
  <c r="AG210" i="52"/>
  <c r="AF210" i="52"/>
  <c r="Z210" i="52"/>
  <c r="Y210" i="52"/>
  <c r="X210" i="52"/>
  <c r="W210" i="52"/>
  <c r="V210" i="52"/>
  <c r="U210" i="52"/>
  <c r="BJ209" i="52"/>
  <c r="BI209" i="52"/>
  <c r="BH209" i="52"/>
  <c r="BG209" i="52"/>
  <c r="AX209" i="52"/>
  <c r="AW209" i="52"/>
  <c r="AV209" i="52"/>
  <c r="AU209" i="52"/>
  <c r="AT209" i="52"/>
  <c r="AS209" i="52"/>
  <c r="AI209" i="52"/>
  <c r="AH209" i="52"/>
  <c r="AG209" i="52"/>
  <c r="AF209" i="52"/>
  <c r="Z209" i="52"/>
  <c r="Y209" i="52"/>
  <c r="X209" i="52"/>
  <c r="W209" i="52"/>
  <c r="V209" i="52"/>
  <c r="U209" i="52"/>
  <c r="BJ208" i="52"/>
  <c r="BI208" i="52"/>
  <c r="BH208" i="52"/>
  <c r="BG208" i="52"/>
  <c r="AX208" i="52"/>
  <c r="AW208" i="52"/>
  <c r="AV208" i="52"/>
  <c r="AU208" i="52"/>
  <c r="AT208" i="52"/>
  <c r="AS208" i="52"/>
  <c r="AI208" i="52"/>
  <c r="AH208" i="52"/>
  <c r="AG208" i="52"/>
  <c r="AF208" i="52"/>
  <c r="Z208" i="52"/>
  <c r="Y208" i="52"/>
  <c r="X208" i="52"/>
  <c r="W208" i="52"/>
  <c r="V208" i="52"/>
  <c r="U208" i="52"/>
  <c r="BJ207" i="52"/>
  <c r="BI207" i="52"/>
  <c r="BH207" i="52"/>
  <c r="BG207" i="52"/>
  <c r="AX207" i="52"/>
  <c r="AW207" i="52"/>
  <c r="AV207" i="52"/>
  <c r="AU207" i="52"/>
  <c r="AT207" i="52"/>
  <c r="AS207" i="52"/>
  <c r="AI207" i="52"/>
  <c r="AH207" i="52"/>
  <c r="AG207" i="52"/>
  <c r="AF207" i="52"/>
  <c r="Z207" i="52"/>
  <c r="Y207" i="52"/>
  <c r="X207" i="52"/>
  <c r="W207" i="52"/>
  <c r="V207" i="52"/>
  <c r="U207" i="52"/>
  <c r="BJ206" i="52"/>
  <c r="BI206" i="52"/>
  <c r="BH206" i="52"/>
  <c r="BG206" i="52"/>
  <c r="AX206" i="52"/>
  <c r="AW206" i="52"/>
  <c r="AV206" i="52"/>
  <c r="AU206" i="52"/>
  <c r="AT206" i="52"/>
  <c r="AS206" i="52"/>
  <c r="AI206" i="52"/>
  <c r="AH206" i="52"/>
  <c r="AG206" i="52"/>
  <c r="AF206" i="52"/>
  <c r="Z206" i="52"/>
  <c r="Y206" i="52"/>
  <c r="X206" i="52"/>
  <c r="W206" i="52"/>
  <c r="V206" i="52"/>
  <c r="U206" i="52"/>
  <c r="BJ205" i="52"/>
  <c r="BI205" i="52"/>
  <c r="BH205" i="52"/>
  <c r="BG205" i="52"/>
  <c r="AX205" i="52"/>
  <c r="AW205" i="52"/>
  <c r="AV205" i="52"/>
  <c r="AU205" i="52"/>
  <c r="AT205" i="52"/>
  <c r="AS205" i="52"/>
  <c r="AI205" i="52"/>
  <c r="AH205" i="52"/>
  <c r="AG205" i="52"/>
  <c r="AF205" i="52"/>
  <c r="Z205" i="52"/>
  <c r="Y205" i="52"/>
  <c r="X205" i="52"/>
  <c r="W205" i="52"/>
  <c r="V205" i="52"/>
  <c r="U205" i="52"/>
  <c r="BJ204" i="52"/>
  <c r="BI204" i="52"/>
  <c r="BH204" i="52"/>
  <c r="BG204" i="52"/>
  <c r="AX204" i="52"/>
  <c r="AW204" i="52"/>
  <c r="AV204" i="52"/>
  <c r="AU204" i="52"/>
  <c r="AT204" i="52"/>
  <c r="AS204" i="52"/>
  <c r="AI204" i="52"/>
  <c r="AH204" i="52"/>
  <c r="AG204" i="52"/>
  <c r="AF204" i="52"/>
  <c r="Z204" i="52"/>
  <c r="Y204" i="52"/>
  <c r="X204" i="52"/>
  <c r="W204" i="52"/>
  <c r="V204" i="52"/>
  <c r="U204" i="52"/>
  <c r="BJ203" i="52"/>
  <c r="BI203" i="52"/>
  <c r="BH203" i="52"/>
  <c r="BG203" i="52"/>
  <c r="AX203" i="52"/>
  <c r="AW203" i="52"/>
  <c r="AV203" i="52"/>
  <c r="AU203" i="52"/>
  <c r="AT203" i="52"/>
  <c r="AS203" i="52"/>
  <c r="AI203" i="52"/>
  <c r="AH203" i="52"/>
  <c r="AG203" i="52"/>
  <c r="AF203" i="52"/>
  <c r="Z203" i="52"/>
  <c r="Y203" i="52"/>
  <c r="X203" i="52"/>
  <c r="W203" i="52"/>
  <c r="V203" i="52"/>
  <c r="U203" i="52"/>
  <c r="BJ202" i="52"/>
  <c r="BI202" i="52"/>
  <c r="BH202" i="52"/>
  <c r="BG202" i="52"/>
  <c r="AX202" i="52"/>
  <c r="AW202" i="52"/>
  <c r="AV202" i="52"/>
  <c r="AU202" i="52"/>
  <c r="AT202" i="52"/>
  <c r="AS202" i="52"/>
  <c r="AI202" i="52"/>
  <c r="AH202" i="52"/>
  <c r="AG202" i="52"/>
  <c r="AF202" i="52"/>
  <c r="Z202" i="52"/>
  <c r="Y202" i="52"/>
  <c r="X202" i="52"/>
  <c r="W202" i="52"/>
  <c r="V202" i="52"/>
  <c r="U202" i="52"/>
  <c r="BJ201" i="52"/>
  <c r="BI201" i="52"/>
  <c r="BH201" i="52"/>
  <c r="BG201" i="52"/>
  <c r="AX201" i="52"/>
  <c r="AW201" i="52"/>
  <c r="AV201" i="52"/>
  <c r="AU201" i="52"/>
  <c r="AT201" i="52"/>
  <c r="AS201" i="52"/>
  <c r="AI201" i="52"/>
  <c r="AH201" i="52"/>
  <c r="AG201" i="52"/>
  <c r="AF201" i="52"/>
  <c r="Z201" i="52"/>
  <c r="Y201" i="52"/>
  <c r="X201" i="52"/>
  <c r="W201" i="52"/>
  <c r="V201" i="52"/>
  <c r="U201" i="52"/>
  <c r="BJ200" i="52"/>
  <c r="BI200" i="52"/>
  <c r="BH200" i="52"/>
  <c r="BG200" i="52"/>
  <c r="AX200" i="52"/>
  <c r="AW200" i="52"/>
  <c r="AV200" i="52"/>
  <c r="AU200" i="52"/>
  <c r="AT200" i="52"/>
  <c r="AS200" i="52"/>
  <c r="AI200" i="52"/>
  <c r="AH200" i="52"/>
  <c r="AG200" i="52"/>
  <c r="AF200" i="52"/>
  <c r="Z200" i="52"/>
  <c r="Y200" i="52"/>
  <c r="X200" i="52"/>
  <c r="W200" i="52"/>
  <c r="V200" i="52"/>
  <c r="U200" i="52"/>
  <c r="BJ199" i="52"/>
  <c r="BI199" i="52"/>
  <c r="BH199" i="52"/>
  <c r="BG199" i="52"/>
  <c r="AX199" i="52"/>
  <c r="AW199" i="52"/>
  <c r="AV199" i="52"/>
  <c r="AU199" i="52"/>
  <c r="AT199" i="52"/>
  <c r="AS199" i="52"/>
  <c r="AI199" i="52"/>
  <c r="AH199" i="52"/>
  <c r="AG199" i="52"/>
  <c r="AF199" i="52"/>
  <c r="Z199" i="52"/>
  <c r="Y199" i="52"/>
  <c r="X199" i="52"/>
  <c r="W199" i="52"/>
  <c r="V199" i="52"/>
  <c r="U199" i="52"/>
  <c r="BJ198" i="52"/>
  <c r="BI198" i="52"/>
  <c r="BH198" i="52"/>
  <c r="BG198" i="52"/>
  <c r="AX198" i="52"/>
  <c r="AW198" i="52"/>
  <c r="AV198" i="52"/>
  <c r="AU198" i="52"/>
  <c r="AT198" i="52"/>
  <c r="AS198" i="52"/>
  <c r="AI198" i="52"/>
  <c r="AH198" i="52"/>
  <c r="AG198" i="52"/>
  <c r="AF198" i="52"/>
  <c r="Z198" i="52"/>
  <c r="Y198" i="52"/>
  <c r="X198" i="52"/>
  <c r="W198" i="52"/>
  <c r="V198" i="52"/>
  <c r="U198" i="52"/>
  <c r="BJ197" i="52"/>
  <c r="BI197" i="52"/>
  <c r="BH197" i="52"/>
  <c r="BG197" i="52"/>
  <c r="AX197" i="52"/>
  <c r="AW197" i="52"/>
  <c r="AV197" i="52"/>
  <c r="AU197" i="52"/>
  <c r="AT197" i="52"/>
  <c r="AS197" i="52"/>
  <c r="AI197" i="52"/>
  <c r="AH197" i="52"/>
  <c r="AG197" i="52"/>
  <c r="AF197" i="52"/>
  <c r="Z197" i="52"/>
  <c r="Y197" i="52"/>
  <c r="X197" i="52"/>
  <c r="W197" i="52"/>
  <c r="V197" i="52"/>
  <c r="U197" i="52"/>
  <c r="BJ196" i="52"/>
  <c r="BI196" i="52"/>
  <c r="BH196" i="52"/>
  <c r="BG196" i="52"/>
  <c r="AX196" i="52"/>
  <c r="AW196" i="52"/>
  <c r="AV196" i="52"/>
  <c r="AU196" i="52"/>
  <c r="AT196" i="52"/>
  <c r="AS196" i="52"/>
  <c r="AI196" i="52"/>
  <c r="AH196" i="52"/>
  <c r="AG196" i="52"/>
  <c r="AF196" i="52"/>
  <c r="Z196" i="52"/>
  <c r="Y196" i="52"/>
  <c r="X196" i="52"/>
  <c r="W196" i="52"/>
  <c r="V196" i="52"/>
  <c r="U196" i="52"/>
  <c r="BJ195" i="52"/>
  <c r="BI195" i="52"/>
  <c r="BH195" i="52"/>
  <c r="BG195" i="52"/>
  <c r="AX195" i="52"/>
  <c r="AW195" i="52"/>
  <c r="AV195" i="52"/>
  <c r="AU195" i="52"/>
  <c r="AT195" i="52"/>
  <c r="AS195" i="52"/>
  <c r="AI195" i="52"/>
  <c r="AH195" i="52"/>
  <c r="AG195" i="52"/>
  <c r="AF195" i="52"/>
  <c r="Z195" i="52"/>
  <c r="Y195" i="52"/>
  <c r="X195" i="52"/>
  <c r="W195" i="52"/>
  <c r="V195" i="52"/>
  <c r="U195" i="52"/>
  <c r="BJ194" i="52"/>
  <c r="BI194" i="52"/>
  <c r="BH194" i="52"/>
  <c r="BG194" i="52"/>
  <c r="AX194" i="52"/>
  <c r="AW194" i="52"/>
  <c r="AV194" i="52"/>
  <c r="AU194" i="52"/>
  <c r="AT194" i="52"/>
  <c r="AS194" i="52"/>
  <c r="AI194" i="52"/>
  <c r="AH194" i="52"/>
  <c r="AG194" i="52"/>
  <c r="AF194" i="52"/>
  <c r="Z194" i="52"/>
  <c r="Y194" i="52"/>
  <c r="X194" i="52"/>
  <c r="W194" i="52"/>
  <c r="V194" i="52"/>
  <c r="U194" i="52"/>
  <c r="BJ193" i="52"/>
  <c r="BI193" i="52"/>
  <c r="BH193" i="52"/>
  <c r="BG193" i="52"/>
  <c r="AX193" i="52"/>
  <c r="AW193" i="52"/>
  <c r="AV193" i="52"/>
  <c r="AU193" i="52"/>
  <c r="AT193" i="52"/>
  <c r="AS193" i="52"/>
  <c r="AI193" i="52"/>
  <c r="AH193" i="52"/>
  <c r="AG193" i="52"/>
  <c r="AF193" i="52"/>
  <c r="Z193" i="52"/>
  <c r="Y193" i="52"/>
  <c r="X193" i="52"/>
  <c r="W193" i="52"/>
  <c r="V193" i="52"/>
  <c r="U193" i="52"/>
  <c r="BJ192" i="52"/>
  <c r="BI192" i="52"/>
  <c r="BH192" i="52"/>
  <c r="BG192" i="52"/>
  <c r="AX192" i="52"/>
  <c r="AW192" i="52"/>
  <c r="AV192" i="52"/>
  <c r="AU192" i="52"/>
  <c r="AT192" i="52"/>
  <c r="AS192" i="52"/>
  <c r="AI192" i="52"/>
  <c r="AH192" i="52"/>
  <c r="AG192" i="52"/>
  <c r="AF192" i="52"/>
  <c r="Z192" i="52"/>
  <c r="Y192" i="52"/>
  <c r="X192" i="52"/>
  <c r="W192" i="52"/>
  <c r="V192" i="52"/>
  <c r="U192" i="52"/>
  <c r="BJ191" i="52"/>
  <c r="BI191" i="52"/>
  <c r="BH191" i="52"/>
  <c r="BG191" i="52"/>
  <c r="AX191" i="52"/>
  <c r="AW191" i="52"/>
  <c r="AV191" i="52"/>
  <c r="AU191" i="52"/>
  <c r="AT191" i="52"/>
  <c r="AS191" i="52"/>
  <c r="AI191" i="52"/>
  <c r="AH191" i="52"/>
  <c r="AG191" i="52"/>
  <c r="AF191" i="52"/>
  <c r="Z191" i="52"/>
  <c r="Y191" i="52"/>
  <c r="X191" i="52"/>
  <c r="W191" i="52"/>
  <c r="V191" i="52"/>
  <c r="U191" i="52"/>
  <c r="BJ190" i="52"/>
  <c r="BI190" i="52"/>
  <c r="BH190" i="52"/>
  <c r="BG190" i="52"/>
  <c r="AX190" i="52"/>
  <c r="AW190" i="52"/>
  <c r="AV190" i="52"/>
  <c r="AU190" i="52"/>
  <c r="AT190" i="52"/>
  <c r="AS190" i="52"/>
  <c r="AI190" i="52"/>
  <c r="AH190" i="52"/>
  <c r="AG190" i="52"/>
  <c r="AF190" i="52"/>
  <c r="Z190" i="52"/>
  <c r="Y190" i="52"/>
  <c r="X190" i="52"/>
  <c r="W190" i="52"/>
  <c r="V190" i="52"/>
  <c r="U190" i="52"/>
  <c r="BJ189" i="52"/>
  <c r="BI189" i="52"/>
  <c r="BH189" i="52"/>
  <c r="BG189" i="52"/>
  <c r="AX189" i="52"/>
  <c r="AW189" i="52"/>
  <c r="AV189" i="52"/>
  <c r="AU189" i="52"/>
  <c r="AT189" i="52"/>
  <c r="AS189" i="52"/>
  <c r="AI189" i="52"/>
  <c r="AH189" i="52"/>
  <c r="AG189" i="52"/>
  <c r="AF189" i="52"/>
  <c r="Z189" i="52"/>
  <c r="Y189" i="52"/>
  <c r="X189" i="52"/>
  <c r="W189" i="52"/>
  <c r="V189" i="52"/>
  <c r="U189" i="52"/>
  <c r="BJ188" i="52"/>
  <c r="BI188" i="52"/>
  <c r="BH188" i="52"/>
  <c r="BG188" i="52"/>
  <c r="AX188" i="52"/>
  <c r="AW188" i="52"/>
  <c r="AV188" i="52"/>
  <c r="AU188" i="52"/>
  <c r="AT188" i="52"/>
  <c r="AS188" i="52"/>
  <c r="AI188" i="52"/>
  <c r="AH188" i="52"/>
  <c r="AG188" i="52"/>
  <c r="AF188" i="52"/>
  <c r="Z188" i="52"/>
  <c r="Y188" i="52"/>
  <c r="X188" i="52"/>
  <c r="W188" i="52"/>
  <c r="V188" i="52"/>
  <c r="U188" i="52"/>
  <c r="BJ187" i="52"/>
  <c r="BI187" i="52"/>
  <c r="BH187" i="52"/>
  <c r="BG187" i="52"/>
  <c r="AX187" i="52"/>
  <c r="AW187" i="52"/>
  <c r="AV187" i="52"/>
  <c r="AU187" i="52"/>
  <c r="AT187" i="52"/>
  <c r="AS187" i="52"/>
  <c r="AI187" i="52"/>
  <c r="AH187" i="52"/>
  <c r="AG187" i="52"/>
  <c r="AF187" i="52"/>
  <c r="Z187" i="52"/>
  <c r="Y187" i="52"/>
  <c r="X187" i="52"/>
  <c r="W187" i="52"/>
  <c r="V187" i="52"/>
  <c r="U187" i="52"/>
  <c r="BJ186" i="52"/>
  <c r="BI186" i="52"/>
  <c r="BH186" i="52"/>
  <c r="BG186" i="52"/>
  <c r="AX186" i="52"/>
  <c r="AW186" i="52"/>
  <c r="AV186" i="52"/>
  <c r="AU186" i="52"/>
  <c r="AT186" i="52"/>
  <c r="AS186" i="52"/>
  <c r="AI186" i="52"/>
  <c r="AH186" i="52"/>
  <c r="AG186" i="52"/>
  <c r="AF186" i="52"/>
  <c r="Z186" i="52"/>
  <c r="Y186" i="52"/>
  <c r="X186" i="52"/>
  <c r="W186" i="52"/>
  <c r="V186" i="52"/>
  <c r="U186" i="52"/>
  <c r="BJ185" i="52"/>
  <c r="BI185" i="52"/>
  <c r="BH185" i="52"/>
  <c r="BG185" i="52"/>
  <c r="AX185" i="52"/>
  <c r="AW185" i="52"/>
  <c r="AV185" i="52"/>
  <c r="AU185" i="52"/>
  <c r="AT185" i="52"/>
  <c r="AS185" i="52"/>
  <c r="AI185" i="52"/>
  <c r="AH185" i="52"/>
  <c r="AG185" i="52"/>
  <c r="AF185" i="52"/>
  <c r="Z185" i="52"/>
  <c r="Y185" i="52"/>
  <c r="X185" i="52"/>
  <c r="W185" i="52"/>
  <c r="V185" i="52"/>
  <c r="U185" i="52"/>
  <c r="BJ184" i="52"/>
  <c r="BI184" i="52"/>
  <c r="BH184" i="52"/>
  <c r="BG184" i="52"/>
  <c r="AX184" i="52"/>
  <c r="AW184" i="52"/>
  <c r="AV184" i="52"/>
  <c r="AU184" i="52"/>
  <c r="AT184" i="52"/>
  <c r="AS184" i="52"/>
  <c r="AI184" i="52"/>
  <c r="AH184" i="52"/>
  <c r="AG184" i="52"/>
  <c r="AF184" i="52"/>
  <c r="Z184" i="52"/>
  <c r="Y184" i="52"/>
  <c r="X184" i="52"/>
  <c r="W184" i="52"/>
  <c r="V184" i="52"/>
  <c r="U184" i="52"/>
  <c r="BJ183" i="52"/>
  <c r="BI183" i="52"/>
  <c r="BH183" i="52"/>
  <c r="BG183" i="52"/>
  <c r="AX183" i="52"/>
  <c r="AW183" i="52"/>
  <c r="AV183" i="52"/>
  <c r="AU183" i="52"/>
  <c r="AT183" i="52"/>
  <c r="AS183" i="52"/>
  <c r="AI183" i="52"/>
  <c r="AH183" i="52"/>
  <c r="AG183" i="52"/>
  <c r="AF183" i="52"/>
  <c r="Z183" i="52"/>
  <c r="Y183" i="52"/>
  <c r="X183" i="52"/>
  <c r="W183" i="52"/>
  <c r="V183" i="52"/>
  <c r="U183" i="52"/>
  <c r="BJ182" i="52"/>
  <c r="BI182" i="52"/>
  <c r="BH182" i="52"/>
  <c r="BG182" i="52"/>
  <c r="AX182" i="52"/>
  <c r="AW182" i="52"/>
  <c r="AV182" i="52"/>
  <c r="AU182" i="52"/>
  <c r="AT182" i="52"/>
  <c r="AS182" i="52"/>
  <c r="AI182" i="52"/>
  <c r="AH182" i="52"/>
  <c r="AG182" i="52"/>
  <c r="AF182" i="52"/>
  <c r="Z182" i="52"/>
  <c r="Y182" i="52"/>
  <c r="X182" i="52"/>
  <c r="W182" i="52"/>
  <c r="V182" i="52"/>
  <c r="U182" i="52"/>
  <c r="BJ181" i="52"/>
  <c r="BI181" i="52"/>
  <c r="BH181" i="52"/>
  <c r="BG181" i="52"/>
  <c r="AX181" i="52"/>
  <c r="AW181" i="52"/>
  <c r="AV181" i="52"/>
  <c r="AU181" i="52"/>
  <c r="AT181" i="52"/>
  <c r="AS181" i="52"/>
  <c r="AI181" i="52"/>
  <c r="AH181" i="52"/>
  <c r="AG181" i="52"/>
  <c r="AF181" i="52"/>
  <c r="Z181" i="52"/>
  <c r="Y181" i="52"/>
  <c r="X181" i="52"/>
  <c r="W181" i="52"/>
  <c r="V181" i="52"/>
  <c r="U181" i="52"/>
  <c r="BJ180" i="52"/>
  <c r="BI180" i="52"/>
  <c r="BH180" i="52"/>
  <c r="BG180" i="52"/>
  <c r="AX180" i="52"/>
  <c r="AW180" i="52"/>
  <c r="AV180" i="52"/>
  <c r="AU180" i="52"/>
  <c r="AT180" i="52"/>
  <c r="AS180" i="52"/>
  <c r="AI180" i="52"/>
  <c r="AH180" i="52"/>
  <c r="AG180" i="52"/>
  <c r="AF180" i="52"/>
  <c r="Z180" i="52"/>
  <c r="Y180" i="52"/>
  <c r="X180" i="52"/>
  <c r="W180" i="52"/>
  <c r="V180" i="52"/>
  <c r="U180" i="52"/>
  <c r="BJ179" i="52"/>
  <c r="BI179" i="52"/>
  <c r="BH179" i="52"/>
  <c r="BG179" i="52"/>
  <c r="AX179" i="52"/>
  <c r="AW179" i="52"/>
  <c r="AV179" i="52"/>
  <c r="AU179" i="52"/>
  <c r="AT179" i="52"/>
  <c r="AS179" i="52"/>
  <c r="AI179" i="52"/>
  <c r="AH179" i="52"/>
  <c r="AG179" i="52"/>
  <c r="AF179" i="52"/>
  <c r="Z179" i="52"/>
  <c r="Y179" i="52"/>
  <c r="X179" i="52"/>
  <c r="W179" i="52"/>
  <c r="V179" i="52"/>
  <c r="U179" i="52"/>
  <c r="BJ178" i="52"/>
  <c r="BI178" i="52"/>
  <c r="BH178" i="52"/>
  <c r="BG178" i="52"/>
  <c r="AX178" i="52"/>
  <c r="AW178" i="52"/>
  <c r="AV178" i="52"/>
  <c r="AU178" i="52"/>
  <c r="AT178" i="52"/>
  <c r="AS178" i="52"/>
  <c r="AI178" i="52"/>
  <c r="AH178" i="52"/>
  <c r="AG178" i="52"/>
  <c r="AF178" i="52"/>
  <c r="Z178" i="52"/>
  <c r="Y178" i="52"/>
  <c r="X178" i="52"/>
  <c r="W178" i="52"/>
  <c r="V178" i="52"/>
  <c r="U178" i="52"/>
  <c r="BJ177" i="52"/>
  <c r="BI177" i="52"/>
  <c r="BH177" i="52"/>
  <c r="BG177" i="52"/>
  <c r="AX177" i="52"/>
  <c r="AW177" i="52"/>
  <c r="AV177" i="52"/>
  <c r="AU177" i="52"/>
  <c r="AT177" i="52"/>
  <c r="AS177" i="52"/>
  <c r="AI177" i="52"/>
  <c r="AH177" i="52"/>
  <c r="AG177" i="52"/>
  <c r="AF177" i="52"/>
  <c r="Z177" i="52"/>
  <c r="Y177" i="52"/>
  <c r="X177" i="52"/>
  <c r="W177" i="52"/>
  <c r="V177" i="52"/>
  <c r="U177" i="52"/>
  <c r="BJ176" i="52"/>
  <c r="BI176" i="52"/>
  <c r="BH176" i="52"/>
  <c r="BG176" i="52"/>
  <c r="AX176" i="52"/>
  <c r="AW176" i="52"/>
  <c r="AV176" i="52"/>
  <c r="AU176" i="52"/>
  <c r="AT176" i="52"/>
  <c r="AS176" i="52"/>
  <c r="AI176" i="52"/>
  <c r="AH176" i="52"/>
  <c r="AG176" i="52"/>
  <c r="AF176" i="52"/>
  <c r="Z176" i="52"/>
  <c r="Y176" i="52"/>
  <c r="X176" i="52"/>
  <c r="W176" i="52"/>
  <c r="V176" i="52"/>
  <c r="U176" i="52"/>
  <c r="BJ175" i="52"/>
  <c r="BI175" i="52"/>
  <c r="BH175" i="52"/>
  <c r="BG175" i="52"/>
  <c r="AX175" i="52"/>
  <c r="AW175" i="52"/>
  <c r="AV175" i="52"/>
  <c r="AU175" i="52"/>
  <c r="AT175" i="52"/>
  <c r="AS175" i="52"/>
  <c r="AI175" i="52"/>
  <c r="AH175" i="52"/>
  <c r="AG175" i="52"/>
  <c r="AF175" i="52"/>
  <c r="Z175" i="52"/>
  <c r="Y175" i="52"/>
  <c r="X175" i="52"/>
  <c r="W175" i="52"/>
  <c r="V175" i="52"/>
  <c r="U175" i="52"/>
  <c r="BJ174" i="52"/>
  <c r="BI174" i="52"/>
  <c r="BH174" i="52"/>
  <c r="BG174" i="52"/>
  <c r="AX174" i="52"/>
  <c r="AW174" i="52"/>
  <c r="AV174" i="52"/>
  <c r="AU174" i="52"/>
  <c r="AT174" i="52"/>
  <c r="AS174" i="52"/>
  <c r="AI174" i="52"/>
  <c r="AH174" i="52"/>
  <c r="AG174" i="52"/>
  <c r="AF174" i="52"/>
  <c r="Z174" i="52"/>
  <c r="Y174" i="52"/>
  <c r="X174" i="52"/>
  <c r="W174" i="52"/>
  <c r="V174" i="52"/>
  <c r="U174" i="52"/>
  <c r="BJ173" i="52"/>
  <c r="BI173" i="52"/>
  <c r="BH173" i="52"/>
  <c r="BG173" i="52"/>
  <c r="AX173" i="52"/>
  <c r="AW173" i="52"/>
  <c r="AV173" i="52"/>
  <c r="AU173" i="52"/>
  <c r="AT173" i="52"/>
  <c r="AS173" i="52"/>
  <c r="AI173" i="52"/>
  <c r="AH173" i="52"/>
  <c r="AG173" i="52"/>
  <c r="AF173" i="52"/>
  <c r="Z173" i="52"/>
  <c r="Y173" i="52"/>
  <c r="X173" i="52"/>
  <c r="W173" i="52"/>
  <c r="V173" i="52"/>
  <c r="U173" i="52"/>
  <c r="BJ172" i="52"/>
  <c r="BI172" i="52"/>
  <c r="BH172" i="52"/>
  <c r="BG172" i="52"/>
  <c r="AX172" i="52"/>
  <c r="AW172" i="52"/>
  <c r="AV172" i="52"/>
  <c r="AU172" i="52"/>
  <c r="AT172" i="52"/>
  <c r="AS172" i="52"/>
  <c r="AI172" i="52"/>
  <c r="AH172" i="52"/>
  <c r="AG172" i="52"/>
  <c r="AF172" i="52"/>
  <c r="Z172" i="52"/>
  <c r="Y172" i="52"/>
  <c r="X172" i="52"/>
  <c r="W172" i="52"/>
  <c r="V172" i="52"/>
  <c r="U172" i="52"/>
  <c r="BJ171" i="52"/>
  <c r="BI171" i="52"/>
  <c r="BH171" i="52"/>
  <c r="BG171" i="52"/>
  <c r="AX171" i="52"/>
  <c r="AW171" i="52"/>
  <c r="AV171" i="52"/>
  <c r="AU171" i="52"/>
  <c r="AT171" i="52"/>
  <c r="AS171" i="52"/>
  <c r="AI171" i="52"/>
  <c r="AH171" i="52"/>
  <c r="AG171" i="52"/>
  <c r="AF171" i="52"/>
  <c r="Z171" i="52"/>
  <c r="Y171" i="52"/>
  <c r="X171" i="52"/>
  <c r="W171" i="52"/>
  <c r="V171" i="52"/>
  <c r="U171" i="52"/>
  <c r="BJ170" i="52"/>
  <c r="BI170" i="52"/>
  <c r="BH170" i="52"/>
  <c r="BG170" i="52"/>
  <c r="AX170" i="52"/>
  <c r="AW170" i="52"/>
  <c r="AV170" i="52"/>
  <c r="AU170" i="52"/>
  <c r="AT170" i="52"/>
  <c r="AS170" i="52"/>
  <c r="AI170" i="52"/>
  <c r="AH170" i="52"/>
  <c r="AG170" i="52"/>
  <c r="AF170" i="52"/>
  <c r="Z170" i="52"/>
  <c r="Y170" i="52"/>
  <c r="X170" i="52"/>
  <c r="W170" i="52"/>
  <c r="V170" i="52"/>
  <c r="U170" i="52"/>
  <c r="BJ169" i="52"/>
  <c r="BI169" i="52"/>
  <c r="BH169" i="52"/>
  <c r="BG169" i="52"/>
  <c r="AX169" i="52"/>
  <c r="AW169" i="52"/>
  <c r="AV169" i="52"/>
  <c r="AU169" i="52"/>
  <c r="AT169" i="52"/>
  <c r="AS169" i="52"/>
  <c r="AI169" i="52"/>
  <c r="AH169" i="52"/>
  <c r="AG169" i="52"/>
  <c r="AF169" i="52"/>
  <c r="Z169" i="52"/>
  <c r="Y169" i="52"/>
  <c r="X169" i="52"/>
  <c r="W169" i="52"/>
  <c r="V169" i="52"/>
  <c r="U169" i="52"/>
  <c r="BJ168" i="52"/>
  <c r="BI168" i="52"/>
  <c r="BH168" i="52"/>
  <c r="BG168" i="52"/>
  <c r="AX168" i="52"/>
  <c r="AW168" i="52"/>
  <c r="AV168" i="52"/>
  <c r="AU168" i="52"/>
  <c r="AT168" i="52"/>
  <c r="AS168" i="52"/>
  <c r="AI168" i="52"/>
  <c r="AH168" i="52"/>
  <c r="AG168" i="52"/>
  <c r="AF168" i="52"/>
  <c r="Z168" i="52"/>
  <c r="Y168" i="52"/>
  <c r="X168" i="52"/>
  <c r="W168" i="52"/>
  <c r="V168" i="52"/>
  <c r="U168" i="52"/>
  <c r="BJ167" i="52"/>
  <c r="BI167" i="52"/>
  <c r="BH167" i="52"/>
  <c r="BG167" i="52"/>
  <c r="AX167" i="52"/>
  <c r="AW167" i="52"/>
  <c r="AV167" i="52"/>
  <c r="AU167" i="52"/>
  <c r="AT167" i="52"/>
  <c r="AS167" i="52"/>
  <c r="AI167" i="52"/>
  <c r="AH167" i="52"/>
  <c r="AG167" i="52"/>
  <c r="AF167" i="52"/>
  <c r="Z167" i="52"/>
  <c r="Y167" i="52"/>
  <c r="X167" i="52"/>
  <c r="W167" i="52"/>
  <c r="V167" i="52"/>
  <c r="U167" i="52"/>
  <c r="BJ166" i="52"/>
  <c r="BI166" i="52"/>
  <c r="BH166" i="52"/>
  <c r="BG166" i="52"/>
  <c r="AX166" i="52"/>
  <c r="AW166" i="52"/>
  <c r="AV166" i="52"/>
  <c r="AU166" i="52"/>
  <c r="AT166" i="52"/>
  <c r="AS166" i="52"/>
  <c r="AI166" i="52"/>
  <c r="AH166" i="52"/>
  <c r="AG166" i="52"/>
  <c r="AF166" i="52"/>
  <c r="Z166" i="52"/>
  <c r="Y166" i="52"/>
  <c r="X166" i="52"/>
  <c r="W166" i="52"/>
  <c r="V166" i="52"/>
  <c r="U166" i="52"/>
  <c r="BJ165" i="52"/>
  <c r="BI165" i="52"/>
  <c r="BH165" i="52"/>
  <c r="BG165" i="52"/>
  <c r="AX165" i="52"/>
  <c r="AW165" i="52"/>
  <c r="AV165" i="52"/>
  <c r="AU165" i="52"/>
  <c r="AT165" i="52"/>
  <c r="AS165" i="52"/>
  <c r="AI165" i="52"/>
  <c r="AH165" i="52"/>
  <c r="AG165" i="52"/>
  <c r="AF165" i="52"/>
  <c r="Z165" i="52"/>
  <c r="Y165" i="52"/>
  <c r="X165" i="52"/>
  <c r="W165" i="52"/>
  <c r="V165" i="52"/>
  <c r="U165" i="52"/>
  <c r="BJ164" i="52"/>
  <c r="BI164" i="52"/>
  <c r="BH164" i="52"/>
  <c r="BG164" i="52"/>
  <c r="AX164" i="52"/>
  <c r="AW164" i="52"/>
  <c r="AV164" i="52"/>
  <c r="AU164" i="52"/>
  <c r="AT164" i="52"/>
  <c r="AS164" i="52"/>
  <c r="AI164" i="52"/>
  <c r="AH164" i="52"/>
  <c r="AG164" i="52"/>
  <c r="AF164" i="52"/>
  <c r="Z164" i="52"/>
  <c r="Y164" i="52"/>
  <c r="X164" i="52"/>
  <c r="W164" i="52"/>
  <c r="V164" i="52"/>
  <c r="U164" i="52"/>
  <c r="BJ163" i="52"/>
  <c r="BI163" i="52"/>
  <c r="BH163" i="52"/>
  <c r="BG163" i="52"/>
  <c r="AX163" i="52"/>
  <c r="AW163" i="52"/>
  <c r="AV163" i="52"/>
  <c r="AU163" i="52"/>
  <c r="AT163" i="52"/>
  <c r="AS163" i="52"/>
  <c r="AI163" i="52"/>
  <c r="AH163" i="52"/>
  <c r="AG163" i="52"/>
  <c r="AF163" i="52"/>
  <c r="Z163" i="52"/>
  <c r="Y163" i="52"/>
  <c r="X163" i="52"/>
  <c r="W163" i="52"/>
  <c r="V163" i="52"/>
  <c r="U163" i="52"/>
  <c r="BJ162" i="52"/>
  <c r="BI162" i="52"/>
  <c r="BH162" i="52"/>
  <c r="BG162" i="52"/>
  <c r="AX162" i="52"/>
  <c r="AW162" i="52"/>
  <c r="AV162" i="52"/>
  <c r="AU162" i="52"/>
  <c r="AT162" i="52"/>
  <c r="AS162" i="52"/>
  <c r="AI162" i="52"/>
  <c r="AH162" i="52"/>
  <c r="AG162" i="52"/>
  <c r="AF162" i="52"/>
  <c r="Z162" i="52"/>
  <c r="Y162" i="52"/>
  <c r="X162" i="52"/>
  <c r="W162" i="52"/>
  <c r="V162" i="52"/>
  <c r="U162" i="52"/>
  <c r="BJ161" i="52"/>
  <c r="BI161" i="52"/>
  <c r="BH161" i="52"/>
  <c r="BG161" i="52"/>
  <c r="AX161" i="52"/>
  <c r="AW161" i="52"/>
  <c r="AV161" i="52"/>
  <c r="AU161" i="52"/>
  <c r="AT161" i="52"/>
  <c r="AS161" i="52"/>
  <c r="AI161" i="52"/>
  <c r="AH161" i="52"/>
  <c r="AG161" i="52"/>
  <c r="AF161" i="52"/>
  <c r="Z161" i="52"/>
  <c r="Y161" i="52"/>
  <c r="X161" i="52"/>
  <c r="W161" i="52"/>
  <c r="V161" i="52"/>
  <c r="U161" i="52"/>
  <c r="BJ160" i="52"/>
  <c r="BI160" i="52"/>
  <c r="BH160" i="52"/>
  <c r="BG160" i="52"/>
  <c r="AX160" i="52"/>
  <c r="AW160" i="52"/>
  <c r="AV160" i="52"/>
  <c r="AU160" i="52"/>
  <c r="AT160" i="52"/>
  <c r="AS160" i="52"/>
  <c r="AI160" i="52"/>
  <c r="AH160" i="52"/>
  <c r="AG160" i="52"/>
  <c r="AF160" i="52"/>
  <c r="Z160" i="52"/>
  <c r="Y160" i="52"/>
  <c r="X160" i="52"/>
  <c r="W160" i="52"/>
  <c r="V160" i="52"/>
  <c r="U160" i="52"/>
  <c r="BJ159" i="52"/>
  <c r="BI159" i="52"/>
  <c r="BH159" i="52"/>
  <c r="BG159" i="52"/>
  <c r="AX159" i="52"/>
  <c r="AW159" i="52"/>
  <c r="AV159" i="52"/>
  <c r="AU159" i="52"/>
  <c r="AT159" i="52"/>
  <c r="AS159" i="52"/>
  <c r="AI159" i="52"/>
  <c r="AH159" i="52"/>
  <c r="AG159" i="52"/>
  <c r="AF159" i="52"/>
  <c r="Z159" i="52"/>
  <c r="Y159" i="52"/>
  <c r="X159" i="52"/>
  <c r="W159" i="52"/>
  <c r="V159" i="52"/>
  <c r="U159" i="52"/>
  <c r="BJ158" i="52"/>
  <c r="BI158" i="52"/>
  <c r="BH158" i="52"/>
  <c r="BG158" i="52"/>
  <c r="AX158" i="52"/>
  <c r="AW158" i="52"/>
  <c r="AV158" i="52"/>
  <c r="AU158" i="52"/>
  <c r="AT158" i="52"/>
  <c r="AS158" i="52"/>
  <c r="AI158" i="52"/>
  <c r="AH158" i="52"/>
  <c r="AG158" i="52"/>
  <c r="AF158" i="52"/>
  <c r="Z158" i="52"/>
  <c r="Y158" i="52"/>
  <c r="X158" i="52"/>
  <c r="W158" i="52"/>
  <c r="V158" i="52"/>
  <c r="U158" i="52"/>
  <c r="BJ157" i="52"/>
  <c r="BI157" i="52"/>
  <c r="BH157" i="52"/>
  <c r="BG157" i="52"/>
  <c r="AX157" i="52"/>
  <c r="AW157" i="52"/>
  <c r="AV157" i="52"/>
  <c r="AU157" i="52"/>
  <c r="AT157" i="52"/>
  <c r="AS157" i="52"/>
  <c r="AI157" i="52"/>
  <c r="AH157" i="52"/>
  <c r="AG157" i="52"/>
  <c r="AF157" i="52"/>
  <c r="Z157" i="52"/>
  <c r="Y157" i="52"/>
  <c r="X157" i="52"/>
  <c r="W157" i="52"/>
  <c r="V157" i="52"/>
  <c r="U157" i="52"/>
  <c r="BJ156" i="52"/>
  <c r="BI156" i="52"/>
  <c r="BH156" i="52"/>
  <c r="BG156" i="52"/>
  <c r="AX156" i="52"/>
  <c r="AW156" i="52"/>
  <c r="AV156" i="52"/>
  <c r="AU156" i="52"/>
  <c r="AT156" i="52"/>
  <c r="AS156" i="52"/>
  <c r="AI156" i="52"/>
  <c r="AH156" i="52"/>
  <c r="AG156" i="52"/>
  <c r="AF156" i="52"/>
  <c r="Z156" i="52"/>
  <c r="Y156" i="52"/>
  <c r="X156" i="52"/>
  <c r="W156" i="52"/>
  <c r="V156" i="52"/>
  <c r="U156" i="52"/>
  <c r="BJ155" i="52"/>
  <c r="BI155" i="52"/>
  <c r="BH155" i="52"/>
  <c r="BG155" i="52"/>
  <c r="AX155" i="52"/>
  <c r="AW155" i="52"/>
  <c r="AV155" i="52"/>
  <c r="AU155" i="52"/>
  <c r="AT155" i="52"/>
  <c r="AS155" i="52"/>
  <c r="AI155" i="52"/>
  <c r="AH155" i="52"/>
  <c r="AG155" i="52"/>
  <c r="AF155" i="52"/>
  <c r="Z155" i="52"/>
  <c r="Y155" i="52"/>
  <c r="X155" i="52"/>
  <c r="W155" i="52"/>
  <c r="V155" i="52"/>
  <c r="U155" i="52"/>
  <c r="BJ154" i="52"/>
  <c r="BI154" i="52"/>
  <c r="BH154" i="52"/>
  <c r="BG154" i="52"/>
  <c r="AX154" i="52"/>
  <c r="AW154" i="52"/>
  <c r="AV154" i="52"/>
  <c r="AU154" i="52"/>
  <c r="AT154" i="52"/>
  <c r="AS154" i="52"/>
  <c r="AI154" i="52"/>
  <c r="AH154" i="52"/>
  <c r="AG154" i="52"/>
  <c r="AF154" i="52"/>
  <c r="Z154" i="52"/>
  <c r="Y154" i="52"/>
  <c r="X154" i="52"/>
  <c r="W154" i="52"/>
  <c r="V154" i="52"/>
  <c r="U154" i="52"/>
  <c r="BJ153" i="52"/>
  <c r="BI153" i="52"/>
  <c r="BH153" i="52"/>
  <c r="BG153" i="52"/>
  <c r="AX153" i="52"/>
  <c r="AW153" i="52"/>
  <c r="AV153" i="52"/>
  <c r="AU153" i="52"/>
  <c r="AT153" i="52"/>
  <c r="AS153" i="52"/>
  <c r="AI153" i="52"/>
  <c r="AH153" i="52"/>
  <c r="AG153" i="52"/>
  <c r="AF153" i="52"/>
  <c r="Z153" i="52"/>
  <c r="Y153" i="52"/>
  <c r="X153" i="52"/>
  <c r="W153" i="52"/>
  <c r="V153" i="52"/>
  <c r="U153" i="52"/>
  <c r="BJ152" i="52"/>
  <c r="BI152" i="52"/>
  <c r="BH152" i="52"/>
  <c r="BG152" i="52"/>
  <c r="AX152" i="52"/>
  <c r="AW152" i="52"/>
  <c r="AV152" i="52"/>
  <c r="AU152" i="52"/>
  <c r="AT152" i="52"/>
  <c r="AS152" i="52"/>
  <c r="AI152" i="52"/>
  <c r="AH152" i="52"/>
  <c r="AG152" i="52"/>
  <c r="AF152" i="52"/>
  <c r="Z152" i="52"/>
  <c r="Y152" i="52"/>
  <c r="X152" i="52"/>
  <c r="W152" i="52"/>
  <c r="V152" i="52"/>
  <c r="U152" i="52"/>
  <c r="BJ151" i="52"/>
  <c r="BI151" i="52"/>
  <c r="BH151" i="52"/>
  <c r="BG151" i="52"/>
  <c r="AX151" i="52"/>
  <c r="AW151" i="52"/>
  <c r="AV151" i="52"/>
  <c r="AU151" i="52"/>
  <c r="AT151" i="52"/>
  <c r="AS151" i="52"/>
  <c r="AI151" i="52"/>
  <c r="AH151" i="52"/>
  <c r="AG151" i="52"/>
  <c r="AF151" i="52"/>
  <c r="Z151" i="52"/>
  <c r="Y151" i="52"/>
  <c r="X151" i="52"/>
  <c r="W151" i="52"/>
  <c r="V151" i="52"/>
  <c r="U151" i="52"/>
  <c r="BJ150" i="52"/>
  <c r="BI150" i="52"/>
  <c r="BH150" i="52"/>
  <c r="BG150" i="52"/>
  <c r="AX150" i="52"/>
  <c r="AW150" i="52"/>
  <c r="AV150" i="52"/>
  <c r="AU150" i="52"/>
  <c r="AT150" i="52"/>
  <c r="AS150" i="52"/>
  <c r="AI150" i="52"/>
  <c r="AH150" i="52"/>
  <c r="AG150" i="52"/>
  <c r="AF150" i="52"/>
  <c r="Z150" i="52"/>
  <c r="Y150" i="52"/>
  <c r="X150" i="52"/>
  <c r="W150" i="52"/>
  <c r="V150" i="52"/>
  <c r="U150" i="52"/>
  <c r="BJ149" i="52"/>
  <c r="BI149" i="52"/>
  <c r="BH149" i="52"/>
  <c r="BG149" i="52"/>
  <c r="AX149" i="52"/>
  <c r="AW149" i="52"/>
  <c r="AV149" i="52"/>
  <c r="AU149" i="52"/>
  <c r="AT149" i="52"/>
  <c r="AS149" i="52"/>
  <c r="AI149" i="52"/>
  <c r="AH149" i="52"/>
  <c r="AG149" i="52"/>
  <c r="AF149" i="52"/>
  <c r="Z149" i="52"/>
  <c r="Y149" i="52"/>
  <c r="X149" i="52"/>
  <c r="W149" i="52"/>
  <c r="V149" i="52"/>
  <c r="U149" i="52"/>
  <c r="BJ148" i="52"/>
  <c r="BI148" i="52"/>
  <c r="BH148" i="52"/>
  <c r="BG148" i="52"/>
  <c r="AX148" i="52"/>
  <c r="AW148" i="52"/>
  <c r="AV148" i="52"/>
  <c r="AU148" i="52"/>
  <c r="AT148" i="52"/>
  <c r="AS148" i="52"/>
  <c r="AI148" i="52"/>
  <c r="AH148" i="52"/>
  <c r="AG148" i="52"/>
  <c r="AF148" i="52"/>
  <c r="Z148" i="52"/>
  <c r="Y148" i="52"/>
  <c r="X148" i="52"/>
  <c r="W148" i="52"/>
  <c r="V148" i="52"/>
  <c r="U148" i="52"/>
  <c r="BJ147" i="52"/>
  <c r="BI147" i="52"/>
  <c r="BH147" i="52"/>
  <c r="BG147" i="52"/>
  <c r="AX147" i="52"/>
  <c r="AW147" i="52"/>
  <c r="AV147" i="52"/>
  <c r="AU147" i="52"/>
  <c r="AT147" i="52"/>
  <c r="AS147" i="52"/>
  <c r="AI147" i="52"/>
  <c r="AH147" i="52"/>
  <c r="AG147" i="52"/>
  <c r="AF147" i="52"/>
  <c r="Z147" i="52"/>
  <c r="Y147" i="52"/>
  <c r="X147" i="52"/>
  <c r="W147" i="52"/>
  <c r="V147" i="52"/>
  <c r="U147" i="52"/>
  <c r="BJ146" i="52"/>
  <c r="BI146" i="52"/>
  <c r="BH146" i="52"/>
  <c r="BG146" i="52"/>
  <c r="AX146" i="52"/>
  <c r="AW146" i="52"/>
  <c r="AV146" i="52"/>
  <c r="AU146" i="52"/>
  <c r="AT146" i="52"/>
  <c r="AS146" i="52"/>
  <c r="AI146" i="52"/>
  <c r="AH146" i="52"/>
  <c r="AG146" i="52"/>
  <c r="AF146" i="52"/>
  <c r="Z146" i="52"/>
  <c r="Y146" i="52"/>
  <c r="X146" i="52"/>
  <c r="W146" i="52"/>
  <c r="V146" i="52"/>
  <c r="U146" i="52"/>
  <c r="BJ340" i="52"/>
  <c r="BI340" i="52"/>
  <c r="BH340" i="52"/>
  <c r="AX340" i="52"/>
  <c r="AW340" i="52"/>
  <c r="AV340" i="52"/>
  <c r="AU340" i="52"/>
  <c r="AT340" i="52"/>
  <c r="AI340" i="52"/>
  <c r="AH340" i="52"/>
  <c r="AG340" i="52"/>
  <c r="AF340" i="52"/>
  <c r="Z340" i="52"/>
  <c r="Y340" i="52"/>
  <c r="X340" i="52"/>
  <c r="W340" i="52"/>
  <c r="BJ339" i="52"/>
  <c r="BI339" i="52"/>
  <c r="BH339" i="52"/>
  <c r="AX339" i="52"/>
  <c r="AW339" i="52"/>
  <c r="AV339" i="52"/>
  <c r="AU339" i="52"/>
  <c r="AT339" i="52"/>
  <c r="AI339" i="52"/>
  <c r="AH339" i="52"/>
  <c r="AG339" i="52"/>
  <c r="AF339" i="52"/>
  <c r="Z339" i="52"/>
  <c r="Y339" i="52"/>
  <c r="X339" i="52"/>
  <c r="W339" i="52"/>
  <c r="BN24" i="54"/>
  <c r="AZ24" i="54"/>
  <c r="AL24" i="54"/>
  <c r="X24" i="54"/>
  <c r="A24" i="54"/>
  <c r="BN23" i="54"/>
  <c r="AZ23" i="54"/>
  <c r="AL23" i="54"/>
  <c r="X23" i="54"/>
  <c r="A23" i="54"/>
  <c r="BN42" i="54"/>
  <c r="AZ42" i="54"/>
  <c r="AL42" i="54"/>
  <c r="X42" i="54"/>
  <c r="A42" i="54"/>
  <c r="BN41" i="54"/>
  <c r="AZ41" i="54"/>
  <c r="AL41" i="54"/>
  <c r="X41" i="54"/>
  <c r="A41" i="54"/>
  <c r="BN40" i="54"/>
  <c r="AZ40" i="54"/>
  <c r="AL40" i="54"/>
  <c r="X40" i="54"/>
  <c r="A40" i="54"/>
  <c r="BN39" i="54"/>
  <c r="AZ39" i="54"/>
  <c r="AL39" i="54"/>
  <c r="X39" i="54"/>
  <c r="A39" i="54"/>
  <c r="BN38" i="54"/>
  <c r="AZ38" i="54"/>
  <c r="AL38" i="54"/>
  <c r="X38" i="54"/>
  <c r="A38" i="54"/>
  <c r="BN37" i="54"/>
  <c r="AZ37" i="54"/>
  <c r="AL37" i="54"/>
  <c r="X37" i="54"/>
  <c r="A37" i="54"/>
  <c r="BN36" i="54"/>
  <c r="AZ36" i="54"/>
  <c r="AL36" i="54"/>
  <c r="X36" i="54"/>
  <c r="A36" i="54"/>
  <c r="BN35" i="54"/>
  <c r="AZ35" i="54"/>
  <c r="AL35" i="54"/>
  <c r="X35" i="54"/>
  <c r="A35" i="54"/>
  <c r="BN63" i="54"/>
  <c r="AZ63" i="54"/>
  <c r="AL63" i="54"/>
  <c r="X63" i="54"/>
  <c r="A63" i="54"/>
  <c r="BN62" i="54"/>
  <c r="AZ62" i="54"/>
  <c r="AL62" i="54"/>
  <c r="X62" i="54"/>
  <c r="A62" i="54"/>
  <c r="BN61" i="54"/>
  <c r="AZ61" i="54"/>
  <c r="AL61" i="54"/>
  <c r="X61" i="54"/>
  <c r="A61" i="54"/>
  <c r="BN60" i="54"/>
  <c r="AZ60" i="54"/>
  <c r="AL60" i="54"/>
  <c r="X60" i="54"/>
  <c r="A60" i="54"/>
  <c r="BN59" i="54"/>
  <c r="AZ59" i="54"/>
  <c r="AL59" i="54"/>
  <c r="X59" i="54"/>
  <c r="A59" i="54"/>
  <c r="BN58" i="54"/>
  <c r="AZ58" i="54"/>
  <c r="AL58" i="54"/>
  <c r="X58" i="54"/>
  <c r="A58" i="54"/>
  <c r="BN76" i="54"/>
  <c r="AZ76" i="54"/>
  <c r="AL76" i="54"/>
  <c r="X76" i="54"/>
  <c r="A76" i="54"/>
  <c r="BN75" i="54"/>
  <c r="AZ75" i="54"/>
  <c r="AL75" i="54"/>
  <c r="X75" i="54"/>
  <c r="A75" i="54"/>
  <c r="BN74" i="54"/>
  <c r="AZ74" i="54"/>
  <c r="AL74" i="54"/>
  <c r="X74" i="54"/>
  <c r="A74" i="54"/>
  <c r="BN73" i="54"/>
  <c r="AZ73" i="54"/>
  <c r="AL73" i="54"/>
  <c r="X73" i="54"/>
  <c r="A73" i="54"/>
  <c r="BN72" i="54"/>
  <c r="AZ72" i="54"/>
  <c r="AL72" i="54"/>
  <c r="X72" i="54"/>
  <c r="A72" i="54"/>
  <c r="BN71" i="54"/>
  <c r="AZ71" i="54"/>
  <c r="AL71" i="54"/>
  <c r="X71" i="54"/>
  <c r="A71" i="54"/>
  <c r="BN70" i="54"/>
  <c r="AZ70" i="54"/>
  <c r="AL70" i="54"/>
  <c r="X70" i="54"/>
  <c r="A70" i="54"/>
  <c r="BN69" i="54"/>
  <c r="AZ69" i="54"/>
  <c r="AL69" i="54"/>
  <c r="X69" i="54"/>
  <c r="A69" i="54"/>
  <c r="BN68" i="54"/>
  <c r="AZ68" i="54"/>
  <c r="AL68" i="54"/>
  <c r="X68" i="54"/>
  <c r="A68" i="54"/>
  <c r="BN67" i="54"/>
  <c r="AZ67" i="54"/>
  <c r="AL67" i="54"/>
  <c r="X67" i="54"/>
  <c r="A67" i="54"/>
  <c r="BN66" i="54"/>
  <c r="AZ66" i="54"/>
  <c r="AL66" i="54"/>
  <c r="X66" i="54"/>
  <c r="A66" i="54"/>
  <c r="BN79" i="54"/>
  <c r="AZ79" i="54"/>
  <c r="AL79" i="54"/>
  <c r="X79" i="54"/>
  <c r="A79" i="54"/>
  <c r="BN83" i="54"/>
  <c r="AZ83" i="54"/>
  <c r="AL83" i="54"/>
  <c r="X83" i="54"/>
  <c r="A83" i="54"/>
  <c r="BN82" i="54"/>
  <c r="AZ82" i="54"/>
  <c r="AL82" i="54"/>
  <c r="X82" i="54"/>
  <c r="A82" i="54"/>
  <c r="BN92" i="54"/>
  <c r="AZ92" i="54"/>
  <c r="AL92" i="54"/>
  <c r="X92" i="54"/>
  <c r="A92" i="54"/>
  <c r="BN91" i="54"/>
  <c r="AZ91" i="54"/>
  <c r="AL91" i="54"/>
  <c r="X91" i="54"/>
  <c r="A91" i="54"/>
  <c r="BN90" i="54"/>
  <c r="AZ90" i="54"/>
  <c r="AL90" i="54"/>
  <c r="X90" i="54"/>
  <c r="A90" i="54"/>
  <c r="BN89" i="54"/>
  <c r="AZ89" i="54"/>
  <c r="AL89" i="54"/>
  <c r="X89" i="54"/>
  <c r="A89" i="54"/>
  <c r="BN88" i="54"/>
  <c r="AZ88" i="54"/>
  <c r="AL88" i="54"/>
  <c r="X88" i="54"/>
  <c r="A88" i="54"/>
  <c r="BN87" i="54"/>
  <c r="AZ87" i="54"/>
  <c r="AL87" i="54"/>
  <c r="X87" i="54"/>
  <c r="A87" i="54"/>
  <c r="BN86" i="54"/>
  <c r="AZ86" i="54"/>
  <c r="AL86" i="54"/>
  <c r="X86" i="54"/>
  <c r="A86" i="54"/>
  <c r="BN102" i="54"/>
  <c r="AZ102" i="54"/>
  <c r="AL102" i="54"/>
  <c r="X102" i="54"/>
  <c r="A102" i="54"/>
  <c r="BN101" i="54"/>
  <c r="AZ101" i="54"/>
  <c r="AL101" i="54"/>
  <c r="X101" i="54"/>
  <c r="A101" i="54"/>
  <c r="BN100" i="54"/>
  <c r="AZ100" i="54"/>
  <c r="AL100" i="54"/>
  <c r="X100" i="54"/>
  <c r="A100" i="54"/>
  <c r="BN99" i="54"/>
  <c r="AZ99" i="54"/>
  <c r="AL99" i="54"/>
  <c r="X99" i="54"/>
  <c r="A99" i="54"/>
  <c r="BN98" i="54"/>
  <c r="AZ98" i="54"/>
  <c r="AL98" i="54"/>
  <c r="X98" i="54"/>
  <c r="A98" i="54"/>
  <c r="BN97" i="54"/>
  <c r="AZ97" i="54"/>
  <c r="AL97" i="54"/>
  <c r="X97" i="54"/>
  <c r="A97" i="54"/>
  <c r="BN96" i="54"/>
  <c r="AZ96" i="54"/>
  <c r="AL96" i="54"/>
  <c r="X96" i="54"/>
  <c r="A96" i="54"/>
  <c r="BN95" i="54"/>
  <c r="AZ95" i="54"/>
  <c r="AL95" i="54"/>
  <c r="X95" i="54"/>
  <c r="A95" i="54"/>
  <c r="BN109" i="54"/>
  <c r="AZ109" i="54"/>
  <c r="AL109" i="54"/>
  <c r="X109" i="54"/>
  <c r="A109" i="54"/>
  <c r="BN108" i="54"/>
  <c r="AZ108" i="54"/>
  <c r="AL108" i="54"/>
  <c r="X108" i="54"/>
  <c r="A108" i="54"/>
  <c r="BN107" i="54"/>
  <c r="AZ107" i="54"/>
  <c r="AL107" i="54"/>
  <c r="X107" i="54"/>
  <c r="A107" i="54"/>
  <c r="BN106" i="54"/>
  <c r="AZ106" i="54"/>
  <c r="AL106" i="54"/>
  <c r="X106" i="54"/>
  <c r="A106" i="54"/>
  <c r="BN105" i="54"/>
  <c r="AZ105" i="54"/>
  <c r="AL105" i="54"/>
  <c r="X105" i="54"/>
  <c r="A105" i="54"/>
  <c r="BN114" i="54"/>
  <c r="AZ114" i="54"/>
  <c r="AL114" i="54"/>
  <c r="X114" i="54"/>
  <c r="A114" i="54"/>
  <c r="BN113" i="54"/>
  <c r="AZ113" i="54"/>
  <c r="AL113" i="54"/>
  <c r="X113" i="54"/>
  <c r="A113" i="54"/>
  <c r="BN112" i="54"/>
  <c r="AZ112" i="54"/>
  <c r="AL112" i="54"/>
  <c r="X112" i="54"/>
  <c r="A112" i="54"/>
  <c r="BN117" i="54"/>
  <c r="AZ117" i="54"/>
  <c r="AL117" i="54"/>
  <c r="X117" i="54"/>
  <c r="A117" i="54"/>
  <c r="BN120" i="54"/>
  <c r="AZ120" i="54"/>
  <c r="AL120" i="54"/>
  <c r="X120" i="54"/>
  <c r="A120" i="54"/>
  <c r="X146" i="54"/>
  <c r="A146" i="54"/>
  <c r="X145" i="54"/>
  <c r="A145" i="54"/>
  <c r="X144" i="54"/>
  <c r="A144" i="54"/>
  <c r="X143" i="54"/>
  <c r="A143" i="54"/>
  <c r="X142" i="54"/>
  <c r="A142" i="54"/>
  <c r="BC2" i="53"/>
  <c r="BG2" i="53" s="1"/>
  <c r="BC2" i="56"/>
  <c r="BG2" i="56" s="1"/>
  <c r="BC2" i="58"/>
  <c r="BG2" i="58" s="1"/>
  <c r="CB208" i="54"/>
  <c r="BN208" i="54"/>
  <c r="AZ208" i="54"/>
  <c r="AL208" i="54"/>
  <c r="X208" i="54"/>
  <c r="CB205" i="54"/>
  <c r="BN205" i="54"/>
  <c r="AZ205" i="54"/>
  <c r="AL205" i="54"/>
  <c r="X205" i="54"/>
  <c r="CB204" i="54"/>
  <c r="BN204" i="54"/>
  <c r="AZ204" i="54"/>
  <c r="AL204" i="54"/>
  <c r="X204" i="54"/>
  <c r="AL200" i="54"/>
  <c r="CA197" i="54"/>
  <c r="BZ197" i="54"/>
  <c r="BY197" i="54"/>
  <c r="BX197" i="54"/>
  <c r="BW197" i="54"/>
  <c r="BV197" i="54"/>
  <c r="BU197" i="54"/>
  <c r="BT197" i="54"/>
  <c r="BS197" i="54"/>
  <c r="BR197" i="54"/>
  <c r="BQ197" i="54"/>
  <c r="BP197" i="54"/>
  <c r="BM197" i="54"/>
  <c r="BL197" i="54"/>
  <c r="BK197" i="54"/>
  <c r="BJ197" i="54"/>
  <c r="BI197" i="54"/>
  <c r="BH197" i="54"/>
  <c r="BG197" i="54"/>
  <c r="BF197" i="54"/>
  <c r="BE197" i="54"/>
  <c r="BD197" i="54"/>
  <c r="BC197" i="54"/>
  <c r="BB197" i="54"/>
  <c r="AY197" i="54"/>
  <c r="AX197" i="54"/>
  <c r="AW197" i="54"/>
  <c r="AV197" i="54"/>
  <c r="AU197" i="54"/>
  <c r="AT197" i="54"/>
  <c r="AS197" i="54"/>
  <c r="AR197" i="54"/>
  <c r="AQ197" i="54"/>
  <c r="AP197" i="54"/>
  <c r="AO197" i="54"/>
  <c r="AN197" i="54"/>
  <c r="AK197" i="54"/>
  <c r="AJ197" i="54"/>
  <c r="AI197" i="54"/>
  <c r="AH197" i="54"/>
  <c r="AG197" i="54"/>
  <c r="AF197" i="54"/>
  <c r="AE197" i="54"/>
  <c r="AD197" i="54"/>
  <c r="AC197" i="54"/>
  <c r="AB197" i="54"/>
  <c r="AA197" i="54"/>
  <c r="Z197" i="54"/>
  <c r="W197" i="54"/>
  <c r="V197" i="54"/>
  <c r="U197" i="54"/>
  <c r="T197" i="54"/>
  <c r="S197" i="54"/>
  <c r="R197" i="54"/>
  <c r="Q197" i="54"/>
  <c r="P197" i="54"/>
  <c r="O197" i="54"/>
  <c r="N197" i="54"/>
  <c r="M197" i="54"/>
  <c r="L197" i="54"/>
  <c r="C197" i="54"/>
  <c r="CB195" i="54"/>
  <c r="CB197" i="54" s="1"/>
  <c r="BN195" i="54"/>
  <c r="BN197" i="54" s="1"/>
  <c r="AZ195" i="54"/>
  <c r="AZ197" i="54" s="1"/>
  <c r="AL195" i="54"/>
  <c r="AL197" i="54" s="1"/>
  <c r="X195" i="54"/>
  <c r="X197" i="54" s="1"/>
  <c r="CA192" i="54"/>
  <c r="BZ192" i="54"/>
  <c r="BY192" i="54"/>
  <c r="BX192" i="54"/>
  <c r="BW192" i="54"/>
  <c r="BV192" i="54"/>
  <c r="BU192" i="54"/>
  <c r="BT192" i="54"/>
  <c r="BS192" i="54"/>
  <c r="BR192" i="54"/>
  <c r="BQ192" i="54"/>
  <c r="BP192" i="54"/>
  <c r="BM192" i="54"/>
  <c r="BL192" i="54"/>
  <c r="BK192" i="54"/>
  <c r="BJ192" i="54"/>
  <c r="BI192" i="54"/>
  <c r="BH192" i="54"/>
  <c r="BG192" i="54"/>
  <c r="BF192" i="54"/>
  <c r="BE192" i="54"/>
  <c r="BD192" i="54"/>
  <c r="BC192" i="54"/>
  <c r="BB192" i="54"/>
  <c r="AY192" i="54"/>
  <c r="AX192" i="54"/>
  <c r="AW192" i="54"/>
  <c r="AV192" i="54"/>
  <c r="AU192" i="54"/>
  <c r="AT192" i="54"/>
  <c r="AS192" i="54"/>
  <c r="AR192" i="54"/>
  <c r="AQ192" i="54"/>
  <c r="AP192" i="54"/>
  <c r="AO192" i="54"/>
  <c r="AN192" i="54"/>
  <c r="AK192" i="54"/>
  <c r="AJ192" i="54"/>
  <c r="AI192" i="54"/>
  <c r="AH192" i="54"/>
  <c r="AG192" i="54"/>
  <c r="AF192" i="54"/>
  <c r="AE192" i="54"/>
  <c r="AD192" i="54"/>
  <c r="AC192" i="54"/>
  <c r="AB192" i="54"/>
  <c r="AA192" i="54"/>
  <c r="Z192" i="54"/>
  <c r="W192" i="54"/>
  <c r="V192" i="54"/>
  <c r="U192" i="54"/>
  <c r="T192" i="54"/>
  <c r="S192" i="54"/>
  <c r="R192" i="54"/>
  <c r="Q192" i="54"/>
  <c r="P192" i="54"/>
  <c r="O192" i="54"/>
  <c r="N192" i="54"/>
  <c r="M192" i="54"/>
  <c r="L192" i="54"/>
  <c r="C192" i="54"/>
  <c r="CB190" i="54"/>
  <c r="CB192" i="54" s="1"/>
  <c r="BN190" i="54"/>
  <c r="BN192" i="54" s="1"/>
  <c r="AZ190" i="54"/>
  <c r="AZ192" i="54" s="1"/>
  <c r="AL190" i="54"/>
  <c r="AL192" i="54" s="1"/>
  <c r="X190" i="54"/>
  <c r="X192" i="54" s="1"/>
  <c r="CA187" i="54"/>
  <c r="BZ187" i="54"/>
  <c r="BY187" i="54"/>
  <c r="BX187" i="54"/>
  <c r="BW187" i="54"/>
  <c r="BV187" i="54"/>
  <c r="BU187" i="54"/>
  <c r="BT187" i="54"/>
  <c r="BS187" i="54"/>
  <c r="BR187" i="54"/>
  <c r="BQ187" i="54"/>
  <c r="BP187" i="54"/>
  <c r="BM187" i="54"/>
  <c r="BL187" i="54"/>
  <c r="BK187" i="54"/>
  <c r="BJ187" i="54"/>
  <c r="BI187" i="54"/>
  <c r="BH187" i="54"/>
  <c r="BG187" i="54"/>
  <c r="BF187" i="54"/>
  <c r="BE187" i="54"/>
  <c r="BD187" i="54"/>
  <c r="BC187" i="54"/>
  <c r="BB187" i="54"/>
  <c r="AY187" i="54"/>
  <c r="AX187" i="54"/>
  <c r="AW187" i="54"/>
  <c r="AV187" i="54"/>
  <c r="AU187" i="54"/>
  <c r="AT187" i="54"/>
  <c r="AS187" i="54"/>
  <c r="AR187" i="54"/>
  <c r="AQ187" i="54"/>
  <c r="AP187" i="54"/>
  <c r="AO187" i="54"/>
  <c r="AN187" i="54"/>
  <c r="AK187" i="54"/>
  <c r="AJ187" i="54"/>
  <c r="AI187" i="54"/>
  <c r="AH187" i="54"/>
  <c r="AG187" i="54"/>
  <c r="AF187" i="54"/>
  <c r="AE187" i="54"/>
  <c r="AD187" i="54"/>
  <c r="AC187" i="54"/>
  <c r="AB187" i="54"/>
  <c r="AA187" i="54"/>
  <c r="Z187" i="54"/>
  <c r="W187" i="54"/>
  <c r="V187" i="54"/>
  <c r="U187" i="54"/>
  <c r="T187" i="54"/>
  <c r="S187" i="54"/>
  <c r="R187" i="54"/>
  <c r="Q187" i="54"/>
  <c r="P187" i="54"/>
  <c r="O187" i="54"/>
  <c r="N187" i="54"/>
  <c r="M187" i="54"/>
  <c r="L187" i="54"/>
  <c r="C187" i="54"/>
  <c r="CB185" i="54"/>
  <c r="CB187" i="54" s="1"/>
  <c r="BN185" i="54"/>
  <c r="BN187" i="54" s="1"/>
  <c r="AZ185" i="54"/>
  <c r="AZ187" i="54" s="1"/>
  <c r="AL185" i="54"/>
  <c r="AL187" i="54" s="1"/>
  <c r="X185" i="54"/>
  <c r="X187" i="54" s="1"/>
  <c r="CA182" i="54"/>
  <c r="BZ182" i="54"/>
  <c r="BY182" i="54"/>
  <c r="BX182" i="54"/>
  <c r="BW182" i="54"/>
  <c r="BV182" i="54"/>
  <c r="BU182" i="54"/>
  <c r="BT182" i="54"/>
  <c r="BS182" i="54"/>
  <c r="BR182" i="54"/>
  <c r="BQ182" i="54"/>
  <c r="BP182" i="54"/>
  <c r="BM182" i="54"/>
  <c r="BL182" i="54"/>
  <c r="BK182" i="54"/>
  <c r="BJ182" i="54"/>
  <c r="BI182" i="54"/>
  <c r="BH182" i="54"/>
  <c r="BG182" i="54"/>
  <c r="BF182" i="54"/>
  <c r="BE182" i="54"/>
  <c r="BD182" i="54"/>
  <c r="BC182" i="54"/>
  <c r="BB182" i="54"/>
  <c r="AY182" i="54"/>
  <c r="AX182" i="54"/>
  <c r="AW182" i="54"/>
  <c r="AV182" i="54"/>
  <c r="AU182" i="54"/>
  <c r="AT182" i="54"/>
  <c r="AS182" i="54"/>
  <c r="AR182" i="54"/>
  <c r="AQ182" i="54"/>
  <c r="AP182" i="54"/>
  <c r="AO182" i="54"/>
  <c r="AN182" i="54"/>
  <c r="AK182" i="54"/>
  <c r="AJ182" i="54"/>
  <c r="AI182" i="54"/>
  <c r="AH182" i="54"/>
  <c r="AG182" i="54"/>
  <c r="AF182" i="54"/>
  <c r="AE182" i="54"/>
  <c r="AD182" i="54"/>
  <c r="AC182" i="54"/>
  <c r="AB182" i="54"/>
  <c r="AA182" i="54"/>
  <c r="Z182" i="54"/>
  <c r="W182" i="54"/>
  <c r="V182" i="54"/>
  <c r="U182" i="54"/>
  <c r="T182" i="54"/>
  <c r="S182" i="54"/>
  <c r="R182" i="54"/>
  <c r="Q182" i="54"/>
  <c r="P182" i="54"/>
  <c r="O182" i="54"/>
  <c r="N182" i="54"/>
  <c r="M182" i="54"/>
  <c r="L182" i="54"/>
  <c r="C182" i="54"/>
  <c r="CB180" i="54"/>
  <c r="CB182" i="54" s="1"/>
  <c r="BN180" i="54"/>
  <c r="BN182" i="54" s="1"/>
  <c r="AZ180" i="54"/>
  <c r="AZ182" i="54" s="1"/>
  <c r="AL180" i="54"/>
  <c r="AL182" i="54" s="1"/>
  <c r="X180" i="54"/>
  <c r="X182" i="54" s="1"/>
  <c r="CA177" i="54"/>
  <c r="BZ177" i="54"/>
  <c r="BY177" i="54"/>
  <c r="BX177" i="54"/>
  <c r="BW177" i="54"/>
  <c r="BV177" i="54"/>
  <c r="BU177" i="54"/>
  <c r="BT177" i="54"/>
  <c r="BS177" i="54"/>
  <c r="BR177" i="54"/>
  <c r="BQ177" i="54"/>
  <c r="BP177" i="54"/>
  <c r="BM177" i="54"/>
  <c r="BL177" i="54"/>
  <c r="BK177" i="54"/>
  <c r="BJ177" i="54"/>
  <c r="BI177" i="54"/>
  <c r="BH177" i="54"/>
  <c r="BG177" i="54"/>
  <c r="BF177" i="54"/>
  <c r="BE177" i="54"/>
  <c r="BD177" i="54"/>
  <c r="BC177" i="54"/>
  <c r="BB177" i="54"/>
  <c r="AY177" i="54"/>
  <c r="AX177" i="54"/>
  <c r="AW177" i="54"/>
  <c r="AV177" i="54"/>
  <c r="AU177" i="54"/>
  <c r="AT177" i="54"/>
  <c r="AS177" i="54"/>
  <c r="AR177" i="54"/>
  <c r="AQ177" i="54"/>
  <c r="AP177" i="54"/>
  <c r="AO177" i="54"/>
  <c r="AN177" i="54"/>
  <c r="AK177" i="54"/>
  <c r="AJ177" i="54"/>
  <c r="AI177" i="54"/>
  <c r="AH177" i="54"/>
  <c r="AG177" i="54"/>
  <c r="AF177" i="54"/>
  <c r="AE177" i="54"/>
  <c r="AD177" i="54"/>
  <c r="AC177" i="54"/>
  <c r="AB177" i="54"/>
  <c r="AA177" i="54"/>
  <c r="Z177" i="54"/>
  <c r="W177" i="54"/>
  <c r="V177" i="54"/>
  <c r="U177" i="54"/>
  <c r="T177" i="54"/>
  <c r="S177" i="54"/>
  <c r="R177" i="54"/>
  <c r="Q177" i="54"/>
  <c r="P177" i="54"/>
  <c r="O177" i="54"/>
  <c r="N177" i="54"/>
  <c r="M177" i="54"/>
  <c r="L177" i="54"/>
  <c r="C177" i="54"/>
  <c r="CB175" i="54"/>
  <c r="CB177" i="54" s="1"/>
  <c r="BN175" i="54"/>
  <c r="BN177" i="54" s="1"/>
  <c r="AZ175" i="54"/>
  <c r="AZ177" i="54" s="1"/>
  <c r="AL175" i="54"/>
  <c r="AL177" i="54" s="1"/>
  <c r="X175" i="54"/>
  <c r="X177" i="54" s="1"/>
  <c r="CA172" i="54"/>
  <c r="BZ172" i="54"/>
  <c r="BY172" i="54"/>
  <c r="BX172" i="54"/>
  <c r="BW172" i="54"/>
  <c r="BV172" i="54"/>
  <c r="BU172" i="54"/>
  <c r="BT172" i="54"/>
  <c r="BS172" i="54"/>
  <c r="BR172" i="54"/>
  <c r="BQ172" i="54"/>
  <c r="BP172" i="54"/>
  <c r="BM172" i="54"/>
  <c r="BL172" i="54"/>
  <c r="BK172" i="54"/>
  <c r="BJ172" i="54"/>
  <c r="BI172" i="54"/>
  <c r="BH172" i="54"/>
  <c r="BG172" i="54"/>
  <c r="BF172" i="54"/>
  <c r="BE172" i="54"/>
  <c r="BD172" i="54"/>
  <c r="BC172" i="54"/>
  <c r="BB172" i="54"/>
  <c r="AY172" i="54"/>
  <c r="AX172" i="54"/>
  <c r="AW172" i="54"/>
  <c r="AV172" i="54"/>
  <c r="AU172" i="54"/>
  <c r="AT172" i="54"/>
  <c r="AS172" i="54"/>
  <c r="AR172" i="54"/>
  <c r="AQ172" i="54"/>
  <c r="AP172" i="54"/>
  <c r="AO172" i="54"/>
  <c r="AN172" i="54"/>
  <c r="AK172" i="54"/>
  <c r="AJ172" i="54"/>
  <c r="AI172" i="54"/>
  <c r="AH172" i="54"/>
  <c r="AG172" i="54"/>
  <c r="AF172" i="54"/>
  <c r="AE172" i="54"/>
  <c r="AD172" i="54"/>
  <c r="AC172" i="54"/>
  <c r="AB172" i="54"/>
  <c r="AA172" i="54"/>
  <c r="Z172" i="54"/>
  <c r="W172" i="54"/>
  <c r="V172" i="54"/>
  <c r="U172" i="54"/>
  <c r="T172" i="54"/>
  <c r="S172" i="54"/>
  <c r="R172" i="54"/>
  <c r="Q172" i="54"/>
  <c r="P172" i="54"/>
  <c r="O172" i="54"/>
  <c r="N172" i="54"/>
  <c r="M172" i="54"/>
  <c r="L172" i="54"/>
  <c r="C172" i="54"/>
  <c r="CB170" i="54"/>
  <c r="CB172" i="54" s="1"/>
  <c r="BN170" i="54"/>
  <c r="BN172" i="54" s="1"/>
  <c r="AZ170" i="54"/>
  <c r="AZ172" i="54" s="1"/>
  <c r="AL170" i="54"/>
  <c r="AL172" i="54" s="1"/>
  <c r="X170" i="54"/>
  <c r="X172" i="54" s="1"/>
  <c r="CA167" i="54"/>
  <c r="BZ167" i="54"/>
  <c r="BY167" i="54"/>
  <c r="BX167" i="54"/>
  <c r="BW167" i="54"/>
  <c r="BV167" i="54"/>
  <c r="BU167" i="54"/>
  <c r="BT167" i="54"/>
  <c r="BS167" i="54"/>
  <c r="BR167" i="54"/>
  <c r="BQ167" i="54"/>
  <c r="BP167" i="54"/>
  <c r="BM167" i="54"/>
  <c r="BL167" i="54"/>
  <c r="BK167" i="54"/>
  <c r="BJ167" i="54"/>
  <c r="BI167" i="54"/>
  <c r="BH167" i="54"/>
  <c r="BG167" i="54"/>
  <c r="BF167" i="54"/>
  <c r="BE167" i="54"/>
  <c r="BD167" i="54"/>
  <c r="BC167" i="54"/>
  <c r="BB167" i="54"/>
  <c r="AY167" i="54"/>
  <c r="AX167" i="54"/>
  <c r="AW167" i="54"/>
  <c r="AV167" i="54"/>
  <c r="AU167" i="54"/>
  <c r="AT167" i="54"/>
  <c r="AS167" i="54"/>
  <c r="AR167" i="54"/>
  <c r="AQ167" i="54"/>
  <c r="AP167" i="54"/>
  <c r="AO167" i="54"/>
  <c r="AN167" i="54"/>
  <c r="AK167" i="54"/>
  <c r="AJ167" i="54"/>
  <c r="AI167" i="54"/>
  <c r="AH167" i="54"/>
  <c r="AG167" i="54"/>
  <c r="AF167" i="54"/>
  <c r="AE167" i="54"/>
  <c r="AD167" i="54"/>
  <c r="AC167" i="54"/>
  <c r="AB167" i="54"/>
  <c r="AA167" i="54"/>
  <c r="Z167" i="54"/>
  <c r="W167" i="54"/>
  <c r="V167" i="54"/>
  <c r="U167" i="54"/>
  <c r="T167" i="54"/>
  <c r="S167" i="54"/>
  <c r="R167" i="54"/>
  <c r="Q167" i="54"/>
  <c r="P167" i="54"/>
  <c r="O167" i="54"/>
  <c r="N167" i="54"/>
  <c r="M167" i="54"/>
  <c r="L167" i="54"/>
  <c r="C167" i="54"/>
  <c r="CB165" i="54"/>
  <c r="CB167" i="54" s="1"/>
  <c r="BN165" i="54"/>
  <c r="BN167" i="54" s="1"/>
  <c r="AZ165" i="54"/>
  <c r="AZ167" i="54" s="1"/>
  <c r="AL165" i="54"/>
  <c r="AL167" i="54" s="1"/>
  <c r="X165" i="54"/>
  <c r="X167" i="54" s="1"/>
  <c r="CA162" i="54"/>
  <c r="BZ162" i="54"/>
  <c r="BY162" i="54"/>
  <c r="BX162" i="54"/>
  <c r="BW162" i="54"/>
  <c r="BV162" i="54"/>
  <c r="BU162" i="54"/>
  <c r="BT162" i="54"/>
  <c r="BS162" i="54"/>
  <c r="BR162" i="54"/>
  <c r="BQ162" i="54"/>
  <c r="BP162" i="54"/>
  <c r="BM162" i="54"/>
  <c r="BL162" i="54"/>
  <c r="BK162" i="54"/>
  <c r="BJ162" i="54"/>
  <c r="BI162" i="54"/>
  <c r="BH162" i="54"/>
  <c r="BG162" i="54"/>
  <c r="BF162" i="54"/>
  <c r="BE162" i="54"/>
  <c r="BD162" i="54"/>
  <c r="BC162" i="54"/>
  <c r="BB162" i="54"/>
  <c r="AY162" i="54"/>
  <c r="AX162" i="54"/>
  <c r="AW162" i="54"/>
  <c r="AV162" i="54"/>
  <c r="AU162" i="54"/>
  <c r="AT162" i="54"/>
  <c r="AS162" i="54"/>
  <c r="AR162" i="54"/>
  <c r="AQ162" i="54"/>
  <c r="AP162" i="54"/>
  <c r="AO162" i="54"/>
  <c r="AN162" i="54"/>
  <c r="AK162" i="54"/>
  <c r="AJ162" i="54"/>
  <c r="AI162" i="54"/>
  <c r="AH162" i="54"/>
  <c r="AG162" i="54"/>
  <c r="AF162" i="54"/>
  <c r="AE162" i="54"/>
  <c r="AD162" i="54"/>
  <c r="AC162" i="54"/>
  <c r="AB162" i="54"/>
  <c r="AA162" i="54"/>
  <c r="Z162" i="54"/>
  <c r="W162" i="54"/>
  <c r="V162" i="54"/>
  <c r="U162" i="54"/>
  <c r="T162" i="54"/>
  <c r="S162" i="54"/>
  <c r="R162" i="54"/>
  <c r="Q162" i="54"/>
  <c r="P162" i="54"/>
  <c r="O162" i="54"/>
  <c r="N162" i="54"/>
  <c r="M162" i="54"/>
  <c r="L162" i="54"/>
  <c r="C162" i="54"/>
  <c r="CB160" i="54"/>
  <c r="CB162" i="54" s="1"/>
  <c r="BN160" i="54"/>
  <c r="BN162" i="54" s="1"/>
  <c r="AZ160" i="54"/>
  <c r="AZ162" i="54" s="1"/>
  <c r="AL160" i="54"/>
  <c r="AL162" i="54" s="1"/>
  <c r="X160" i="54"/>
  <c r="X162" i="54" s="1"/>
  <c r="CA157" i="54"/>
  <c r="BZ157" i="54"/>
  <c r="BY157" i="54"/>
  <c r="BX157" i="54"/>
  <c r="BW157" i="54"/>
  <c r="BV157" i="54"/>
  <c r="BU157" i="54"/>
  <c r="BT157" i="54"/>
  <c r="BS157" i="54"/>
  <c r="BR157" i="54"/>
  <c r="BQ157" i="54"/>
  <c r="BP157" i="54"/>
  <c r="BM157" i="54"/>
  <c r="BL157" i="54"/>
  <c r="BK157" i="54"/>
  <c r="BJ157" i="54"/>
  <c r="BI157" i="54"/>
  <c r="BH157" i="54"/>
  <c r="BG157" i="54"/>
  <c r="BF157" i="54"/>
  <c r="BE157" i="54"/>
  <c r="BD157" i="54"/>
  <c r="BC157" i="54"/>
  <c r="BB157" i="54"/>
  <c r="AY157" i="54"/>
  <c r="AX157" i="54"/>
  <c r="AW157" i="54"/>
  <c r="AV157" i="54"/>
  <c r="AU157" i="54"/>
  <c r="AT157" i="54"/>
  <c r="AS157" i="54"/>
  <c r="AR157" i="54"/>
  <c r="AQ157" i="54"/>
  <c r="AP157" i="54"/>
  <c r="AO157" i="54"/>
  <c r="AN157" i="54"/>
  <c r="AK157" i="54"/>
  <c r="AJ157" i="54"/>
  <c r="AI157" i="54"/>
  <c r="AH157" i="54"/>
  <c r="AG157" i="54"/>
  <c r="AF157" i="54"/>
  <c r="AE157" i="54"/>
  <c r="AD157" i="54"/>
  <c r="AC157" i="54"/>
  <c r="AB157" i="54"/>
  <c r="AA157" i="54"/>
  <c r="Z157" i="54"/>
  <c r="W157" i="54"/>
  <c r="V157" i="54"/>
  <c r="U157" i="54"/>
  <c r="T157" i="54"/>
  <c r="S157" i="54"/>
  <c r="R157" i="54"/>
  <c r="Q157" i="54"/>
  <c r="P157" i="54"/>
  <c r="O157" i="54"/>
  <c r="N157" i="54"/>
  <c r="M157" i="54"/>
  <c r="L157" i="54"/>
  <c r="C157" i="54"/>
  <c r="CB155" i="54"/>
  <c r="CB157" i="54" s="1"/>
  <c r="BN155" i="54"/>
  <c r="BN157" i="54" s="1"/>
  <c r="AZ155" i="54"/>
  <c r="AZ157" i="54" s="1"/>
  <c r="AL155" i="54"/>
  <c r="AL157" i="54" s="1"/>
  <c r="X155" i="54"/>
  <c r="X157" i="54" s="1"/>
  <c r="CA152" i="54"/>
  <c r="BZ152" i="54"/>
  <c r="BY152" i="54"/>
  <c r="BX152" i="54"/>
  <c r="BW152" i="54"/>
  <c r="BV152" i="54"/>
  <c r="BU152" i="54"/>
  <c r="BT152" i="54"/>
  <c r="BS152" i="54"/>
  <c r="BR152" i="54"/>
  <c r="BQ152" i="54"/>
  <c r="BP152" i="54"/>
  <c r="BM152" i="54"/>
  <c r="BL152" i="54"/>
  <c r="BK152" i="54"/>
  <c r="BJ152" i="54"/>
  <c r="BI152" i="54"/>
  <c r="BH152" i="54"/>
  <c r="BG152" i="54"/>
  <c r="BF152" i="54"/>
  <c r="BE152" i="54"/>
  <c r="BD152" i="54"/>
  <c r="BC152" i="54"/>
  <c r="BB152" i="54"/>
  <c r="AY152" i="54"/>
  <c r="AX152" i="54"/>
  <c r="AW152" i="54"/>
  <c r="AV152" i="54"/>
  <c r="AU152" i="54"/>
  <c r="AT152" i="54"/>
  <c r="AS152" i="54"/>
  <c r="AR152" i="54"/>
  <c r="AQ152" i="54"/>
  <c r="AP152" i="54"/>
  <c r="AO152" i="54"/>
  <c r="AN152" i="54"/>
  <c r="AK152" i="54"/>
  <c r="AJ152" i="54"/>
  <c r="AI152" i="54"/>
  <c r="AH152" i="54"/>
  <c r="AG152" i="54"/>
  <c r="AF152" i="54"/>
  <c r="AE152" i="54"/>
  <c r="AD152" i="54"/>
  <c r="AC152" i="54"/>
  <c r="AB152" i="54"/>
  <c r="AA152" i="54"/>
  <c r="Z152" i="54"/>
  <c r="W152" i="54"/>
  <c r="V152" i="54"/>
  <c r="U152" i="54"/>
  <c r="T152" i="54"/>
  <c r="S152" i="54"/>
  <c r="R152" i="54"/>
  <c r="Q152" i="54"/>
  <c r="P152" i="54"/>
  <c r="O152" i="54"/>
  <c r="N152" i="54"/>
  <c r="M152" i="54"/>
  <c r="L152" i="54"/>
  <c r="C152" i="54"/>
  <c r="CB150" i="54"/>
  <c r="CB152" i="54" s="1"/>
  <c r="BN150" i="54"/>
  <c r="BN152" i="54" s="1"/>
  <c r="AZ150" i="54"/>
  <c r="AZ152" i="54" s="1"/>
  <c r="AL150" i="54"/>
  <c r="AL152" i="54" s="1"/>
  <c r="X150" i="54"/>
  <c r="X152" i="54" s="1"/>
  <c r="CA147" i="54"/>
  <c r="BZ147" i="54"/>
  <c r="BY147" i="54"/>
  <c r="BX147" i="54"/>
  <c r="BW147" i="54"/>
  <c r="BV147" i="54"/>
  <c r="BU147" i="54"/>
  <c r="BT147" i="54"/>
  <c r="BS147" i="54"/>
  <c r="BR147" i="54"/>
  <c r="BQ147" i="54"/>
  <c r="BP147" i="54"/>
  <c r="BM147" i="54"/>
  <c r="BL147" i="54"/>
  <c r="BK147" i="54"/>
  <c r="BJ147" i="54"/>
  <c r="BI147" i="54"/>
  <c r="BH147" i="54"/>
  <c r="BG147" i="54"/>
  <c r="BF147" i="54"/>
  <c r="BE147" i="54"/>
  <c r="BD147" i="54"/>
  <c r="BC147" i="54"/>
  <c r="BB147" i="54"/>
  <c r="AY147" i="54"/>
  <c r="AX147" i="54"/>
  <c r="AW147" i="54"/>
  <c r="AV147" i="54"/>
  <c r="AU147" i="54"/>
  <c r="AT147" i="54"/>
  <c r="AS147" i="54"/>
  <c r="AR147" i="54"/>
  <c r="AQ147" i="54"/>
  <c r="AP147" i="54"/>
  <c r="AO147" i="54"/>
  <c r="AN147" i="54"/>
  <c r="AK147" i="54"/>
  <c r="AJ147" i="54"/>
  <c r="AI147" i="54"/>
  <c r="AH147" i="54"/>
  <c r="AG147" i="54"/>
  <c r="AF147" i="54"/>
  <c r="AE147" i="54"/>
  <c r="AD147" i="54"/>
  <c r="AC147" i="54"/>
  <c r="AB147" i="54"/>
  <c r="AA147" i="54"/>
  <c r="Z147" i="54"/>
  <c r="W147" i="54"/>
  <c r="V147" i="54"/>
  <c r="U147" i="54"/>
  <c r="T147" i="54"/>
  <c r="S147" i="54"/>
  <c r="R147" i="54"/>
  <c r="Q147" i="54"/>
  <c r="P147" i="54"/>
  <c r="O147" i="54"/>
  <c r="N147" i="54"/>
  <c r="M147" i="54"/>
  <c r="L147" i="54"/>
  <c r="C147" i="54"/>
  <c r="X141" i="54"/>
  <c r="CB140" i="54"/>
  <c r="CB147" i="54" s="1"/>
  <c r="BN140" i="54"/>
  <c r="BN147" i="54" s="1"/>
  <c r="AZ140" i="54"/>
  <c r="AZ147" i="54" s="1"/>
  <c r="AL140" i="54"/>
  <c r="AL147" i="54" s="1"/>
  <c r="X140" i="54"/>
  <c r="X147" i="54" s="1"/>
  <c r="CA137" i="54"/>
  <c r="BZ137" i="54"/>
  <c r="BY137" i="54"/>
  <c r="BX137" i="54"/>
  <c r="BW137" i="54"/>
  <c r="BV137" i="54"/>
  <c r="BU137" i="54"/>
  <c r="BT137" i="54"/>
  <c r="BS137" i="54"/>
  <c r="BR137" i="54"/>
  <c r="BQ137" i="54"/>
  <c r="BP137" i="54"/>
  <c r="BM137" i="54"/>
  <c r="BL137" i="54"/>
  <c r="BK137" i="54"/>
  <c r="BJ137" i="54"/>
  <c r="BI137" i="54"/>
  <c r="BH137" i="54"/>
  <c r="BG137" i="54"/>
  <c r="BF137" i="54"/>
  <c r="BE137" i="54"/>
  <c r="BD137" i="54"/>
  <c r="BC137" i="54"/>
  <c r="BB137" i="54"/>
  <c r="AY137" i="54"/>
  <c r="AX137" i="54"/>
  <c r="AW137" i="54"/>
  <c r="AV137" i="54"/>
  <c r="AU137" i="54"/>
  <c r="AT137" i="54"/>
  <c r="AS137" i="54"/>
  <c r="AR137" i="54"/>
  <c r="AQ137" i="54"/>
  <c r="AP137" i="54"/>
  <c r="AO137" i="54"/>
  <c r="AN137" i="54"/>
  <c r="AK137" i="54"/>
  <c r="AJ137" i="54"/>
  <c r="AI137" i="54"/>
  <c r="AH137" i="54"/>
  <c r="AG137" i="54"/>
  <c r="AF137" i="54"/>
  <c r="AE137" i="54"/>
  <c r="AD137" i="54"/>
  <c r="AC137" i="54"/>
  <c r="AB137" i="54"/>
  <c r="AA137" i="54"/>
  <c r="Z137" i="54"/>
  <c r="W137" i="54"/>
  <c r="V137" i="54"/>
  <c r="U137" i="54"/>
  <c r="T137" i="54"/>
  <c r="S137" i="54"/>
  <c r="R137" i="54"/>
  <c r="Q137" i="54"/>
  <c r="P137" i="54"/>
  <c r="O137" i="54"/>
  <c r="N137" i="54"/>
  <c r="M137" i="54"/>
  <c r="L137" i="54"/>
  <c r="C137" i="54"/>
  <c r="BN136" i="54"/>
  <c r="AZ136" i="54"/>
  <c r="AL136" i="54"/>
  <c r="X136" i="54"/>
  <c r="CB135" i="54"/>
  <c r="CB137" i="54" s="1"/>
  <c r="BN135" i="54"/>
  <c r="BN137" i="54" s="1"/>
  <c r="AZ135" i="54"/>
  <c r="AZ137" i="54" s="1"/>
  <c r="AL135" i="54"/>
  <c r="AL137" i="54" s="1"/>
  <c r="X135" i="54"/>
  <c r="X137" i="54" s="1"/>
  <c r="C132" i="54"/>
  <c r="BN131" i="54"/>
  <c r="AZ131" i="54"/>
  <c r="AL131" i="54"/>
  <c r="X131" i="54"/>
  <c r="BN130" i="54"/>
  <c r="AZ130" i="54"/>
  <c r="AL130" i="54"/>
  <c r="X130" i="54"/>
  <c r="BN129" i="54"/>
  <c r="AZ129" i="54"/>
  <c r="AL129" i="54"/>
  <c r="X129" i="54"/>
  <c r="BN128" i="54"/>
  <c r="AZ128" i="54"/>
  <c r="AL128" i="54"/>
  <c r="X128" i="54"/>
  <c r="BN127" i="54"/>
  <c r="AZ127" i="54"/>
  <c r="AL127" i="54"/>
  <c r="X127" i="54"/>
  <c r="CB126" i="54"/>
  <c r="BN126" i="54"/>
  <c r="AZ126" i="54"/>
  <c r="AL126" i="54"/>
  <c r="X126" i="54"/>
  <c r="CB213" i="57"/>
  <c r="BN213" i="57"/>
  <c r="AZ213" i="57"/>
  <c r="AL213" i="57"/>
  <c r="X213" i="57"/>
  <c r="CB210" i="57"/>
  <c r="BN210" i="57"/>
  <c r="AZ210" i="57"/>
  <c r="AL210" i="57"/>
  <c r="X210" i="57"/>
  <c r="CB209" i="57"/>
  <c r="BN209" i="57"/>
  <c r="AZ209" i="57"/>
  <c r="AL209" i="57"/>
  <c r="X209" i="57"/>
  <c r="AL205" i="57"/>
  <c r="CA202" i="57"/>
  <c r="BZ202" i="57"/>
  <c r="BY202" i="57"/>
  <c r="BX202" i="57"/>
  <c r="BW202" i="57"/>
  <c r="BV202" i="57"/>
  <c r="BU202" i="57"/>
  <c r="BT202" i="57"/>
  <c r="BS202" i="57"/>
  <c r="BR202" i="57"/>
  <c r="BQ202" i="57"/>
  <c r="BP202" i="57"/>
  <c r="BM202" i="57"/>
  <c r="BL202" i="57"/>
  <c r="BK202" i="57"/>
  <c r="BJ202" i="57"/>
  <c r="BI202" i="57"/>
  <c r="BH202" i="57"/>
  <c r="BG202" i="57"/>
  <c r="BF202" i="57"/>
  <c r="BE202" i="57"/>
  <c r="BD202" i="57"/>
  <c r="BC202" i="57"/>
  <c r="BB202" i="57"/>
  <c r="AY202" i="57"/>
  <c r="AX202" i="57"/>
  <c r="AW202" i="57"/>
  <c r="AV202" i="57"/>
  <c r="AU202" i="57"/>
  <c r="AT202" i="57"/>
  <c r="AS202" i="57"/>
  <c r="AR202" i="57"/>
  <c r="AQ202" i="57"/>
  <c r="AP202" i="57"/>
  <c r="AO202" i="57"/>
  <c r="AN202" i="57"/>
  <c r="AK202" i="57"/>
  <c r="AJ202" i="57"/>
  <c r="AI202" i="57"/>
  <c r="AH202" i="57"/>
  <c r="AG202" i="57"/>
  <c r="AF202" i="57"/>
  <c r="AE202" i="57"/>
  <c r="AD202" i="57"/>
  <c r="AC202" i="57"/>
  <c r="AB202" i="57"/>
  <c r="AA202" i="57"/>
  <c r="Z202" i="57"/>
  <c r="W202" i="57"/>
  <c r="V202" i="57"/>
  <c r="U202" i="57"/>
  <c r="T202" i="57"/>
  <c r="S202" i="57"/>
  <c r="R202" i="57"/>
  <c r="Q202" i="57"/>
  <c r="P202" i="57"/>
  <c r="O202" i="57"/>
  <c r="N202" i="57"/>
  <c r="M202" i="57"/>
  <c r="L202" i="57"/>
  <c r="C202" i="57"/>
  <c r="CB200" i="57"/>
  <c r="CB202" i="57" s="1"/>
  <c r="BN200" i="57"/>
  <c r="BN202" i="57" s="1"/>
  <c r="AZ200" i="57"/>
  <c r="AZ202" i="57" s="1"/>
  <c r="AL200" i="57"/>
  <c r="AL202" i="57" s="1"/>
  <c r="X200" i="57"/>
  <c r="X202" i="57" s="1"/>
  <c r="CA197" i="57"/>
  <c r="BZ197" i="57"/>
  <c r="BY197" i="57"/>
  <c r="BX197" i="57"/>
  <c r="BW197" i="57"/>
  <c r="BV197" i="57"/>
  <c r="BU197" i="57"/>
  <c r="BT197" i="57"/>
  <c r="BS197" i="57"/>
  <c r="BR197" i="57"/>
  <c r="BQ197" i="57"/>
  <c r="BP197" i="57"/>
  <c r="BM197" i="57"/>
  <c r="BL197" i="57"/>
  <c r="BK197" i="57"/>
  <c r="BJ197" i="57"/>
  <c r="BI197" i="57"/>
  <c r="BH197" i="57"/>
  <c r="BG197" i="57"/>
  <c r="BF197" i="57"/>
  <c r="BE197" i="57"/>
  <c r="BD197" i="57"/>
  <c r="BC197" i="57"/>
  <c r="BB197" i="57"/>
  <c r="AY197" i="57"/>
  <c r="AX197" i="57"/>
  <c r="AW197" i="57"/>
  <c r="AV197" i="57"/>
  <c r="AU197" i="57"/>
  <c r="AT197" i="57"/>
  <c r="AS197" i="57"/>
  <c r="AR197" i="57"/>
  <c r="AQ197" i="57"/>
  <c r="AP197" i="57"/>
  <c r="AO197" i="57"/>
  <c r="AN197" i="57"/>
  <c r="AK197" i="57"/>
  <c r="AJ197" i="57"/>
  <c r="AI197" i="57"/>
  <c r="AH197" i="57"/>
  <c r="AG197" i="57"/>
  <c r="AF197" i="57"/>
  <c r="AE197" i="57"/>
  <c r="AD197" i="57"/>
  <c r="AC197" i="57"/>
  <c r="AB197" i="57"/>
  <c r="AA197" i="57"/>
  <c r="Z197" i="57"/>
  <c r="W197" i="57"/>
  <c r="V197" i="57"/>
  <c r="U197" i="57"/>
  <c r="T197" i="57"/>
  <c r="S197" i="57"/>
  <c r="R197" i="57"/>
  <c r="Q197" i="57"/>
  <c r="P197" i="57"/>
  <c r="O197" i="57"/>
  <c r="N197" i="57"/>
  <c r="M197" i="57"/>
  <c r="L197" i="57"/>
  <c r="C197" i="57"/>
  <c r="CB195" i="57"/>
  <c r="CB197" i="57" s="1"/>
  <c r="BN195" i="57"/>
  <c r="BN197" i="57" s="1"/>
  <c r="AZ195" i="57"/>
  <c r="AZ197" i="57" s="1"/>
  <c r="AL195" i="57"/>
  <c r="AL197" i="57" s="1"/>
  <c r="X195" i="57"/>
  <c r="X197" i="57" s="1"/>
  <c r="CA192" i="57"/>
  <c r="BZ192" i="57"/>
  <c r="BY192" i="57"/>
  <c r="BX192" i="57"/>
  <c r="BW192" i="57"/>
  <c r="BV192" i="57"/>
  <c r="BU192" i="57"/>
  <c r="BT192" i="57"/>
  <c r="BS192" i="57"/>
  <c r="BR192" i="57"/>
  <c r="BQ192" i="57"/>
  <c r="BP192" i="57"/>
  <c r="BM192" i="57"/>
  <c r="BL192" i="57"/>
  <c r="BK192" i="57"/>
  <c r="BJ192" i="57"/>
  <c r="BI192" i="57"/>
  <c r="BH192" i="57"/>
  <c r="BG192" i="57"/>
  <c r="BF192" i="57"/>
  <c r="BE192" i="57"/>
  <c r="BD192" i="57"/>
  <c r="BC192" i="57"/>
  <c r="BB192" i="57"/>
  <c r="AY192" i="57"/>
  <c r="AX192" i="57"/>
  <c r="AW192" i="57"/>
  <c r="AV192" i="57"/>
  <c r="AU192" i="57"/>
  <c r="AT192" i="57"/>
  <c r="AS192" i="57"/>
  <c r="AR192" i="57"/>
  <c r="AQ192" i="57"/>
  <c r="AP192" i="57"/>
  <c r="AO192" i="57"/>
  <c r="AN192" i="57"/>
  <c r="AK192" i="57"/>
  <c r="AJ192" i="57"/>
  <c r="AI192" i="57"/>
  <c r="AH192" i="57"/>
  <c r="AG192" i="57"/>
  <c r="AF192" i="57"/>
  <c r="AE192" i="57"/>
  <c r="AD192" i="57"/>
  <c r="AC192" i="57"/>
  <c r="AB192" i="57"/>
  <c r="AA192" i="57"/>
  <c r="Z192" i="57"/>
  <c r="W192" i="57"/>
  <c r="V192" i="57"/>
  <c r="U192" i="57"/>
  <c r="T192" i="57"/>
  <c r="S192" i="57"/>
  <c r="R192" i="57"/>
  <c r="Q192" i="57"/>
  <c r="P192" i="57"/>
  <c r="O192" i="57"/>
  <c r="N192" i="57"/>
  <c r="M192" i="57"/>
  <c r="L192" i="57"/>
  <c r="C192" i="57"/>
  <c r="CB190" i="57"/>
  <c r="CB192" i="57" s="1"/>
  <c r="BN190" i="57"/>
  <c r="BN192" i="57" s="1"/>
  <c r="AZ190" i="57"/>
  <c r="AZ192" i="57" s="1"/>
  <c r="AL190" i="57"/>
  <c r="AL192" i="57" s="1"/>
  <c r="X190" i="57"/>
  <c r="X192" i="57" s="1"/>
  <c r="CA187" i="57"/>
  <c r="BZ187" i="57"/>
  <c r="BY187" i="57"/>
  <c r="BX187" i="57"/>
  <c r="BW187" i="57"/>
  <c r="BV187" i="57"/>
  <c r="BU187" i="57"/>
  <c r="BT187" i="57"/>
  <c r="BS187" i="57"/>
  <c r="BR187" i="57"/>
  <c r="BQ187" i="57"/>
  <c r="BP187" i="57"/>
  <c r="BM187" i="57"/>
  <c r="BL187" i="57"/>
  <c r="BK187" i="57"/>
  <c r="BJ187" i="57"/>
  <c r="BI187" i="57"/>
  <c r="BH187" i="57"/>
  <c r="BG187" i="57"/>
  <c r="BF187" i="57"/>
  <c r="BE187" i="57"/>
  <c r="BD187" i="57"/>
  <c r="BC187" i="57"/>
  <c r="BB187" i="57"/>
  <c r="AY187" i="57"/>
  <c r="AX187" i="57"/>
  <c r="AW187" i="57"/>
  <c r="AV187" i="57"/>
  <c r="AU187" i="57"/>
  <c r="AT187" i="57"/>
  <c r="AS187" i="57"/>
  <c r="AR187" i="57"/>
  <c r="AQ187" i="57"/>
  <c r="AP187" i="57"/>
  <c r="AO187" i="57"/>
  <c r="AN187" i="57"/>
  <c r="AK187" i="57"/>
  <c r="AJ187" i="57"/>
  <c r="AI187" i="57"/>
  <c r="AH187" i="57"/>
  <c r="AG187" i="57"/>
  <c r="AF187" i="57"/>
  <c r="AE187" i="57"/>
  <c r="AD187" i="57"/>
  <c r="AC187" i="57"/>
  <c r="AB187" i="57"/>
  <c r="AA187" i="57"/>
  <c r="Z187" i="57"/>
  <c r="W187" i="57"/>
  <c r="V187" i="57"/>
  <c r="U187" i="57"/>
  <c r="T187" i="57"/>
  <c r="S187" i="57"/>
  <c r="R187" i="57"/>
  <c r="Q187" i="57"/>
  <c r="P187" i="57"/>
  <c r="O187" i="57"/>
  <c r="N187" i="57"/>
  <c r="M187" i="57"/>
  <c r="L187" i="57"/>
  <c r="C187" i="57"/>
  <c r="CB185" i="57"/>
  <c r="CB187" i="57" s="1"/>
  <c r="BN185" i="57"/>
  <c r="BN187" i="57" s="1"/>
  <c r="AZ185" i="57"/>
  <c r="AZ187" i="57" s="1"/>
  <c r="AL185" i="57"/>
  <c r="AL187" i="57" s="1"/>
  <c r="X185" i="57"/>
  <c r="X187" i="57" s="1"/>
  <c r="CA182" i="57"/>
  <c r="BZ182" i="57"/>
  <c r="BY182" i="57"/>
  <c r="BX182" i="57"/>
  <c r="BW182" i="57"/>
  <c r="BV182" i="57"/>
  <c r="BU182" i="57"/>
  <c r="BT182" i="57"/>
  <c r="BS182" i="57"/>
  <c r="BR182" i="57"/>
  <c r="BQ182" i="57"/>
  <c r="BP182" i="57"/>
  <c r="BM182" i="57"/>
  <c r="BL182" i="57"/>
  <c r="BK182" i="57"/>
  <c r="BJ182" i="57"/>
  <c r="BI182" i="57"/>
  <c r="BH182" i="57"/>
  <c r="BG182" i="57"/>
  <c r="BF182" i="57"/>
  <c r="BE182" i="57"/>
  <c r="BD182" i="57"/>
  <c r="BC182" i="57"/>
  <c r="BB182" i="57"/>
  <c r="AY182" i="57"/>
  <c r="AX182" i="57"/>
  <c r="AW182" i="57"/>
  <c r="AV182" i="57"/>
  <c r="AU182" i="57"/>
  <c r="AT182" i="57"/>
  <c r="AS182" i="57"/>
  <c r="AR182" i="57"/>
  <c r="AQ182" i="57"/>
  <c r="AP182" i="57"/>
  <c r="AO182" i="57"/>
  <c r="AN182" i="57"/>
  <c r="AK182" i="57"/>
  <c r="AJ182" i="57"/>
  <c r="AI182" i="57"/>
  <c r="AH182" i="57"/>
  <c r="AG182" i="57"/>
  <c r="AF182" i="57"/>
  <c r="AE182" i="57"/>
  <c r="AD182" i="57"/>
  <c r="AC182" i="57"/>
  <c r="AB182" i="57"/>
  <c r="AA182" i="57"/>
  <c r="Z182" i="57"/>
  <c r="W182" i="57"/>
  <c r="V182" i="57"/>
  <c r="U182" i="57"/>
  <c r="T182" i="57"/>
  <c r="S182" i="57"/>
  <c r="R182" i="57"/>
  <c r="Q182" i="57"/>
  <c r="P182" i="57"/>
  <c r="O182" i="57"/>
  <c r="N182" i="57"/>
  <c r="M182" i="57"/>
  <c r="L182" i="57"/>
  <c r="C182" i="57"/>
  <c r="CB180" i="57"/>
  <c r="CB182" i="57" s="1"/>
  <c r="BN180" i="57"/>
  <c r="BN182" i="57" s="1"/>
  <c r="AZ180" i="57"/>
  <c r="AZ182" i="57" s="1"/>
  <c r="AL180" i="57"/>
  <c r="AL182" i="57" s="1"/>
  <c r="X180" i="57"/>
  <c r="X182" i="57" s="1"/>
  <c r="CA177" i="57"/>
  <c r="BZ177" i="57"/>
  <c r="BY177" i="57"/>
  <c r="BX177" i="57"/>
  <c r="BW177" i="57"/>
  <c r="BV177" i="57"/>
  <c r="BU177" i="57"/>
  <c r="BT177" i="57"/>
  <c r="BS177" i="57"/>
  <c r="BR177" i="57"/>
  <c r="BQ177" i="57"/>
  <c r="BP177" i="57"/>
  <c r="BM177" i="57"/>
  <c r="BL177" i="57"/>
  <c r="BK177" i="57"/>
  <c r="BJ177" i="57"/>
  <c r="BI177" i="57"/>
  <c r="BH177" i="57"/>
  <c r="BG177" i="57"/>
  <c r="BF177" i="57"/>
  <c r="BE177" i="57"/>
  <c r="BD177" i="57"/>
  <c r="BC177" i="57"/>
  <c r="BB177" i="57"/>
  <c r="AY177" i="57"/>
  <c r="AX177" i="57"/>
  <c r="AW177" i="57"/>
  <c r="AV177" i="57"/>
  <c r="AU177" i="57"/>
  <c r="AT177" i="57"/>
  <c r="AS177" i="57"/>
  <c r="AR177" i="57"/>
  <c r="AQ177" i="57"/>
  <c r="AP177" i="57"/>
  <c r="AO177" i="57"/>
  <c r="AN177" i="57"/>
  <c r="AK177" i="57"/>
  <c r="AJ177" i="57"/>
  <c r="AI177" i="57"/>
  <c r="AH177" i="57"/>
  <c r="AG177" i="57"/>
  <c r="AF177" i="57"/>
  <c r="AE177" i="57"/>
  <c r="AD177" i="57"/>
  <c r="AC177" i="57"/>
  <c r="AB177" i="57"/>
  <c r="AA177" i="57"/>
  <c r="Z177" i="57"/>
  <c r="W177" i="57"/>
  <c r="V177" i="57"/>
  <c r="U177" i="57"/>
  <c r="T177" i="57"/>
  <c r="S177" i="57"/>
  <c r="R177" i="57"/>
  <c r="Q177" i="57"/>
  <c r="P177" i="57"/>
  <c r="O177" i="57"/>
  <c r="N177" i="57"/>
  <c r="M177" i="57"/>
  <c r="L177" i="57"/>
  <c r="C177" i="57"/>
  <c r="CB175" i="57"/>
  <c r="CB177" i="57" s="1"/>
  <c r="BN175" i="57"/>
  <c r="BN177" i="57" s="1"/>
  <c r="AZ175" i="57"/>
  <c r="AZ177" i="57" s="1"/>
  <c r="AL175" i="57"/>
  <c r="AL177" i="57" s="1"/>
  <c r="X175" i="57"/>
  <c r="X177" i="57" s="1"/>
  <c r="CA172" i="57"/>
  <c r="BZ172" i="57"/>
  <c r="BY172" i="57"/>
  <c r="BX172" i="57"/>
  <c r="BW172" i="57"/>
  <c r="BV172" i="57"/>
  <c r="BU172" i="57"/>
  <c r="BT172" i="57"/>
  <c r="BS172" i="57"/>
  <c r="BR172" i="57"/>
  <c r="BQ172" i="57"/>
  <c r="BP172" i="57"/>
  <c r="BM172" i="57"/>
  <c r="BL172" i="57"/>
  <c r="BK172" i="57"/>
  <c r="BJ172" i="57"/>
  <c r="BI172" i="57"/>
  <c r="BH172" i="57"/>
  <c r="BG172" i="57"/>
  <c r="BF172" i="57"/>
  <c r="BE172" i="57"/>
  <c r="BD172" i="57"/>
  <c r="BC172" i="57"/>
  <c r="BB172" i="57"/>
  <c r="AY172" i="57"/>
  <c r="AX172" i="57"/>
  <c r="AW172" i="57"/>
  <c r="AV172" i="57"/>
  <c r="AU172" i="57"/>
  <c r="AT172" i="57"/>
  <c r="AS172" i="57"/>
  <c r="AR172" i="57"/>
  <c r="AQ172" i="57"/>
  <c r="AP172" i="57"/>
  <c r="AO172" i="57"/>
  <c r="AN172" i="57"/>
  <c r="AK172" i="57"/>
  <c r="AJ172" i="57"/>
  <c r="AI172" i="57"/>
  <c r="AH172" i="57"/>
  <c r="AG172" i="57"/>
  <c r="AF172" i="57"/>
  <c r="AE172" i="57"/>
  <c r="AD172" i="57"/>
  <c r="AC172" i="57"/>
  <c r="AB172" i="57"/>
  <c r="AA172" i="57"/>
  <c r="Z172" i="57"/>
  <c r="W172" i="57"/>
  <c r="V172" i="57"/>
  <c r="U172" i="57"/>
  <c r="T172" i="57"/>
  <c r="S172" i="57"/>
  <c r="R172" i="57"/>
  <c r="Q172" i="57"/>
  <c r="P172" i="57"/>
  <c r="O172" i="57"/>
  <c r="N172" i="57"/>
  <c r="M172" i="57"/>
  <c r="L172" i="57"/>
  <c r="C172" i="57"/>
  <c r="CB170" i="57"/>
  <c r="CB172" i="57" s="1"/>
  <c r="BN170" i="57"/>
  <c r="BN172" i="57" s="1"/>
  <c r="AZ170" i="57"/>
  <c r="AZ172" i="57" s="1"/>
  <c r="AL170" i="57"/>
  <c r="AL172" i="57" s="1"/>
  <c r="X170" i="57"/>
  <c r="X172" i="57" s="1"/>
  <c r="CA167" i="57"/>
  <c r="BZ167" i="57"/>
  <c r="BY167" i="57"/>
  <c r="BX167" i="57"/>
  <c r="BW167" i="57"/>
  <c r="BV167" i="57"/>
  <c r="BU167" i="57"/>
  <c r="BT167" i="57"/>
  <c r="BS167" i="57"/>
  <c r="BR167" i="57"/>
  <c r="BQ167" i="57"/>
  <c r="BP167" i="57"/>
  <c r="BM167" i="57"/>
  <c r="BL167" i="57"/>
  <c r="BK167" i="57"/>
  <c r="BJ167" i="57"/>
  <c r="BI167" i="57"/>
  <c r="BH167" i="57"/>
  <c r="BG167" i="57"/>
  <c r="BF167" i="57"/>
  <c r="BE167" i="57"/>
  <c r="BD167" i="57"/>
  <c r="BC167" i="57"/>
  <c r="BB167" i="57"/>
  <c r="AY167" i="57"/>
  <c r="AX167" i="57"/>
  <c r="AW167" i="57"/>
  <c r="AV167" i="57"/>
  <c r="AU167" i="57"/>
  <c r="AT167" i="57"/>
  <c r="AS167" i="57"/>
  <c r="AR167" i="57"/>
  <c r="AQ167" i="57"/>
  <c r="AP167" i="57"/>
  <c r="AO167" i="57"/>
  <c r="AN167" i="57"/>
  <c r="AK167" i="57"/>
  <c r="AJ167" i="57"/>
  <c r="AI167" i="57"/>
  <c r="AH167" i="57"/>
  <c r="AG167" i="57"/>
  <c r="AF167" i="57"/>
  <c r="AE167" i="57"/>
  <c r="AD167" i="57"/>
  <c r="AC167" i="57"/>
  <c r="AB167" i="57"/>
  <c r="AA167" i="57"/>
  <c r="Z167" i="57"/>
  <c r="W167" i="57"/>
  <c r="V167" i="57"/>
  <c r="U167" i="57"/>
  <c r="T167" i="57"/>
  <c r="S167" i="57"/>
  <c r="R167" i="57"/>
  <c r="Q167" i="57"/>
  <c r="P167" i="57"/>
  <c r="O167" i="57"/>
  <c r="N167" i="57"/>
  <c r="M167" i="57"/>
  <c r="L167" i="57"/>
  <c r="C167" i="57"/>
  <c r="CB165" i="57"/>
  <c r="CB167" i="57" s="1"/>
  <c r="BN165" i="57"/>
  <c r="BN167" i="57" s="1"/>
  <c r="AZ165" i="57"/>
  <c r="AZ167" i="57" s="1"/>
  <c r="AL165" i="57"/>
  <c r="AL167" i="57" s="1"/>
  <c r="X165" i="57"/>
  <c r="X167" i="57" s="1"/>
  <c r="CA162" i="57"/>
  <c r="BZ162" i="57"/>
  <c r="BY162" i="57"/>
  <c r="BX162" i="57"/>
  <c r="BW162" i="57"/>
  <c r="BV162" i="57"/>
  <c r="BU162" i="57"/>
  <c r="BT162" i="57"/>
  <c r="BS162" i="57"/>
  <c r="BR162" i="57"/>
  <c r="BQ162" i="57"/>
  <c r="BP162" i="57"/>
  <c r="BM162" i="57"/>
  <c r="BL162" i="57"/>
  <c r="BK162" i="57"/>
  <c r="BJ162" i="57"/>
  <c r="BI162" i="57"/>
  <c r="BH162" i="57"/>
  <c r="BG162" i="57"/>
  <c r="BF162" i="57"/>
  <c r="BE162" i="57"/>
  <c r="BD162" i="57"/>
  <c r="BC162" i="57"/>
  <c r="BB162" i="57"/>
  <c r="AY162" i="57"/>
  <c r="AX162" i="57"/>
  <c r="AW162" i="57"/>
  <c r="AV162" i="57"/>
  <c r="AU162" i="57"/>
  <c r="AT162" i="57"/>
  <c r="AS162" i="57"/>
  <c r="AR162" i="57"/>
  <c r="AQ162" i="57"/>
  <c r="AP162" i="57"/>
  <c r="AO162" i="57"/>
  <c r="AN162" i="57"/>
  <c r="AK162" i="57"/>
  <c r="AJ162" i="57"/>
  <c r="AI162" i="57"/>
  <c r="AH162" i="57"/>
  <c r="AG162" i="57"/>
  <c r="AF162" i="57"/>
  <c r="AE162" i="57"/>
  <c r="AD162" i="57"/>
  <c r="AC162" i="57"/>
  <c r="AB162" i="57"/>
  <c r="AA162" i="57"/>
  <c r="Z162" i="57"/>
  <c r="W162" i="57"/>
  <c r="V162" i="57"/>
  <c r="U162" i="57"/>
  <c r="T162" i="57"/>
  <c r="S162" i="57"/>
  <c r="R162" i="57"/>
  <c r="Q162" i="57"/>
  <c r="P162" i="57"/>
  <c r="O162" i="57"/>
  <c r="N162" i="57"/>
  <c r="M162" i="57"/>
  <c r="L162" i="57"/>
  <c r="C162" i="57"/>
  <c r="CB160" i="57"/>
  <c r="CB162" i="57" s="1"/>
  <c r="BN160" i="57"/>
  <c r="BN162" i="57" s="1"/>
  <c r="AZ160" i="57"/>
  <c r="AZ162" i="57" s="1"/>
  <c r="AL160" i="57"/>
  <c r="AL162" i="57" s="1"/>
  <c r="X160" i="57"/>
  <c r="X162" i="57" s="1"/>
  <c r="CA157" i="57"/>
  <c r="BZ157" i="57"/>
  <c r="BY157" i="57"/>
  <c r="BX157" i="57"/>
  <c r="BW157" i="57"/>
  <c r="BV157" i="57"/>
  <c r="BU157" i="57"/>
  <c r="BT157" i="57"/>
  <c r="BS157" i="57"/>
  <c r="BR157" i="57"/>
  <c r="BQ157" i="57"/>
  <c r="BP157" i="57"/>
  <c r="BM157" i="57"/>
  <c r="BL157" i="57"/>
  <c r="BK157" i="57"/>
  <c r="BJ157" i="57"/>
  <c r="BI157" i="57"/>
  <c r="BH157" i="57"/>
  <c r="BG157" i="57"/>
  <c r="BF157" i="57"/>
  <c r="BE157" i="57"/>
  <c r="BD157" i="57"/>
  <c r="BC157" i="57"/>
  <c r="BB157" i="57"/>
  <c r="AY157" i="57"/>
  <c r="AX157" i="57"/>
  <c r="AW157" i="57"/>
  <c r="AV157" i="57"/>
  <c r="AU157" i="57"/>
  <c r="AT157" i="57"/>
  <c r="AS157" i="57"/>
  <c r="AR157" i="57"/>
  <c r="AQ157" i="57"/>
  <c r="AP157" i="57"/>
  <c r="AO157" i="57"/>
  <c r="AN157" i="57"/>
  <c r="AK157" i="57"/>
  <c r="AJ157" i="57"/>
  <c r="AI157" i="57"/>
  <c r="AH157" i="57"/>
  <c r="AG157" i="57"/>
  <c r="AF157" i="57"/>
  <c r="AE157" i="57"/>
  <c r="AD157" i="57"/>
  <c r="AC157" i="57"/>
  <c r="AB157" i="57"/>
  <c r="AA157" i="57"/>
  <c r="Z157" i="57"/>
  <c r="W157" i="57"/>
  <c r="V157" i="57"/>
  <c r="U157" i="57"/>
  <c r="T157" i="57"/>
  <c r="S157" i="57"/>
  <c r="R157" i="57"/>
  <c r="Q157" i="57"/>
  <c r="P157" i="57"/>
  <c r="O157" i="57"/>
  <c r="N157" i="57"/>
  <c r="M157" i="57"/>
  <c r="L157" i="57"/>
  <c r="C157" i="57"/>
  <c r="CB155" i="57"/>
  <c r="CB157" i="57" s="1"/>
  <c r="BN155" i="57"/>
  <c r="BN157" i="57" s="1"/>
  <c r="AZ155" i="57"/>
  <c r="AZ157" i="57" s="1"/>
  <c r="AL155" i="57"/>
  <c r="AL157" i="57" s="1"/>
  <c r="X155" i="57"/>
  <c r="X157" i="57" s="1"/>
  <c r="CA152" i="57"/>
  <c r="BZ152" i="57"/>
  <c r="BY152" i="57"/>
  <c r="BX152" i="57"/>
  <c r="BW152" i="57"/>
  <c r="BV152" i="57"/>
  <c r="BU152" i="57"/>
  <c r="BT152" i="57"/>
  <c r="BS152" i="57"/>
  <c r="BR152" i="57"/>
  <c r="BQ152" i="57"/>
  <c r="BP152" i="57"/>
  <c r="BM152" i="57"/>
  <c r="BL152" i="57"/>
  <c r="BK152" i="57"/>
  <c r="BJ152" i="57"/>
  <c r="BI152" i="57"/>
  <c r="BH152" i="57"/>
  <c r="BG152" i="57"/>
  <c r="BF152" i="57"/>
  <c r="BE152" i="57"/>
  <c r="BD152" i="57"/>
  <c r="BC152" i="57"/>
  <c r="BB152" i="57"/>
  <c r="AY152" i="57"/>
  <c r="AX152" i="57"/>
  <c r="AW152" i="57"/>
  <c r="AV152" i="57"/>
  <c r="AU152" i="57"/>
  <c r="AT152" i="57"/>
  <c r="AS152" i="57"/>
  <c r="AR152" i="57"/>
  <c r="AQ152" i="57"/>
  <c r="AP152" i="57"/>
  <c r="AO152" i="57"/>
  <c r="AN152" i="57"/>
  <c r="AK152" i="57"/>
  <c r="AJ152" i="57"/>
  <c r="AI152" i="57"/>
  <c r="AH152" i="57"/>
  <c r="AG152" i="57"/>
  <c r="AF152" i="57"/>
  <c r="AE152" i="57"/>
  <c r="AD152" i="57"/>
  <c r="AC152" i="57"/>
  <c r="AB152" i="57"/>
  <c r="AA152" i="57"/>
  <c r="Z152" i="57"/>
  <c r="W152" i="57"/>
  <c r="V152" i="57"/>
  <c r="U152" i="57"/>
  <c r="T152" i="57"/>
  <c r="S152" i="57"/>
  <c r="R152" i="57"/>
  <c r="Q152" i="57"/>
  <c r="P152" i="57"/>
  <c r="O152" i="57"/>
  <c r="N152" i="57"/>
  <c r="M152" i="57"/>
  <c r="L152" i="57"/>
  <c r="C152" i="57"/>
  <c r="X144" i="57"/>
  <c r="CB143" i="57"/>
  <c r="CB152" i="57" s="1"/>
  <c r="BN143" i="57"/>
  <c r="BN152" i="57" s="1"/>
  <c r="AZ143" i="57"/>
  <c r="AZ152" i="57" s="1"/>
  <c r="AL143" i="57"/>
  <c r="AL152" i="57" s="1"/>
  <c r="X143" i="57"/>
  <c r="X152" i="57" s="1"/>
  <c r="CA140" i="57"/>
  <c r="BZ140" i="57"/>
  <c r="BY140" i="57"/>
  <c r="BX140" i="57"/>
  <c r="BW140" i="57"/>
  <c r="BV140" i="57"/>
  <c r="BU140" i="57"/>
  <c r="BT140" i="57"/>
  <c r="BS140" i="57"/>
  <c r="BR140" i="57"/>
  <c r="BQ140" i="57"/>
  <c r="BP140" i="57"/>
  <c r="BM140" i="57"/>
  <c r="BL140" i="57"/>
  <c r="BK140" i="57"/>
  <c r="BJ140" i="57"/>
  <c r="BI140" i="57"/>
  <c r="BH140" i="57"/>
  <c r="BG140" i="57"/>
  <c r="BF140" i="57"/>
  <c r="BE140" i="57"/>
  <c r="BD140" i="57"/>
  <c r="BC140" i="57"/>
  <c r="BB140" i="57"/>
  <c r="AY140" i="57"/>
  <c r="AX140" i="57"/>
  <c r="AW140" i="57"/>
  <c r="AV140" i="57"/>
  <c r="AU140" i="57"/>
  <c r="AT140" i="57"/>
  <c r="AS140" i="57"/>
  <c r="AR140" i="57"/>
  <c r="AQ140" i="57"/>
  <c r="AP140" i="57"/>
  <c r="AO140" i="57"/>
  <c r="AN140" i="57"/>
  <c r="AK140" i="57"/>
  <c r="AJ140" i="57"/>
  <c r="AI140" i="57"/>
  <c r="AH140" i="57"/>
  <c r="AG140" i="57"/>
  <c r="AF140" i="57"/>
  <c r="AE140" i="57"/>
  <c r="AD140" i="57"/>
  <c r="AC140" i="57"/>
  <c r="AB140" i="57"/>
  <c r="AA140" i="57"/>
  <c r="Z140" i="57"/>
  <c r="W140" i="57"/>
  <c r="V140" i="57"/>
  <c r="U140" i="57"/>
  <c r="T140" i="57"/>
  <c r="S140" i="57"/>
  <c r="R140" i="57"/>
  <c r="Q140" i="57"/>
  <c r="P140" i="57"/>
  <c r="O140" i="57"/>
  <c r="N140" i="57"/>
  <c r="M140" i="57"/>
  <c r="L140" i="57"/>
  <c r="C140" i="57"/>
  <c r="BN139" i="57"/>
  <c r="AZ139" i="57"/>
  <c r="AL139" i="57"/>
  <c r="X139" i="57"/>
  <c r="CB138" i="57"/>
  <c r="CB140" i="57" s="1"/>
  <c r="BN138" i="57"/>
  <c r="BN140" i="57" s="1"/>
  <c r="AZ138" i="57"/>
  <c r="AZ140" i="57" s="1"/>
  <c r="AL138" i="57"/>
  <c r="AL140" i="57" s="1"/>
  <c r="X138" i="57"/>
  <c r="X140" i="57" s="1"/>
  <c r="C135" i="57"/>
  <c r="BN133" i="57"/>
  <c r="AZ133" i="57"/>
  <c r="AL133" i="57"/>
  <c r="X133" i="57"/>
  <c r="BN132" i="57"/>
  <c r="AZ132" i="57"/>
  <c r="AL132" i="57"/>
  <c r="X132" i="57"/>
  <c r="BN131" i="57"/>
  <c r="AZ131" i="57"/>
  <c r="AL131" i="57"/>
  <c r="X131" i="57"/>
  <c r="BN130" i="57"/>
  <c r="AZ130" i="57"/>
  <c r="AL130" i="57"/>
  <c r="X130" i="57"/>
  <c r="BN129" i="57"/>
  <c r="AZ129" i="57"/>
  <c r="AL129" i="57"/>
  <c r="X129" i="57"/>
  <c r="CB128" i="57"/>
  <c r="BN128" i="57"/>
  <c r="AZ128" i="57"/>
  <c r="AL128" i="57"/>
  <c r="X128" i="57"/>
  <c r="CB181" i="59"/>
  <c r="BN181" i="59"/>
  <c r="AZ181" i="59"/>
  <c r="AL181" i="59"/>
  <c r="X181" i="59"/>
  <c r="CB178" i="59"/>
  <c r="BN178" i="59"/>
  <c r="AZ178" i="59"/>
  <c r="AL178" i="59"/>
  <c r="X178" i="59"/>
  <c r="CB177" i="59"/>
  <c r="BN177" i="59"/>
  <c r="AZ177" i="59"/>
  <c r="AL177" i="59"/>
  <c r="X177" i="59"/>
  <c r="AL173" i="59"/>
  <c r="CA170" i="59"/>
  <c r="BZ170" i="59"/>
  <c r="BY170" i="59"/>
  <c r="BX170" i="59"/>
  <c r="BW170" i="59"/>
  <c r="BV170" i="59"/>
  <c r="BU170" i="59"/>
  <c r="BT170" i="59"/>
  <c r="BS170" i="59"/>
  <c r="BR170" i="59"/>
  <c r="BQ170" i="59"/>
  <c r="BP170" i="59"/>
  <c r="BM170" i="59"/>
  <c r="BL170" i="59"/>
  <c r="BK170" i="59"/>
  <c r="BJ170" i="59"/>
  <c r="BI170" i="59"/>
  <c r="BH170" i="59"/>
  <c r="BG170" i="59"/>
  <c r="BF170" i="59"/>
  <c r="BE170" i="59"/>
  <c r="BD170" i="59"/>
  <c r="BC170" i="59"/>
  <c r="BB170" i="59"/>
  <c r="AY170" i="59"/>
  <c r="AX170" i="59"/>
  <c r="AW170" i="59"/>
  <c r="AV170" i="59"/>
  <c r="AU170" i="59"/>
  <c r="AT170" i="59"/>
  <c r="AS170" i="59"/>
  <c r="AR170" i="59"/>
  <c r="AQ170" i="59"/>
  <c r="AP170" i="59"/>
  <c r="AO170" i="59"/>
  <c r="AN170" i="59"/>
  <c r="AK170" i="59"/>
  <c r="AJ170" i="59"/>
  <c r="AI170" i="59"/>
  <c r="AH170" i="59"/>
  <c r="AG170" i="59"/>
  <c r="AF170" i="59"/>
  <c r="AE170" i="59"/>
  <c r="AD170" i="59"/>
  <c r="AC170" i="59"/>
  <c r="AB170" i="59"/>
  <c r="AA170" i="59"/>
  <c r="Z170" i="59"/>
  <c r="W170" i="59"/>
  <c r="V170" i="59"/>
  <c r="U170" i="59"/>
  <c r="T170" i="59"/>
  <c r="S170" i="59"/>
  <c r="R170" i="59"/>
  <c r="Q170" i="59"/>
  <c r="P170" i="59"/>
  <c r="O170" i="59"/>
  <c r="N170" i="59"/>
  <c r="M170" i="59"/>
  <c r="L170" i="59"/>
  <c r="C170" i="59"/>
  <c r="CB168" i="59"/>
  <c r="CB170" i="59" s="1"/>
  <c r="BN168" i="59"/>
  <c r="BN170" i="59" s="1"/>
  <c r="AZ168" i="59"/>
  <c r="AZ170" i="59" s="1"/>
  <c r="AL168" i="59"/>
  <c r="AL170" i="59" s="1"/>
  <c r="X168" i="59"/>
  <c r="X170" i="59" s="1"/>
  <c r="CA165" i="59"/>
  <c r="BZ165" i="59"/>
  <c r="BY165" i="59"/>
  <c r="BX165" i="59"/>
  <c r="BW165" i="59"/>
  <c r="BV165" i="59"/>
  <c r="BU165" i="59"/>
  <c r="BT165" i="59"/>
  <c r="BS165" i="59"/>
  <c r="BR165" i="59"/>
  <c r="BQ165" i="59"/>
  <c r="BP165" i="59"/>
  <c r="BM165" i="59"/>
  <c r="BL165" i="59"/>
  <c r="BK165" i="59"/>
  <c r="BJ165" i="59"/>
  <c r="BI165" i="59"/>
  <c r="BH165" i="59"/>
  <c r="BG165" i="59"/>
  <c r="BF165" i="59"/>
  <c r="BE165" i="59"/>
  <c r="BD165" i="59"/>
  <c r="BC165" i="59"/>
  <c r="BB165" i="59"/>
  <c r="AY165" i="59"/>
  <c r="AX165" i="59"/>
  <c r="AW165" i="59"/>
  <c r="AV165" i="59"/>
  <c r="AU165" i="59"/>
  <c r="AT165" i="59"/>
  <c r="AS165" i="59"/>
  <c r="AR165" i="59"/>
  <c r="AQ165" i="59"/>
  <c r="AP165" i="59"/>
  <c r="AO165" i="59"/>
  <c r="AN165" i="59"/>
  <c r="AK165" i="59"/>
  <c r="AJ165" i="59"/>
  <c r="AI165" i="59"/>
  <c r="AH165" i="59"/>
  <c r="AG165" i="59"/>
  <c r="AF165" i="59"/>
  <c r="AE165" i="59"/>
  <c r="AD165" i="59"/>
  <c r="AC165" i="59"/>
  <c r="AB165" i="59"/>
  <c r="AA165" i="59"/>
  <c r="Z165" i="59"/>
  <c r="W165" i="59"/>
  <c r="V165" i="59"/>
  <c r="U165" i="59"/>
  <c r="T165" i="59"/>
  <c r="S165" i="59"/>
  <c r="R165" i="59"/>
  <c r="Q165" i="59"/>
  <c r="P165" i="59"/>
  <c r="O165" i="59"/>
  <c r="N165" i="59"/>
  <c r="M165" i="59"/>
  <c r="L165" i="59"/>
  <c r="C165" i="59"/>
  <c r="CB163" i="59"/>
  <c r="CB165" i="59" s="1"/>
  <c r="BN163" i="59"/>
  <c r="BN165" i="59" s="1"/>
  <c r="AZ163" i="59"/>
  <c r="AZ165" i="59" s="1"/>
  <c r="AL163" i="59"/>
  <c r="AL165" i="59" s="1"/>
  <c r="X163" i="59"/>
  <c r="X165" i="59" s="1"/>
  <c r="CA160" i="59"/>
  <c r="BZ160" i="59"/>
  <c r="BY160" i="59"/>
  <c r="BX160" i="59"/>
  <c r="BW160" i="59"/>
  <c r="BV160" i="59"/>
  <c r="BU160" i="59"/>
  <c r="BT160" i="59"/>
  <c r="BS160" i="59"/>
  <c r="BR160" i="59"/>
  <c r="BQ160" i="59"/>
  <c r="BP160" i="59"/>
  <c r="BM160" i="59"/>
  <c r="BL160" i="59"/>
  <c r="BK160" i="59"/>
  <c r="BJ160" i="59"/>
  <c r="BI160" i="59"/>
  <c r="BH160" i="59"/>
  <c r="BG160" i="59"/>
  <c r="BF160" i="59"/>
  <c r="BE160" i="59"/>
  <c r="BD160" i="59"/>
  <c r="BC160" i="59"/>
  <c r="BB160" i="59"/>
  <c r="AY160" i="59"/>
  <c r="AX160" i="59"/>
  <c r="AW160" i="59"/>
  <c r="AV160" i="59"/>
  <c r="AU160" i="59"/>
  <c r="AT160" i="59"/>
  <c r="AS160" i="59"/>
  <c r="AR160" i="59"/>
  <c r="AQ160" i="59"/>
  <c r="AP160" i="59"/>
  <c r="AO160" i="59"/>
  <c r="AN160" i="59"/>
  <c r="AK160" i="59"/>
  <c r="AJ160" i="59"/>
  <c r="AI160" i="59"/>
  <c r="AH160" i="59"/>
  <c r="AG160" i="59"/>
  <c r="AF160" i="59"/>
  <c r="AE160" i="59"/>
  <c r="AD160" i="59"/>
  <c r="AC160" i="59"/>
  <c r="AB160" i="59"/>
  <c r="AA160" i="59"/>
  <c r="Z160" i="59"/>
  <c r="W160" i="59"/>
  <c r="V160" i="59"/>
  <c r="U160" i="59"/>
  <c r="T160" i="59"/>
  <c r="S160" i="59"/>
  <c r="R160" i="59"/>
  <c r="Q160" i="59"/>
  <c r="P160" i="59"/>
  <c r="O160" i="59"/>
  <c r="N160" i="59"/>
  <c r="M160" i="59"/>
  <c r="L160" i="59"/>
  <c r="C160" i="59"/>
  <c r="CB158" i="59"/>
  <c r="CB160" i="59" s="1"/>
  <c r="BN158" i="59"/>
  <c r="BN160" i="59" s="1"/>
  <c r="AZ158" i="59"/>
  <c r="AZ160" i="59" s="1"/>
  <c r="AL158" i="59"/>
  <c r="AL160" i="59" s="1"/>
  <c r="X158" i="59"/>
  <c r="X160" i="59" s="1"/>
  <c r="CA155" i="59"/>
  <c r="BZ155" i="59"/>
  <c r="BY155" i="59"/>
  <c r="BX155" i="59"/>
  <c r="BW155" i="59"/>
  <c r="BV155" i="59"/>
  <c r="BU155" i="59"/>
  <c r="BT155" i="59"/>
  <c r="BS155" i="59"/>
  <c r="BR155" i="59"/>
  <c r="BQ155" i="59"/>
  <c r="BP155" i="59"/>
  <c r="BM155" i="59"/>
  <c r="BL155" i="59"/>
  <c r="BK155" i="59"/>
  <c r="BJ155" i="59"/>
  <c r="BI155" i="59"/>
  <c r="BH155" i="59"/>
  <c r="BG155" i="59"/>
  <c r="BF155" i="59"/>
  <c r="BE155" i="59"/>
  <c r="BD155" i="59"/>
  <c r="BC155" i="59"/>
  <c r="BB155" i="59"/>
  <c r="AY155" i="59"/>
  <c r="AX155" i="59"/>
  <c r="AW155" i="59"/>
  <c r="AV155" i="59"/>
  <c r="AU155" i="59"/>
  <c r="AT155" i="59"/>
  <c r="AS155" i="59"/>
  <c r="AR155" i="59"/>
  <c r="AQ155" i="59"/>
  <c r="AP155" i="59"/>
  <c r="AO155" i="59"/>
  <c r="AN155" i="59"/>
  <c r="AK155" i="59"/>
  <c r="AJ155" i="59"/>
  <c r="AI155" i="59"/>
  <c r="AH155" i="59"/>
  <c r="AG155" i="59"/>
  <c r="AF155" i="59"/>
  <c r="AE155" i="59"/>
  <c r="AD155" i="59"/>
  <c r="AC155" i="59"/>
  <c r="AB155" i="59"/>
  <c r="AA155" i="59"/>
  <c r="Z155" i="59"/>
  <c r="W155" i="59"/>
  <c r="V155" i="59"/>
  <c r="U155" i="59"/>
  <c r="T155" i="59"/>
  <c r="S155" i="59"/>
  <c r="R155" i="59"/>
  <c r="Q155" i="59"/>
  <c r="P155" i="59"/>
  <c r="O155" i="59"/>
  <c r="N155" i="59"/>
  <c r="M155" i="59"/>
  <c r="L155" i="59"/>
  <c r="C155" i="59"/>
  <c r="CB153" i="59"/>
  <c r="CB155" i="59" s="1"/>
  <c r="BN153" i="59"/>
  <c r="BN155" i="59" s="1"/>
  <c r="AZ153" i="59"/>
  <c r="AZ155" i="59" s="1"/>
  <c r="AL153" i="59"/>
  <c r="AL155" i="59" s="1"/>
  <c r="X153" i="59"/>
  <c r="X155" i="59" s="1"/>
  <c r="CA150" i="59"/>
  <c r="BZ150" i="59"/>
  <c r="BY150" i="59"/>
  <c r="BX150" i="59"/>
  <c r="BW150" i="59"/>
  <c r="BV150" i="59"/>
  <c r="BU150" i="59"/>
  <c r="BT150" i="59"/>
  <c r="BS150" i="59"/>
  <c r="BR150" i="59"/>
  <c r="BQ150" i="59"/>
  <c r="BP150" i="59"/>
  <c r="BM150" i="59"/>
  <c r="BL150" i="59"/>
  <c r="BK150" i="59"/>
  <c r="BJ150" i="59"/>
  <c r="BI150" i="59"/>
  <c r="BH150" i="59"/>
  <c r="BG150" i="59"/>
  <c r="BF150" i="59"/>
  <c r="BE150" i="59"/>
  <c r="BD150" i="59"/>
  <c r="BC150" i="59"/>
  <c r="BB150" i="59"/>
  <c r="AY150" i="59"/>
  <c r="AX150" i="59"/>
  <c r="AW150" i="59"/>
  <c r="AV150" i="59"/>
  <c r="AU150" i="59"/>
  <c r="AT150" i="59"/>
  <c r="AS150" i="59"/>
  <c r="AR150" i="59"/>
  <c r="AQ150" i="59"/>
  <c r="AP150" i="59"/>
  <c r="AO150" i="59"/>
  <c r="AN150" i="59"/>
  <c r="AK150" i="59"/>
  <c r="AJ150" i="59"/>
  <c r="AI150" i="59"/>
  <c r="AH150" i="59"/>
  <c r="AG150" i="59"/>
  <c r="AF150" i="59"/>
  <c r="AE150" i="59"/>
  <c r="AD150" i="59"/>
  <c r="AC150" i="59"/>
  <c r="AB150" i="59"/>
  <c r="AA150" i="59"/>
  <c r="Z150" i="59"/>
  <c r="W150" i="59"/>
  <c r="V150" i="59"/>
  <c r="U150" i="59"/>
  <c r="T150" i="59"/>
  <c r="S150" i="59"/>
  <c r="R150" i="59"/>
  <c r="Q150" i="59"/>
  <c r="P150" i="59"/>
  <c r="O150" i="59"/>
  <c r="N150" i="59"/>
  <c r="M150" i="59"/>
  <c r="L150" i="59"/>
  <c r="C150" i="59"/>
  <c r="CB148" i="59"/>
  <c r="CB150" i="59" s="1"/>
  <c r="BN148" i="59"/>
  <c r="BN150" i="59" s="1"/>
  <c r="AZ148" i="59"/>
  <c r="AZ150" i="59" s="1"/>
  <c r="AL148" i="59"/>
  <c r="AL150" i="59" s="1"/>
  <c r="X148" i="59"/>
  <c r="X150" i="59" s="1"/>
  <c r="CA145" i="59"/>
  <c r="BZ145" i="59"/>
  <c r="BY145" i="59"/>
  <c r="BX145" i="59"/>
  <c r="BW145" i="59"/>
  <c r="BV145" i="59"/>
  <c r="BU145" i="59"/>
  <c r="BT145" i="59"/>
  <c r="BS145" i="59"/>
  <c r="BR145" i="59"/>
  <c r="BQ145" i="59"/>
  <c r="BP145" i="59"/>
  <c r="BM145" i="59"/>
  <c r="BL145" i="59"/>
  <c r="BK145" i="59"/>
  <c r="BJ145" i="59"/>
  <c r="BI145" i="59"/>
  <c r="BH145" i="59"/>
  <c r="BG145" i="59"/>
  <c r="BF145" i="59"/>
  <c r="BE145" i="59"/>
  <c r="BD145" i="59"/>
  <c r="BC145" i="59"/>
  <c r="BB145" i="59"/>
  <c r="AY145" i="59"/>
  <c r="AX145" i="59"/>
  <c r="AW145" i="59"/>
  <c r="AV145" i="59"/>
  <c r="AU145" i="59"/>
  <c r="AT145" i="59"/>
  <c r="AS145" i="59"/>
  <c r="AR145" i="59"/>
  <c r="AQ145" i="59"/>
  <c r="AP145" i="59"/>
  <c r="AO145" i="59"/>
  <c r="AN145" i="59"/>
  <c r="AK145" i="59"/>
  <c r="AJ145" i="59"/>
  <c r="AI145" i="59"/>
  <c r="AH145" i="59"/>
  <c r="AG145" i="59"/>
  <c r="AF145" i="59"/>
  <c r="AE145" i="59"/>
  <c r="AD145" i="59"/>
  <c r="AC145" i="59"/>
  <c r="AB145" i="59"/>
  <c r="AA145" i="59"/>
  <c r="Z145" i="59"/>
  <c r="W145" i="59"/>
  <c r="V145" i="59"/>
  <c r="U145" i="59"/>
  <c r="T145" i="59"/>
  <c r="S145" i="59"/>
  <c r="R145" i="59"/>
  <c r="Q145" i="59"/>
  <c r="P145" i="59"/>
  <c r="O145" i="59"/>
  <c r="N145" i="59"/>
  <c r="M145" i="59"/>
  <c r="L145" i="59"/>
  <c r="C145" i="59"/>
  <c r="CB143" i="59"/>
  <c r="CB145" i="59" s="1"/>
  <c r="BN143" i="59"/>
  <c r="BN145" i="59" s="1"/>
  <c r="AZ143" i="59"/>
  <c r="AZ145" i="59" s="1"/>
  <c r="AL143" i="59"/>
  <c r="AL145" i="59" s="1"/>
  <c r="X143" i="59"/>
  <c r="X145" i="59" s="1"/>
  <c r="CA140" i="59"/>
  <c r="BZ140" i="59"/>
  <c r="BY140" i="59"/>
  <c r="BX140" i="59"/>
  <c r="BW140" i="59"/>
  <c r="BV140" i="59"/>
  <c r="BU140" i="59"/>
  <c r="BT140" i="59"/>
  <c r="BS140" i="59"/>
  <c r="BR140" i="59"/>
  <c r="BQ140" i="59"/>
  <c r="BP140" i="59"/>
  <c r="BM140" i="59"/>
  <c r="BL140" i="59"/>
  <c r="BK140" i="59"/>
  <c r="BJ140" i="59"/>
  <c r="BI140" i="59"/>
  <c r="BH140" i="59"/>
  <c r="BG140" i="59"/>
  <c r="BF140" i="59"/>
  <c r="BE140" i="59"/>
  <c r="BD140" i="59"/>
  <c r="BC140" i="59"/>
  <c r="BB140" i="59"/>
  <c r="AY140" i="59"/>
  <c r="AX140" i="59"/>
  <c r="AW140" i="59"/>
  <c r="AV140" i="59"/>
  <c r="AU140" i="59"/>
  <c r="AT140" i="59"/>
  <c r="AS140" i="59"/>
  <c r="AR140" i="59"/>
  <c r="AQ140" i="59"/>
  <c r="AP140" i="59"/>
  <c r="AO140" i="59"/>
  <c r="AN140" i="59"/>
  <c r="AK140" i="59"/>
  <c r="AJ140" i="59"/>
  <c r="AI140" i="59"/>
  <c r="AH140" i="59"/>
  <c r="AG140" i="59"/>
  <c r="AF140" i="59"/>
  <c r="AE140" i="59"/>
  <c r="AD140" i="59"/>
  <c r="AC140" i="59"/>
  <c r="AB140" i="59"/>
  <c r="AA140" i="59"/>
  <c r="Z140" i="59"/>
  <c r="W140" i="59"/>
  <c r="V140" i="59"/>
  <c r="U140" i="59"/>
  <c r="T140" i="59"/>
  <c r="S140" i="59"/>
  <c r="R140" i="59"/>
  <c r="Q140" i="59"/>
  <c r="P140" i="59"/>
  <c r="O140" i="59"/>
  <c r="N140" i="59"/>
  <c r="M140" i="59"/>
  <c r="L140" i="59"/>
  <c r="C140" i="59"/>
  <c r="CB138" i="59"/>
  <c r="CB140" i="59" s="1"/>
  <c r="BN138" i="59"/>
  <c r="BN140" i="59" s="1"/>
  <c r="AZ138" i="59"/>
  <c r="AZ140" i="59" s="1"/>
  <c r="AL138" i="59"/>
  <c r="AL140" i="59" s="1"/>
  <c r="X138" i="59"/>
  <c r="X140" i="59" s="1"/>
  <c r="CA135" i="59"/>
  <c r="BZ135" i="59"/>
  <c r="BY135" i="59"/>
  <c r="BX135" i="59"/>
  <c r="BW135" i="59"/>
  <c r="BV135" i="59"/>
  <c r="BU135" i="59"/>
  <c r="BT135" i="59"/>
  <c r="BS135" i="59"/>
  <c r="BR135" i="59"/>
  <c r="BQ135" i="59"/>
  <c r="BP135" i="59"/>
  <c r="BM135" i="59"/>
  <c r="BL135" i="59"/>
  <c r="BK135" i="59"/>
  <c r="BJ135" i="59"/>
  <c r="BI135" i="59"/>
  <c r="BH135" i="59"/>
  <c r="BG135" i="59"/>
  <c r="BF135" i="59"/>
  <c r="BE135" i="59"/>
  <c r="BD135" i="59"/>
  <c r="BC135" i="59"/>
  <c r="BB135" i="59"/>
  <c r="AY135" i="59"/>
  <c r="AX135" i="59"/>
  <c r="AW135" i="59"/>
  <c r="AV135" i="59"/>
  <c r="AU135" i="59"/>
  <c r="AT135" i="59"/>
  <c r="AS135" i="59"/>
  <c r="AR135" i="59"/>
  <c r="AQ135" i="59"/>
  <c r="AP135" i="59"/>
  <c r="AO135" i="59"/>
  <c r="AN135" i="59"/>
  <c r="AK135" i="59"/>
  <c r="AJ135" i="59"/>
  <c r="AI135" i="59"/>
  <c r="AH135" i="59"/>
  <c r="AG135" i="59"/>
  <c r="AF135" i="59"/>
  <c r="AE135" i="59"/>
  <c r="AD135" i="59"/>
  <c r="AC135" i="59"/>
  <c r="AB135" i="59"/>
  <c r="AA135" i="59"/>
  <c r="Z135" i="59"/>
  <c r="W135" i="59"/>
  <c r="V135" i="59"/>
  <c r="U135" i="59"/>
  <c r="T135" i="59"/>
  <c r="S135" i="59"/>
  <c r="R135" i="59"/>
  <c r="Q135" i="59"/>
  <c r="P135" i="59"/>
  <c r="O135" i="59"/>
  <c r="N135" i="59"/>
  <c r="M135" i="59"/>
  <c r="L135" i="59"/>
  <c r="C135" i="59"/>
  <c r="CB133" i="59"/>
  <c r="CB135" i="59" s="1"/>
  <c r="BN133" i="59"/>
  <c r="BN135" i="59" s="1"/>
  <c r="AZ133" i="59"/>
  <c r="AZ135" i="59" s="1"/>
  <c r="AL133" i="59"/>
  <c r="AL135" i="59" s="1"/>
  <c r="X133" i="59"/>
  <c r="X135" i="59" s="1"/>
  <c r="CA130" i="59"/>
  <c r="BZ130" i="59"/>
  <c r="BY130" i="59"/>
  <c r="BX130" i="59"/>
  <c r="BW130" i="59"/>
  <c r="BV130" i="59"/>
  <c r="BU130" i="59"/>
  <c r="BT130" i="59"/>
  <c r="BS130" i="59"/>
  <c r="BR130" i="59"/>
  <c r="BQ130" i="59"/>
  <c r="BP130" i="59"/>
  <c r="BM130" i="59"/>
  <c r="BL130" i="59"/>
  <c r="BK130" i="59"/>
  <c r="BJ130" i="59"/>
  <c r="BI130" i="59"/>
  <c r="BH130" i="59"/>
  <c r="BG130" i="59"/>
  <c r="BF130" i="59"/>
  <c r="BE130" i="59"/>
  <c r="BD130" i="59"/>
  <c r="BC130" i="59"/>
  <c r="BB130" i="59"/>
  <c r="AY130" i="59"/>
  <c r="AX130" i="59"/>
  <c r="AW130" i="59"/>
  <c r="AV130" i="59"/>
  <c r="AU130" i="59"/>
  <c r="AT130" i="59"/>
  <c r="AS130" i="59"/>
  <c r="AR130" i="59"/>
  <c r="AQ130" i="59"/>
  <c r="AP130" i="59"/>
  <c r="AO130" i="59"/>
  <c r="AN130" i="59"/>
  <c r="AK130" i="59"/>
  <c r="AJ130" i="59"/>
  <c r="AI130" i="59"/>
  <c r="AH130" i="59"/>
  <c r="AG130" i="59"/>
  <c r="AF130" i="59"/>
  <c r="AE130" i="59"/>
  <c r="AD130" i="59"/>
  <c r="AC130" i="59"/>
  <c r="AB130" i="59"/>
  <c r="AA130" i="59"/>
  <c r="Z130" i="59"/>
  <c r="W130" i="59"/>
  <c r="V130" i="59"/>
  <c r="U130" i="59"/>
  <c r="T130" i="59"/>
  <c r="S130" i="59"/>
  <c r="R130" i="59"/>
  <c r="Q130" i="59"/>
  <c r="P130" i="59"/>
  <c r="O130" i="59"/>
  <c r="N130" i="59"/>
  <c r="M130" i="59"/>
  <c r="L130" i="59"/>
  <c r="C130" i="59"/>
  <c r="CB128" i="59"/>
  <c r="CB130" i="59" s="1"/>
  <c r="BN128" i="59"/>
  <c r="BN130" i="59" s="1"/>
  <c r="AZ128" i="59"/>
  <c r="AZ130" i="59" s="1"/>
  <c r="AL128" i="59"/>
  <c r="AL130" i="59" s="1"/>
  <c r="X128" i="59"/>
  <c r="X130" i="59" s="1"/>
  <c r="CA125" i="59"/>
  <c r="BZ125" i="59"/>
  <c r="BY125" i="59"/>
  <c r="BX125" i="59"/>
  <c r="BW125" i="59"/>
  <c r="BV125" i="59"/>
  <c r="BU125" i="59"/>
  <c r="BT125" i="59"/>
  <c r="BS125" i="59"/>
  <c r="BR125" i="59"/>
  <c r="BQ125" i="59"/>
  <c r="BP125" i="59"/>
  <c r="BM125" i="59"/>
  <c r="BL125" i="59"/>
  <c r="BK125" i="59"/>
  <c r="BJ125" i="59"/>
  <c r="BI125" i="59"/>
  <c r="BH125" i="59"/>
  <c r="BG125" i="59"/>
  <c r="BF125" i="59"/>
  <c r="BE125" i="59"/>
  <c r="BD125" i="59"/>
  <c r="BC125" i="59"/>
  <c r="BB125" i="59"/>
  <c r="AY125" i="59"/>
  <c r="AX125" i="59"/>
  <c r="AW125" i="59"/>
  <c r="AV125" i="59"/>
  <c r="AU125" i="59"/>
  <c r="AT125" i="59"/>
  <c r="AS125" i="59"/>
  <c r="AR125" i="59"/>
  <c r="AQ125" i="59"/>
  <c r="AP125" i="59"/>
  <c r="AO125" i="59"/>
  <c r="AN125" i="59"/>
  <c r="AK125" i="59"/>
  <c r="AJ125" i="59"/>
  <c r="AI125" i="59"/>
  <c r="AH125" i="59"/>
  <c r="AG125" i="59"/>
  <c r="AF125" i="59"/>
  <c r="AE125" i="59"/>
  <c r="AD125" i="59"/>
  <c r="AC125" i="59"/>
  <c r="AB125" i="59"/>
  <c r="AA125" i="59"/>
  <c r="Z125" i="59"/>
  <c r="W125" i="59"/>
  <c r="V125" i="59"/>
  <c r="U125" i="59"/>
  <c r="T125" i="59"/>
  <c r="S125" i="59"/>
  <c r="R125" i="59"/>
  <c r="Q125" i="59"/>
  <c r="P125" i="59"/>
  <c r="O125" i="59"/>
  <c r="N125" i="59"/>
  <c r="M125" i="59"/>
  <c r="L125" i="59"/>
  <c r="C125" i="59"/>
  <c r="CB123" i="59"/>
  <c r="CB125" i="59" s="1"/>
  <c r="BN123" i="59"/>
  <c r="BN125" i="59" s="1"/>
  <c r="AZ123" i="59"/>
  <c r="AZ125" i="59" s="1"/>
  <c r="AL123" i="59"/>
  <c r="AL125" i="59" s="1"/>
  <c r="X123" i="59"/>
  <c r="X125" i="59" s="1"/>
  <c r="CA120" i="59"/>
  <c r="BZ120" i="59"/>
  <c r="BY120" i="59"/>
  <c r="BX120" i="59"/>
  <c r="BW120" i="59"/>
  <c r="BV120" i="59"/>
  <c r="BU120" i="59"/>
  <c r="BT120" i="59"/>
  <c r="BS120" i="59"/>
  <c r="BR120" i="59"/>
  <c r="BQ120" i="59"/>
  <c r="BP120" i="59"/>
  <c r="BM120" i="59"/>
  <c r="BL120" i="59"/>
  <c r="BK120" i="59"/>
  <c r="BJ120" i="59"/>
  <c r="BI120" i="59"/>
  <c r="BH120" i="59"/>
  <c r="BG120" i="59"/>
  <c r="BF120" i="59"/>
  <c r="BE120" i="59"/>
  <c r="BD120" i="59"/>
  <c r="BC120" i="59"/>
  <c r="BB120" i="59"/>
  <c r="AY120" i="59"/>
  <c r="AX120" i="59"/>
  <c r="AW120" i="59"/>
  <c r="AV120" i="59"/>
  <c r="AU120" i="59"/>
  <c r="AT120" i="59"/>
  <c r="AS120" i="59"/>
  <c r="AR120" i="59"/>
  <c r="AQ120" i="59"/>
  <c r="AP120" i="59"/>
  <c r="AO120" i="59"/>
  <c r="AN120" i="59"/>
  <c r="AK120" i="59"/>
  <c r="AJ120" i="59"/>
  <c r="AI120" i="59"/>
  <c r="AH120" i="59"/>
  <c r="AG120" i="59"/>
  <c r="AF120" i="59"/>
  <c r="AE120" i="59"/>
  <c r="AD120" i="59"/>
  <c r="AC120" i="59"/>
  <c r="AB120" i="59"/>
  <c r="AA120" i="59"/>
  <c r="Z120" i="59"/>
  <c r="W120" i="59"/>
  <c r="V120" i="59"/>
  <c r="U120" i="59"/>
  <c r="T120" i="59"/>
  <c r="S120" i="59"/>
  <c r="R120" i="59"/>
  <c r="Q120" i="59"/>
  <c r="P120" i="59"/>
  <c r="O120" i="59"/>
  <c r="N120" i="59"/>
  <c r="M120" i="59"/>
  <c r="L120" i="59"/>
  <c r="C120" i="59"/>
  <c r="X119" i="59"/>
  <c r="CB118" i="59"/>
  <c r="CB120" i="59" s="1"/>
  <c r="BN118" i="59"/>
  <c r="BN120" i="59" s="1"/>
  <c r="AZ118" i="59"/>
  <c r="AZ120" i="59" s="1"/>
  <c r="AL118" i="59"/>
  <c r="AL120" i="59" s="1"/>
  <c r="X118" i="59"/>
  <c r="X120" i="59" s="1"/>
  <c r="CA115" i="59"/>
  <c r="BZ115" i="59"/>
  <c r="BY115" i="59"/>
  <c r="BX115" i="59"/>
  <c r="BW115" i="59"/>
  <c r="BV115" i="59"/>
  <c r="BU115" i="59"/>
  <c r="BT115" i="59"/>
  <c r="BS115" i="59"/>
  <c r="BR115" i="59"/>
  <c r="BQ115" i="59"/>
  <c r="BP115" i="59"/>
  <c r="BM115" i="59"/>
  <c r="BL115" i="59"/>
  <c r="BK115" i="59"/>
  <c r="BJ115" i="59"/>
  <c r="BI115" i="59"/>
  <c r="BH115" i="59"/>
  <c r="BG115" i="59"/>
  <c r="BF115" i="59"/>
  <c r="BE115" i="59"/>
  <c r="BD115" i="59"/>
  <c r="BC115" i="59"/>
  <c r="BB115" i="59"/>
  <c r="AY115" i="59"/>
  <c r="AX115" i="59"/>
  <c r="AW115" i="59"/>
  <c r="AV115" i="59"/>
  <c r="AU115" i="59"/>
  <c r="AT115" i="59"/>
  <c r="AS115" i="59"/>
  <c r="AR115" i="59"/>
  <c r="AQ115" i="59"/>
  <c r="AP115" i="59"/>
  <c r="AO115" i="59"/>
  <c r="AN115" i="59"/>
  <c r="AK115" i="59"/>
  <c r="AJ115" i="59"/>
  <c r="AI115" i="59"/>
  <c r="AH115" i="59"/>
  <c r="AG115" i="59"/>
  <c r="AF115" i="59"/>
  <c r="AE115" i="59"/>
  <c r="AD115" i="59"/>
  <c r="AC115" i="59"/>
  <c r="AB115" i="59"/>
  <c r="AA115" i="59"/>
  <c r="Z115" i="59"/>
  <c r="W115" i="59"/>
  <c r="V115" i="59"/>
  <c r="U115" i="59"/>
  <c r="T115" i="59"/>
  <c r="S115" i="59"/>
  <c r="R115" i="59"/>
  <c r="Q115" i="59"/>
  <c r="P115" i="59"/>
  <c r="O115" i="59"/>
  <c r="N115" i="59"/>
  <c r="M115" i="59"/>
  <c r="L115" i="59"/>
  <c r="C115" i="59"/>
  <c r="BN114" i="59"/>
  <c r="AZ114" i="59"/>
  <c r="AL114" i="59"/>
  <c r="X114" i="59"/>
  <c r="CB113" i="59"/>
  <c r="CB115" i="59" s="1"/>
  <c r="BN113" i="59"/>
  <c r="BN115" i="59" s="1"/>
  <c r="AZ113" i="59"/>
  <c r="AZ115" i="59" s="1"/>
  <c r="AL113" i="59"/>
  <c r="AL115" i="59" s="1"/>
  <c r="X113" i="59"/>
  <c r="X115" i="59" s="1"/>
  <c r="C110" i="59"/>
  <c r="BN109" i="59"/>
  <c r="AZ109" i="59"/>
  <c r="AL109" i="59"/>
  <c r="X109" i="59"/>
  <c r="BN108" i="59"/>
  <c r="AZ108" i="59"/>
  <c r="AL108" i="59"/>
  <c r="X108" i="59"/>
  <c r="BN107" i="59"/>
  <c r="AZ107" i="59"/>
  <c r="AL107" i="59"/>
  <c r="X107" i="59"/>
  <c r="BN106" i="59"/>
  <c r="AZ106" i="59"/>
  <c r="AL106" i="59"/>
  <c r="X106" i="59"/>
  <c r="BN105" i="59"/>
  <c r="AZ105" i="59"/>
  <c r="AL105" i="59"/>
  <c r="X105" i="59"/>
  <c r="CB104" i="59"/>
  <c r="BN104" i="59"/>
  <c r="AZ104" i="59"/>
  <c r="AL104" i="59"/>
  <c r="X104" i="59"/>
  <c r="G231" i="53"/>
  <c r="F231" i="53"/>
  <c r="E231" i="53"/>
  <c r="AX228" i="53"/>
  <c r="AW228" i="53"/>
  <c r="AV228" i="53"/>
  <c r="AU228" i="53"/>
  <c r="AI228" i="53"/>
  <c r="AH228" i="53"/>
  <c r="AG228" i="53"/>
  <c r="AF228" i="53"/>
  <c r="Z228" i="53"/>
  <c r="Y228" i="53"/>
  <c r="X228" i="53"/>
  <c r="W228" i="53"/>
  <c r="G228" i="53"/>
  <c r="F228" i="53"/>
  <c r="E228" i="53"/>
  <c r="AX227" i="53"/>
  <c r="AW227" i="53"/>
  <c r="AV227" i="53"/>
  <c r="AU227" i="53"/>
  <c r="AI227" i="53"/>
  <c r="AH227" i="53"/>
  <c r="AG227" i="53"/>
  <c r="AF227" i="53"/>
  <c r="Z227" i="53"/>
  <c r="Y227" i="53"/>
  <c r="X227" i="53"/>
  <c r="W227" i="53"/>
  <c r="G227" i="53"/>
  <c r="F227" i="53"/>
  <c r="E227" i="53"/>
  <c r="AX226" i="53"/>
  <c r="AW226" i="53"/>
  <c r="AV226" i="53"/>
  <c r="AU226" i="53"/>
  <c r="AI226" i="53"/>
  <c r="AH226" i="53"/>
  <c r="AG226" i="53"/>
  <c r="AF226" i="53"/>
  <c r="Z226" i="53"/>
  <c r="Y226" i="53"/>
  <c r="X226" i="53"/>
  <c r="W226" i="53"/>
  <c r="G226" i="53"/>
  <c r="F226" i="53"/>
  <c r="E226" i="53"/>
  <c r="AX225" i="53"/>
  <c r="AW225" i="53"/>
  <c r="AV225" i="53"/>
  <c r="AU225" i="53"/>
  <c r="AI225" i="53"/>
  <c r="AH225" i="53"/>
  <c r="AG225" i="53"/>
  <c r="AF225" i="53"/>
  <c r="Z225" i="53"/>
  <c r="Y225" i="53"/>
  <c r="X225" i="53"/>
  <c r="W225" i="53"/>
  <c r="G225" i="53"/>
  <c r="F225" i="53"/>
  <c r="E225" i="53"/>
  <c r="AX224" i="53"/>
  <c r="AW224" i="53"/>
  <c r="AV224" i="53"/>
  <c r="AU224" i="53"/>
  <c r="AI224" i="53"/>
  <c r="AH224" i="53"/>
  <c r="AG224" i="53"/>
  <c r="AF224" i="53"/>
  <c r="Z224" i="53"/>
  <c r="Y224" i="53"/>
  <c r="X224" i="53"/>
  <c r="W224" i="53"/>
  <c r="G224" i="53"/>
  <c r="F224" i="53"/>
  <c r="E224" i="53"/>
  <c r="AX223" i="53"/>
  <c r="AW223" i="53"/>
  <c r="AV223" i="53"/>
  <c r="AU223" i="53"/>
  <c r="AI223" i="53"/>
  <c r="AH223" i="53"/>
  <c r="AG223" i="53"/>
  <c r="AF223" i="53"/>
  <c r="Z223" i="53"/>
  <c r="Y223" i="53"/>
  <c r="X223" i="53"/>
  <c r="W223" i="53"/>
  <c r="G223" i="53"/>
  <c r="F223" i="53"/>
  <c r="E223" i="53"/>
  <c r="G222" i="53"/>
  <c r="F222" i="53"/>
  <c r="E222" i="53"/>
  <c r="G221" i="53"/>
  <c r="F221" i="53"/>
  <c r="E221" i="53"/>
  <c r="AX220" i="53"/>
  <c r="AW220" i="53"/>
  <c r="AV220" i="53"/>
  <c r="AU220" i="53"/>
  <c r="AI220" i="53"/>
  <c r="AH220" i="53"/>
  <c r="AG220" i="53"/>
  <c r="AF220" i="53"/>
  <c r="Z220" i="53"/>
  <c r="Y220" i="53"/>
  <c r="X220" i="53"/>
  <c r="W220" i="53"/>
  <c r="G220" i="53"/>
  <c r="F220" i="53"/>
  <c r="E220" i="53"/>
  <c r="BJ219" i="53"/>
  <c r="BI219" i="53"/>
  <c r="BH219" i="53"/>
  <c r="BG219" i="53"/>
  <c r="AX219" i="53"/>
  <c r="AW219" i="53"/>
  <c r="AV219" i="53"/>
  <c r="AU219" i="53"/>
  <c r="AT219" i="53"/>
  <c r="AS219" i="53"/>
  <c r="AI219" i="53"/>
  <c r="AH219" i="53"/>
  <c r="AG219" i="53"/>
  <c r="AF219" i="53"/>
  <c r="Z219" i="53"/>
  <c r="Y219" i="53"/>
  <c r="X219" i="53"/>
  <c r="W219" i="53"/>
  <c r="V219" i="53"/>
  <c r="U219" i="53"/>
  <c r="G219" i="53"/>
  <c r="F219" i="53"/>
  <c r="E219" i="53"/>
  <c r="BE211" i="53"/>
  <c r="BC211" i="53"/>
  <c r="BA211" i="53"/>
  <c r="AQ211" i="53"/>
  <c r="AK211" i="53"/>
  <c r="AE211" i="53"/>
  <c r="AD211" i="53"/>
  <c r="AC211" i="53"/>
  <c r="S211" i="53"/>
  <c r="Q211" i="53"/>
  <c r="O211" i="53"/>
  <c r="M211" i="53"/>
  <c r="BJ209" i="53"/>
  <c r="BI209" i="53"/>
  <c r="BH209" i="53"/>
  <c r="BG209" i="53"/>
  <c r="AX209" i="53"/>
  <c r="AW209" i="53"/>
  <c r="AV209" i="53"/>
  <c r="AU209" i="53"/>
  <c r="AT209" i="53"/>
  <c r="AS209" i="53"/>
  <c r="AI209" i="53"/>
  <c r="AH209" i="53"/>
  <c r="AG209" i="53"/>
  <c r="AF209" i="53"/>
  <c r="Z209" i="53"/>
  <c r="Y209" i="53"/>
  <c r="X209" i="53"/>
  <c r="W209" i="53"/>
  <c r="V209" i="53"/>
  <c r="U209" i="53"/>
  <c r="BE206" i="53"/>
  <c r="BC206" i="53"/>
  <c r="BA206" i="53"/>
  <c r="AQ206" i="53"/>
  <c r="AK206" i="53"/>
  <c r="AT206" i="53" s="1"/>
  <c r="AE206" i="53"/>
  <c r="AD206" i="53"/>
  <c r="AC206" i="53"/>
  <c r="S206" i="53"/>
  <c r="Q206" i="53"/>
  <c r="O206" i="53"/>
  <c r="M206" i="53"/>
  <c r="BJ204" i="53"/>
  <c r="BI204" i="53"/>
  <c r="BH204" i="53"/>
  <c r="BG204" i="53"/>
  <c r="AX204" i="53"/>
  <c r="AW204" i="53"/>
  <c r="AV204" i="53"/>
  <c r="AU204" i="53"/>
  <c r="AT204" i="53"/>
  <c r="AS204" i="53"/>
  <c r="AI204" i="53"/>
  <c r="AH204" i="53"/>
  <c r="AG204" i="53"/>
  <c r="AF204" i="53"/>
  <c r="Z204" i="53"/>
  <c r="Y204" i="53"/>
  <c r="X204" i="53"/>
  <c r="W204" i="53"/>
  <c r="V204" i="53"/>
  <c r="U204" i="53"/>
  <c r="BE201" i="53"/>
  <c r="BC201" i="53"/>
  <c r="BA201" i="53"/>
  <c r="AQ201" i="53"/>
  <c r="AK201" i="53"/>
  <c r="AE201" i="53"/>
  <c r="AD201" i="53"/>
  <c r="AC201" i="53"/>
  <c r="S201" i="53"/>
  <c r="Q201" i="53"/>
  <c r="O201" i="53"/>
  <c r="M201" i="53"/>
  <c r="AU201" i="53" s="1"/>
  <c r="BJ199" i="53"/>
  <c r="BI199" i="53"/>
  <c r="BH199" i="53"/>
  <c r="BG199" i="53"/>
  <c r="AX199" i="53"/>
  <c r="AW199" i="53"/>
  <c r="AV199" i="53"/>
  <c r="AU199" i="53"/>
  <c r="AT199" i="53"/>
  <c r="AS199" i="53"/>
  <c r="AI199" i="53"/>
  <c r="AH199" i="53"/>
  <c r="AG199" i="53"/>
  <c r="AF199" i="53"/>
  <c r="Z199" i="53"/>
  <c r="Y199" i="53"/>
  <c r="X199" i="53"/>
  <c r="W199" i="53"/>
  <c r="V199" i="53"/>
  <c r="U199" i="53"/>
  <c r="BE196" i="53"/>
  <c r="BC196" i="53"/>
  <c r="BA196" i="53"/>
  <c r="AQ196" i="53"/>
  <c r="AK196" i="53"/>
  <c r="AE196" i="53"/>
  <c r="AD196" i="53"/>
  <c r="AC196" i="53"/>
  <c r="S196" i="53"/>
  <c r="Q196" i="53"/>
  <c r="O196" i="53"/>
  <c r="M196" i="53"/>
  <c r="BJ194" i="53"/>
  <c r="BI194" i="53"/>
  <c r="BH194" i="53"/>
  <c r="BG194" i="53"/>
  <c r="AX194" i="53"/>
  <c r="AW194" i="53"/>
  <c r="AV194" i="53"/>
  <c r="AU194" i="53"/>
  <c r="AT194" i="53"/>
  <c r="AS194" i="53"/>
  <c r="AI194" i="53"/>
  <c r="AH194" i="53"/>
  <c r="AG194" i="53"/>
  <c r="AF194" i="53"/>
  <c r="Z194" i="53"/>
  <c r="Y194" i="53"/>
  <c r="X194" i="53"/>
  <c r="W194" i="53"/>
  <c r="V194" i="53"/>
  <c r="U194" i="53"/>
  <c r="BE191" i="53"/>
  <c r="BC191" i="53"/>
  <c r="BA191" i="53"/>
  <c r="AQ191" i="53"/>
  <c r="AK191" i="53"/>
  <c r="AT191" i="53" s="1"/>
  <c r="AE191" i="53"/>
  <c r="AD191" i="53"/>
  <c r="AC191" i="53"/>
  <c r="S191" i="53"/>
  <c r="Q191" i="53"/>
  <c r="O191" i="53"/>
  <c r="M191" i="53"/>
  <c r="BJ189" i="53"/>
  <c r="BI189" i="53"/>
  <c r="BH189" i="53"/>
  <c r="BG189" i="53"/>
  <c r="AX189" i="53"/>
  <c r="AW189" i="53"/>
  <c r="AV189" i="53"/>
  <c r="AU189" i="53"/>
  <c r="AT189" i="53"/>
  <c r="AS189" i="53"/>
  <c r="AI189" i="53"/>
  <c r="AH189" i="53"/>
  <c r="AG189" i="53"/>
  <c r="AF189" i="53"/>
  <c r="Z189" i="53"/>
  <c r="Y189" i="53"/>
  <c r="X189" i="53"/>
  <c r="W189" i="53"/>
  <c r="V189" i="53"/>
  <c r="U189" i="53"/>
  <c r="BE186" i="53"/>
  <c r="BC186" i="53"/>
  <c r="BA186" i="53"/>
  <c r="AQ186" i="53"/>
  <c r="AK186" i="53"/>
  <c r="AT186" i="53" s="1"/>
  <c r="AE186" i="53"/>
  <c r="AD186" i="53"/>
  <c r="AC186" i="53"/>
  <c r="S186" i="53"/>
  <c r="Q186" i="53"/>
  <c r="O186" i="53"/>
  <c r="M186" i="53"/>
  <c r="BJ184" i="53"/>
  <c r="BI184" i="53"/>
  <c r="BH184" i="53"/>
  <c r="BG184" i="53"/>
  <c r="AX184" i="53"/>
  <c r="AW184" i="53"/>
  <c r="AV184" i="53"/>
  <c r="AU184" i="53"/>
  <c r="AT184" i="53"/>
  <c r="AS184" i="53"/>
  <c r="AI184" i="53"/>
  <c r="AH184" i="53"/>
  <c r="AG184" i="53"/>
  <c r="AF184" i="53"/>
  <c r="Z184" i="53"/>
  <c r="Y184" i="53"/>
  <c r="X184" i="53"/>
  <c r="W184" i="53"/>
  <c r="V184" i="53"/>
  <c r="U184" i="53"/>
  <c r="BE181" i="53"/>
  <c r="BC181" i="53"/>
  <c r="BA181" i="53"/>
  <c r="AQ181" i="53"/>
  <c r="AO181" i="53"/>
  <c r="AM181" i="53"/>
  <c r="AK181" i="53"/>
  <c r="AE181" i="53"/>
  <c r="AD181" i="53"/>
  <c r="AC181" i="53"/>
  <c r="S181" i="53"/>
  <c r="Q181" i="53"/>
  <c r="O181" i="53"/>
  <c r="M181" i="53"/>
  <c r="BJ180" i="53"/>
  <c r="BI180" i="53"/>
  <c r="BH180" i="53"/>
  <c r="BG180" i="53"/>
  <c r="AX180" i="53"/>
  <c r="AW180" i="53"/>
  <c r="AV180" i="53"/>
  <c r="AU180" i="53"/>
  <c r="AT180" i="53"/>
  <c r="AS180" i="53"/>
  <c r="AI180" i="53"/>
  <c r="AH180" i="53"/>
  <c r="AG180" i="53"/>
  <c r="AF180" i="53"/>
  <c r="Z180" i="53"/>
  <c r="Y180" i="53"/>
  <c r="X180" i="53"/>
  <c r="W180" i="53"/>
  <c r="V180" i="53"/>
  <c r="U180" i="53"/>
  <c r="BJ179" i="53"/>
  <c r="BI179" i="53"/>
  <c r="BH179" i="53"/>
  <c r="BG179" i="53"/>
  <c r="AX179" i="53"/>
  <c r="AW179" i="53"/>
  <c r="AV179" i="53"/>
  <c r="AU179" i="53"/>
  <c r="AT179" i="53"/>
  <c r="AS179" i="53"/>
  <c r="Z179" i="53"/>
  <c r="Y179" i="53"/>
  <c r="X179" i="53"/>
  <c r="W179" i="53"/>
  <c r="V179" i="53"/>
  <c r="U179" i="53"/>
  <c r="BE176" i="53"/>
  <c r="BC176" i="53"/>
  <c r="BA176" i="53"/>
  <c r="AQ176" i="53"/>
  <c r="AO176" i="53"/>
  <c r="AM176" i="53"/>
  <c r="AK176" i="53"/>
  <c r="AE176" i="53"/>
  <c r="AD176" i="53"/>
  <c r="AC176" i="53"/>
  <c r="S176" i="53"/>
  <c r="Q176" i="53"/>
  <c r="O176" i="53"/>
  <c r="M176" i="53"/>
  <c r="BJ175" i="53"/>
  <c r="BI175" i="53"/>
  <c r="BH175" i="53"/>
  <c r="BG175" i="53"/>
  <c r="AX175" i="53"/>
  <c r="AW175" i="53"/>
  <c r="AV175" i="53"/>
  <c r="AU175" i="53"/>
  <c r="AT175" i="53"/>
  <c r="AS175" i="53"/>
  <c r="AI175" i="53"/>
  <c r="AH175" i="53"/>
  <c r="AG175" i="53"/>
  <c r="AF175" i="53"/>
  <c r="Z175" i="53"/>
  <c r="Y175" i="53"/>
  <c r="X175" i="53"/>
  <c r="W175" i="53"/>
  <c r="V175" i="53"/>
  <c r="U175" i="53"/>
  <c r="BJ174" i="53"/>
  <c r="BI174" i="53"/>
  <c r="BH174" i="53"/>
  <c r="BG174" i="53"/>
  <c r="AX174" i="53"/>
  <c r="AW174" i="53"/>
  <c r="AV174" i="53"/>
  <c r="AU174" i="53"/>
  <c r="AT174" i="53"/>
  <c r="AS174" i="53"/>
  <c r="Z174" i="53"/>
  <c r="Y174" i="53"/>
  <c r="X174" i="53"/>
  <c r="W174" i="53"/>
  <c r="V174" i="53"/>
  <c r="U174" i="53"/>
  <c r="BE171" i="53"/>
  <c r="BC171" i="53"/>
  <c r="BA171" i="53"/>
  <c r="AQ171" i="53"/>
  <c r="AO171" i="53"/>
  <c r="AM171" i="53"/>
  <c r="AK171" i="53"/>
  <c r="AE171" i="53"/>
  <c r="AD171" i="53"/>
  <c r="AC171" i="53"/>
  <c r="S171" i="53"/>
  <c r="Q171" i="53"/>
  <c r="O171" i="53"/>
  <c r="M171" i="53"/>
  <c r="BJ170" i="53"/>
  <c r="BI170" i="53"/>
  <c r="BH170" i="53"/>
  <c r="BG170" i="53"/>
  <c r="AX170" i="53"/>
  <c r="AW170" i="53"/>
  <c r="AV170" i="53"/>
  <c r="AU170" i="53"/>
  <c r="AT170" i="53"/>
  <c r="AS170" i="53"/>
  <c r="AI170" i="53"/>
  <c r="AH170" i="53"/>
  <c r="AG170" i="53"/>
  <c r="AF170" i="53"/>
  <c r="Z170" i="53"/>
  <c r="Y170" i="53"/>
  <c r="X170" i="53"/>
  <c r="W170" i="53"/>
  <c r="V170" i="53"/>
  <c r="U170" i="53"/>
  <c r="BJ169" i="53"/>
  <c r="BI169" i="53"/>
  <c r="BH169" i="53"/>
  <c r="BG169" i="53"/>
  <c r="AX169" i="53"/>
  <c r="AW169" i="53"/>
  <c r="AV169" i="53"/>
  <c r="AU169" i="53"/>
  <c r="AT169" i="53"/>
  <c r="AS169" i="53"/>
  <c r="Z169" i="53"/>
  <c r="Y169" i="53"/>
  <c r="X169" i="53"/>
  <c r="W169" i="53"/>
  <c r="V169" i="53"/>
  <c r="U169" i="53"/>
  <c r="BE166" i="53"/>
  <c r="BC166" i="53"/>
  <c r="BA166" i="53"/>
  <c r="AQ166" i="53"/>
  <c r="AO166" i="53"/>
  <c r="AM166" i="53"/>
  <c r="AK166" i="53"/>
  <c r="AE166" i="53"/>
  <c r="AD166" i="53"/>
  <c r="AC166" i="53"/>
  <c r="S166" i="53"/>
  <c r="Q166" i="53"/>
  <c r="O166" i="53"/>
  <c r="M166" i="53"/>
  <c r="BJ165" i="53"/>
  <c r="BI165" i="53"/>
  <c r="BH165" i="53"/>
  <c r="BG165" i="53"/>
  <c r="AX165" i="53"/>
  <c r="AW165" i="53"/>
  <c r="AV165" i="53"/>
  <c r="AU165" i="53"/>
  <c r="AT165" i="53"/>
  <c r="AS165" i="53"/>
  <c r="AI165" i="53"/>
  <c r="AH165" i="53"/>
  <c r="AG165" i="53"/>
  <c r="AF165" i="53"/>
  <c r="Z165" i="53"/>
  <c r="Y165" i="53"/>
  <c r="X165" i="53"/>
  <c r="W165" i="53"/>
  <c r="V165" i="53"/>
  <c r="U165" i="53"/>
  <c r="BJ164" i="53"/>
  <c r="BI164" i="53"/>
  <c r="BH164" i="53"/>
  <c r="BG164" i="53"/>
  <c r="AX164" i="53"/>
  <c r="AW164" i="53"/>
  <c r="AV164" i="53"/>
  <c r="AU164" i="53"/>
  <c r="AT164" i="53"/>
  <c r="AS164" i="53"/>
  <c r="Z164" i="53"/>
  <c r="Y164" i="53"/>
  <c r="X164" i="53"/>
  <c r="W164" i="53"/>
  <c r="V164" i="53"/>
  <c r="U164" i="53"/>
  <c r="BE161" i="53"/>
  <c r="BC161" i="53"/>
  <c r="BA161" i="53"/>
  <c r="AQ161" i="53"/>
  <c r="AO161" i="53"/>
  <c r="AM161" i="53"/>
  <c r="AK161" i="53"/>
  <c r="AE161" i="53"/>
  <c r="AD161" i="53"/>
  <c r="AC161" i="53"/>
  <c r="S161" i="53"/>
  <c r="Q161" i="53"/>
  <c r="O161" i="53"/>
  <c r="M161" i="53"/>
  <c r="BJ155" i="53"/>
  <c r="BI155" i="53"/>
  <c r="BH155" i="53"/>
  <c r="BG155" i="53"/>
  <c r="AX155" i="53"/>
  <c r="AW155" i="53"/>
  <c r="AV155" i="53"/>
  <c r="AU155" i="53"/>
  <c r="AT155" i="53"/>
  <c r="AS155" i="53"/>
  <c r="AI155" i="53"/>
  <c r="AH155" i="53"/>
  <c r="AG155" i="53"/>
  <c r="AF155" i="53"/>
  <c r="Z155" i="53"/>
  <c r="Y155" i="53"/>
  <c r="X155" i="53"/>
  <c r="W155" i="53"/>
  <c r="V155" i="53"/>
  <c r="U155" i="53"/>
  <c r="BJ154" i="53"/>
  <c r="BI154" i="53"/>
  <c r="BH154" i="53"/>
  <c r="BG154" i="53"/>
  <c r="AX154" i="53"/>
  <c r="AW154" i="53"/>
  <c r="AV154" i="53"/>
  <c r="AU154" i="53"/>
  <c r="AT154" i="53"/>
  <c r="AS154" i="53"/>
  <c r="Z154" i="53"/>
  <c r="Y154" i="53"/>
  <c r="X154" i="53"/>
  <c r="W154" i="53"/>
  <c r="V154" i="53"/>
  <c r="U154" i="53"/>
  <c r="BE151" i="53"/>
  <c r="BC151" i="53"/>
  <c r="BA151" i="53"/>
  <c r="AQ151" i="53"/>
  <c r="AO151" i="53"/>
  <c r="AM151" i="53"/>
  <c r="AK151" i="53"/>
  <c r="AE151" i="53"/>
  <c r="AD151" i="53"/>
  <c r="AC151" i="53"/>
  <c r="S151" i="53"/>
  <c r="Q151" i="53"/>
  <c r="O151" i="53"/>
  <c r="M151" i="53"/>
  <c r="BJ150" i="53"/>
  <c r="BI150" i="53"/>
  <c r="BH150" i="53"/>
  <c r="BG150" i="53"/>
  <c r="AX150" i="53"/>
  <c r="AW150" i="53"/>
  <c r="AV150" i="53"/>
  <c r="AU150" i="53"/>
  <c r="AT150" i="53"/>
  <c r="AS150" i="53"/>
  <c r="AI150" i="53"/>
  <c r="AH150" i="53"/>
  <c r="AG150" i="53"/>
  <c r="AF150" i="53"/>
  <c r="Z150" i="53"/>
  <c r="Y150" i="53"/>
  <c r="X150" i="53"/>
  <c r="W150" i="53"/>
  <c r="V150" i="53"/>
  <c r="U150" i="53"/>
  <c r="BJ149" i="53"/>
  <c r="BI149" i="53"/>
  <c r="BH149" i="53"/>
  <c r="BG149" i="53"/>
  <c r="AX149" i="53"/>
  <c r="AW149" i="53"/>
  <c r="AV149" i="53"/>
  <c r="AU149" i="53"/>
  <c r="AT149" i="53"/>
  <c r="AS149" i="53"/>
  <c r="Z149" i="53"/>
  <c r="Y149" i="53"/>
  <c r="X149" i="53"/>
  <c r="W149" i="53"/>
  <c r="V149" i="53"/>
  <c r="U149" i="53"/>
  <c r="BE146" i="53"/>
  <c r="BC146" i="53"/>
  <c r="BA146" i="53"/>
  <c r="AQ146" i="53"/>
  <c r="AO146" i="53"/>
  <c r="AM146" i="53"/>
  <c r="AK146" i="53"/>
  <c r="AE146" i="53"/>
  <c r="AD146" i="53"/>
  <c r="AC146" i="53"/>
  <c r="S146" i="53"/>
  <c r="Q146" i="53"/>
  <c r="O146" i="53"/>
  <c r="M146" i="53"/>
  <c r="BJ145" i="53"/>
  <c r="BI145" i="53"/>
  <c r="BH145" i="53"/>
  <c r="BG145" i="53"/>
  <c r="AX145" i="53"/>
  <c r="AW145" i="53"/>
  <c r="AV145" i="53"/>
  <c r="AU145" i="53"/>
  <c r="AT145" i="53"/>
  <c r="AS145" i="53"/>
  <c r="Z145" i="53"/>
  <c r="Y145" i="53"/>
  <c r="X145" i="53"/>
  <c r="W145" i="53"/>
  <c r="V145" i="53"/>
  <c r="U145" i="53"/>
  <c r="BJ144" i="53"/>
  <c r="BI144" i="53"/>
  <c r="BH144" i="53"/>
  <c r="BG144" i="53"/>
  <c r="AX144" i="53"/>
  <c r="AW144" i="53"/>
  <c r="AV144" i="53"/>
  <c r="AU144" i="53"/>
  <c r="AT144" i="53"/>
  <c r="AS144" i="53"/>
  <c r="Z144" i="53"/>
  <c r="Y144" i="53"/>
  <c r="X144" i="53"/>
  <c r="W144" i="53"/>
  <c r="V144" i="53"/>
  <c r="U144" i="53"/>
  <c r="BJ143" i="53"/>
  <c r="BI143" i="53"/>
  <c r="BH143" i="53"/>
  <c r="BG143" i="53"/>
  <c r="AX143" i="53"/>
  <c r="AW143" i="53"/>
  <c r="AV143" i="53"/>
  <c r="AU143" i="53"/>
  <c r="AT143" i="53"/>
  <c r="AS143" i="53"/>
  <c r="Z143" i="53"/>
  <c r="Y143" i="53"/>
  <c r="X143" i="53"/>
  <c r="W143" i="53"/>
  <c r="V143" i="53"/>
  <c r="U143" i="53"/>
  <c r="BJ142" i="53"/>
  <c r="BI142" i="53"/>
  <c r="BH142" i="53"/>
  <c r="BG142" i="53"/>
  <c r="AX142" i="53"/>
  <c r="AW142" i="53"/>
  <c r="AV142" i="53"/>
  <c r="AU142" i="53"/>
  <c r="AT142" i="53"/>
  <c r="AS142" i="53"/>
  <c r="Z142" i="53"/>
  <c r="Y142" i="53"/>
  <c r="X142" i="53"/>
  <c r="W142" i="53"/>
  <c r="V142" i="53"/>
  <c r="U142" i="53"/>
  <c r="BJ141" i="53"/>
  <c r="BI141" i="53"/>
  <c r="BH141" i="53"/>
  <c r="BG141" i="53"/>
  <c r="AX141" i="53"/>
  <c r="AW141" i="53"/>
  <c r="AV141" i="53"/>
  <c r="AU141" i="53"/>
  <c r="AT141" i="53"/>
  <c r="AS141" i="53"/>
  <c r="AI141" i="53"/>
  <c r="AH141" i="53"/>
  <c r="AG141" i="53"/>
  <c r="AF141" i="53"/>
  <c r="Z141" i="53"/>
  <c r="Y141" i="53"/>
  <c r="X141" i="53"/>
  <c r="W141" i="53"/>
  <c r="V141" i="53"/>
  <c r="U141" i="53"/>
  <c r="BJ140" i="53"/>
  <c r="BI140" i="53"/>
  <c r="BH140" i="53"/>
  <c r="BG140" i="53"/>
  <c r="AX140" i="53"/>
  <c r="AW140" i="53"/>
  <c r="AV140" i="53"/>
  <c r="AU140" i="53"/>
  <c r="AT140" i="53"/>
  <c r="AS140" i="53"/>
  <c r="Z140" i="53"/>
  <c r="Y140" i="53"/>
  <c r="X140" i="53"/>
  <c r="W140" i="53"/>
  <c r="V140" i="53"/>
  <c r="U140" i="53"/>
  <c r="G236" i="56"/>
  <c r="F236" i="56"/>
  <c r="E236" i="56"/>
  <c r="AX233" i="56"/>
  <c r="AW233" i="56"/>
  <c r="AV233" i="56"/>
  <c r="AU233" i="56"/>
  <c r="AI233" i="56"/>
  <c r="AH233" i="56"/>
  <c r="AG233" i="56"/>
  <c r="AF233" i="56"/>
  <c r="Z233" i="56"/>
  <c r="Y233" i="56"/>
  <c r="X233" i="56"/>
  <c r="W233" i="56"/>
  <c r="G233" i="56"/>
  <c r="F233" i="56"/>
  <c r="E233" i="56"/>
  <c r="AX232" i="56"/>
  <c r="AW232" i="56"/>
  <c r="AV232" i="56"/>
  <c r="AU232" i="56"/>
  <c r="AI232" i="56"/>
  <c r="AH232" i="56"/>
  <c r="AG232" i="56"/>
  <c r="AF232" i="56"/>
  <c r="Z232" i="56"/>
  <c r="Y232" i="56"/>
  <c r="X232" i="56"/>
  <c r="W232" i="56"/>
  <c r="G232" i="56"/>
  <c r="F232" i="56"/>
  <c r="E232" i="56"/>
  <c r="AX231" i="56"/>
  <c r="AW231" i="56"/>
  <c r="AV231" i="56"/>
  <c r="AU231" i="56"/>
  <c r="AI231" i="56"/>
  <c r="AH231" i="56"/>
  <c r="AG231" i="56"/>
  <c r="AF231" i="56"/>
  <c r="Z231" i="56"/>
  <c r="Y231" i="56"/>
  <c r="X231" i="56"/>
  <c r="W231" i="56"/>
  <c r="G231" i="56"/>
  <c r="F231" i="56"/>
  <c r="E231" i="56"/>
  <c r="AX230" i="56"/>
  <c r="AW230" i="56"/>
  <c r="AV230" i="56"/>
  <c r="AU230" i="56"/>
  <c r="AI230" i="56"/>
  <c r="AH230" i="56"/>
  <c r="AG230" i="56"/>
  <c r="AF230" i="56"/>
  <c r="Z230" i="56"/>
  <c r="Y230" i="56"/>
  <c r="X230" i="56"/>
  <c r="W230" i="56"/>
  <c r="G230" i="56"/>
  <c r="F230" i="56"/>
  <c r="E230" i="56"/>
  <c r="AX229" i="56"/>
  <c r="AW229" i="56"/>
  <c r="AV229" i="56"/>
  <c r="AU229" i="56"/>
  <c r="AI229" i="56"/>
  <c r="AH229" i="56"/>
  <c r="AG229" i="56"/>
  <c r="AF229" i="56"/>
  <c r="Z229" i="56"/>
  <c r="Y229" i="56"/>
  <c r="X229" i="56"/>
  <c r="W229" i="56"/>
  <c r="G229" i="56"/>
  <c r="F229" i="56"/>
  <c r="E229" i="56"/>
  <c r="AX228" i="56"/>
  <c r="AW228" i="56"/>
  <c r="AV228" i="56"/>
  <c r="AU228" i="56"/>
  <c r="AI228" i="56"/>
  <c r="AH228" i="56"/>
  <c r="AG228" i="56"/>
  <c r="AF228" i="56"/>
  <c r="Z228" i="56"/>
  <c r="Y228" i="56"/>
  <c r="X228" i="56"/>
  <c r="W228" i="56"/>
  <c r="G228" i="56"/>
  <c r="F228" i="56"/>
  <c r="E228" i="56"/>
  <c r="G227" i="56"/>
  <c r="F227" i="56"/>
  <c r="E227" i="56"/>
  <c r="G226" i="56"/>
  <c r="F226" i="56"/>
  <c r="E226" i="56"/>
  <c r="AX225" i="56"/>
  <c r="AW225" i="56"/>
  <c r="AV225" i="56"/>
  <c r="AU225" i="56"/>
  <c r="AI225" i="56"/>
  <c r="AH225" i="56"/>
  <c r="AG225" i="56"/>
  <c r="AF225" i="56"/>
  <c r="Z225" i="56"/>
  <c r="Y225" i="56"/>
  <c r="X225" i="56"/>
  <c r="W225" i="56"/>
  <c r="G225" i="56"/>
  <c r="F225" i="56"/>
  <c r="E225" i="56"/>
  <c r="BJ224" i="56"/>
  <c r="BI224" i="56"/>
  <c r="BH224" i="56"/>
  <c r="BG224" i="56"/>
  <c r="AX224" i="56"/>
  <c r="AW224" i="56"/>
  <c r="AV224" i="56"/>
  <c r="AU224" i="56"/>
  <c r="AT224" i="56"/>
  <c r="AS224" i="56"/>
  <c r="AI224" i="56"/>
  <c r="AH224" i="56"/>
  <c r="AG224" i="56"/>
  <c r="AF224" i="56"/>
  <c r="Z224" i="56"/>
  <c r="Y224" i="56"/>
  <c r="X224" i="56"/>
  <c r="W224" i="56"/>
  <c r="V224" i="56"/>
  <c r="U224" i="56"/>
  <c r="G224" i="56"/>
  <c r="F224" i="56"/>
  <c r="E224" i="56"/>
  <c r="BE216" i="56"/>
  <c r="BC216" i="56"/>
  <c r="BA216" i="56"/>
  <c r="AQ216" i="56"/>
  <c r="AK216" i="56"/>
  <c r="AT216" i="56" s="1"/>
  <c r="AE216" i="56"/>
  <c r="AD216" i="56"/>
  <c r="AC216" i="56"/>
  <c r="S216" i="56"/>
  <c r="Q216" i="56"/>
  <c r="O216" i="56"/>
  <c r="M216" i="56"/>
  <c r="BJ214" i="56"/>
  <c r="BI214" i="56"/>
  <c r="BH214" i="56"/>
  <c r="BG214" i="56"/>
  <c r="AX214" i="56"/>
  <c r="AW214" i="56"/>
  <c r="AV214" i="56"/>
  <c r="AU214" i="56"/>
  <c r="AT214" i="56"/>
  <c r="AS214" i="56"/>
  <c r="AI214" i="56"/>
  <c r="AH214" i="56"/>
  <c r="AG214" i="56"/>
  <c r="AF214" i="56"/>
  <c r="Z214" i="56"/>
  <c r="Y214" i="56"/>
  <c r="X214" i="56"/>
  <c r="W214" i="56"/>
  <c r="V214" i="56"/>
  <c r="U214" i="56"/>
  <c r="BE211" i="56"/>
  <c r="BC211" i="56"/>
  <c r="BA211" i="56"/>
  <c r="AQ211" i="56"/>
  <c r="AK211" i="56"/>
  <c r="AV211" i="56" s="1"/>
  <c r="AE211" i="56"/>
  <c r="AD211" i="56"/>
  <c r="AC211" i="56"/>
  <c r="S211" i="56"/>
  <c r="Q211" i="56"/>
  <c r="O211" i="56"/>
  <c r="M211" i="56"/>
  <c r="BJ209" i="56"/>
  <c r="BI209" i="56"/>
  <c r="BH209" i="56"/>
  <c r="BG209" i="56"/>
  <c r="AX209" i="56"/>
  <c r="AW209" i="56"/>
  <c r="AV209" i="56"/>
  <c r="AU209" i="56"/>
  <c r="AT209" i="56"/>
  <c r="AS209" i="56"/>
  <c r="AI209" i="56"/>
  <c r="AH209" i="56"/>
  <c r="AG209" i="56"/>
  <c r="AF209" i="56"/>
  <c r="Z209" i="56"/>
  <c r="Y209" i="56"/>
  <c r="X209" i="56"/>
  <c r="W209" i="56"/>
  <c r="V209" i="56"/>
  <c r="U209" i="56"/>
  <c r="BE206" i="56"/>
  <c r="BC206" i="56"/>
  <c r="BA206" i="56"/>
  <c r="AQ206" i="56"/>
  <c r="AK206" i="56"/>
  <c r="AT206" i="56" s="1"/>
  <c r="AE206" i="56"/>
  <c r="AD206" i="56"/>
  <c r="AC206" i="56"/>
  <c r="S206" i="56"/>
  <c r="Q206" i="56"/>
  <c r="O206" i="56"/>
  <c r="M206" i="56"/>
  <c r="BJ204" i="56"/>
  <c r="BI204" i="56"/>
  <c r="BH204" i="56"/>
  <c r="BG204" i="56"/>
  <c r="AX204" i="56"/>
  <c r="AW204" i="56"/>
  <c r="AV204" i="56"/>
  <c r="AU204" i="56"/>
  <c r="AT204" i="56"/>
  <c r="AS204" i="56"/>
  <c r="AI204" i="56"/>
  <c r="AH204" i="56"/>
  <c r="AG204" i="56"/>
  <c r="AF204" i="56"/>
  <c r="Z204" i="56"/>
  <c r="Y204" i="56"/>
  <c r="X204" i="56"/>
  <c r="W204" i="56"/>
  <c r="V204" i="56"/>
  <c r="U204" i="56"/>
  <c r="BE201" i="56"/>
  <c r="BC201" i="56"/>
  <c r="BA201" i="56"/>
  <c r="AQ201" i="56"/>
  <c r="AK201" i="56"/>
  <c r="AV201" i="56" s="1"/>
  <c r="AE201" i="56"/>
  <c r="AD201" i="56"/>
  <c r="AC201" i="56"/>
  <c r="S201" i="56"/>
  <c r="Q201" i="56"/>
  <c r="O201" i="56"/>
  <c r="M201" i="56"/>
  <c r="BJ199" i="56"/>
  <c r="BI199" i="56"/>
  <c r="BH199" i="56"/>
  <c r="BG199" i="56"/>
  <c r="AX199" i="56"/>
  <c r="AW199" i="56"/>
  <c r="AV199" i="56"/>
  <c r="AU199" i="56"/>
  <c r="AT199" i="56"/>
  <c r="AS199" i="56"/>
  <c r="AI199" i="56"/>
  <c r="AH199" i="56"/>
  <c r="AG199" i="56"/>
  <c r="AF199" i="56"/>
  <c r="Z199" i="56"/>
  <c r="Y199" i="56"/>
  <c r="X199" i="56"/>
  <c r="W199" i="56"/>
  <c r="V199" i="56"/>
  <c r="U199" i="56"/>
  <c r="BE196" i="56"/>
  <c r="BC196" i="56"/>
  <c r="BA196" i="56"/>
  <c r="AQ196" i="56"/>
  <c r="AK196" i="56"/>
  <c r="AT196" i="56" s="1"/>
  <c r="AE196" i="56"/>
  <c r="AD196" i="56"/>
  <c r="AC196" i="56"/>
  <c r="S196" i="56"/>
  <c r="Q196" i="56"/>
  <c r="O196" i="56"/>
  <c r="M196" i="56"/>
  <c r="BJ194" i="56"/>
  <c r="BI194" i="56"/>
  <c r="BH194" i="56"/>
  <c r="BG194" i="56"/>
  <c r="AX194" i="56"/>
  <c r="AW194" i="56"/>
  <c r="AV194" i="56"/>
  <c r="AU194" i="56"/>
  <c r="AT194" i="56"/>
  <c r="AS194" i="56"/>
  <c r="AI194" i="56"/>
  <c r="AH194" i="56"/>
  <c r="AG194" i="56"/>
  <c r="AF194" i="56"/>
  <c r="Z194" i="56"/>
  <c r="Y194" i="56"/>
  <c r="X194" i="56"/>
  <c r="W194" i="56"/>
  <c r="V194" i="56"/>
  <c r="U194" i="56"/>
  <c r="BE191" i="56"/>
  <c r="BC191" i="56"/>
  <c r="BA191" i="56"/>
  <c r="AQ191" i="56"/>
  <c r="AK191" i="56"/>
  <c r="AT191" i="56" s="1"/>
  <c r="AE191" i="56"/>
  <c r="AD191" i="56"/>
  <c r="AC191" i="56"/>
  <c r="S191" i="56"/>
  <c r="Q191" i="56"/>
  <c r="O191" i="56"/>
  <c r="M191" i="56"/>
  <c r="AU191" i="56" s="1"/>
  <c r="BJ189" i="56"/>
  <c r="BI189" i="56"/>
  <c r="BH189" i="56"/>
  <c r="BG189" i="56"/>
  <c r="AX189" i="56"/>
  <c r="AW189" i="56"/>
  <c r="AV189" i="56"/>
  <c r="AU189" i="56"/>
  <c r="AT189" i="56"/>
  <c r="AS189" i="56"/>
  <c r="AI189" i="56"/>
  <c r="AH189" i="56"/>
  <c r="AG189" i="56"/>
  <c r="AF189" i="56"/>
  <c r="Z189" i="56"/>
  <c r="Y189" i="56"/>
  <c r="X189" i="56"/>
  <c r="W189" i="56"/>
  <c r="V189" i="56"/>
  <c r="U189" i="56"/>
  <c r="BE186" i="56"/>
  <c r="BC186" i="56"/>
  <c r="BA186" i="56"/>
  <c r="AQ186" i="56"/>
  <c r="AO186" i="56"/>
  <c r="AM186" i="56"/>
  <c r="AK186" i="56"/>
  <c r="AE186" i="56"/>
  <c r="AD186" i="56"/>
  <c r="AC186" i="56"/>
  <c r="S186" i="56"/>
  <c r="Q186" i="56"/>
  <c r="O186" i="56"/>
  <c r="M186" i="56"/>
  <c r="BJ185" i="56"/>
  <c r="BI185" i="56"/>
  <c r="BH185" i="56"/>
  <c r="BG185" i="56"/>
  <c r="AX185" i="56"/>
  <c r="AW185" i="56"/>
  <c r="AV185" i="56"/>
  <c r="AU185" i="56"/>
  <c r="AT185" i="56"/>
  <c r="AS185" i="56"/>
  <c r="AI185" i="56"/>
  <c r="AH185" i="56"/>
  <c r="AG185" i="56"/>
  <c r="AF185" i="56"/>
  <c r="Z185" i="56"/>
  <c r="Y185" i="56"/>
  <c r="X185" i="56"/>
  <c r="W185" i="56"/>
  <c r="V185" i="56"/>
  <c r="U185" i="56"/>
  <c r="BJ184" i="56"/>
  <c r="BI184" i="56"/>
  <c r="BH184" i="56"/>
  <c r="BG184" i="56"/>
  <c r="AX184" i="56"/>
  <c r="AW184" i="56"/>
  <c r="AV184" i="56"/>
  <c r="AU184" i="56"/>
  <c r="AT184" i="56"/>
  <c r="AS184" i="56"/>
  <c r="Z184" i="56"/>
  <c r="Y184" i="56"/>
  <c r="X184" i="56"/>
  <c r="W184" i="56"/>
  <c r="V184" i="56"/>
  <c r="U184" i="56"/>
  <c r="BE181" i="56"/>
  <c r="BC181" i="56"/>
  <c r="BA181" i="56"/>
  <c r="AQ181" i="56"/>
  <c r="AO181" i="56"/>
  <c r="AM181" i="56"/>
  <c r="AK181" i="56"/>
  <c r="AE181" i="56"/>
  <c r="AD181" i="56"/>
  <c r="AC181" i="56"/>
  <c r="S181" i="56"/>
  <c r="Q181" i="56"/>
  <c r="O181" i="56"/>
  <c r="M181" i="56"/>
  <c r="BJ180" i="56"/>
  <c r="BI180" i="56"/>
  <c r="BH180" i="56"/>
  <c r="BG180" i="56"/>
  <c r="AX180" i="56"/>
  <c r="AW180" i="56"/>
  <c r="AV180" i="56"/>
  <c r="AU180" i="56"/>
  <c r="AT180" i="56"/>
  <c r="AS180" i="56"/>
  <c r="AI180" i="56"/>
  <c r="AH180" i="56"/>
  <c r="AG180" i="56"/>
  <c r="AF180" i="56"/>
  <c r="Z180" i="56"/>
  <c r="Y180" i="56"/>
  <c r="X180" i="56"/>
  <c r="W180" i="56"/>
  <c r="V180" i="56"/>
  <c r="U180" i="56"/>
  <c r="BJ179" i="56"/>
  <c r="BI179" i="56"/>
  <c r="BH179" i="56"/>
  <c r="BG179" i="56"/>
  <c r="AX179" i="56"/>
  <c r="AW179" i="56"/>
  <c r="AV179" i="56"/>
  <c r="AU179" i="56"/>
  <c r="AT179" i="56"/>
  <c r="AS179" i="56"/>
  <c r="Z179" i="56"/>
  <c r="Y179" i="56"/>
  <c r="X179" i="56"/>
  <c r="W179" i="56"/>
  <c r="V179" i="56"/>
  <c r="U179" i="56"/>
  <c r="BE176" i="56"/>
  <c r="BC176" i="56"/>
  <c r="BA176" i="56"/>
  <c r="AQ176" i="56"/>
  <c r="AO176" i="56"/>
  <c r="AM176" i="56"/>
  <c r="AK176" i="56"/>
  <c r="AE176" i="56"/>
  <c r="AD176" i="56"/>
  <c r="AC176" i="56"/>
  <c r="S176" i="56"/>
  <c r="Q176" i="56"/>
  <c r="O176" i="56"/>
  <c r="M176" i="56"/>
  <c r="BJ175" i="56"/>
  <c r="BI175" i="56"/>
  <c r="BH175" i="56"/>
  <c r="BG175" i="56"/>
  <c r="AX175" i="56"/>
  <c r="AW175" i="56"/>
  <c r="AV175" i="56"/>
  <c r="AU175" i="56"/>
  <c r="AT175" i="56"/>
  <c r="AS175" i="56"/>
  <c r="AI175" i="56"/>
  <c r="AH175" i="56"/>
  <c r="AG175" i="56"/>
  <c r="AF175" i="56"/>
  <c r="Z175" i="56"/>
  <c r="Y175" i="56"/>
  <c r="X175" i="56"/>
  <c r="W175" i="56"/>
  <c r="V175" i="56"/>
  <c r="U175" i="56"/>
  <c r="BJ174" i="56"/>
  <c r="BI174" i="56"/>
  <c r="BH174" i="56"/>
  <c r="BG174" i="56"/>
  <c r="AX174" i="56"/>
  <c r="AW174" i="56"/>
  <c r="AV174" i="56"/>
  <c r="AU174" i="56"/>
  <c r="AT174" i="56"/>
  <c r="AS174" i="56"/>
  <c r="Z174" i="56"/>
  <c r="Y174" i="56"/>
  <c r="X174" i="56"/>
  <c r="W174" i="56"/>
  <c r="V174" i="56"/>
  <c r="U174" i="56"/>
  <c r="BE171" i="56"/>
  <c r="BC171" i="56"/>
  <c r="BA171" i="56"/>
  <c r="AQ171" i="56"/>
  <c r="AO171" i="56"/>
  <c r="AM171" i="56"/>
  <c r="AK171" i="56"/>
  <c r="AE171" i="56"/>
  <c r="AD171" i="56"/>
  <c r="AC171" i="56"/>
  <c r="S171" i="56"/>
  <c r="Q171" i="56"/>
  <c r="O171" i="56"/>
  <c r="M171" i="56"/>
  <c r="BJ170" i="56"/>
  <c r="BI170" i="56"/>
  <c r="BH170" i="56"/>
  <c r="BG170" i="56"/>
  <c r="AX170" i="56"/>
  <c r="AW170" i="56"/>
  <c r="AV170" i="56"/>
  <c r="AU170" i="56"/>
  <c r="AT170" i="56"/>
  <c r="AS170" i="56"/>
  <c r="AI170" i="56"/>
  <c r="AH170" i="56"/>
  <c r="AG170" i="56"/>
  <c r="AF170" i="56"/>
  <c r="Z170" i="56"/>
  <c r="Y170" i="56"/>
  <c r="X170" i="56"/>
  <c r="W170" i="56"/>
  <c r="V170" i="56"/>
  <c r="U170" i="56"/>
  <c r="BJ169" i="56"/>
  <c r="BI169" i="56"/>
  <c r="BH169" i="56"/>
  <c r="BG169" i="56"/>
  <c r="AX169" i="56"/>
  <c r="AW169" i="56"/>
  <c r="AV169" i="56"/>
  <c r="AU169" i="56"/>
  <c r="AT169" i="56"/>
  <c r="AS169" i="56"/>
  <c r="Z169" i="56"/>
  <c r="Y169" i="56"/>
  <c r="X169" i="56"/>
  <c r="W169" i="56"/>
  <c r="V169" i="56"/>
  <c r="U169" i="56"/>
  <c r="BE166" i="56"/>
  <c r="BC166" i="56"/>
  <c r="BA166" i="56"/>
  <c r="AQ166" i="56"/>
  <c r="AO166" i="56"/>
  <c r="AM166" i="56"/>
  <c r="AK166" i="56"/>
  <c r="AE166" i="56"/>
  <c r="AD166" i="56"/>
  <c r="AC166" i="56"/>
  <c r="S166" i="56"/>
  <c r="Q166" i="56"/>
  <c r="O166" i="56"/>
  <c r="M166" i="56"/>
  <c r="BJ158" i="56"/>
  <c r="BI158" i="56"/>
  <c r="BH158" i="56"/>
  <c r="BG158" i="56"/>
  <c r="AX158" i="56"/>
  <c r="AW158" i="56"/>
  <c r="AV158" i="56"/>
  <c r="AU158" i="56"/>
  <c r="AT158" i="56"/>
  <c r="AS158" i="56"/>
  <c r="AI158" i="56"/>
  <c r="AH158" i="56"/>
  <c r="AG158" i="56"/>
  <c r="AF158" i="56"/>
  <c r="Z158" i="56"/>
  <c r="Y158" i="56"/>
  <c r="X158" i="56"/>
  <c r="W158" i="56"/>
  <c r="V158" i="56"/>
  <c r="U158" i="56"/>
  <c r="BJ157" i="56"/>
  <c r="BI157" i="56"/>
  <c r="BH157" i="56"/>
  <c r="BG157" i="56"/>
  <c r="AX157" i="56"/>
  <c r="AW157" i="56"/>
  <c r="AV157" i="56"/>
  <c r="AU157" i="56"/>
  <c r="AT157" i="56"/>
  <c r="AS157" i="56"/>
  <c r="Z157" i="56"/>
  <c r="Y157" i="56"/>
  <c r="X157" i="56"/>
  <c r="W157" i="56"/>
  <c r="V157" i="56"/>
  <c r="U157" i="56"/>
  <c r="BE154" i="56"/>
  <c r="BC154" i="56"/>
  <c r="BA154" i="56"/>
  <c r="AQ154" i="56"/>
  <c r="AO154" i="56"/>
  <c r="AM154" i="56"/>
  <c r="AK154" i="56"/>
  <c r="AE154" i="56"/>
  <c r="AD154" i="56"/>
  <c r="AC154" i="56"/>
  <c r="S154" i="56"/>
  <c r="Q154" i="56"/>
  <c r="O154" i="56"/>
  <c r="M154" i="56"/>
  <c r="BJ153" i="56"/>
  <c r="BI153" i="56"/>
  <c r="BH153" i="56"/>
  <c r="BG153" i="56"/>
  <c r="AX153" i="56"/>
  <c r="AW153" i="56"/>
  <c r="AV153" i="56"/>
  <c r="AU153" i="56"/>
  <c r="AT153" i="56"/>
  <c r="AS153" i="56"/>
  <c r="AI153" i="56"/>
  <c r="AH153" i="56"/>
  <c r="AG153" i="56"/>
  <c r="AF153" i="56"/>
  <c r="Z153" i="56"/>
  <c r="Y153" i="56"/>
  <c r="X153" i="56"/>
  <c r="W153" i="56"/>
  <c r="V153" i="56"/>
  <c r="U153" i="56"/>
  <c r="BJ152" i="56"/>
  <c r="BI152" i="56"/>
  <c r="BH152" i="56"/>
  <c r="BG152" i="56"/>
  <c r="AX152" i="56"/>
  <c r="AW152" i="56"/>
  <c r="AV152" i="56"/>
  <c r="AU152" i="56"/>
  <c r="AT152" i="56"/>
  <c r="AS152" i="56"/>
  <c r="Z152" i="56"/>
  <c r="Y152" i="56"/>
  <c r="X152" i="56"/>
  <c r="W152" i="56"/>
  <c r="V152" i="56"/>
  <c r="U152" i="56"/>
  <c r="BE149" i="56"/>
  <c r="BC149" i="56"/>
  <c r="BA149" i="56"/>
  <c r="AQ149" i="56"/>
  <c r="AO149" i="56"/>
  <c r="AM149" i="56"/>
  <c r="AK149" i="56"/>
  <c r="AE149" i="56"/>
  <c r="AD149" i="56"/>
  <c r="AC149" i="56"/>
  <c r="S149" i="56"/>
  <c r="Q149" i="56"/>
  <c r="O149" i="56"/>
  <c r="M149" i="56"/>
  <c r="BJ147" i="56"/>
  <c r="BI147" i="56"/>
  <c r="BH147" i="56"/>
  <c r="BG147" i="56"/>
  <c r="AX147" i="56"/>
  <c r="AW147" i="56"/>
  <c r="AV147" i="56"/>
  <c r="AU147" i="56"/>
  <c r="AT147" i="56"/>
  <c r="AS147" i="56"/>
  <c r="Z147" i="56"/>
  <c r="Y147" i="56"/>
  <c r="X147" i="56"/>
  <c r="W147" i="56"/>
  <c r="V147" i="56"/>
  <c r="U147" i="56"/>
  <c r="BJ146" i="56"/>
  <c r="BI146" i="56"/>
  <c r="BH146" i="56"/>
  <c r="BG146" i="56"/>
  <c r="AX146" i="56"/>
  <c r="AW146" i="56"/>
  <c r="AV146" i="56"/>
  <c r="AU146" i="56"/>
  <c r="AT146" i="56"/>
  <c r="AS146" i="56"/>
  <c r="Z146" i="56"/>
  <c r="Y146" i="56"/>
  <c r="X146" i="56"/>
  <c r="W146" i="56"/>
  <c r="V146" i="56"/>
  <c r="U146" i="56"/>
  <c r="BJ145" i="56"/>
  <c r="BI145" i="56"/>
  <c r="BH145" i="56"/>
  <c r="BG145" i="56"/>
  <c r="AX145" i="56"/>
  <c r="AW145" i="56"/>
  <c r="AV145" i="56"/>
  <c r="AU145" i="56"/>
  <c r="AT145" i="56"/>
  <c r="AS145" i="56"/>
  <c r="Z145" i="56"/>
  <c r="Y145" i="56"/>
  <c r="X145" i="56"/>
  <c r="W145" i="56"/>
  <c r="V145" i="56"/>
  <c r="U145" i="56"/>
  <c r="BJ144" i="56"/>
  <c r="BI144" i="56"/>
  <c r="BH144" i="56"/>
  <c r="BG144" i="56"/>
  <c r="AX144" i="56"/>
  <c r="AW144" i="56"/>
  <c r="AV144" i="56"/>
  <c r="AU144" i="56"/>
  <c r="AT144" i="56"/>
  <c r="AS144" i="56"/>
  <c r="Z144" i="56"/>
  <c r="Y144" i="56"/>
  <c r="X144" i="56"/>
  <c r="W144" i="56"/>
  <c r="V144" i="56"/>
  <c r="U144" i="56"/>
  <c r="BJ143" i="56"/>
  <c r="BI143" i="56"/>
  <c r="BH143" i="56"/>
  <c r="BG143" i="56"/>
  <c r="AX143" i="56"/>
  <c r="AW143" i="56"/>
  <c r="AV143" i="56"/>
  <c r="AU143" i="56"/>
  <c r="AT143" i="56"/>
  <c r="AS143" i="56"/>
  <c r="AI143" i="56"/>
  <c r="AH143" i="56"/>
  <c r="AG143" i="56"/>
  <c r="AF143" i="56"/>
  <c r="Z143" i="56"/>
  <c r="Y143" i="56"/>
  <c r="X143" i="56"/>
  <c r="W143" i="56"/>
  <c r="V143" i="56"/>
  <c r="U143" i="56"/>
  <c r="BJ142" i="56"/>
  <c r="BI142" i="56"/>
  <c r="BH142" i="56"/>
  <c r="BG142" i="56"/>
  <c r="AX142" i="56"/>
  <c r="AW142" i="56"/>
  <c r="AV142" i="56"/>
  <c r="AU142" i="56"/>
  <c r="AT142" i="56"/>
  <c r="AS142" i="56"/>
  <c r="Z142" i="56"/>
  <c r="Y142" i="56"/>
  <c r="X142" i="56"/>
  <c r="W142" i="56"/>
  <c r="V142" i="56"/>
  <c r="U142" i="56"/>
  <c r="G204" i="58"/>
  <c r="F204" i="58"/>
  <c r="E204" i="58"/>
  <c r="AX201" i="58"/>
  <c r="AW201" i="58"/>
  <c r="AV201" i="58"/>
  <c r="AU201" i="58"/>
  <c r="AI201" i="58"/>
  <c r="AH201" i="58"/>
  <c r="AG201" i="58"/>
  <c r="AF201" i="58"/>
  <c r="Z201" i="58"/>
  <c r="Y201" i="58"/>
  <c r="X201" i="58"/>
  <c r="W201" i="58"/>
  <c r="G201" i="58"/>
  <c r="F201" i="58"/>
  <c r="E201" i="58"/>
  <c r="AX200" i="58"/>
  <c r="AW200" i="58"/>
  <c r="AV200" i="58"/>
  <c r="AU200" i="58"/>
  <c r="AI200" i="58"/>
  <c r="AH200" i="58"/>
  <c r="AG200" i="58"/>
  <c r="AF200" i="58"/>
  <c r="Z200" i="58"/>
  <c r="Y200" i="58"/>
  <c r="X200" i="58"/>
  <c r="W200" i="58"/>
  <c r="G200" i="58"/>
  <c r="F200" i="58"/>
  <c r="E200" i="58"/>
  <c r="AX199" i="58"/>
  <c r="AW199" i="58"/>
  <c r="AV199" i="58"/>
  <c r="AU199" i="58"/>
  <c r="AI199" i="58"/>
  <c r="AH199" i="58"/>
  <c r="AG199" i="58"/>
  <c r="AF199" i="58"/>
  <c r="Z199" i="58"/>
  <c r="Y199" i="58"/>
  <c r="X199" i="58"/>
  <c r="W199" i="58"/>
  <c r="G199" i="58"/>
  <c r="F199" i="58"/>
  <c r="E199" i="58"/>
  <c r="AX198" i="58"/>
  <c r="AW198" i="58"/>
  <c r="AV198" i="58"/>
  <c r="AU198" i="58"/>
  <c r="AI198" i="58"/>
  <c r="AH198" i="58"/>
  <c r="AG198" i="58"/>
  <c r="AF198" i="58"/>
  <c r="Z198" i="58"/>
  <c r="Y198" i="58"/>
  <c r="X198" i="58"/>
  <c r="W198" i="58"/>
  <c r="G198" i="58"/>
  <c r="F198" i="58"/>
  <c r="E198" i="58"/>
  <c r="AX197" i="58"/>
  <c r="AW197" i="58"/>
  <c r="AV197" i="58"/>
  <c r="AU197" i="58"/>
  <c r="AI197" i="58"/>
  <c r="AH197" i="58"/>
  <c r="AG197" i="58"/>
  <c r="AF197" i="58"/>
  <c r="Z197" i="58"/>
  <c r="Y197" i="58"/>
  <c r="X197" i="58"/>
  <c r="W197" i="58"/>
  <c r="G197" i="58"/>
  <c r="F197" i="58"/>
  <c r="E197" i="58"/>
  <c r="AX196" i="58"/>
  <c r="AW196" i="58"/>
  <c r="AV196" i="58"/>
  <c r="AU196" i="58"/>
  <c r="AI196" i="58"/>
  <c r="AH196" i="58"/>
  <c r="AG196" i="58"/>
  <c r="AF196" i="58"/>
  <c r="Z196" i="58"/>
  <c r="Y196" i="58"/>
  <c r="X196" i="58"/>
  <c r="W196" i="58"/>
  <c r="G196" i="58"/>
  <c r="F196" i="58"/>
  <c r="E196" i="58"/>
  <c r="G195" i="58"/>
  <c r="F195" i="58"/>
  <c r="E195" i="58"/>
  <c r="G194" i="58"/>
  <c r="F194" i="58"/>
  <c r="E194" i="58"/>
  <c r="AX193" i="58"/>
  <c r="AW193" i="58"/>
  <c r="AV193" i="58"/>
  <c r="AU193" i="58"/>
  <c r="AI193" i="58"/>
  <c r="AH193" i="58"/>
  <c r="AG193" i="58"/>
  <c r="AF193" i="58"/>
  <c r="Z193" i="58"/>
  <c r="Y193" i="58"/>
  <c r="X193" i="58"/>
  <c r="W193" i="58"/>
  <c r="G193" i="58"/>
  <c r="F193" i="58"/>
  <c r="E193" i="58"/>
  <c r="BJ192" i="58"/>
  <c r="BI192" i="58"/>
  <c r="BH192" i="58"/>
  <c r="BG192" i="58"/>
  <c r="AX192" i="58"/>
  <c r="AW192" i="58"/>
  <c r="AV192" i="58"/>
  <c r="AU192" i="58"/>
  <c r="AT192" i="58"/>
  <c r="AS192" i="58"/>
  <c r="AI192" i="58"/>
  <c r="AH192" i="58"/>
  <c r="AG192" i="58"/>
  <c r="AF192" i="58"/>
  <c r="Z192" i="58"/>
  <c r="Y192" i="58"/>
  <c r="X192" i="58"/>
  <c r="W192" i="58"/>
  <c r="V192" i="58"/>
  <c r="U192" i="58"/>
  <c r="G192" i="58"/>
  <c r="F192" i="58"/>
  <c r="E192" i="58"/>
  <c r="BE184" i="58"/>
  <c r="BC184" i="58"/>
  <c r="BA184" i="58"/>
  <c r="AQ184" i="58"/>
  <c r="AK184" i="58"/>
  <c r="AT184" i="58" s="1"/>
  <c r="AE184" i="58"/>
  <c r="AD184" i="58"/>
  <c r="AC184" i="58"/>
  <c r="S184" i="58"/>
  <c r="Q184" i="58"/>
  <c r="O184" i="58"/>
  <c r="M184" i="58"/>
  <c r="BJ182" i="58"/>
  <c r="BI182" i="58"/>
  <c r="BH182" i="58"/>
  <c r="BG182" i="58"/>
  <c r="AX182" i="58"/>
  <c r="AW182" i="58"/>
  <c r="AV182" i="58"/>
  <c r="AU182" i="58"/>
  <c r="AT182" i="58"/>
  <c r="AS182" i="58"/>
  <c r="AI182" i="58"/>
  <c r="AH182" i="58"/>
  <c r="AG182" i="58"/>
  <c r="AF182" i="58"/>
  <c r="Z182" i="58"/>
  <c r="Y182" i="58"/>
  <c r="X182" i="58"/>
  <c r="W182" i="58"/>
  <c r="V182" i="58"/>
  <c r="U182" i="58"/>
  <c r="BE179" i="58"/>
  <c r="BC179" i="58"/>
  <c r="BA179" i="58"/>
  <c r="AQ179" i="58"/>
  <c r="AK179" i="58"/>
  <c r="AT179" i="58" s="1"/>
  <c r="AE179" i="58"/>
  <c r="AD179" i="58"/>
  <c r="AC179" i="58"/>
  <c r="S179" i="58"/>
  <c r="Q179" i="58"/>
  <c r="O179" i="58"/>
  <c r="M179" i="58"/>
  <c r="BJ177" i="58"/>
  <c r="BI177" i="58"/>
  <c r="BH177" i="58"/>
  <c r="BG177" i="58"/>
  <c r="AX177" i="58"/>
  <c r="AW177" i="58"/>
  <c r="AV177" i="58"/>
  <c r="AU177" i="58"/>
  <c r="AT177" i="58"/>
  <c r="AS177" i="58"/>
  <c r="AI177" i="58"/>
  <c r="AH177" i="58"/>
  <c r="AG177" i="58"/>
  <c r="AF177" i="58"/>
  <c r="Z177" i="58"/>
  <c r="Y177" i="58"/>
  <c r="X177" i="58"/>
  <c r="W177" i="58"/>
  <c r="V177" i="58"/>
  <c r="U177" i="58"/>
  <c r="BE174" i="58"/>
  <c r="BC174" i="58"/>
  <c r="BA174" i="58"/>
  <c r="AQ174" i="58"/>
  <c r="AK174" i="58"/>
  <c r="AT174" i="58" s="1"/>
  <c r="AE174" i="58"/>
  <c r="AD174" i="58"/>
  <c r="AC174" i="58"/>
  <c r="S174" i="58"/>
  <c r="Q174" i="58"/>
  <c r="O174" i="58"/>
  <c r="M174" i="58"/>
  <c r="BJ172" i="58"/>
  <c r="BI172" i="58"/>
  <c r="BH172" i="58"/>
  <c r="BG172" i="58"/>
  <c r="AX172" i="58"/>
  <c r="AW172" i="58"/>
  <c r="AV172" i="58"/>
  <c r="AU172" i="58"/>
  <c r="AT172" i="58"/>
  <c r="AS172" i="58"/>
  <c r="AI172" i="58"/>
  <c r="AH172" i="58"/>
  <c r="AG172" i="58"/>
  <c r="AF172" i="58"/>
  <c r="Z172" i="58"/>
  <c r="Y172" i="58"/>
  <c r="X172" i="58"/>
  <c r="W172" i="58"/>
  <c r="V172" i="58"/>
  <c r="U172" i="58"/>
  <c r="BE169" i="58"/>
  <c r="BC169" i="58"/>
  <c r="BA169" i="58"/>
  <c r="AQ169" i="58"/>
  <c r="AK169" i="58"/>
  <c r="AT169" i="58" s="1"/>
  <c r="AE169" i="58"/>
  <c r="AD169" i="58"/>
  <c r="AC169" i="58"/>
  <c r="S169" i="58"/>
  <c r="Q169" i="58"/>
  <c r="O169" i="58"/>
  <c r="M169" i="58"/>
  <c r="BJ167" i="58"/>
  <c r="BI167" i="58"/>
  <c r="BH167" i="58"/>
  <c r="BG167" i="58"/>
  <c r="AX167" i="58"/>
  <c r="AW167" i="58"/>
  <c r="AV167" i="58"/>
  <c r="AU167" i="58"/>
  <c r="AT167" i="58"/>
  <c r="AS167" i="58"/>
  <c r="AI167" i="58"/>
  <c r="AH167" i="58"/>
  <c r="AG167" i="58"/>
  <c r="AF167" i="58"/>
  <c r="Z167" i="58"/>
  <c r="Y167" i="58"/>
  <c r="X167" i="58"/>
  <c r="W167" i="58"/>
  <c r="V167" i="58"/>
  <c r="U167" i="58"/>
  <c r="BE164" i="58"/>
  <c r="BC164" i="58"/>
  <c r="BA164" i="58"/>
  <c r="AQ164" i="58"/>
  <c r="AK164" i="58"/>
  <c r="AT164" i="58" s="1"/>
  <c r="AE164" i="58"/>
  <c r="AD164" i="58"/>
  <c r="AC164" i="58"/>
  <c r="S164" i="58"/>
  <c r="Q164" i="58"/>
  <c r="O164" i="58"/>
  <c r="M164" i="58"/>
  <c r="AU164" i="58" s="1"/>
  <c r="BJ162" i="58"/>
  <c r="BI162" i="58"/>
  <c r="BH162" i="58"/>
  <c r="BG162" i="58"/>
  <c r="AX162" i="58"/>
  <c r="AW162" i="58"/>
  <c r="AV162" i="58"/>
  <c r="AU162" i="58"/>
  <c r="AT162" i="58"/>
  <c r="AS162" i="58"/>
  <c r="AI162" i="58"/>
  <c r="AH162" i="58"/>
  <c r="AG162" i="58"/>
  <c r="AF162" i="58"/>
  <c r="Z162" i="58"/>
  <c r="Y162" i="58"/>
  <c r="X162" i="58"/>
  <c r="W162" i="58"/>
  <c r="V162" i="58"/>
  <c r="U162" i="58"/>
  <c r="BE159" i="58"/>
  <c r="BC159" i="58"/>
  <c r="BA159" i="58"/>
  <c r="AQ159" i="58"/>
  <c r="AK159" i="58"/>
  <c r="AV159" i="58" s="1"/>
  <c r="AE159" i="58"/>
  <c r="AD159" i="58"/>
  <c r="AC159" i="58"/>
  <c r="S159" i="58"/>
  <c r="Q159" i="58"/>
  <c r="O159" i="58"/>
  <c r="M159" i="58"/>
  <c r="BJ157" i="58"/>
  <c r="BI157" i="58"/>
  <c r="BH157" i="58"/>
  <c r="BG157" i="58"/>
  <c r="AX157" i="58"/>
  <c r="AW157" i="58"/>
  <c r="AV157" i="58"/>
  <c r="AU157" i="58"/>
  <c r="AT157" i="58"/>
  <c r="AS157" i="58"/>
  <c r="AI157" i="58"/>
  <c r="AH157" i="58"/>
  <c r="AG157" i="58"/>
  <c r="AF157" i="58"/>
  <c r="Z157" i="58"/>
  <c r="Y157" i="58"/>
  <c r="X157" i="58"/>
  <c r="W157" i="58"/>
  <c r="V157" i="58"/>
  <c r="U157" i="58"/>
  <c r="BE154" i="58"/>
  <c r="BC154" i="58"/>
  <c r="BA154" i="58"/>
  <c r="AQ154" i="58"/>
  <c r="AO154" i="58"/>
  <c r="AM154" i="58"/>
  <c r="AK154" i="58"/>
  <c r="AE154" i="58"/>
  <c r="AD154" i="58"/>
  <c r="AC154" i="58"/>
  <c r="S154" i="58"/>
  <c r="Q154" i="58"/>
  <c r="O154" i="58"/>
  <c r="M154" i="58"/>
  <c r="BJ153" i="58"/>
  <c r="BI153" i="58"/>
  <c r="BH153" i="58"/>
  <c r="BG153" i="58"/>
  <c r="AX153" i="58"/>
  <c r="AW153" i="58"/>
  <c r="AV153" i="58"/>
  <c r="AU153" i="58"/>
  <c r="AT153" i="58"/>
  <c r="AS153" i="58"/>
  <c r="AI153" i="58"/>
  <c r="AH153" i="58"/>
  <c r="AG153" i="58"/>
  <c r="AF153" i="58"/>
  <c r="Z153" i="58"/>
  <c r="Y153" i="58"/>
  <c r="X153" i="58"/>
  <c r="W153" i="58"/>
  <c r="V153" i="58"/>
  <c r="U153" i="58"/>
  <c r="BJ152" i="58"/>
  <c r="BI152" i="58"/>
  <c r="BH152" i="58"/>
  <c r="BG152" i="58"/>
  <c r="AX152" i="58"/>
  <c r="AW152" i="58"/>
  <c r="AV152" i="58"/>
  <c r="AU152" i="58"/>
  <c r="AT152" i="58"/>
  <c r="AS152" i="58"/>
  <c r="Z152" i="58"/>
  <c r="Y152" i="58"/>
  <c r="X152" i="58"/>
  <c r="W152" i="58"/>
  <c r="V152" i="58"/>
  <c r="U152" i="58"/>
  <c r="BE149" i="58"/>
  <c r="BC149" i="58"/>
  <c r="BA149" i="58"/>
  <c r="AQ149" i="58"/>
  <c r="AO149" i="58"/>
  <c r="AM149" i="58"/>
  <c r="AK149" i="58"/>
  <c r="AE149" i="58"/>
  <c r="AD149" i="58"/>
  <c r="AC149" i="58"/>
  <c r="S149" i="58"/>
  <c r="Q149" i="58"/>
  <c r="O149" i="58"/>
  <c r="M149" i="58"/>
  <c r="BJ148" i="58"/>
  <c r="BI148" i="58"/>
  <c r="BH148" i="58"/>
  <c r="BG148" i="58"/>
  <c r="AX148" i="58"/>
  <c r="AW148" i="58"/>
  <c r="AV148" i="58"/>
  <c r="AU148" i="58"/>
  <c r="AT148" i="58"/>
  <c r="AS148" i="58"/>
  <c r="AI148" i="58"/>
  <c r="AH148" i="58"/>
  <c r="AG148" i="58"/>
  <c r="AF148" i="58"/>
  <c r="Z148" i="58"/>
  <c r="Y148" i="58"/>
  <c r="X148" i="58"/>
  <c r="W148" i="58"/>
  <c r="V148" i="58"/>
  <c r="U148" i="58"/>
  <c r="BJ147" i="58"/>
  <c r="BI147" i="58"/>
  <c r="BH147" i="58"/>
  <c r="BG147" i="58"/>
  <c r="AX147" i="58"/>
  <c r="AW147" i="58"/>
  <c r="AV147" i="58"/>
  <c r="AU147" i="58"/>
  <c r="AT147" i="58"/>
  <c r="AS147" i="58"/>
  <c r="Z147" i="58"/>
  <c r="Y147" i="58"/>
  <c r="X147" i="58"/>
  <c r="W147" i="58"/>
  <c r="V147" i="58"/>
  <c r="U147" i="58"/>
  <c r="BE144" i="58"/>
  <c r="BC144" i="58"/>
  <c r="BA144" i="58"/>
  <c r="AQ144" i="58"/>
  <c r="AO144" i="58"/>
  <c r="AM144" i="58"/>
  <c r="AK144" i="58"/>
  <c r="AE144" i="58"/>
  <c r="AD144" i="58"/>
  <c r="AC144" i="58"/>
  <c r="S144" i="58"/>
  <c r="Q144" i="58"/>
  <c r="O144" i="58"/>
  <c r="M144" i="58"/>
  <c r="BJ143" i="58"/>
  <c r="BI143" i="58"/>
  <c r="BH143" i="58"/>
  <c r="BG143" i="58"/>
  <c r="AX143" i="58"/>
  <c r="AW143" i="58"/>
  <c r="AV143" i="58"/>
  <c r="AU143" i="58"/>
  <c r="AT143" i="58"/>
  <c r="AS143" i="58"/>
  <c r="AI143" i="58"/>
  <c r="AH143" i="58"/>
  <c r="AG143" i="58"/>
  <c r="AF143" i="58"/>
  <c r="Z143" i="58"/>
  <c r="Y143" i="58"/>
  <c r="X143" i="58"/>
  <c r="W143" i="58"/>
  <c r="V143" i="58"/>
  <c r="U143" i="58"/>
  <c r="BJ142" i="58"/>
  <c r="BI142" i="58"/>
  <c r="BH142" i="58"/>
  <c r="BG142" i="58"/>
  <c r="AX142" i="58"/>
  <c r="AW142" i="58"/>
  <c r="AV142" i="58"/>
  <c r="AU142" i="58"/>
  <c r="AT142" i="58"/>
  <c r="AS142" i="58"/>
  <c r="Z142" i="58"/>
  <c r="Y142" i="58"/>
  <c r="X142" i="58"/>
  <c r="W142" i="58"/>
  <c r="V142" i="58"/>
  <c r="U142" i="58"/>
  <c r="BE139" i="58"/>
  <c r="BC139" i="58"/>
  <c r="BA139" i="58"/>
  <c r="AQ139" i="58"/>
  <c r="AO139" i="58"/>
  <c r="AM139" i="58"/>
  <c r="AK139" i="58"/>
  <c r="AE139" i="58"/>
  <c r="AD139" i="58"/>
  <c r="AC139" i="58"/>
  <c r="S139" i="58"/>
  <c r="Q139" i="58"/>
  <c r="O139" i="58"/>
  <c r="M139" i="58"/>
  <c r="BJ138" i="58"/>
  <c r="BI138" i="58"/>
  <c r="BH138" i="58"/>
  <c r="BG138" i="58"/>
  <c r="AX138" i="58"/>
  <c r="AW138" i="58"/>
  <c r="AV138" i="58"/>
  <c r="AU138" i="58"/>
  <c r="AT138" i="58"/>
  <c r="AS138" i="58"/>
  <c r="AI138" i="58"/>
  <c r="AH138" i="58"/>
  <c r="AG138" i="58"/>
  <c r="AF138" i="58"/>
  <c r="Z138" i="58"/>
  <c r="Y138" i="58"/>
  <c r="X138" i="58"/>
  <c r="W138" i="58"/>
  <c r="V138" i="58"/>
  <c r="U138" i="58"/>
  <c r="BJ137" i="58"/>
  <c r="BI137" i="58"/>
  <c r="BH137" i="58"/>
  <c r="BG137" i="58"/>
  <c r="AX137" i="58"/>
  <c r="AW137" i="58"/>
  <c r="AV137" i="58"/>
  <c r="AU137" i="58"/>
  <c r="AT137" i="58"/>
  <c r="AS137" i="58"/>
  <c r="Z137" i="58"/>
  <c r="Y137" i="58"/>
  <c r="X137" i="58"/>
  <c r="W137" i="58"/>
  <c r="V137" i="58"/>
  <c r="U137" i="58"/>
  <c r="BE134" i="58"/>
  <c r="BC134" i="58"/>
  <c r="BA134" i="58"/>
  <c r="AQ134" i="58"/>
  <c r="AO134" i="58"/>
  <c r="AM134" i="58"/>
  <c r="AK134" i="58"/>
  <c r="AE134" i="58"/>
  <c r="AD134" i="58"/>
  <c r="AC134" i="58"/>
  <c r="S134" i="58"/>
  <c r="Q134" i="58"/>
  <c r="O134" i="58"/>
  <c r="M134" i="58"/>
  <c r="BJ133" i="58"/>
  <c r="BI133" i="58"/>
  <c r="BH133" i="58"/>
  <c r="BG133" i="58"/>
  <c r="AX133" i="58"/>
  <c r="AW133" i="58"/>
  <c r="AV133" i="58"/>
  <c r="AU133" i="58"/>
  <c r="AT133" i="58"/>
  <c r="AS133" i="58"/>
  <c r="AI133" i="58"/>
  <c r="AH133" i="58"/>
  <c r="AG133" i="58"/>
  <c r="AF133" i="58"/>
  <c r="Z133" i="58"/>
  <c r="Y133" i="58"/>
  <c r="X133" i="58"/>
  <c r="W133" i="58"/>
  <c r="V133" i="58"/>
  <c r="U133" i="58"/>
  <c r="BJ132" i="58"/>
  <c r="BI132" i="58"/>
  <c r="BH132" i="58"/>
  <c r="BG132" i="58"/>
  <c r="AX132" i="58"/>
  <c r="AW132" i="58"/>
  <c r="AV132" i="58"/>
  <c r="AU132" i="58"/>
  <c r="AT132" i="58"/>
  <c r="AS132" i="58"/>
  <c r="Z132" i="58"/>
  <c r="Y132" i="58"/>
  <c r="X132" i="58"/>
  <c r="W132" i="58"/>
  <c r="V132" i="58"/>
  <c r="U132" i="58"/>
  <c r="BE129" i="58"/>
  <c r="BC129" i="58"/>
  <c r="BA129" i="58"/>
  <c r="AQ129" i="58"/>
  <c r="AO129" i="58"/>
  <c r="AM129" i="58"/>
  <c r="AK129" i="58"/>
  <c r="AE129" i="58"/>
  <c r="AD129" i="58"/>
  <c r="AC129" i="58"/>
  <c r="S129" i="58"/>
  <c r="Q129" i="58"/>
  <c r="O129" i="58"/>
  <c r="M129" i="58"/>
  <c r="BJ128" i="58"/>
  <c r="BI128" i="58"/>
  <c r="BH128" i="58"/>
  <c r="BG128" i="58"/>
  <c r="AX128" i="58"/>
  <c r="AW128" i="58"/>
  <c r="AV128" i="58"/>
  <c r="AU128" i="58"/>
  <c r="AT128" i="58"/>
  <c r="AS128" i="58"/>
  <c r="AI128" i="58"/>
  <c r="AH128" i="58"/>
  <c r="AG128" i="58"/>
  <c r="AF128" i="58"/>
  <c r="Z128" i="58"/>
  <c r="Y128" i="58"/>
  <c r="X128" i="58"/>
  <c r="W128" i="58"/>
  <c r="V128" i="58"/>
  <c r="U128" i="58"/>
  <c r="BJ127" i="58"/>
  <c r="BI127" i="58"/>
  <c r="BH127" i="58"/>
  <c r="BG127" i="58"/>
  <c r="AX127" i="58"/>
  <c r="AW127" i="58"/>
  <c r="AV127" i="58"/>
  <c r="AU127" i="58"/>
  <c r="AT127" i="58"/>
  <c r="AS127" i="58"/>
  <c r="Z127" i="58"/>
  <c r="Y127" i="58"/>
  <c r="X127" i="58"/>
  <c r="W127" i="58"/>
  <c r="V127" i="58"/>
  <c r="U127" i="58"/>
  <c r="BE124" i="58"/>
  <c r="BC124" i="58"/>
  <c r="BA124" i="58"/>
  <c r="AQ124" i="58"/>
  <c r="AO124" i="58"/>
  <c r="AM124" i="58"/>
  <c r="AK124" i="58"/>
  <c r="AE124" i="58"/>
  <c r="AD124" i="58"/>
  <c r="AC124" i="58"/>
  <c r="S124" i="58"/>
  <c r="Q124" i="58"/>
  <c r="O124" i="58"/>
  <c r="M124" i="58"/>
  <c r="BJ123" i="58"/>
  <c r="BI123" i="58"/>
  <c r="BH123" i="58"/>
  <c r="BG123" i="58"/>
  <c r="AX123" i="58"/>
  <c r="AW123" i="58"/>
  <c r="AV123" i="58"/>
  <c r="AU123" i="58"/>
  <c r="AT123" i="58"/>
  <c r="AS123" i="58"/>
  <c r="Z123" i="58"/>
  <c r="Y123" i="58"/>
  <c r="X123" i="58"/>
  <c r="W123" i="58"/>
  <c r="V123" i="58"/>
  <c r="U123" i="58"/>
  <c r="BJ122" i="58"/>
  <c r="BI122" i="58"/>
  <c r="BH122" i="58"/>
  <c r="BG122" i="58"/>
  <c r="AX122" i="58"/>
  <c r="AW122" i="58"/>
  <c r="AV122" i="58"/>
  <c r="AU122" i="58"/>
  <c r="AT122" i="58"/>
  <c r="AS122" i="58"/>
  <c r="Z122" i="58"/>
  <c r="Y122" i="58"/>
  <c r="X122" i="58"/>
  <c r="W122" i="58"/>
  <c r="V122" i="58"/>
  <c r="U122" i="58"/>
  <c r="BJ121" i="58"/>
  <c r="BI121" i="58"/>
  <c r="BH121" i="58"/>
  <c r="BG121" i="58"/>
  <c r="AX121" i="58"/>
  <c r="AW121" i="58"/>
  <c r="AV121" i="58"/>
  <c r="AU121" i="58"/>
  <c r="AT121" i="58"/>
  <c r="AS121" i="58"/>
  <c r="Z121" i="58"/>
  <c r="Y121" i="58"/>
  <c r="X121" i="58"/>
  <c r="W121" i="58"/>
  <c r="V121" i="58"/>
  <c r="U121" i="58"/>
  <c r="BJ120" i="58"/>
  <c r="BI120" i="58"/>
  <c r="BH120" i="58"/>
  <c r="BG120" i="58"/>
  <c r="AX120" i="58"/>
  <c r="AW120" i="58"/>
  <c r="AV120" i="58"/>
  <c r="AU120" i="58"/>
  <c r="AT120" i="58"/>
  <c r="AS120" i="58"/>
  <c r="Z120" i="58"/>
  <c r="Y120" i="58"/>
  <c r="X120" i="58"/>
  <c r="W120" i="58"/>
  <c r="V120" i="58"/>
  <c r="U120" i="58"/>
  <c r="BJ119" i="58"/>
  <c r="BI119" i="58"/>
  <c r="BH119" i="58"/>
  <c r="BG119" i="58"/>
  <c r="AX119" i="58"/>
  <c r="AW119" i="58"/>
  <c r="AV119" i="58"/>
  <c r="AU119" i="58"/>
  <c r="AT119" i="58"/>
  <c r="AS119" i="58"/>
  <c r="AI119" i="58"/>
  <c r="AH119" i="58"/>
  <c r="AG119" i="58"/>
  <c r="AF119" i="58"/>
  <c r="Z119" i="58"/>
  <c r="Y119" i="58"/>
  <c r="X119" i="58"/>
  <c r="W119" i="58"/>
  <c r="V119" i="58"/>
  <c r="U119" i="58"/>
  <c r="BJ118" i="58"/>
  <c r="BI118" i="58"/>
  <c r="BH118" i="58"/>
  <c r="BG118" i="58"/>
  <c r="AX118" i="58"/>
  <c r="AW118" i="58"/>
  <c r="AV118" i="58"/>
  <c r="AU118" i="58"/>
  <c r="AT118" i="58"/>
  <c r="AS118" i="58"/>
  <c r="Z118" i="58"/>
  <c r="Y118" i="58"/>
  <c r="X118" i="58"/>
  <c r="W118" i="58"/>
  <c r="V118" i="58"/>
  <c r="U118" i="58"/>
  <c r="AF171" i="53" l="1"/>
  <c r="Z196" i="53"/>
  <c r="AF129" i="58"/>
  <c r="BI154" i="58"/>
  <c r="BJ159" i="58"/>
  <c r="U169" i="58"/>
  <c r="BI179" i="58"/>
  <c r="U166" i="56"/>
  <c r="AG176" i="56"/>
  <c r="Y129" i="58"/>
  <c r="X186" i="56"/>
  <c r="Z216" i="56"/>
  <c r="Z169" i="58"/>
  <c r="V201" i="56"/>
  <c r="BI201" i="56"/>
  <c r="V211" i="56"/>
  <c r="BH171" i="53"/>
  <c r="AX201" i="53"/>
  <c r="AX211" i="53"/>
  <c r="AH129" i="58"/>
  <c r="BH169" i="58"/>
  <c r="BI206" i="56"/>
  <c r="X201" i="53"/>
  <c r="X211" i="53"/>
  <c r="AH159" i="58"/>
  <c r="U154" i="56"/>
  <c r="AG191" i="56"/>
  <c r="AF211" i="56"/>
  <c r="X176" i="53"/>
  <c r="X159" i="58"/>
  <c r="AF184" i="58"/>
  <c r="AH149" i="56"/>
  <c r="AF201" i="56"/>
  <c r="BJ211" i="56"/>
  <c r="BI216" i="56"/>
  <c r="AU171" i="53"/>
  <c r="AW169" i="58"/>
  <c r="AX166" i="56"/>
  <c r="W169" i="58"/>
  <c r="AU169" i="58"/>
  <c r="BI166" i="53"/>
  <c r="X144" i="58"/>
  <c r="AS179" i="58"/>
  <c r="AS184" i="58"/>
  <c r="BG166" i="56"/>
  <c r="U201" i="56"/>
  <c r="AF146" i="53"/>
  <c r="W151" i="53"/>
  <c r="AU134" i="58"/>
  <c r="AV149" i="58"/>
  <c r="X201" i="56"/>
  <c r="AG211" i="56"/>
  <c r="X149" i="58"/>
  <c r="AX149" i="58"/>
  <c r="AH169" i="58"/>
  <c r="BJ169" i="58"/>
  <c r="AS181" i="56"/>
  <c r="BI196" i="56"/>
  <c r="AV124" i="58"/>
  <c r="AG166" i="56"/>
  <c r="AG146" i="53"/>
  <c r="Z139" i="58"/>
  <c r="BG149" i="58"/>
  <c r="AX154" i="58"/>
  <c r="AX181" i="56"/>
  <c r="BI151" i="53"/>
  <c r="BH181" i="56"/>
  <c r="X124" i="58"/>
  <c r="Z144" i="58"/>
  <c r="AU159" i="58"/>
  <c r="V149" i="56"/>
  <c r="BI181" i="56"/>
  <c r="BI211" i="56"/>
  <c r="V171" i="53"/>
  <c r="V191" i="53"/>
  <c r="AV191" i="53"/>
  <c r="Y196" i="53"/>
  <c r="BH211" i="56"/>
  <c r="Y124" i="58"/>
  <c r="Z159" i="58"/>
  <c r="W149" i="56"/>
  <c r="AX149" i="56"/>
  <c r="AT154" i="56"/>
  <c r="X171" i="56"/>
  <c r="AH181" i="56"/>
  <c r="AG216" i="56"/>
  <c r="Z146" i="53"/>
  <c r="X171" i="53"/>
  <c r="BI191" i="53"/>
  <c r="AG139" i="58"/>
  <c r="AT149" i="58"/>
  <c r="AH174" i="58"/>
  <c r="AG184" i="58"/>
  <c r="BH171" i="56"/>
  <c r="AH186" i="56"/>
  <c r="AW201" i="56"/>
  <c r="AH146" i="53"/>
  <c r="Z171" i="53"/>
  <c r="BH191" i="53"/>
  <c r="BJ201" i="56"/>
  <c r="BI171" i="53"/>
  <c r="V146" i="53"/>
  <c r="Z154" i="58"/>
  <c r="AV154" i="58"/>
  <c r="AH164" i="58"/>
  <c r="U186" i="56"/>
  <c r="AH151" i="53"/>
  <c r="AG201" i="53"/>
  <c r="AU144" i="58"/>
  <c r="AV144" i="58"/>
  <c r="U191" i="56"/>
  <c r="V191" i="56"/>
  <c r="Y134" i="58"/>
  <c r="Z134" i="58"/>
  <c r="AV134" i="58"/>
  <c r="W149" i="58"/>
  <c r="AI164" i="58"/>
  <c r="V169" i="58"/>
  <c r="BJ186" i="56"/>
  <c r="Z191" i="56"/>
  <c r="BJ191" i="56"/>
  <c r="AS196" i="56"/>
  <c r="BH159" i="58"/>
  <c r="X169" i="58"/>
  <c r="AH176" i="53"/>
  <c r="X181" i="53"/>
  <c r="Y191" i="53"/>
  <c r="U164" i="58"/>
  <c r="V164" i="58"/>
  <c r="Z206" i="56"/>
  <c r="Z211" i="56"/>
  <c r="AG196" i="56"/>
  <c r="U211" i="56"/>
  <c r="BG146" i="53"/>
  <c r="AG171" i="53"/>
  <c r="AH181" i="53"/>
  <c r="W139" i="58"/>
  <c r="AH149" i="58"/>
  <c r="AV149" i="56"/>
  <c r="AV154" i="56"/>
  <c r="AI181" i="56"/>
  <c r="AV186" i="56"/>
  <c r="AW211" i="56"/>
  <c r="AV161" i="53"/>
  <c r="BI196" i="53"/>
  <c r="BJ201" i="53"/>
  <c r="AS211" i="53"/>
  <c r="BJ211" i="53"/>
  <c r="AF179" i="58"/>
  <c r="V154" i="56"/>
  <c r="AT159" i="58"/>
  <c r="AG201" i="56"/>
  <c r="AW171" i="53"/>
  <c r="AU124" i="58"/>
  <c r="AG129" i="58"/>
  <c r="BG129" i="58"/>
  <c r="U134" i="58"/>
  <c r="AX174" i="58"/>
  <c r="Y179" i="58"/>
  <c r="Z184" i="58"/>
  <c r="W166" i="56"/>
  <c r="AV166" i="56"/>
  <c r="AF176" i="56"/>
  <c r="Z196" i="56"/>
  <c r="Z201" i="56"/>
  <c r="AI161" i="53"/>
  <c r="AS201" i="53"/>
  <c r="AW201" i="53"/>
  <c r="AX206" i="53"/>
  <c r="Y211" i="53"/>
  <c r="V124" i="58"/>
  <c r="AU154" i="58"/>
  <c r="X149" i="56"/>
  <c r="AH166" i="56"/>
  <c r="AI191" i="56"/>
  <c r="BH191" i="56"/>
  <c r="AI196" i="53"/>
  <c r="Z201" i="53"/>
  <c r="X129" i="58"/>
  <c r="Y139" i="58"/>
  <c r="BG139" i="58"/>
  <c r="V144" i="58"/>
  <c r="AG149" i="58"/>
  <c r="Y159" i="58"/>
  <c r="W164" i="58"/>
  <c r="AI184" i="58"/>
  <c r="BH149" i="56"/>
  <c r="BG171" i="56"/>
  <c r="X191" i="56"/>
  <c r="AX191" i="56"/>
  <c r="X211" i="56"/>
  <c r="AW161" i="53"/>
  <c r="AH171" i="53"/>
  <c r="AG181" i="53"/>
  <c r="Z129" i="58"/>
  <c r="V134" i="58"/>
  <c r="Y144" i="58"/>
  <c r="AF174" i="58"/>
  <c r="X154" i="56"/>
  <c r="Z166" i="56"/>
  <c r="AF166" i="56"/>
  <c r="X154" i="58"/>
  <c r="AW159" i="58"/>
  <c r="BI174" i="58"/>
  <c r="BJ179" i="58"/>
  <c r="Z149" i="56"/>
  <c r="AF149" i="56"/>
  <c r="BJ154" i="56"/>
  <c r="AF139" i="58"/>
  <c r="AI149" i="58"/>
  <c r="AS159" i="58"/>
  <c r="BI159" i="58"/>
  <c r="AX164" i="58"/>
  <c r="Y169" i="58"/>
  <c r="BI169" i="58"/>
  <c r="AG174" i="58"/>
  <c r="U179" i="58"/>
  <c r="Y184" i="58"/>
  <c r="AG149" i="56"/>
  <c r="BG149" i="56"/>
  <c r="AU154" i="56"/>
  <c r="V166" i="56"/>
  <c r="AI166" i="56"/>
  <c r="AW166" i="56"/>
  <c r="BH166" i="56"/>
  <c r="AH139" i="58"/>
  <c r="W159" i="58"/>
  <c r="AF159" i="58"/>
  <c r="Z164" i="58"/>
  <c r="AS169" i="58"/>
  <c r="BG169" i="58"/>
  <c r="Z174" i="58"/>
  <c r="AI174" i="58"/>
  <c r="V179" i="58"/>
  <c r="AI149" i="56"/>
  <c r="AW149" i="56"/>
  <c r="AI129" i="58"/>
  <c r="BH129" i="58"/>
  <c r="X134" i="58"/>
  <c r="AI139" i="58"/>
  <c r="AU149" i="58"/>
  <c r="AF164" i="58"/>
  <c r="Z179" i="58"/>
  <c r="AU179" i="58"/>
  <c r="AH184" i="58"/>
  <c r="AV184" i="58"/>
  <c r="Y166" i="56"/>
  <c r="U124" i="58"/>
  <c r="X139" i="58"/>
  <c r="BJ139" i="58"/>
  <c r="U144" i="58"/>
  <c r="AS149" i="58"/>
  <c r="AW149" i="58"/>
  <c r="U159" i="58"/>
  <c r="AG164" i="58"/>
  <c r="AW179" i="58"/>
  <c r="Y149" i="56"/>
  <c r="BI129" i="58"/>
  <c r="Z124" i="58"/>
  <c r="BJ129" i="58"/>
  <c r="BH149" i="58"/>
  <c r="BH179" i="58"/>
  <c r="U149" i="56"/>
  <c r="BH154" i="56"/>
  <c r="X166" i="56"/>
  <c r="AT171" i="56"/>
  <c r="BJ181" i="56"/>
  <c r="AI216" i="56"/>
  <c r="AI146" i="53"/>
  <c r="AV146" i="53"/>
  <c r="AU151" i="53"/>
  <c r="AG161" i="53"/>
  <c r="AU161" i="53"/>
  <c r="Z191" i="53"/>
  <c r="AS191" i="53"/>
  <c r="W201" i="53"/>
  <c r="AT201" i="53"/>
  <c r="U211" i="53"/>
  <c r="AT211" i="53"/>
  <c r="BI211" i="53"/>
  <c r="V171" i="56"/>
  <c r="AI176" i="56"/>
  <c r="BH201" i="56"/>
  <c r="BG211" i="56"/>
  <c r="AH161" i="53"/>
  <c r="AV166" i="53"/>
  <c r="AI171" i="53"/>
  <c r="W176" i="53"/>
  <c r="AU176" i="53"/>
  <c r="AV181" i="53"/>
  <c r="U191" i="53"/>
  <c r="W196" i="53"/>
  <c r="V211" i="53"/>
  <c r="AU211" i="53"/>
  <c r="AS176" i="56"/>
  <c r="BG191" i="56"/>
  <c r="U146" i="53"/>
  <c r="U171" i="53"/>
  <c r="AV171" i="53"/>
  <c r="Y176" i="53"/>
  <c r="AI181" i="53"/>
  <c r="AU191" i="53"/>
  <c r="Y201" i="53"/>
  <c r="AV201" i="53"/>
  <c r="AV211" i="53"/>
  <c r="AU186" i="56"/>
  <c r="AV171" i="56"/>
  <c r="AG181" i="56"/>
  <c r="BI191" i="56"/>
  <c r="W201" i="56"/>
  <c r="AV206" i="56"/>
  <c r="W211" i="56"/>
  <c r="W216" i="56"/>
  <c r="U181" i="53"/>
  <c r="BJ191" i="53"/>
  <c r="BH201" i="53"/>
  <c r="Y191" i="56"/>
  <c r="AV191" i="56"/>
  <c r="AT201" i="56"/>
  <c r="W206" i="56"/>
  <c r="AX206" i="56"/>
  <c r="AT211" i="56"/>
  <c r="AX186" i="53"/>
  <c r="BG181" i="56"/>
  <c r="Y186" i="56"/>
  <c r="AS191" i="56"/>
  <c r="AW191" i="56"/>
  <c r="W196" i="56"/>
  <c r="Y201" i="56"/>
  <c r="AU201" i="56"/>
  <c r="Y211" i="56"/>
  <c r="AU211" i="56"/>
  <c r="Y216" i="56"/>
  <c r="AX216" i="56"/>
  <c r="X151" i="53"/>
  <c r="U201" i="53"/>
  <c r="BI201" i="53"/>
  <c r="AW211" i="53"/>
  <c r="BG211" i="53"/>
  <c r="AU171" i="56"/>
  <c r="AF181" i="56"/>
  <c r="AF191" i="56"/>
  <c r="Y196" i="56"/>
  <c r="AS201" i="56"/>
  <c r="AS211" i="56"/>
  <c r="AF161" i="53"/>
  <c r="Z181" i="53"/>
  <c r="X191" i="53"/>
  <c r="AW191" i="53"/>
  <c r="BG191" i="53"/>
  <c r="V201" i="53"/>
  <c r="Z211" i="53"/>
  <c r="BH211" i="53"/>
  <c r="AG144" i="58"/>
  <c r="AF144" i="58"/>
  <c r="AT124" i="58"/>
  <c r="AS124" i="58"/>
  <c r="BJ124" i="58"/>
  <c r="BI124" i="58"/>
  <c r="AI134" i="58"/>
  <c r="AH134" i="58"/>
  <c r="V154" i="58"/>
  <c r="W154" i="58"/>
  <c r="U154" i="58"/>
  <c r="V149" i="58"/>
  <c r="U149" i="58"/>
  <c r="AX146" i="53"/>
  <c r="AW146" i="53"/>
  <c r="AT134" i="58"/>
  <c r="AS134" i="58"/>
  <c r="BJ134" i="58"/>
  <c r="BI134" i="58"/>
  <c r="BH139" i="58"/>
  <c r="AI144" i="58"/>
  <c r="AH144" i="58"/>
  <c r="AT154" i="58"/>
  <c r="AS154" i="58"/>
  <c r="W179" i="58"/>
  <c r="X179" i="58"/>
  <c r="AX129" i="58"/>
  <c r="AW129" i="58"/>
  <c r="BI139" i="58"/>
  <c r="AT144" i="58"/>
  <c r="AS144" i="58"/>
  <c r="BJ144" i="58"/>
  <c r="BI144" i="58"/>
  <c r="BJ149" i="58"/>
  <c r="BI149" i="58"/>
  <c r="AI154" i="56"/>
  <c r="AH154" i="56"/>
  <c r="AG154" i="56"/>
  <c r="AF154" i="56"/>
  <c r="AG124" i="58"/>
  <c r="AF124" i="58"/>
  <c r="V129" i="58"/>
  <c r="U129" i="58"/>
  <c r="BJ164" i="58"/>
  <c r="BG164" i="58"/>
  <c r="BI164" i="58"/>
  <c r="BH164" i="58"/>
  <c r="U176" i="56"/>
  <c r="X176" i="56"/>
  <c r="Y176" i="56"/>
  <c r="AI124" i="58"/>
  <c r="AH124" i="58"/>
  <c r="W129" i="58"/>
  <c r="AX139" i="58"/>
  <c r="AW139" i="58"/>
  <c r="Y149" i="58"/>
  <c r="AI154" i="58"/>
  <c r="AF154" i="58"/>
  <c r="AH154" i="58"/>
  <c r="AG154" i="58"/>
  <c r="AG134" i="58"/>
  <c r="AF134" i="58"/>
  <c r="V139" i="58"/>
  <c r="U139" i="58"/>
  <c r="AH179" i="58"/>
  <c r="AW124" i="58"/>
  <c r="BG124" i="58"/>
  <c r="AS129" i="58"/>
  <c r="AW134" i="58"/>
  <c r="BG134" i="58"/>
  <c r="AS139" i="58"/>
  <c r="AW144" i="58"/>
  <c r="BG144" i="58"/>
  <c r="V159" i="58"/>
  <c r="AG159" i="58"/>
  <c r="AI169" i="58"/>
  <c r="AG169" i="58"/>
  <c r="W174" i="58"/>
  <c r="U181" i="56"/>
  <c r="W181" i="56"/>
  <c r="AX166" i="53"/>
  <c r="AW166" i="53"/>
  <c r="AT176" i="53"/>
  <c r="AS176" i="53"/>
  <c r="AW206" i="53"/>
  <c r="X206" i="53"/>
  <c r="AU206" i="53"/>
  <c r="Z206" i="53"/>
  <c r="Y206" i="53"/>
  <c r="W206" i="53"/>
  <c r="W124" i="58"/>
  <c r="AX124" i="58"/>
  <c r="BH124" i="58"/>
  <c r="AT129" i="58"/>
  <c r="W134" i="58"/>
  <c r="AX134" i="58"/>
  <c r="BH134" i="58"/>
  <c r="AT139" i="58"/>
  <c r="W144" i="58"/>
  <c r="AX144" i="58"/>
  <c r="BH144" i="58"/>
  <c r="Z149" i="58"/>
  <c r="Y154" i="58"/>
  <c r="BG154" i="58"/>
  <c r="Y164" i="58"/>
  <c r="Y174" i="58"/>
  <c r="AW184" i="58"/>
  <c r="X184" i="58"/>
  <c r="AU184" i="58"/>
  <c r="AX184" i="58"/>
  <c r="W176" i="56"/>
  <c r="V181" i="56"/>
  <c r="AT186" i="56"/>
  <c r="AS186" i="56"/>
  <c r="AH206" i="56"/>
  <c r="AF206" i="56"/>
  <c r="AI206" i="56"/>
  <c r="AG206" i="56"/>
  <c r="AT161" i="53"/>
  <c r="AS161" i="53"/>
  <c r="AW186" i="53"/>
  <c r="X186" i="53"/>
  <c r="AU186" i="53"/>
  <c r="Z186" i="53"/>
  <c r="Y186" i="53"/>
  <c r="W186" i="53"/>
  <c r="AU129" i="58"/>
  <c r="AU139" i="58"/>
  <c r="AW154" i="58"/>
  <c r="AX159" i="58"/>
  <c r="AS174" i="58"/>
  <c r="AX179" i="58"/>
  <c r="BG179" i="58"/>
  <c r="V184" i="58"/>
  <c r="U184" i="58"/>
  <c r="BJ184" i="58"/>
  <c r="BH184" i="58"/>
  <c r="BG184" i="58"/>
  <c r="Z176" i="56"/>
  <c r="AX176" i="56"/>
  <c r="AV176" i="56"/>
  <c r="AU176" i="56"/>
  <c r="Y151" i="53"/>
  <c r="Z151" i="53"/>
  <c r="BJ206" i="53"/>
  <c r="BH206" i="53"/>
  <c r="BG206" i="53"/>
  <c r="BI206" i="53"/>
  <c r="AV129" i="58"/>
  <c r="AV139" i="58"/>
  <c r="AF149" i="58"/>
  <c r="BJ154" i="58"/>
  <c r="BG159" i="58"/>
  <c r="AW164" i="58"/>
  <c r="X164" i="58"/>
  <c r="AS164" i="58"/>
  <c r="AF169" i="58"/>
  <c r="AV174" i="58"/>
  <c r="Y171" i="56"/>
  <c r="Z171" i="56"/>
  <c r="BJ171" i="56"/>
  <c r="BI171" i="56"/>
  <c r="Y181" i="56"/>
  <c r="BJ186" i="53"/>
  <c r="BH186" i="53"/>
  <c r="BG186" i="53"/>
  <c r="BI186" i="53"/>
  <c r="AI159" i="58"/>
  <c r="AW174" i="58"/>
  <c r="X174" i="58"/>
  <c r="AU174" i="58"/>
  <c r="Y154" i="56"/>
  <c r="Z154" i="56"/>
  <c r="AI171" i="56"/>
  <c r="AH171" i="56"/>
  <c r="AG171" i="56"/>
  <c r="AF171" i="56"/>
  <c r="U161" i="53"/>
  <c r="W161" i="53"/>
  <c r="V161" i="53"/>
  <c r="X161" i="53"/>
  <c r="BJ181" i="53"/>
  <c r="BI181" i="53"/>
  <c r="BH154" i="58"/>
  <c r="AV164" i="58"/>
  <c r="AX169" i="58"/>
  <c r="V174" i="58"/>
  <c r="U174" i="58"/>
  <c r="BJ174" i="58"/>
  <c r="BH174" i="58"/>
  <c r="BG174" i="58"/>
  <c r="AI179" i="58"/>
  <c r="AG179" i="58"/>
  <c r="W184" i="58"/>
  <c r="BI184" i="58"/>
  <c r="X181" i="56"/>
  <c r="V166" i="53"/>
  <c r="U166" i="53"/>
  <c r="Z166" i="53"/>
  <c r="X166" i="53"/>
  <c r="BH176" i="53"/>
  <c r="BG176" i="53"/>
  <c r="AT196" i="53"/>
  <c r="AX196" i="53"/>
  <c r="AV196" i="53"/>
  <c r="AS154" i="56"/>
  <c r="BG176" i="56"/>
  <c r="V216" i="56"/>
  <c r="U216" i="56"/>
  <c r="AS216" i="56"/>
  <c r="BJ146" i="53"/>
  <c r="AT151" i="53"/>
  <c r="AI166" i="53"/>
  <c r="AG166" i="53"/>
  <c r="AF166" i="53"/>
  <c r="BJ166" i="53"/>
  <c r="AH186" i="53"/>
  <c r="AF186" i="53"/>
  <c r="AI191" i="53"/>
  <c r="AH191" i="53"/>
  <c r="AH206" i="53"/>
  <c r="AF206" i="53"/>
  <c r="AI211" i="53"/>
  <c r="AH211" i="53"/>
  <c r="AV169" i="58"/>
  <c r="AV179" i="58"/>
  <c r="BI149" i="56"/>
  <c r="BI166" i="56"/>
  <c r="AS171" i="56"/>
  <c r="V176" i="56"/>
  <c r="AT176" i="56"/>
  <c r="AT181" i="56"/>
  <c r="Z186" i="56"/>
  <c r="W191" i="56"/>
  <c r="AH191" i="56"/>
  <c r="AX201" i="56"/>
  <c r="BG201" i="56"/>
  <c r="AW206" i="56"/>
  <c r="X206" i="56"/>
  <c r="AU206" i="56"/>
  <c r="BJ206" i="56"/>
  <c r="BH206" i="56"/>
  <c r="BG206" i="56"/>
  <c r="AI211" i="56"/>
  <c r="AH211" i="56"/>
  <c r="AU146" i="53"/>
  <c r="BH146" i="53"/>
  <c r="AS166" i="53"/>
  <c r="W171" i="53"/>
  <c r="AX171" i="53"/>
  <c r="Z176" i="53"/>
  <c r="AV176" i="53"/>
  <c r="AF181" i="53"/>
  <c r="BG181" i="53"/>
  <c r="V186" i="53"/>
  <c r="U186" i="53"/>
  <c r="AS186" i="53"/>
  <c r="BG201" i="53"/>
  <c r="V206" i="53"/>
  <c r="U206" i="53"/>
  <c r="AS206" i="53"/>
  <c r="BJ149" i="56"/>
  <c r="BJ166" i="56"/>
  <c r="U171" i="56"/>
  <c r="AW171" i="56"/>
  <c r="AU181" i="56"/>
  <c r="AI186" i="56"/>
  <c r="AG186" i="56"/>
  <c r="AF186" i="56"/>
  <c r="BH186" i="56"/>
  <c r="BG186" i="56"/>
  <c r="AH196" i="56"/>
  <c r="AF196" i="56"/>
  <c r="AV196" i="56"/>
  <c r="V206" i="56"/>
  <c r="U206" i="56"/>
  <c r="AS206" i="56"/>
  <c r="BI146" i="53"/>
  <c r="BH151" i="53"/>
  <c r="BG151" i="53"/>
  <c r="BJ161" i="53"/>
  <c r="W166" i="53"/>
  <c r="AH166" i="53"/>
  <c r="AT166" i="53"/>
  <c r="AI176" i="53"/>
  <c r="AG176" i="53"/>
  <c r="AF176" i="53"/>
  <c r="BJ176" i="53"/>
  <c r="AU181" i="53"/>
  <c r="BH181" i="53"/>
  <c r="AG186" i="53"/>
  <c r="AF191" i="53"/>
  <c r="AG206" i="53"/>
  <c r="AF211" i="53"/>
  <c r="AS149" i="56"/>
  <c r="AW154" i="56"/>
  <c r="BG154" i="56"/>
  <c r="AS166" i="56"/>
  <c r="AX171" i="56"/>
  <c r="BH176" i="56"/>
  <c r="Z181" i="56"/>
  <c r="AV181" i="56"/>
  <c r="V186" i="56"/>
  <c r="AW196" i="56"/>
  <c r="X196" i="56"/>
  <c r="AU196" i="56"/>
  <c r="AX196" i="56"/>
  <c r="W146" i="53"/>
  <c r="AV151" i="53"/>
  <c r="Z161" i="53"/>
  <c r="BG161" i="53"/>
  <c r="Y166" i="53"/>
  <c r="AU166" i="53"/>
  <c r="AT171" i="53"/>
  <c r="AS171" i="53"/>
  <c r="V176" i="53"/>
  <c r="U176" i="53"/>
  <c r="AX176" i="53"/>
  <c r="AW176" i="53"/>
  <c r="BI176" i="53"/>
  <c r="V181" i="53"/>
  <c r="AW181" i="53"/>
  <c r="AI186" i="53"/>
  <c r="AG191" i="53"/>
  <c r="AH196" i="53"/>
  <c r="AF196" i="53"/>
  <c r="AI201" i="53"/>
  <c r="AH201" i="53"/>
  <c r="AI206" i="53"/>
  <c r="AG211" i="53"/>
  <c r="AT149" i="56"/>
  <c r="W154" i="56"/>
  <c r="AX154" i="56"/>
  <c r="AT166" i="56"/>
  <c r="W171" i="56"/>
  <c r="BI176" i="56"/>
  <c r="AW181" i="56"/>
  <c r="W186" i="56"/>
  <c r="AX186" i="56"/>
  <c r="AW186" i="56"/>
  <c r="V196" i="56"/>
  <c r="U196" i="56"/>
  <c r="BJ196" i="56"/>
  <c r="BH196" i="56"/>
  <c r="BG196" i="56"/>
  <c r="AI201" i="56"/>
  <c r="AH201" i="56"/>
  <c r="AV216" i="56"/>
  <c r="X146" i="53"/>
  <c r="AI151" i="53"/>
  <c r="AG151" i="53"/>
  <c r="AF151" i="53"/>
  <c r="BJ151" i="53"/>
  <c r="BH161" i="53"/>
  <c r="W181" i="53"/>
  <c r="AX181" i="53"/>
  <c r="AX191" i="53"/>
  <c r="AW196" i="53"/>
  <c r="X196" i="53"/>
  <c r="AU196" i="53"/>
  <c r="BJ196" i="53"/>
  <c r="BH196" i="53"/>
  <c r="BG196" i="53"/>
  <c r="AU149" i="56"/>
  <c r="BI154" i="56"/>
  <c r="AU166" i="56"/>
  <c r="BJ176" i="56"/>
  <c r="AH216" i="56"/>
  <c r="AF216" i="56"/>
  <c r="AT146" i="53"/>
  <c r="AS146" i="53"/>
  <c r="V151" i="53"/>
  <c r="U151" i="53"/>
  <c r="AX151" i="53"/>
  <c r="AW151" i="53"/>
  <c r="BI161" i="53"/>
  <c r="BH166" i="53"/>
  <c r="BG166" i="53"/>
  <c r="BJ171" i="53"/>
  <c r="V196" i="53"/>
  <c r="U196" i="53"/>
  <c r="AS196" i="53"/>
  <c r="AH176" i="56"/>
  <c r="AW176" i="56"/>
  <c r="BI186" i="56"/>
  <c r="AI196" i="56"/>
  <c r="Y206" i="56"/>
  <c r="AX211" i="56"/>
  <c r="AW216" i="56"/>
  <c r="X216" i="56"/>
  <c r="AU216" i="56"/>
  <c r="BJ216" i="56"/>
  <c r="BH216" i="56"/>
  <c r="BG216" i="56"/>
  <c r="AS151" i="53"/>
  <c r="AX161" i="53"/>
  <c r="BG171" i="53"/>
  <c r="AT181" i="53"/>
  <c r="AS181" i="53"/>
  <c r="AV186" i="53"/>
  <c r="W191" i="53"/>
  <c r="AG196" i="53"/>
  <c r="AF201" i="53"/>
  <c r="AV206" i="53"/>
  <c r="W211" i="53"/>
  <c r="Y146" i="53"/>
  <c r="Y161" i="53"/>
  <c r="Y171" i="53"/>
  <c r="Y181" i="53"/>
  <c r="C13" i="59" l="1"/>
  <c r="C13" i="57"/>
  <c r="C3" i="56"/>
  <c r="B180" i="53"/>
  <c r="B175" i="53"/>
  <c r="B170" i="53"/>
  <c r="B165" i="53"/>
  <c r="B155" i="53"/>
  <c r="B150" i="53"/>
  <c r="B145" i="53"/>
  <c r="B143" i="53"/>
  <c r="B133" i="53"/>
  <c r="B130" i="53"/>
  <c r="B127" i="53"/>
  <c r="B122" i="53"/>
  <c r="B115" i="53"/>
  <c r="B105" i="53"/>
  <c r="B96" i="53"/>
  <c r="B92" i="53"/>
  <c r="B89" i="53"/>
  <c r="B76" i="53"/>
  <c r="B68" i="53"/>
  <c r="B60" i="53"/>
  <c r="B58" i="53"/>
  <c r="B56" i="53"/>
  <c r="B45" i="53"/>
  <c r="B39" i="53"/>
  <c r="B38" i="53"/>
  <c r="B37" i="53"/>
  <c r="B36" i="53"/>
  <c r="B33" i="53"/>
  <c r="B32" i="53"/>
  <c r="B185" i="56"/>
  <c r="B180" i="56"/>
  <c r="B175" i="56"/>
  <c r="B170" i="56"/>
  <c r="B158" i="56"/>
  <c r="B153" i="56"/>
  <c r="B147" i="56"/>
  <c r="B145" i="56"/>
  <c r="B135" i="56"/>
  <c r="B132" i="56"/>
  <c r="B127" i="56"/>
  <c r="B121" i="56"/>
  <c r="B114" i="56"/>
  <c r="B107" i="56"/>
  <c r="B98" i="56"/>
  <c r="B93" i="56"/>
  <c r="B90" i="56"/>
  <c r="B76" i="56"/>
  <c r="B68" i="56"/>
  <c r="B60" i="56"/>
  <c r="B58" i="56"/>
  <c r="B56" i="56"/>
  <c r="B45" i="56"/>
  <c r="B39" i="56"/>
  <c r="B38" i="56"/>
  <c r="B37" i="56"/>
  <c r="B36" i="56"/>
  <c r="B33" i="56"/>
  <c r="B32" i="56"/>
  <c r="B153" i="58"/>
  <c r="B148" i="58"/>
  <c r="B143" i="58"/>
  <c r="B138" i="58"/>
  <c r="B133" i="58"/>
  <c r="B128" i="58"/>
  <c r="B123" i="58"/>
  <c r="B121" i="58"/>
  <c r="B111" i="58"/>
  <c r="B108" i="58"/>
  <c r="B105" i="58"/>
  <c r="B99" i="58"/>
  <c r="B93" i="58"/>
  <c r="B88" i="58"/>
  <c r="B83" i="58"/>
  <c r="B79" i="58"/>
  <c r="B76" i="58"/>
  <c r="B65" i="58"/>
  <c r="B60" i="58"/>
  <c r="B52" i="58"/>
  <c r="B50" i="58"/>
  <c r="B48" i="58"/>
  <c r="B43" i="58"/>
  <c r="B37" i="58"/>
  <c r="B36" i="58"/>
  <c r="B35" i="58"/>
  <c r="B34" i="58"/>
  <c r="B33" i="58"/>
  <c r="B32" i="58"/>
  <c r="A178" i="59"/>
  <c r="A177" i="59"/>
  <c r="A139" i="59"/>
  <c r="A134" i="59"/>
  <c r="A129" i="59"/>
  <c r="A124" i="59"/>
  <c r="A119" i="59"/>
  <c r="A114" i="59"/>
  <c r="A109" i="59"/>
  <c r="A107" i="59"/>
  <c r="C101" i="59"/>
  <c r="BN100" i="59"/>
  <c r="AZ100" i="59"/>
  <c r="AL100" i="59"/>
  <c r="X100" i="59"/>
  <c r="A100" i="59"/>
  <c r="BN99" i="59"/>
  <c r="AZ99" i="59"/>
  <c r="AL99" i="59"/>
  <c r="X99" i="59"/>
  <c r="BN97" i="59"/>
  <c r="AZ97" i="59"/>
  <c r="AL97" i="59"/>
  <c r="X97" i="59"/>
  <c r="A97" i="59"/>
  <c r="BN96" i="59"/>
  <c r="AZ96" i="59"/>
  <c r="AL96" i="59"/>
  <c r="X96" i="59"/>
  <c r="BN94" i="59"/>
  <c r="AZ94" i="59"/>
  <c r="AL94" i="59"/>
  <c r="X94" i="59"/>
  <c r="A94" i="59"/>
  <c r="BN93" i="59"/>
  <c r="AZ93" i="59"/>
  <c r="AL93" i="59"/>
  <c r="X93" i="59"/>
  <c r="BN88" i="59"/>
  <c r="AZ88" i="59"/>
  <c r="AL88" i="59"/>
  <c r="X88" i="59"/>
  <c r="A88" i="59"/>
  <c r="BN87" i="59"/>
  <c r="AZ87" i="59"/>
  <c r="AL87" i="59"/>
  <c r="X87" i="59"/>
  <c r="BN82" i="59"/>
  <c r="AZ82" i="59"/>
  <c r="AL82" i="59"/>
  <c r="X82" i="59"/>
  <c r="A82" i="59"/>
  <c r="BN81" i="59"/>
  <c r="AZ81" i="59"/>
  <c r="AL81" i="59"/>
  <c r="X81" i="59"/>
  <c r="BN77" i="59"/>
  <c r="AZ77" i="59"/>
  <c r="AL77" i="59"/>
  <c r="X77" i="59"/>
  <c r="A77" i="59"/>
  <c r="BN76" i="59"/>
  <c r="AZ76" i="59"/>
  <c r="AL76" i="59"/>
  <c r="X76" i="59"/>
  <c r="BN72" i="59"/>
  <c r="AZ72" i="59"/>
  <c r="AL72" i="59"/>
  <c r="X72" i="59"/>
  <c r="A72" i="59"/>
  <c r="BN71" i="59"/>
  <c r="AZ71" i="59"/>
  <c r="AL71" i="59"/>
  <c r="X71" i="59"/>
  <c r="BN68" i="59"/>
  <c r="AZ68" i="59"/>
  <c r="AL68" i="59"/>
  <c r="X68" i="59"/>
  <c r="A68" i="59"/>
  <c r="BN67" i="59"/>
  <c r="AZ67" i="59"/>
  <c r="AL67" i="59"/>
  <c r="X67" i="59"/>
  <c r="BN65" i="59"/>
  <c r="AZ65" i="59"/>
  <c r="AL65" i="59"/>
  <c r="X65" i="59"/>
  <c r="A65" i="59"/>
  <c r="BN64" i="59"/>
  <c r="AZ64" i="59"/>
  <c r="AL64" i="59"/>
  <c r="X64" i="59"/>
  <c r="BN54" i="59"/>
  <c r="AZ54" i="59"/>
  <c r="AL54" i="59"/>
  <c r="X54" i="59"/>
  <c r="A54" i="59"/>
  <c r="BN53" i="59"/>
  <c r="AZ53" i="59"/>
  <c r="AL53" i="59"/>
  <c r="X53" i="59"/>
  <c r="BN49" i="59"/>
  <c r="AZ49" i="59"/>
  <c r="AL49" i="59"/>
  <c r="X49" i="59"/>
  <c r="A49" i="59"/>
  <c r="BN48" i="59"/>
  <c r="AZ48" i="59"/>
  <c r="AL48" i="59"/>
  <c r="X48" i="59"/>
  <c r="CB47" i="59"/>
  <c r="BN47" i="59"/>
  <c r="AZ47" i="59"/>
  <c r="AL47" i="59"/>
  <c r="X47" i="59"/>
  <c r="CA42" i="59"/>
  <c r="BZ42" i="59"/>
  <c r="BY42" i="59"/>
  <c r="BX42" i="59"/>
  <c r="BW42" i="59"/>
  <c r="BV42" i="59"/>
  <c r="BU42" i="59"/>
  <c r="BT42" i="59"/>
  <c r="BS42" i="59"/>
  <c r="BR42" i="59"/>
  <c r="BQ42" i="59"/>
  <c r="BP42" i="59"/>
  <c r="BM42" i="59"/>
  <c r="BL42" i="59"/>
  <c r="BK42" i="59"/>
  <c r="BJ42" i="59"/>
  <c r="BI42" i="59"/>
  <c r="BH42" i="59"/>
  <c r="BG42" i="59"/>
  <c r="BF42" i="59"/>
  <c r="BE42" i="59"/>
  <c r="BD42" i="59"/>
  <c r="BC42" i="59"/>
  <c r="BB42" i="59"/>
  <c r="AY42" i="59"/>
  <c r="AX42" i="59"/>
  <c r="AW42" i="59"/>
  <c r="AV42" i="59"/>
  <c r="AU42" i="59"/>
  <c r="AT42" i="59"/>
  <c r="AS42" i="59"/>
  <c r="AR42" i="59"/>
  <c r="AQ42" i="59"/>
  <c r="AP42" i="59"/>
  <c r="AO42" i="59"/>
  <c r="AN42" i="59"/>
  <c r="AK42" i="59"/>
  <c r="AJ42" i="59"/>
  <c r="AI42" i="59"/>
  <c r="AH42" i="59"/>
  <c r="AG42" i="59"/>
  <c r="AF42" i="59"/>
  <c r="AE42" i="59"/>
  <c r="AD42" i="59"/>
  <c r="AC42" i="59"/>
  <c r="AB42" i="59"/>
  <c r="AA42" i="59"/>
  <c r="Z42" i="59"/>
  <c r="W42" i="59"/>
  <c r="V42" i="59"/>
  <c r="U42" i="59"/>
  <c r="T42" i="59"/>
  <c r="S42" i="59"/>
  <c r="R42" i="59"/>
  <c r="Q42" i="59"/>
  <c r="P42" i="59"/>
  <c r="O42" i="59"/>
  <c r="N42" i="59"/>
  <c r="M42" i="59"/>
  <c r="L42" i="59"/>
  <c r="C42" i="59"/>
  <c r="BN41" i="59"/>
  <c r="AZ41" i="59"/>
  <c r="AL41" i="59"/>
  <c r="X41" i="59"/>
  <c r="A41" i="59"/>
  <c r="BN40" i="59"/>
  <c r="AZ40" i="59"/>
  <c r="AL40" i="59"/>
  <c r="X40" i="59"/>
  <c r="BN39" i="59"/>
  <c r="AZ39" i="59"/>
  <c r="AL39" i="59"/>
  <c r="X39" i="59"/>
  <c r="A39" i="59"/>
  <c r="BN38" i="59"/>
  <c r="AZ38" i="59"/>
  <c r="AL38" i="59"/>
  <c r="X38" i="59"/>
  <c r="BN37" i="59"/>
  <c r="AZ37" i="59"/>
  <c r="AL37" i="59"/>
  <c r="X37" i="59"/>
  <c r="A37" i="59"/>
  <c r="BN36" i="59"/>
  <c r="AZ36" i="59"/>
  <c r="AL36" i="59"/>
  <c r="X36" i="59"/>
  <c r="BN35" i="59"/>
  <c r="AZ35" i="59"/>
  <c r="AL35" i="59"/>
  <c r="X35" i="59"/>
  <c r="BN32" i="59"/>
  <c r="AZ32" i="59"/>
  <c r="AL32" i="59"/>
  <c r="X32" i="59"/>
  <c r="A32" i="59"/>
  <c r="BN31" i="59"/>
  <c r="AZ31" i="59"/>
  <c r="AL31" i="59"/>
  <c r="X31" i="59"/>
  <c r="CB30" i="59"/>
  <c r="CB42" i="59" s="1"/>
  <c r="BN30" i="59"/>
  <c r="BN42" i="59" s="1"/>
  <c r="AZ30" i="59"/>
  <c r="AZ42" i="59" s="1"/>
  <c r="AL30" i="59"/>
  <c r="AL42" i="59" s="1"/>
  <c r="X30" i="59"/>
  <c r="X42" i="59" s="1"/>
  <c r="CA27" i="59"/>
  <c r="BZ27" i="59"/>
  <c r="BY27" i="59"/>
  <c r="BX27" i="59"/>
  <c r="BW27" i="59"/>
  <c r="BV27" i="59"/>
  <c r="BU27" i="59"/>
  <c r="BT27" i="59"/>
  <c r="BS27" i="59"/>
  <c r="BR27" i="59"/>
  <c r="BQ27" i="59"/>
  <c r="BP27" i="59"/>
  <c r="BM27" i="59"/>
  <c r="BL27" i="59"/>
  <c r="BK27" i="59"/>
  <c r="BJ27" i="59"/>
  <c r="BI27" i="59"/>
  <c r="BH27" i="59"/>
  <c r="BG27" i="59"/>
  <c r="BF27" i="59"/>
  <c r="BE27" i="59"/>
  <c r="BD27" i="59"/>
  <c r="BC27" i="59"/>
  <c r="BB27" i="59"/>
  <c r="AY27" i="59"/>
  <c r="AX27" i="59"/>
  <c r="AW27" i="59"/>
  <c r="AV27" i="59"/>
  <c r="AU27" i="59"/>
  <c r="AT27" i="59"/>
  <c r="AS27" i="59"/>
  <c r="AR27" i="59"/>
  <c r="AQ27" i="59"/>
  <c r="AP27" i="59"/>
  <c r="AO27" i="59"/>
  <c r="AN27" i="59"/>
  <c r="AK27" i="59"/>
  <c r="AJ27" i="59"/>
  <c r="AI27" i="59"/>
  <c r="AH27" i="59"/>
  <c r="AG27" i="59"/>
  <c r="AF27" i="59"/>
  <c r="AE27" i="59"/>
  <c r="AD27" i="59"/>
  <c r="AC27" i="59"/>
  <c r="AB27" i="59"/>
  <c r="AA27" i="59"/>
  <c r="Z27" i="59"/>
  <c r="W27" i="59"/>
  <c r="V27" i="59"/>
  <c r="U27" i="59"/>
  <c r="T27" i="59"/>
  <c r="S27" i="59"/>
  <c r="R27" i="59"/>
  <c r="Q27" i="59"/>
  <c r="P27" i="59"/>
  <c r="O27" i="59"/>
  <c r="N27" i="59"/>
  <c r="M27" i="59"/>
  <c r="L27" i="59"/>
  <c r="C27" i="59"/>
  <c r="BN26" i="59"/>
  <c r="AZ26" i="59"/>
  <c r="AL26" i="59"/>
  <c r="X26" i="59"/>
  <c r="A26" i="59"/>
  <c r="BN25" i="59"/>
  <c r="AZ25" i="59"/>
  <c r="AL25" i="59"/>
  <c r="X25" i="59"/>
  <c r="A25" i="59"/>
  <c r="BN24" i="59"/>
  <c r="AZ24" i="59"/>
  <c r="AL24" i="59"/>
  <c r="X24" i="59"/>
  <c r="A24" i="59"/>
  <c r="BN23" i="59"/>
  <c r="AZ23" i="59"/>
  <c r="AL23" i="59"/>
  <c r="X23" i="59"/>
  <c r="A23" i="59"/>
  <c r="BN22" i="59"/>
  <c r="AZ22" i="59"/>
  <c r="AL22" i="59"/>
  <c r="X22" i="59"/>
  <c r="A22" i="59"/>
  <c r="BN21" i="59"/>
  <c r="AZ21" i="59"/>
  <c r="AL21" i="59"/>
  <c r="X21" i="59"/>
  <c r="A21" i="59"/>
  <c r="CB20" i="59"/>
  <c r="BN20" i="59"/>
  <c r="AZ20" i="59"/>
  <c r="AL20" i="59"/>
  <c r="X20" i="59"/>
  <c r="CB18" i="59"/>
  <c r="BN18" i="59"/>
  <c r="AZ18" i="59"/>
  <c r="AL18" i="59"/>
  <c r="X18" i="59"/>
  <c r="G15" i="59"/>
  <c r="CA14" i="59"/>
  <c r="BZ14" i="59"/>
  <c r="BY14" i="59"/>
  <c r="BX14" i="59"/>
  <c r="BW14" i="59"/>
  <c r="BV14" i="59"/>
  <c r="BU14" i="59"/>
  <c r="BT14" i="59"/>
  <c r="BS14" i="59"/>
  <c r="BR14" i="59"/>
  <c r="BQ14" i="59"/>
  <c r="BP14" i="59"/>
  <c r="BM14" i="59"/>
  <c r="BL14" i="59"/>
  <c r="BK14" i="59"/>
  <c r="BJ14" i="59"/>
  <c r="BI14" i="59"/>
  <c r="BH14" i="59"/>
  <c r="BG14" i="59"/>
  <c r="BF14" i="59"/>
  <c r="BE14" i="59"/>
  <c r="BD14" i="59"/>
  <c r="BC14" i="59"/>
  <c r="AY5" i="59"/>
  <c r="AX5" i="59"/>
  <c r="AW5" i="59"/>
  <c r="AV5" i="59"/>
  <c r="AU5" i="59"/>
  <c r="AT5" i="59"/>
  <c r="AS5" i="59"/>
  <c r="AR5" i="59"/>
  <c r="AQ5" i="59"/>
  <c r="AP5" i="59"/>
  <c r="AO5" i="59"/>
  <c r="AN5" i="59"/>
  <c r="AN14" i="59" s="1"/>
  <c r="AN13" i="59" s="1"/>
  <c r="AZ13" i="59" s="1"/>
  <c r="W5" i="59"/>
  <c r="V5" i="59"/>
  <c r="U5" i="59"/>
  <c r="T5" i="59"/>
  <c r="S5" i="59"/>
  <c r="R5" i="59"/>
  <c r="Q5" i="59"/>
  <c r="P5" i="59"/>
  <c r="O5" i="59"/>
  <c r="N5" i="59"/>
  <c r="M5" i="59"/>
  <c r="L5" i="59"/>
  <c r="CA4" i="59"/>
  <c r="BZ4" i="59"/>
  <c r="BY4" i="59"/>
  <c r="BX4" i="59"/>
  <c r="BW4" i="59"/>
  <c r="BV4" i="59"/>
  <c r="BU4" i="59"/>
  <c r="BT4" i="59"/>
  <c r="BS4" i="59"/>
  <c r="BR4" i="59"/>
  <c r="BQ4" i="59"/>
  <c r="BP4" i="59"/>
  <c r="Z4" i="59"/>
  <c r="Z5" i="59" s="1"/>
  <c r="Z14" i="59" s="1"/>
  <c r="BM3" i="59"/>
  <c r="BL3" i="59"/>
  <c r="BK3" i="59"/>
  <c r="BJ3" i="59"/>
  <c r="BI3" i="59"/>
  <c r="BH3" i="59"/>
  <c r="BG3" i="59"/>
  <c r="BF3" i="59"/>
  <c r="BE3" i="59"/>
  <c r="BD3" i="59"/>
  <c r="BC3" i="59"/>
  <c r="BB3" i="59"/>
  <c r="AY3" i="59"/>
  <c r="AX3" i="59"/>
  <c r="AW3" i="59"/>
  <c r="AV3" i="59"/>
  <c r="AU3" i="59"/>
  <c r="AT3" i="59"/>
  <c r="AS3" i="59"/>
  <c r="AR3" i="59"/>
  <c r="AQ3" i="59"/>
  <c r="AP3" i="59"/>
  <c r="AO3" i="59"/>
  <c r="AN3" i="59"/>
  <c r="AZ14" i="59" s="1"/>
  <c r="AK3" i="59"/>
  <c r="W3" i="59" s="1"/>
  <c r="AJ3" i="59"/>
  <c r="V3" i="59" s="1"/>
  <c r="AI3" i="59"/>
  <c r="U3" i="59" s="1"/>
  <c r="AH3" i="59"/>
  <c r="T3" i="59" s="1"/>
  <c r="AG3" i="59"/>
  <c r="S3" i="59" s="1"/>
  <c r="AF3" i="59"/>
  <c r="R3" i="59" s="1"/>
  <c r="AE3" i="59"/>
  <c r="Q3" i="59" s="1"/>
  <c r="AD3" i="59"/>
  <c r="P3" i="59" s="1"/>
  <c r="AC3" i="59"/>
  <c r="O3" i="59" s="1"/>
  <c r="AB3" i="59"/>
  <c r="N3" i="59" s="1"/>
  <c r="AA3" i="59"/>
  <c r="M3" i="59" s="1"/>
  <c r="X14" i="59" s="1"/>
  <c r="Z3" i="59"/>
  <c r="L3" i="59" s="1"/>
  <c r="BM1" i="59"/>
  <c r="BL1" i="59"/>
  <c r="BK1" i="59"/>
  <c r="BJ1" i="59"/>
  <c r="BI1" i="59"/>
  <c r="BH1" i="59"/>
  <c r="BG1" i="59"/>
  <c r="BF1" i="59"/>
  <c r="BE1" i="59"/>
  <c r="BD1" i="59"/>
  <c r="BC1" i="59"/>
  <c r="BB1" i="59"/>
  <c r="BN1" i="59" s="1"/>
  <c r="BA1" i="59"/>
  <c r="AZ1" i="59"/>
  <c r="AY1" i="59"/>
  <c r="AX1" i="59"/>
  <c r="AW1" i="59"/>
  <c r="AV1" i="59"/>
  <c r="AU1" i="59"/>
  <c r="AT1" i="59"/>
  <c r="AS1" i="59"/>
  <c r="AR1" i="59"/>
  <c r="AQ1" i="59"/>
  <c r="AP1" i="59"/>
  <c r="AO1" i="59"/>
  <c r="AN1" i="59"/>
  <c r="AL1" i="59"/>
  <c r="F1" i="59"/>
  <c r="E1" i="59"/>
  <c r="D1" i="59"/>
  <c r="AJ207" i="58"/>
  <c r="B189" i="58"/>
  <c r="BE112" i="58"/>
  <c r="BC112" i="58"/>
  <c r="BA112" i="58"/>
  <c r="AQ112" i="58"/>
  <c r="AO112" i="58"/>
  <c r="AM112" i="58"/>
  <c r="AK112" i="58"/>
  <c r="AE112" i="58"/>
  <c r="AD112" i="58"/>
  <c r="AC112" i="58"/>
  <c r="S112" i="58"/>
  <c r="Q112" i="58"/>
  <c r="O112" i="58"/>
  <c r="M112" i="58"/>
  <c r="BJ111" i="58"/>
  <c r="BI111" i="58"/>
  <c r="BH111" i="58"/>
  <c r="BG111" i="58"/>
  <c r="AX111" i="58"/>
  <c r="AW111" i="58"/>
  <c r="AV111" i="58"/>
  <c r="AU111" i="58"/>
  <c r="AT111" i="58"/>
  <c r="AS111" i="58"/>
  <c r="Z111" i="58"/>
  <c r="Y111" i="58"/>
  <c r="X111" i="58"/>
  <c r="W111" i="58"/>
  <c r="V111" i="58"/>
  <c r="U111" i="58"/>
  <c r="BJ110" i="58"/>
  <c r="BI110" i="58"/>
  <c r="BH110" i="58"/>
  <c r="BG110" i="58"/>
  <c r="AX110" i="58"/>
  <c r="AW110" i="58"/>
  <c r="AV110" i="58"/>
  <c r="AU110" i="58"/>
  <c r="AT110" i="58"/>
  <c r="AS110" i="58"/>
  <c r="Z110" i="58"/>
  <c r="Y110" i="58"/>
  <c r="X110" i="58"/>
  <c r="W110" i="58"/>
  <c r="V110" i="58"/>
  <c r="U110" i="58"/>
  <c r="BJ108" i="58"/>
  <c r="BI108" i="58"/>
  <c r="BH108" i="58"/>
  <c r="BG108" i="58"/>
  <c r="AX108" i="58"/>
  <c r="AW108" i="58"/>
  <c r="AV108" i="58"/>
  <c r="AU108" i="58"/>
  <c r="AT108" i="58"/>
  <c r="AS108" i="58"/>
  <c r="Z108" i="58"/>
  <c r="Y108" i="58"/>
  <c r="X108" i="58"/>
  <c r="W108" i="58"/>
  <c r="V108" i="58"/>
  <c r="U108" i="58"/>
  <c r="BJ107" i="58"/>
  <c r="BI107" i="58"/>
  <c r="BH107" i="58"/>
  <c r="BG107" i="58"/>
  <c r="AX107" i="58"/>
  <c r="AW107" i="58"/>
  <c r="AV107" i="58"/>
  <c r="AU107" i="58"/>
  <c r="AT107" i="58"/>
  <c r="AS107" i="58"/>
  <c r="Z107" i="58"/>
  <c r="Y107" i="58"/>
  <c r="X107" i="58"/>
  <c r="W107" i="58"/>
  <c r="V107" i="58"/>
  <c r="U107" i="58"/>
  <c r="BJ105" i="58"/>
  <c r="BI105" i="58"/>
  <c r="BH105" i="58"/>
  <c r="BG105" i="58"/>
  <c r="AX105" i="58"/>
  <c r="AW105" i="58"/>
  <c r="AV105" i="58"/>
  <c r="AU105" i="58"/>
  <c r="AT105" i="58"/>
  <c r="AS105" i="58"/>
  <c r="Z105" i="58"/>
  <c r="Y105" i="58"/>
  <c r="X105" i="58"/>
  <c r="W105" i="58"/>
  <c r="V105" i="58"/>
  <c r="U105" i="58"/>
  <c r="BJ104" i="58"/>
  <c r="BI104" i="58"/>
  <c r="BH104" i="58"/>
  <c r="BG104" i="58"/>
  <c r="AX104" i="58"/>
  <c r="AW104" i="58"/>
  <c r="AV104" i="58"/>
  <c r="AU104" i="58"/>
  <c r="AT104" i="58"/>
  <c r="AS104" i="58"/>
  <c r="Z104" i="58"/>
  <c r="Y104" i="58"/>
  <c r="X104" i="58"/>
  <c r="W104" i="58"/>
  <c r="V104" i="58"/>
  <c r="U104" i="58"/>
  <c r="BJ99" i="58"/>
  <c r="BI99" i="58"/>
  <c r="BH99" i="58"/>
  <c r="BG99" i="58"/>
  <c r="AX99" i="58"/>
  <c r="AW99" i="58"/>
  <c r="AV99" i="58"/>
  <c r="AU99" i="58"/>
  <c r="AT99" i="58"/>
  <c r="AS99" i="58"/>
  <c r="Z99" i="58"/>
  <c r="Y99" i="58"/>
  <c r="X99" i="58"/>
  <c r="W99" i="58"/>
  <c r="V99" i="58"/>
  <c r="U99" i="58"/>
  <c r="BJ98" i="58"/>
  <c r="BI98" i="58"/>
  <c r="BH98" i="58"/>
  <c r="BG98" i="58"/>
  <c r="AX98" i="58"/>
  <c r="AW98" i="58"/>
  <c r="AV98" i="58"/>
  <c r="AU98" i="58"/>
  <c r="AT98" i="58"/>
  <c r="AS98" i="58"/>
  <c r="Z98" i="58"/>
  <c r="Y98" i="58"/>
  <c r="X98" i="58"/>
  <c r="W98" i="58"/>
  <c r="V98" i="58"/>
  <c r="U98" i="58"/>
  <c r="BJ93" i="58"/>
  <c r="BI93" i="58"/>
  <c r="BH93" i="58"/>
  <c r="BG93" i="58"/>
  <c r="AX93" i="58"/>
  <c r="AW93" i="58"/>
  <c r="AV93" i="58"/>
  <c r="AU93" i="58"/>
  <c r="AT93" i="58"/>
  <c r="AS93" i="58"/>
  <c r="Z93" i="58"/>
  <c r="Y93" i="58"/>
  <c r="X93" i="58"/>
  <c r="W93" i="58"/>
  <c r="V93" i="58"/>
  <c r="U93" i="58"/>
  <c r="BJ92" i="58"/>
  <c r="BI92" i="58"/>
  <c r="BH92" i="58"/>
  <c r="BG92" i="58"/>
  <c r="AX92" i="58"/>
  <c r="AW92" i="58"/>
  <c r="AV92" i="58"/>
  <c r="AU92" i="58"/>
  <c r="AT92" i="58"/>
  <c r="AS92" i="58"/>
  <c r="Z92" i="58"/>
  <c r="Y92" i="58"/>
  <c r="X92" i="58"/>
  <c r="W92" i="58"/>
  <c r="V92" i="58"/>
  <c r="U92" i="58"/>
  <c r="BJ88" i="58"/>
  <c r="BI88" i="58"/>
  <c r="BH88" i="58"/>
  <c r="BG88" i="58"/>
  <c r="AX88" i="58"/>
  <c r="AW88" i="58"/>
  <c r="AV88" i="58"/>
  <c r="AU88" i="58"/>
  <c r="AT88" i="58"/>
  <c r="AS88" i="58"/>
  <c r="Z88" i="58"/>
  <c r="Y88" i="58"/>
  <c r="X88" i="58"/>
  <c r="W88" i="58"/>
  <c r="V88" i="58"/>
  <c r="U88" i="58"/>
  <c r="BJ87" i="58"/>
  <c r="BI87" i="58"/>
  <c r="BH87" i="58"/>
  <c r="BG87" i="58"/>
  <c r="AX87" i="58"/>
  <c r="AW87" i="58"/>
  <c r="AV87" i="58"/>
  <c r="AU87" i="58"/>
  <c r="AT87" i="58"/>
  <c r="AS87" i="58"/>
  <c r="Z87" i="58"/>
  <c r="Y87" i="58"/>
  <c r="X87" i="58"/>
  <c r="W87" i="58"/>
  <c r="V87" i="58"/>
  <c r="U87" i="58"/>
  <c r="BJ83" i="58"/>
  <c r="BI83" i="58"/>
  <c r="BH83" i="58"/>
  <c r="BG83" i="58"/>
  <c r="AX83" i="58"/>
  <c r="AW83" i="58"/>
  <c r="AV83" i="58"/>
  <c r="AU83" i="58"/>
  <c r="AT83" i="58"/>
  <c r="AS83" i="58"/>
  <c r="Z83" i="58"/>
  <c r="Y83" i="58"/>
  <c r="X83" i="58"/>
  <c r="W83" i="58"/>
  <c r="V83" i="58"/>
  <c r="U83" i="58"/>
  <c r="BJ82" i="58"/>
  <c r="BI82" i="58"/>
  <c r="BH82" i="58"/>
  <c r="BG82" i="58"/>
  <c r="AX82" i="58"/>
  <c r="AW82" i="58"/>
  <c r="AV82" i="58"/>
  <c r="AU82" i="58"/>
  <c r="AT82" i="58"/>
  <c r="AS82" i="58"/>
  <c r="Z82" i="58"/>
  <c r="Y82" i="58"/>
  <c r="X82" i="58"/>
  <c r="W82" i="58"/>
  <c r="V82" i="58"/>
  <c r="U82" i="58"/>
  <c r="BJ79" i="58"/>
  <c r="BI79" i="58"/>
  <c r="BH79" i="58"/>
  <c r="BG79" i="58"/>
  <c r="AX79" i="58"/>
  <c r="AW79" i="58"/>
  <c r="AV79" i="58"/>
  <c r="AU79" i="58"/>
  <c r="AT79" i="58"/>
  <c r="AS79" i="58"/>
  <c r="Z79" i="58"/>
  <c r="Y79" i="58"/>
  <c r="X79" i="58"/>
  <c r="W79" i="58"/>
  <c r="V79" i="58"/>
  <c r="U79" i="58"/>
  <c r="BJ78" i="58"/>
  <c r="BI78" i="58"/>
  <c r="BH78" i="58"/>
  <c r="BG78" i="58"/>
  <c r="AX78" i="58"/>
  <c r="AW78" i="58"/>
  <c r="AV78" i="58"/>
  <c r="AU78" i="58"/>
  <c r="AT78" i="58"/>
  <c r="AS78" i="58"/>
  <c r="Z78" i="58"/>
  <c r="Y78" i="58"/>
  <c r="X78" i="58"/>
  <c r="W78" i="58"/>
  <c r="V78" i="58"/>
  <c r="U78" i="58"/>
  <c r="BJ76" i="58"/>
  <c r="BI76" i="58"/>
  <c r="BH76" i="58"/>
  <c r="BG76" i="58"/>
  <c r="AX76" i="58"/>
  <c r="AW76" i="58"/>
  <c r="AV76" i="58"/>
  <c r="AU76" i="58"/>
  <c r="AT76" i="58"/>
  <c r="AS76" i="58"/>
  <c r="Z76" i="58"/>
  <c r="Y76" i="58"/>
  <c r="X76" i="58"/>
  <c r="W76" i="58"/>
  <c r="V76" i="58"/>
  <c r="U76" i="58"/>
  <c r="BJ75" i="58"/>
  <c r="BI75" i="58"/>
  <c r="BH75" i="58"/>
  <c r="BG75" i="58"/>
  <c r="AX75" i="58"/>
  <c r="AW75" i="58"/>
  <c r="AV75" i="58"/>
  <c r="AU75" i="58"/>
  <c r="AT75" i="58"/>
  <c r="AS75" i="58"/>
  <c r="Z75" i="58"/>
  <c r="Y75" i="58"/>
  <c r="X75" i="58"/>
  <c r="W75" i="58"/>
  <c r="V75" i="58"/>
  <c r="U75" i="58"/>
  <c r="BJ65" i="58"/>
  <c r="BI65" i="58"/>
  <c r="BH65" i="58"/>
  <c r="BG65" i="58"/>
  <c r="AX65" i="58"/>
  <c r="AW65" i="58"/>
  <c r="AV65" i="58"/>
  <c r="AU65" i="58"/>
  <c r="AT65" i="58"/>
  <c r="AS65" i="58"/>
  <c r="Z65" i="58"/>
  <c r="Y65" i="58"/>
  <c r="X65" i="58"/>
  <c r="W65" i="58"/>
  <c r="V65" i="58"/>
  <c r="U65" i="58"/>
  <c r="BJ64" i="58"/>
  <c r="BI64" i="58"/>
  <c r="BH64" i="58"/>
  <c r="BG64" i="58"/>
  <c r="AX64" i="58"/>
  <c r="AW64" i="58"/>
  <c r="AV64" i="58"/>
  <c r="AU64" i="58"/>
  <c r="AT64" i="58"/>
  <c r="AS64" i="58"/>
  <c r="Z64" i="58"/>
  <c r="Y64" i="58"/>
  <c r="X64" i="58"/>
  <c r="W64" i="58"/>
  <c r="V64" i="58"/>
  <c r="U64" i="58"/>
  <c r="BJ60" i="58"/>
  <c r="BI60" i="58"/>
  <c r="BH60" i="58"/>
  <c r="BG60" i="58"/>
  <c r="AX60" i="58"/>
  <c r="AW60" i="58"/>
  <c r="AV60" i="58"/>
  <c r="AU60" i="58"/>
  <c r="AT60" i="58"/>
  <c r="AS60" i="58"/>
  <c r="Z60" i="58"/>
  <c r="Y60" i="58"/>
  <c r="X60" i="58"/>
  <c r="W60" i="58"/>
  <c r="V60" i="58"/>
  <c r="U60" i="58"/>
  <c r="BJ59" i="58"/>
  <c r="BI59" i="58"/>
  <c r="BH59" i="58"/>
  <c r="BG59" i="58"/>
  <c r="AX59" i="58"/>
  <c r="AW59" i="58"/>
  <c r="AV59" i="58"/>
  <c r="AU59" i="58"/>
  <c r="AT59" i="58"/>
  <c r="AS59" i="58"/>
  <c r="Z59" i="58"/>
  <c r="Y59" i="58"/>
  <c r="X59" i="58"/>
  <c r="W59" i="58"/>
  <c r="V59" i="58"/>
  <c r="U59" i="58"/>
  <c r="BJ58" i="58"/>
  <c r="BI58" i="58"/>
  <c r="BH58" i="58"/>
  <c r="BG58" i="58"/>
  <c r="AX58" i="58"/>
  <c r="AW58" i="58"/>
  <c r="AV58" i="58"/>
  <c r="AU58" i="58"/>
  <c r="AT58" i="58"/>
  <c r="AS58" i="58"/>
  <c r="AI58" i="58"/>
  <c r="AH58" i="58"/>
  <c r="AG58" i="58"/>
  <c r="AF58" i="58"/>
  <c r="Z58" i="58"/>
  <c r="Y58" i="58"/>
  <c r="X58" i="58"/>
  <c r="W58" i="58"/>
  <c r="V58" i="58"/>
  <c r="U58" i="58"/>
  <c r="BE53" i="58"/>
  <c r="BC53" i="58"/>
  <c r="BA53" i="58"/>
  <c r="AQ53" i="58"/>
  <c r="AO53" i="58"/>
  <c r="AM53" i="58"/>
  <c r="AK53" i="58"/>
  <c r="AE53" i="58"/>
  <c r="AD53" i="58"/>
  <c r="AC53" i="58"/>
  <c r="S53" i="58"/>
  <c r="Q53" i="58"/>
  <c r="O53" i="58"/>
  <c r="M53" i="58"/>
  <c r="BJ52" i="58"/>
  <c r="BI52" i="58"/>
  <c r="BH52" i="58"/>
  <c r="BG52" i="58"/>
  <c r="AX52" i="58"/>
  <c r="AW52" i="58"/>
  <c r="AV52" i="58"/>
  <c r="AU52" i="58"/>
  <c r="AT52" i="58"/>
  <c r="AS52" i="58"/>
  <c r="Z52" i="58"/>
  <c r="Y52" i="58"/>
  <c r="X52" i="58"/>
  <c r="W52" i="58"/>
  <c r="V52" i="58"/>
  <c r="U52" i="58"/>
  <c r="BJ51" i="58"/>
  <c r="BI51" i="58"/>
  <c r="BH51" i="58"/>
  <c r="BG51" i="58"/>
  <c r="AX51" i="58"/>
  <c r="AW51" i="58"/>
  <c r="AV51" i="58"/>
  <c r="AU51" i="58"/>
  <c r="AT51" i="58"/>
  <c r="AS51" i="58"/>
  <c r="Z51" i="58"/>
  <c r="Y51" i="58"/>
  <c r="X51" i="58"/>
  <c r="W51" i="58"/>
  <c r="V51" i="58"/>
  <c r="U51" i="58"/>
  <c r="BJ50" i="58"/>
  <c r="BI50" i="58"/>
  <c r="BH50" i="58"/>
  <c r="BG50" i="58"/>
  <c r="AX50" i="58"/>
  <c r="AW50" i="58"/>
  <c r="AV50" i="58"/>
  <c r="AU50" i="58"/>
  <c r="AT50" i="58"/>
  <c r="AS50" i="58"/>
  <c r="Z50" i="58"/>
  <c r="Y50" i="58"/>
  <c r="X50" i="58"/>
  <c r="W50" i="58"/>
  <c r="V50" i="58"/>
  <c r="U50" i="58"/>
  <c r="BJ49" i="58"/>
  <c r="BI49" i="58"/>
  <c r="BH49" i="58"/>
  <c r="BG49" i="58"/>
  <c r="AX49" i="58"/>
  <c r="AW49" i="58"/>
  <c r="AV49" i="58"/>
  <c r="AU49" i="58"/>
  <c r="AT49" i="58"/>
  <c r="AS49" i="58"/>
  <c r="Z49" i="58"/>
  <c r="Y49" i="58"/>
  <c r="X49" i="58"/>
  <c r="W49" i="58"/>
  <c r="V49" i="58"/>
  <c r="U49" i="58"/>
  <c r="BJ48" i="58"/>
  <c r="BI48" i="58"/>
  <c r="BH48" i="58"/>
  <c r="BG48" i="58"/>
  <c r="AX48" i="58"/>
  <c r="AW48" i="58"/>
  <c r="AV48" i="58"/>
  <c r="AU48" i="58"/>
  <c r="AT48" i="58"/>
  <c r="AS48" i="58"/>
  <c r="Z48" i="58"/>
  <c r="Y48" i="58"/>
  <c r="X48" i="58"/>
  <c r="W48" i="58"/>
  <c r="V48" i="58"/>
  <c r="U48" i="58"/>
  <c r="BJ47" i="58"/>
  <c r="BI47" i="58"/>
  <c r="BH47" i="58"/>
  <c r="BG47" i="58"/>
  <c r="AX47" i="58"/>
  <c r="AW47" i="58"/>
  <c r="AV47" i="58"/>
  <c r="AU47" i="58"/>
  <c r="AT47" i="58"/>
  <c r="AS47" i="58"/>
  <c r="Z47" i="58"/>
  <c r="Y47" i="58"/>
  <c r="X47" i="58"/>
  <c r="W47" i="58"/>
  <c r="V47" i="58"/>
  <c r="U47" i="58"/>
  <c r="BJ46" i="58"/>
  <c r="BI46" i="58"/>
  <c r="BH46" i="58"/>
  <c r="BG46" i="58"/>
  <c r="AX46" i="58"/>
  <c r="AW46" i="58"/>
  <c r="AV46" i="58"/>
  <c r="AU46" i="58"/>
  <c r="AT46" i="58"/>
  <c r="AS46" i="58"/>
  <c r="Z46" i="58"/>
  <c r="Y46" i="58"/>
  <c r="X46" i="58"/>
  <c r="W46" i="58"/>
  <c r="V46" i="58"/>
  <c r="U46" i="58"/>
  <c r="BJ43" i="58"/>
  <c r="BI43" i="58"/>
  <c r="BH43" i="58"/>
  <c r="BG43" i="58"/>
  <c r="AX43" i="58"/>
  <c r="AW43" i="58"/>
  <c r="AV43" i="58"/>
  <c r="AU43" i="58"/>
  <c r="AT43" i="58"/>
  <c r="AS43" i="58"/>
  <c r="Z43" i="58"/>
  <c r="Y43" i="58"/>
  <c r="X43" i="58"/>
  <c r="W43" i="58"/>
  <c r="V43" i="58"/>
  <c r="U43" i="58"/>
  <c r="BJ42" i="58"/>
  <c r="BI42" i="58"/>
  <c r="BH42" i="58"/>
  <c r="BG42" i="58"/>
  <c r="AX42" i="58"/>
  <c r="AW42" i="58"/>
  <c r="AV42" i="58"/>
  <c r="AU42" i="58"/>
  <c r="AT42" i="58"/>
  <c r="AS42" i="58"/>
  <c r="AI42" i="58"/>
  <c r="AH42" i="58"/>
  <c r="AG42" i="58"/>
  <c r="AF42" i="58"/>
  <c r="Z42" i="58"/>
  <c r="Y42" i="58"/>
  <c r="X42" i="58"/>
  <c r="W42" i="58"/>
  <c r="V42" i="58"/>
  <c r="U42" i="58"/>
  <c r="BE38" i="58"/>
  <c r="BC38" i="58"/>
  <c r="BA38" i="58"/>
  <c r="AQ38" i="58"/>
  <c r="AQ194" i="58" s="1"/>
  <c r="AO38" i="58"/>
  <c r="AM38" i="58"/>
  <c r="AK38" i="58"/>
  <c r="AK194" i="58" s="1"/>
  <c r="AE38" i="58"/>
  <c r="AE194" i="58" s="1"/>
  <c r="AD38" i="58"/>
  <c r="AD194" i="58" s="1"/>
  <c r="AC38" i="58"/>
  <c r="AC194" i="58" s="1"/>
  <c r="S38" i="58"/>
  <c r="S194" i="58" s="1"/>
  <c r="Q38" i="58"/>
  <c r="O38" i="58"/>
  <c r="M38" i="58"/>
  <c r="M194" i="58" s="1"/>
  <c r="BJ37" i="58"/>
  <c r="BI37" i="58"/>
  <c r="BH37" i="58"/>
  <c r="BG37" i="58"/>
  <c r="AX37" i="58"/>
  <c r="AW37" i="58"/>
  <c r="AV37" i="58"/>
  <c r="AU37" i="58"/>
  <c r="AT37" i="58"/>
  <c r="AS37" i="58"/>
  <c r="Z37" i="58"/>
  <c r="Y37" i="58"/>
  <c r="X37" i="58"/>
  <c r="W37" i="58"/>
  <c r="V37" i="58"/>
  <c r="U37" i="58"/>
  <c r="BJ36" i="58"/>
  <c r="BI36" i="58"/>
  <c r="BH36" i="58"/>
  <c r="BG36" i="58"/>
  <c r="AX36" i="58"/>
  <c r="AW36" i="58"/>
  <c r="AV36" i="58"/>
  <c r="AU36" i="58"/>
  <c r="AT36" i="58"/>
  <c r="AS36" i="58"/>
  <c r="Z36" i="58"/>
  <c r="Y36" i="58"/>
  <c r="X36" i="58"/>
  <c r="W36" i="58"/>
  <c r="V36" i="58"/>
  <c r="U36" i="58"/>
  <c r="BJ35" i="58"/>
  <c r="BI35" i="58"/>
  <c r="BH35" i="58"/>
  <c r="BG35" i="58"/>
  <c r="AX35" i="58"/>
  <c r="AW35" i="58"/>
  <c r="AV35" i="58"/>
  <c r="AU35" i="58"/>
  <c r="AT35" i="58"/>
  <c r="AS35" i="58"/>
  <c r="Z35" i="58"/>
  <c r="Y35" i="58"/>
  <c r="X35" i="58"/>
  <c r="W35" i="58"/>
  <c r="V35" i="58"/>
  <c r="U35" i="58"/>
  <c r="BJ34" i="58"/>
  <c r="BI34" i="58"/>
  <c r="BH34" i="58"/>
  <c r="BG34" i="58"/>
  <c r="AX34" i="58"/>
  <c r="AW34" i="58"/>
  <c r="AV34" i="58"/>
  <c r="AU34" i="58"/>
  <c r="AT34" i="58"/>
  <c r="AS34" i="58"/>
  <c r="Z34" i="58"/>
  <c r="Y34" i="58"/>
  <c r="X34" i="58"/>
  <c r="W34" i="58"/>
  <c r="V34" i="58"/>
  <c r="U34" i="58"/>
  <c r="BJ33" i="58"/>
  <c r="BI33" i="58"/>
  <c r="BH33" i="58"/>
  <c r="BG33" i="58"/>
  <c r="AX33" i="58"/>
  <c r="AW33" i="58"/>
  <c r="AV33" i="58"/>
  <c r="AU33" i="58"/>
  <c r="AT33" i="58"/>
  <c r="AS33" i="58"/>
  <c r="Z33" i="58"/>
  <c r="Y33" i="58"/>
  <c r="X33" i="58"/>
  <c r="W33" i="58"/>
  <c r="V33" i="58"/>
  <c r="U33" i="58"/>
  <c r="BJ32" i="58"/>
  <c r="BI32" i="58"/>
  <c r="BH32" i="58"/>
  <c r="BG32" i="58"/>
  <c r="AX32" i="58"/>
  <c r="AW32" i="58"/>
  <c r="AV32" i="58"/>
  <c r="AU32" i="58"/>
  <c r="AT32" i="58"/>
  <c r="AS32" i="58"/>
  <c r="AI32" i="58"/>
  <c r="AH32" i="58"/>
  <c r="AG32" i="58"/>
  <c r="AF32" i="58"/>
  <c r="Z32" i="58"/>
  <c r="Y32" i="58"/>
  <c r="X32" i="58"/>
  <c r="W32" i="58"/>
  <c r="V32" i="58"/>
  <c r="U32" i="58"/>
  <c r="BJ29" i="58"/>
  <c r="BI29" i="58"/>
  <c r="BH29" i="58"/>
  <c r="BG29" i="58"/>
  <c r="AX29" i="58"/>
  <c r="AW29" i="58"/>
  <c r="AV29" i="58"/>
  <c r="AU29" i="58"/>
  <c r="AT29" i="58"/>
  <c r="AS29" i="58"/>
  <c r="AI29" i="58"/>
  <c r="AH29" i="58"/>
  <c r="AG29" i="58"/>
  <c r="AF29" i="58"/>
  <c r="Z29" i="58"/>
  <c r="Y29" i="58"/>
  <c r="X29" i="58"/>
  <c r="W29" i="58"/>
  <c r="V29" i="58"/>
  <c r="U29" i="58"/>
  <c r="I24" i="58"/>
  <c r="I26" i="58" s="1"/>
  <c r="I23" i="58"/>
  <c r="BC21" i="58"/>
  <c r="BH21" i="58" s="1"/>
  <c r="AO21" i="58"/>
  <c r="AV21" i="58" s="1"/>
  <c r="AH21" i="58"/>
  <c r="AI21" i="58" s="1"/>
  <c r="Q21" i="58"/>
  <c r="X21" i="58" s="1"/>
  <c r="G21" i="58"/>
  <c r="BH20" i="58"/>
  <c r="BG20" i="58"/>
  <c r="AV20" i="58"/>
  <c r="AU20" i="58"/>
  <c r="AI20" i="58"/>
  <c r="AH20" i="58"/>
  <c r="X20" i="58"/>
  <c r="W20" i="58"/>
  <c r="BE6" i="58"/>
  <c r="BE21" i="58" s="1"/>
  <c r="BA6" i="58"/>
  <c r="BA21" i="58" s="1"/>
  <c r="AQ6" i="58"/>
  <c r="AQ21" i="58" s="1"/>
  <c r="AM6" i="58"/>
  <c r="AM21" i="58" s="1"/>
  <c r="AT21" i="58" s="1"/>
  <c r="AK6" i="58"/>
  <c r="AK21" i="58" s="1"/>
  <c r="AD6" i="58"/>
  <c r="AD21" i="58" s="1"/>
  <c r="AC6" i="58"/>
  <c r="AC21" i="58" s="1"/>
  <c r="S6" i="58"/>
  <c r="S21" i="58" s="1"/>
  <c r="O6" i="58"/>
  <c r="O21" i="58" s="1"/>
  <c r="M6" i="58"/>
  <c r="M21" i="58" s="1"/>
  <c r="AQ5" i="58"/>
  <c r="AO5" i="58"/>
  <c r="AM5" i="58"/>
  <c r="AK5" i="58"/>
  <c r="AE5" i="58"/>
  <c r="AD5" i="58"/>
  <c r="AC5" i="58"/>
  <c r="S5" i="58"/>
  <c r="Q5" i="58"/>
  <c r="O5" i="58"/>
  <c r="M5" i="58"/>
  <c r="AQ4" i="58"/>
  <c r="AO4" i="58"/>
  <c r="BC4" i="58" s="1"/>
  <c r="BC20" i="58" s="1"/>
  <c r="AM4" i="58"/>
  <c r="AK4" i="58"/>
  <c r="BA4" i="58" s="1"/>
  <c r="BE4" i="58" s="1"/>
  <c r="BE20" i="58" s="1"/>
  <c r="AE4" i="58"/>
  <c r="AD4" i="58"/>
  <c r="AC4" i="58"/>
  <c r="S4" i="58"/>
  <c r="Q4" i="58"/>
  <c r="O4" i="58"/>
  <c r="M4" i="58"/>
  <c r="L4" i="58"/>
  <c r="BD2" i="58"/>
  <c r="BH2" i="58" s="1"/>
  <c r="AV2" i="58"/>
  <c r="AU2" i="58" s="1"/>
  <c r="AT2" i="58"/>
  <c r="AS2" i="58" s="1"/>
  <c r="AO2" i="58"/>
  <c r="AP2" i="58" s="1"/>
  <c r="AM2" i="58"/>
  <c r="AN2" i="58" s="1"/>
  <c r="X2" i="58"/>
  <c r="W2" i="58" s="1"/>
  <c r="V2" i="58"/>
  <c r="U2" i="58" s="1"/>
  <c r="Q2" i="58"/>
  <c r="R2" i="58" s="1"/>
  <c r="O2" i="58"/>
  <c r="P2" i="58" s="1"/>
  <c r="A210" i="57"/>
  <c r="A209" i="57"/>
  <c r="A171" i="57"/>
  <c r="A166" i="57"/>
  <c r="A161" i="57"/>
  <c r="A156" i="57"/>
  <c r="A144" i="57"/>
  <c r="A139" i="57"/>
  <c r="A133" i="57"/>
  <c r="A131" i="57"/>
  <c r="C125" i="57"/>
  <c r="BN124" i="57"/>
  <c r="AZ124" i="57"/>
  <c r="AL124" i="57"/>
  <c r="X124" i="57"/>
  <c r="A124" i="57"/>
  <c r="BN123" i="57"/>
  <c r="AZ123" i="57"/>
  <c r="AL123" i="57"/>
  <c r="X123" i="57"/>
  <c r="BN121" i="57"/>
  <c r="AZ121" i="57"/>
  <c r="AL121" i="57"/>
  <c r="X121" i="57"/>
  <c r="A121" i="57"/>
  <c r="BN120" i="57"/>
  <c r="AZ120" i="57"/>
  <c r="AL120" i="57"/>
  <c r="X120" i="57"/>
  <c r="BN116" i="57"/>
  <c r="AZ116" i="57"/>
  <c r="AL116" i="57"/>
  <c r="X116" i="57"/>
  <c r="A116" i="57"/>
  <c r="BN115" i="57"/>
  <c r="AZ115" i="57"/>
  <c r="AL115" i="57"/>
  <c r="X115" i="57"/>
  <c r="BN110" i="57"/>
  <c r="AZ110" i="57"/>
  <c r="AL110" i="57"/>
  <c r="X110" i="57"/>
  <c r="A110" i="57"/>
  <c r="BN109" i="57"/>
  <c r="AZ109" i="57"/>
  <c r="AL109" i="57"/>
  <c r="X109" i="57"/>
  <c r="BN103" i="57"/>
  <c r="AZ103" i="57"/>
  <c r="AL103" i="57"/>
  <c r="X103" i="57"/>
  <c r="A103" i="57"/>
  <c r="BN102" i="57"/>
  <c r="AZ102" i="57"/>
  <c r="AL102" i="57"/>
  <c r="X102" i="57"/>
  <c r="BN96" i="57"/>
  <c r="AZ96" i="57"/>
  <c r="AL96" i="57"/>
  <c r="X96" i="57"/>
  <c r="A96" i="57"/>
  <c r="BN95" i="57"/>
  <c r="AZ95" i="57"/>
  <c r="AL95" i="57"/>
  <c r="X95" i="57"/>
  <c r="BN87" i="57"/>
  <c r="AZ87" i="57"/>
  <c r="AL87" i="57"/>
  <c r="X87" i="57"/>
  <c r="A87" i="57"/>
  <c r="BN86" i="57"/>
  <c r="AZ86" i="57"/>
  <c r="AL86" i="57"/>
  <c r="X86" i="57"/>
  <c r="BN82" i="57"/>
  <c r="AZ82" i="57"/>
  <c r="AL82" i="57"/>
  <c r="X82" i="57"/>
  <c r="A82" i="57"/>
  <c r="BN81" i="57"/>
  <c r="AZ81" i="57"/>
  <c r="AL81" i="57"/>
  <c r="X81" i="57"/>
  <c r="BN79" i="57"/>
  <c r="AZ79" i="57"/>
  <c r="AL79" i="57"/>
  <c r="X79" i="57"/>
  <c r="A79" i="57"/>
  <c r="BN78" i="57"/>
  <c r="AZ78" i="57"/>
  <c r="AL78" i="57"/>
  <c r="X78" i="57"/>
  <c r="BN65" i="57"/>
  <c r="AZ65" i="57"/>
  <c r="AL65" i="57"/>
  <c r="X65" i="57"/>
  <c r="A65" i="57"/>
  <c r="BN64" i="57"/>
  <c r="AZ64" i="57"/>
  <c r="AL64" i="57"/>
  <c r="X64" i="57"/>
  <c r="BN57" i="57"/>
  <c r="AZ57" i="57"/>
  <c r="AL57" i="57"/>
  <c r="X57" i="57"/>
  <c r="A57" i="57"/>
  <c r="BN56" i="57"/>
  <c r="AZ56" i="57"/>
  <c r="AL56" i="57"/>
  <c r="X56" i="57"/>
  <c r="CB55" i="57"/>
  <c r="BN55" i="57"/>
  <c r="AZ55" i="57"/>
  <c r="AL55" i="57"/>
  <c r="X55" i="57"/>
  <c r="CA50" i="57"/>
  <c r="BZ50" i="57"/>
  <c r="BY50" i="57"/>
  <c r="BX50" i="57"/>
  <c r="BW50" i="57"/>
  <c r="BV50" i="57"/>
  <c r="BU50" i="57"/>
  <c r="BT50" i="57"/>
  <c r="BS50" i="57"/>
  <c r="BR50" i="57"/>
  <c r="BQ50" i="57"/>
  <c r="BP50" i="57"/>
  <c r="BM50" i="57"/>
  <c r="BL50" i="57"/>
  <c r="BK50" i="57"/>
  <c r="BJ50" i="57"/>
  <c r="BI50" i="57"/>
  <c r="BH50" i="57"/>
  <c r="BG50" i="57"/>
  <c r="BF50" i="57"/>
  <c r="BE50" i="57"/>
  <c r="BD50" i="57"/>
  <c r="BC50" i="57"/>
  <c r="BB50" i="57"/>
  <c r="AY50" i="57"/>
  <c r="AX50" i="57"/>
  <c r="AW50" i="57"/>
  <c r="AV50" i="57"/>
  <c r="AU50" i="57"/>
  <c r="AT50" i="57"/>
  <c r="AS50" i="57"/>
  <c r="AR50" i="57"/>
  <c r="AQ50" i="57"/>
  <c r="AP50" i="57"/>
  <c r="AO50" i="57"/>
  <c r="AN50" i="57"/>
  <c r="AK50" i="57"/>
  <c r="AJ50" i="57"/>
  <c r="AI50" i="57"/>
  <c r="AH50" i="57"/>
  <c r="AG50" i="57"/>
  <c r="AF50" i="57"/>
  <c r="AE50" i="57"/>
  <c r="AD50" i="57"/>
  <c r="AC50" i="57"/>
  <c r="AB50" i="57"/>
  <c r="AA50" i="57"/>
  <c r="Z50" i="57"/>
  <c r="W50" i="57"/>
  <c r="V50" i="57"/>
  <c r="U50" i="57"/>
  <c r="T50" i="57"/>
  <c r="S50" i="57"/>
  <c r="R50" i="57"/>
  <c r="Q50" i="57"/>
  <c r="P50" i="57"/>
  <c r="O50" i="57"/>
  <c r="N50" i="57"/>
  <c r="M50" i="57"/>
  <c r="L50" i="57"/>
  <c r="C50" i="57"/>
  <c r="BN49" i="57"/>
  <c r="AZ49" i="57"/>
  <c r="AL49" i="57"/>
  <c r="X49" i="57"/>
  <c r="A49" i="57"/>
  <c r="BN48" i="57"/>
  <c r="AZ48" i="57"/>
  <c r="AL48" i="57"/>
  <c r="X48" i="57"/>
  <c r="BN47" i="57"/>
  <c r="AZ47" i="57"/>
  <c r="AL47" i="57"/>
  <c r="X47" i="57"/>
  <c r="A47" i="57"/>
  <c r="BN46" i="57"/>
  <c r="AZ46" i="57"/>
  <c r="AL46" i="57"/>
  <c r="X46" i="57"/>
  <c r="BN45" i="57"/>
  <c r="AZ45" i="57"/>
  <c r="AL45" i="57"/>
  <c r="X45" i="57"/>
  <c r="A45" i="57"/>
  <c r="BN44" i="57"/>
  <c r="AZ44" i="57"/>
  <c r="AL44" i="57"/>
  <c r="X44" i="57"/>
  <c r="BN43" i="57"/>
  <c r="AZ43" i="57"/>
  <c r="AL43" i="57"/>
  <c r="X43" i="57"/>
  <c r="BN34" i="57"/>
  <c r="AZ34" i="57"/>
  <c r="AL34" i="57"/>
  <c r="X34" i="57"/>
  <c r="A34" i="57"/>
  <c r="BN33" i="57"/>
  <c r="AZ33" i="57"/>
  <c r="AL33" i="57"/>
  <c r="X33" i="57"/>
  <c r="CB32" i="57"/>
  <c r="CB50" i="57" s="1"/>
  <c r="BN32" i="57"/>
  <c r="BN50" i="57" s="1"/>
  <c r="AZ32" i="57"/>
  <c r="AZ50" i="57" s="1"/>
  <c r="AL32" i="57"/>
  <c r="AL50" i="57" s="1"/>
  <c r="X32" i="57"/>
  <c r="CA29" i="57"/>
  <c r="BZ29" i="57"/>
  <c r="BY29" i="57"/>
  <c r="BX29" i="57"/>
  <c r="BW29" i="57"/>
  <c r="BV29" i="57"/>
  <c r="BU29" i="57"/>
  <c r="BT29" i="57"/>
  <c r="BS29" i="57"/>
  <c r="BR29" i="57"/>
  <c r="BQ29" i="57"/>
  <c r="BP29" i="57"/>
  <c r="BM29" i="57"/>
  <c r="BL29" i="57"/>
  <c r="BK29" i="57"/>
  <c r="BJ29" i="57"/>
  <c r="BI29" i="57"/>
  <c r="BH29" i="57"/>
  <c r="BG29" i="57"/>
  <c r="BF29" i="57"/>
  <c r="BE29" i="57"/>
  <c r="BD29" i="57"/>
  <c r="BC29" i="57"/>
  <c r="BB29" i="57"/>
  <c r="AY29" i="57"/>
  <c r="AX29" i="57"/>
  <c r="AW29" i="57"/>
  <c r="AV29" i="57"/>
  <c r="AU29" i="57"/>
  <c r="AT29" i="57"/>
  <c r="AS29" i="57"/>
  <c r="AR29" i="57"/>
  <c r="AQ29" i="57"/>
  <c r="AP29" i="57"/>
  <c r="AO29" i="57"/>
  <c r="AN29" i="57"/>
  <c r="AK29" i="57"/>
  <c r="AJ29" i="57"/>
  <c r="AI29" i="57"/>
  <c r="AH29" i="57"/>
  <c r="AG29" i="57"/>
  <c r="AF29" i="57"/>
  <c r="AE29" i="57"/>
  <c r="AD29" i="57"/>
  <c r="AC29" i="57"/>
  <c r="AB29" i="57"/>
  <c r="AA29" i="57"/>
  <c r="Z29" i="57"/>
  <c r="W29" i="57"/>
  <c r="V29" i="57"/>
  <c r="U29" i="57"/>
  <c r="T29" i="57"/>
  <c r="S29" i="57"/>
  <c r="R29" i="57"/>
  <c r="Q29" i="57"/>
  <c r="P29" i="57"/>
  <c r="O29" i="57"/>
  <c r="N29" i="57"/>
  <c r="M29" i="57"/>
  <c r="L29" i="57"/>
  <c r="C29" i="57"/>
  <c r="BN28" i="57"/>
  <c r="AZ28" i="57"/>
  <c r="AL28" i="57"/>
  <c r="X28" i="57"/>
  <c r="A28" i="57"/>
  <c r="BN27" i="57"/>
  <c r="AZ27" i="57"/>
  <c r="AL27" i="57"/>
  <c r="X27" i="57"/>
  <c r="A27" i="57"/>
  <c r="BN26" i="57"/>
  <c r="AZ26" i="57"/>
  <c r="AL26" i="57"/>
  <c r="X26" i="57"/>
  <c r="A26" i="57"/>
  <c r="BN25" i="57"/>
  <c r="AZ25" i="57"/>
  <c r="AL25" i="57"/>
  <c r="X25" i="57"/>
  <c r="A25" i="57"/>
  <c r="BN22" i="57"/>
  <c r="AZ22" i="57"/>
  <c r="AL22" i="57"/>
  <c r="X22" i="57"/>
  <c r="A22" i="57"/>
  <c r="BN21" i="57"/>
  <c r="AZ21" i="57"/>
  <c r="AL21" i="57"/>
  <c r="X21" i="57"/>
  <c r="A21" i="57"/>
  <c r="CB20" i="57"/>
  <c r="BN20" i="57"/>
  <c r="AZ20" i="57"/>
  <c r="AL20" i="57"/>
  <c r="AL29" i="57" s="1"/>
  <c r="X20" i="57"/>
  <c r="CB18" i="57"/>
  <c r="BN18" i="57"/>
  <c r="AZ18" i="57"/>
  <c r="AL18" i="57"/>
  <c r="X18" i="57"/>
  <c r="G15" i="57"/>
  <c r="CA14" i="57"/>
  <c r="BZ14" i="57"/>
  <c r="BY14" i="57"/>
  <c r="BX14" i="57"/>
  <c r="BW14" i="57"/>
  <c r="BV14" i="57"/>
  <c r="BU14" i="57"/>
  <c r="BT14" i="57"/>
  <c r="BS14" i="57"/>
  <c r="BR14" i="57"/>
  <c r="BQ14" i="57"/>
  <c r="BP14" i="57"/>
  <c r="BM14" i="57"/>
  <c r="BL14" i="57"/>
  <c r="BK14" i="57"/>
  <c r="BJ14" i="57"/>
  <c r="BI14" i="57"/>
  <c r="BH14" i="57"/>
  <c r="BG14" i="57"/>
  <c r="BF14" i="57"/>
  <c r="BE14" i="57"/>
  <c r="BD14" i="57"/>
  <c r="BC14" i="57"/>
  <c r="AY5" i="57"/>
  <c r="AX5" i="57"/>
  <c r="AW5" i="57"/>
  <c r="AV5" i="57"/>
  <c r="AU5" i="57"/>
  <c r="AT5" i="57"/>
  <c r="AS5" i="57"/>
  <c r="AR5" i="57"/>
  <c r="AQ5" i="57"/>
  <c r="AP5" i="57"/>
  <c r="AO5" i="57"/>
  <c r="AN5" i="57"/>
  <c r="AN14" i="57" s="1"/>
  <c r="AN13" i="57" s="1"/>
  <c r="AZ13" i="57" s="1"/>
  <c r="W5" i="57"/>
  <c r="V5" i="57"/>
  <c r="U5" i="57"/>
  <c r="T5" i="57"/>
  <c r="S5" i="57"/>
  <c r="R5" i="57"/>
  <c r="Q5" i="57"/>
  <c r="P5" i="57"/>
  <c r="O5" i="57"/>
  <c r="N5" i="57"/>
  <c r="M5" i="57"/>
  <c r="L5" i="57"/>
  <c r="L14" i="57" s="1"/>
  <c r="CA4" i="57"/>
  <c r="BZ4" i="57"/>
  <c r="BY4" i="57"/>
  <c r="BX4" i="57"/>
  <c r="BW4" i="57"/>
  <c r="BV4" i="57"/>
  <c r="BU4" i="57"/>
  <c r="BT4" i="57"/>
  <c r="BS4" i="57"/>
  <c r="BR4" i="57"/>
  <c r="BQ4" i="57"/>
  <c r="BP4" i="57"/>
  <c r="Z4" i="57"/>
  <c r="BB4" i="57" s="1"/>
  <c r="BM3" i="57"/>
  <c r="BL3" i="57"/>
  <c r="BK3" i="57"/>
  <c r="BJ3" i="57"/>
  <c r="BI3" i="57"/>
  <c r="BH3" i="57"/>
  <c r="BG3" i="57"/>
  <c r="BF3" i="57"/>
  <c r="BE3" i="57"/>
  <c r="BD3" i="57"/>
  <c r="BC3" i="57"/>
  <c r="BB3" i="57"/>
  <c r="AY3" i="57"/>
  <c r="AX3" i="57"/>
  <c r="AW3" i="57"/>
  <c r="AV3" i="57"/>
  <c r="AU3" i="57"/>
  <c r="AT3" i="57"/>
  <c r="AS3" i="57"/>
  <c r="AR3" i="57"/>
  <c r="AQ3" i="57"/>
  <c r="AP3" i="57"/>
  <c r="AO3" i="57"/>
  <c r="AN3" i="57"/>
  <c r="AZ14" i="57" s="1"/>
  <c r="AK3" i="57"/>
  <c r="W3" i="57" s="1"/>
  <c r="AJ3" i="57"/>
  <c r="V3" i="57" s="1"/>
  <c r="AI3" i="57"/>
  <c r="U3" i="57" s="1"/>
  <c r="AH3" i="57"/>
  <c r="T3" i="57" s="1"/>
  <c r="AG3" i="57"/>
  <c r="S3" i="57" s="1"/>
  <c r="AF3" i="57"/>
  <c r="R3" i="57" s="1"/>
  <c r="AE3" i="57"/>
  <c r="Q3" i="57" s="1"/>
  <c r="AD3" i="57"/>
  <c r="P3" i="57" s="1"/>
  <c r="AC3" i="57"/>
  <c r="O3" i="57" s="1"/>
  <c r="AB3" i="57"/>
  <c r="N3" i="57" s="1"/>
  <c r="AA3" i="57"/>
  <c r="M3" i="57" s="1"/>
  <c r="X14" i="57" s="1"/>
  <c r="Z3" i="57"/>
  <c r="L3" i="57" s="1"/>
  <c r="BM1" i="57"/>
  <c r="BL1" i="57"/>
  <c r="BK1" i="57"/>
  <c r="BJ1" i="57"/>
  <c r="BI1" i="57"/>
  <c r="BH1" i="57"/>
  <c r="BG1" i="57"/>
  <c r="BF1" i="57"/>
  <c r="BE1" i="57"/>
  <c r="BD1" i="57"/>
  <c r="BC1" i="57"/>
  <c r="BB1" i="57"/>
  <c r="BN1" i="57" s="1"/>
  <c r="BA1" i="57"/>
  <c r="AZ1" i="57"/>
  <c r="AY1" i="57"/>
  <c r="AX1" i="57"/>
  <c r="AW1" i="57"/>
  <c r="AV1" i="57"/>
  <c r="AU1" i="57"/>
  <c r="AT1" i="57"/>
  <c r="AS1" i="57"/>
  <c r="AR1" i="57"/>
  <c r="AQ1" i="57"/>
  <c r="AP1" i="57"/>
  <c r="AO1" i="57"/>
  <c r="AN1" i="57"/>
  <c r="AL1" i="57"/>
  <c r="F1" i="57"/>
  <c r="E1" i="57"/>
  <c r="D1" i="57"/>
  <c r="AJ239" i="56"/>
  <c r="B221" i="56"/>
  <c r="BE136" i="56"/>
  <c r="BC136" i="56"/>
  <c r="BA136" i="56"/>
  <c r="AQ136" i="56"/>
  <c r="AO136" i="56"/>
  <c r="AM136" i="56"/>
  <c r="AK136" i="56"/>
  <c r="AE136" i="56"/>
  <c r="AD136" i="56"/>
  <c r="AC136" i="56"/>
  <c r="S136" i="56"/>
  <c r="Q136" i="56"/>
  <c r="O136" i="56"/>
  <c r="M136" i="56"/>
  <c r="BJ135" i="56"/>
  <c r="BI135" i="56"/>
  <c r="BH135" i="56"/>
  <c r="BG135" i="56"/>
  <c r="AX135" i="56"/>
  <c r="AW135" i="56"/>
  <c r="AV135" i="56"/>
  <c r="AU135" i="56"/>
  <c r="AT135" i="56"/>
  <c r="AS135" i="56"/>
  <c r="Z135" i="56"/>
  <c r="Y135" i="56"/>
  <c r="X135" i="56"/>
  <c r="W135" i="56"/>
  <c r="V135" i="56"/>
  <c r="U135" i="56"/>
  <c r="BJ134" i="56"/>
  <c r="BI134" i="56"/>
  <c r="BH134" i="56"/>
  <c r="BG134" i="56"/>
  <c r="AX134" i="56"/>
  <c r="AW134" i="56"/>
  <c r="AV134" i="56"/>
  <c r="AU134" i="56"/>
  <c r="AT134" i="56"/>
  <c r="AS134" i="56"/>
  <c r="Z134" i="56"/>
  <c r="Y134" i="56"/>
  <c r="X134" i="56"/>
  <c r="W134" i="56"/>
  <c r="V134" i="56"/>
  <c r="U134" i="56"/>
  <c r="BJ132" i="56"/>
  <c r="BI132" i="56"/>
  <c r="BH132" i="56"/>
  <c r="BG132" i="56"/>
  <c r="AX132" i="56"/>
  <c r="AW132" i="56"/>
  <c r="AV132" i="56"/>
  <c r="AU132" i="56"/>
  <c r="AT132" i="56"/>
  <c r="AS132" i="56"/>
  <c r="Z132" i="56"/>
  <c r="Y132" i="56"/>
  <c r="X132" i="56"/>
  <c r="W132" i="56"/>
  <c r="V132" i="56"/>
  <c r="U132" i="56"/>
  <c r="BJ131" i="56"/>
  <c r="BI131" i="56"/>
  <c r="BH131" i="56"/>
  <c r="BG131" i="56"/>
  <c r="AX131" i="56"/>
  <c r="AW131" i="56"/>
  <c r="AV131" i="56"/>
  <c r="AU131" i="56"/>
  <c r="AT131" i="56"/>
  <c r="AS131" i="56"/>
  <c r="Z131" i="56"/>
  <c r="Y131" i="56"/>
  <c r="X131" i="56"/>
  <c r="W131" i="56"/>
  <c r="V131" i="56"/>
  <c r="U131" i="56"/>
  <c r="BJ127" i="56"/>
  <c r="BI127" i="56"/>
  <c r="BH127" i="56"/>
  <c r="BG127" i="56"/>
  <c r="AX127" i="56"/>
  <c r="AW127" i="56"/>
  <c r="AV127" i="56"/>
  <c r="AU127" i="56"/>
  <c r="AT127" i="56"/>
  <c r="AS127" i="56"/>
  <c r="Z127" i="56"/>
  <c r="Y127" i="56"/>
  <c r="X127" i="56"/>
  <c r="W127" i="56"/>
  <c r="V127" i="56"/>
  <c r="U127" i="56"/>
  <c r="BJ126" i="56"/>
  <c r="BI126" i="56"/>
  <c r="BH126" i="56"/>
  <c r="BG126" i="56"/>
  <c r="AX126" i="56"/>
  <c r="AW126" i="56"/>
  <c r="AV126" i="56"/>
  <c r="AU126" i="56"/>
  <c r="AT126" i="56"/>
  <c r="AS126" i="56"/>
  <c r="Z126" i="56"/>
  <c r="Y126" i="56"/>
  <c r="X126" i="56"/>
  <c r="W126" i="56"/>
  <c r="V126" i="56"/>
  <c r="U126" i="56"/>
  <c r="BJ121" i="56"/>
  <c r="BI121" i="56"/>
  <c r="BH121" i="56"/>
  <c r="BG121" i="56"/>
  <c r="AX121" i="56"/>
  <c r="AW121" i="56"/>
  <c r="AV121" i="56"/>
  <c r="AU121" i="56"/>
  <c r="AT121" i="56"/>
  <c r="AS121" i="56"/>
  <c r="Z121" i="56"/>
  <c r="Y121" i="56"/>
  <c r="X121" i="56"/>
  <c r="W121" i="56"/>
  <c r="V121" i="56"/>
  <c r="U121" i="56"/>
  <c r="BJ120" i="56"/>
  <c r="BI120" i="56"/>
  <c r="BH120" i="56"/>
  <c r="BG120" i="56"/>
  <c r="AX120" i="56"/>
  <c r="AW120" i="56"/>
  <c r="AV120" i="56"/>
  <c r="AU120" i="56"/>
  <c r="AT120" i="56"/>
  <c r="AS120" i="56"/>
  <c r="Z120" i="56"/>
  <c r="Y120" i="56"/>
  <c r="X120" i="56"/>
  <c r="W120" i="56"/>
  <c r="V120" i="56"/>
  <c r="U120" i="56"/>
  <c r="BJ114" i="56"/>
  <c r="BI114" i="56"/>
  <c r="BH114" i="56"/>
  <c r="BG114" i="56"/>
  <c r="AX114" i="56"/>
  <c r="AW114" i="56"/>
  <c r="AV114" i="56"/>
  <c r="AU114" i="56"/>
  <c r="AT114" i="56"/>
  <c r="AS114" i="56"/>
  <c r="Z114" i="56"/>
  <c r="Y114" i="56"/>
  <c r="X114" i="56"/>
  <c r="W114" i="56"/>
  <c r="V114" i="56"/>
  <c r="U114" i="56"/>
  <c r="BJ113" i="56"/>
  <c r="BI113" i="56"/>
  <c r="BH113" i="56"/>
  <c r="BG113" i="56"/>
  <c r="AX113" i="56"/>
  <c r="AW113" i="56"/>
  <c r="AV113" i="56"/>
  <c r="AU113" i="56"/>
  <c r="AT113" i="56"/>
  <c r="AS113" i="56"/>
  <c r="Z113" i="56"/>
  <c r="Y113" i="56"/>
  <c r="X113" i="56"/>
  <c r="W113" i="56"/>
  <c r="V113" i="56"/>
  <c r="U113" i="56"/>
  <c r="BJ107" i="56"/>
  <c r="BI107" i="56"/>
  <c r="BH107" i="56"/>
  <c r="BG107" i="56"/>
  <c r="AX107" i="56"/>
  <c r="AW107" i="56"/>
  <c r="AV107" i="56"/>
  <c r="AU107" i="56"/>
  <c r="AT107" i="56"/>
  <c r="AS107" i="56"/>
  <c r="Z107" i="56"/>
  <c r="Y107" i="56"/>
  <c r="X107" i="56"/>
  <c r="W107" i="56"/>
  <c r="V107" i="56"/>
  <c r="U107" i="56"/>
  <c r="BJ106" i="56"/>
  <c r="BI106" i="56"/>
  <c r="BH106" i="56"/>
  <c r="BG106" i="56"/>
  <c r="AX106" i="56"/>
  <c r="AW106" i="56"/>
  <c r="AV106" i="56"/>
  <c r="AU106" i="56"/>
  <c r="AT106" i="56"/>
  <c r="AS106" i="56"/>
  <c r="Z106" i="56"/>
  <c r="Y106" i="56"/>
  <c r="X106" i="56"/>
  <c r="W106" i="56"/>
  <c r="V106" i="56"/>
  <c r="U106" i="56"/>
  <c r="BJ98" i="56"/>
  <c r="BI98" i="56"/>
  <c r="BH98" i="56"/>
  <c r="BG98" i="56"/>
  <c r="AX98" i="56"/>
  <c r="AW98" i="56"/>
  <c r="AV98" i="56"/>
  <c r="AU98" i="56"/>
  <c r="AT98" i="56"/>
  <c r="AS98" i="56"/>
  <c r="Z98" i="56"/>
  <c r="Y98" i="56"/>
  <c r="X98" i="56"/>
  <c r="W98" i="56"/>
  <c r="V98" i="56"/>
  <c r="U98" i="56"/>
  <c r="BJ97" i="56"/>
  <c r="BI97" i="56"/>
  <c r="BH97" i="56"/>
  <c r="BG97" i="56"/>
  <c r="AX97" i="56"/>
  <c r="AW97" i="56"/>
  <c r="AV97" i="56"/>
  <c r="AU97" i="56"/>
  <c r="AT97" i="56"/>
  <c r="AS97" i="56"/>
  <c r="Z97" i="56"/>
  <c r="Y97" i="56"/>
  <c r="X97" i="56"/>
  <c r="W97" i="56"/>
  <c r="V97" i="56"/>
  <c r="U97" i="56"/>
  <c r="BJ93" i="56"/>
  <c r="BI93" i="56"/>
  <c r="BH93" i="56"/>
  <c r="BG93" i="56"/>
  <c r="AX93" i="56"/>
  <c r="AW93" i="56"/>
  <c r="AV93" i="56"/>
  <c r="AU93" i="56"/>
  <c r="AT93" i="56"/>
  <c r="AS93" i="56"/>
  <c r="Z93" i="56"/>
  <c r="Y93" i="56"/>
  <c r="X93" i="56"/>
  <c r="W93" i="56"/>
  <c r="V93" i="56"/>
  <c r="U93" i="56"/>
  <c r="BJ92" i="56"/>
  <c r="BI92" i="56"/>
  <c r="BH92" i="56"/>
  <c r="BG92" i="56"/>
  <c r="AX92" i="56"/>
  <c r="AW92" i="56"/>
  <c r="AV92" i="56"/>
  <c r="AU92" i="56"/>
  <c r="AT92" i="56"/>
  <c r="AS92" i="56"/>
  <c r="Z92" i="56"/>
  <c r="Y92" i="56"/>
  <c r="X92" i="56"/>
  <c r="W92" i="56"/>
  <c r="V92" i="56"/>
  <c r="U92" i="56"/>
  <c r="BJ90" i="56"/>
  <c r="BI90" i="56"/>
  <c r="BH90" i="56"/>
  <c r="BG90" i="56"/>
  <c r="AX90" i="56"/>
  <c r="AW90" i="56"/>
  <c r="AV90" i="56"/>
  <c r="AU90" i="56"/>
  <c r="AT90" i="56"/>
  <c r="AS90" i="56"/>
  <c r="Z90" i="56"/>
  <c r="Y90" i="56"/>
  <c r="X90" i="56"/>
  <c r="W90" i="56"/>
  <c r="V90" i="56"/>
  <c r="U90" i="56"/>
  <c r="BJ89" i="56"/>
  <c r="BI89" i="56"/>
  <c r="BH89" i="56"/>
  <c r="BG89" i="56"/>
  <c r="AX89" i="56"/>
  <c r="AW89" i="56"/>
  <c r="AV89" i="56"/>
  <c r="AU89" i="56"/>
  <c r="AT89" i="56"/>
  <c r="AS89" i="56"/>
  <c r="Z89" i="56"/>
  <c r="Y89" i="56"/>
  <c r="X89" i="56"/>
  <c r="W89" i="56"/>
  <c r="V89" i="56"/>
  <c r="U89" i="56"/>
  <c r="BJ76" i="56"/>
  <c r="BI76" i="56"/>
  <c r="BH76" i="56"/>
  <c r="BG76" i="56"/>
  <c r="AX76" i="56"/>
  <c r="AW76" i="56"/>
  <c r="AV76" i="56"/>
  <c r="AU76" i="56"/>
  <c r="AT76" i="56"/>
  <c r="AS76" i="56"/>
  <c r="Z76" i="56"/>
  <c r="Y76" i="56"/>
  <c r="X76" i="56"/>
  <c r="W76" i="56"/>
  <c r="V76" i="56"/>
  <c r="U76" i="56"/>
  <c r="BJ75" i="56"/>
  <c r="BI75" i="56"/>
  <c r="BH75" i="56"/>
  <c r="BG75" i="56"/>
  <c r="AX75" i="56"/>
  <c r="AW75" i="56"/>
  <c r="AV75" i="56"/>
  <c r="AU75" i="56"/>
  <c r="AT75" i="56"/>
  <c r="AS75" i="56"/>
  <c r="Z75" i="56"/>
  <c r="Y75" i="56"/>
  <c r="X75" i="56"/>
  <c r="W75" i="56"/>
  <c r="V75" i="56"/>
  <c r="U75" i="56"/>
  <c r="BJ68" i="56"/>
  <c r="BI68" i="56"/>
  <c r="BH68" i="56"/>
  <c r="BG68" i="56"/>
  <c r="AX68" i="56"/>
  <c r="AW68" i="56"/>
  <c r="AV68" i="56"/>
  <c r="AU68" i="56"/>
  <c r="AT68" i="56"/>
  <c r="AS68" i="56"/>
  <c r="Z68" i="56"/>
  <c r="Y68" i="56"/>
  <c r="X68" i="56"/>
  <c r="W68" i="56"/>
  <c r="V68" i="56"/>
  <c r="U68" i="56"/>
  <c r="BJ67" i="56"/>
  <c r="BI67" i="56"/>
  <c r="BH67" i="56"/>
  <c r="BG67" i="56"/>
  <c r="AX67" i="56"/>
  <c r="AW67" i="56"/>
  <c r="AV67" i="56"/>
  <c r="AU67" i="56"/>
  <c r="AT67" i="56"/>
  <c r="AS67" i="56"/>
  <c r="Z67" i="56"/>
  <c r="Y67" i="56"/>
  <c r="X67" i="56"/>
  <c r="W67" i="56"/>
  <c r="V67" i="56"/>
  <c r="U67" i="56"/>
  <c r="BJ66" i="56"/>
  <c r="BI66" i="56"/>
  <c r="BH66" i="56"/>
  <c r="BG66" i="56"/>
  <c r="AX66" i="56"/>
  <c r="AW66" i="56"/>
  <c r="AV66" i="56"/>
  <c r="AU66" i="56"/>
  <c r="AT66" i="56"/>
  <c r="AS66" i="56"/>
  <c r="AI66" i="56"/>
  <c r="AH66" i="56"/>
  <c r="AG66" i="56"/>
  <c r="AF66" i="56"/>
  <c r="Z66" i="56"/>
  <c r="Y66" i="56"/>
  <c r="X66" i="56"/>
  <c r="W66" i="56"/>
  <c r="V66" i="56"/>
  <c r="U66" i="56"/>
  <c r="BE61" i="56"/>
  <c r="BC61" i="56"/>
  <c r="BA61" i="56"/>
  <c r="AQ61" i="56"/>
  <c r="AO61" i="56"/>
  <c r="AM61" i="56"/>
  <c r="AK61" i="56"/>
  <c r="AE61" i="56"/>
  <c r="AD61" i="56"/>
  <c r="AC61" i="56"/>
  <c r="S61" i="56"/>
  <c r="Q61" i="56"/>
  <c r="O61" i="56"/>
  <c r="BJ60" i="56"/>
  <c r="BI60" i="56"/>
  <c r="BH60" i="56"/>
  <c r="BG60" i="56"/>
  <c r="AX60" i="56"/>
  <c r="AW60" i="56"/>
  <c r="AV60" i="56"/>
  <c r="AU60" i="56"/>
  <c r="AT60" i="56"/>
  <c r="AS60" i="56"/>
  <c r="Z60" i="56"/>
  <c r="Y60" i="56"/>
  <c r="X60" i="56"/>
  <c r="W60" i="56"/>
  <c r="V60" i="56"/>
  <c r="U60" i="56"/>
  <c r="BJ59" i="56"/>
  <c r="BI59" i="56"/>
  <c r="BH59" i="56"/>
  <c r="BG59" i="56"/>
  <c r="AX59" i="56"/>
  <c r="AW59" i="56"/>
  <c r="AV59" i="56"/>
  <c r="AU59" i="56"/>
  <c r="AT59" i="56"/>
  <c r="AS59" i="56"/>
  <c r="Z59" i="56"/>
  <c r="Y59" i="56"/>
  <c r="X59" i="56"/>
  <c r="W59" i="56"/>
  <c r="V59" i="56"/>
  <c r="U59" i="56"/>
  <c r="BJ58" i="56"/>
  <c r="BI58" i="56"/>
  <c r="BH58" i="56"/>
  <c r="BG58" i="56"/>
  <c r="AX58" i="56"/>
  <c r="AW58" i="56"/>
  <c r="AV58" i="56"/>
  <c r="AU58" i="56"/>
  <c r="AT58" i="56"/>
  <c r="AS58" i="56"/>
  <c r="Z58" i="56"/>
  <c r="Y58" i="56"/>
  <c r="X58" i="56"/>
  <c r="W58" i="56"/>
  <c r="V58" i="56"/>
  <c r="U58" i="56"/>
  <c r="BJ57" i="56"/>
  <c r="BI57" i="56"/>
  <c r="BH57" i="56"/>
  <c r="BG57" i="56"/>
  <c r="AX57" i="56"/>
  <c r="AW57" i="56"/>
  <c r="AV57" i="56"/>
  <c r="AU57" i="56"/>
  <c r="AT57" i="56"/>
  <c r="AS57" i="56"/>
  <c r="Z57" i="56"/>
  <c r="Y57" i="56"/>
  <c r="X57" i="56"/>
  <c r="W57" i="56"/>
  <c r="V57" i="56"/>
  <c r="U57" i="56"/>
  <c r="BJ56" i="56"/>
  <c r="BI56" i="56"/>
  <c r="BH56" i="56"/>
  <c r="BG56" i="56"/>
  <c r="AX56" i="56"/>
  <c r="AW56" i="56"/>
  <c r="AV56" i="56"/>
  <c r="AU56" i="56"/>
  <c r="AT56" i="56"/>
  <c r="AS56" i="56"/>
  <c r="Z56" i="56"/>
  <c r="Y56" i="56"/>
  <c r="X56" i="56"/>
  <c r="W56" i="56"/>
  <c r="V56" i="56"/>
  <c r="U56" i="56"/>
  <c r="BJ55" i="56"/>
  <c r="BI55" i="56"/>
  <c r="BH55" i="56"/>
  <c r="BG55" i="56"/>
  <c r="AX55" i="56"/>
  <c r="AW55" i="56"/>
  <c r="AV55" i="56"/>
  <c r="AU55" i="56"/>
  <c r="AT55" i="56"/>
  <c r="AS55" i="56"/>
  <c r="Z55" i="56"/>
  <c r="Y55" i="56"/>
  <c r="X55" i="56"/>
  <c r="W55" i="56"/>
  <c r="V55" i="56"/>
  <c r="U55" i="56"/>
  <c r="BJ54" i="56"/>
  <c r="BI54" i="56"/>
  <c r="BH54" i="56"/>
  <c r="BG54" i="56"/>
  <c r="AX54" i="56"/>
  <c r="AW54" i="56"/>
  <c r="AV54" i="56"/>
  <c r="AU54" i="56"/>
  <c r="AT54" i="56"/>
  <c r="AS54" i="56"/>
  <c r="Z54" i="56"/>
  <c r="Y54" i="56"/>
  <c r="X54" i="56"/>
  <c r="W54" i="56"/>
  <c r="V54" i="56"/>
  <c r="U54" i="56"/>
  <c r="BJ45" i="56"/>
  <c r="BI45" i="56"/>
  <c r="BH45" i="56"/>
  <c r="BG45" i="56"/>
  <c r="AX45" i="56"/>
  <c r="AW45" i="56"/>
  <c r="AV45" i="56"/>
  <c r="AU45" i="56"/>
  <c r="AT45" i="56"/>
  <c r="AS45" i="56"/>
  <c r="Z45" i="56"/>
  <c r="Y45" i="56"/>
  <c r="X45" i="56"/>
  <c r="W45" i="56"/>
  <c r="V45" i="56"/>
  <c r="U45" i="56"/>
  <c r="BJ44" i="56"/>
  <c r="BI44" i="56"/>
  <c r="BH44" i="56"/>
  <c r="BG44" i="56"/>
  <c r="AX44" i="56"/>
  <c r="AW44" i="56"/>
  <c r="AV44" i="56"/>
  <c r="AU44" i="56"/>
  <c r="AT44" i="56"/>
  <c r="AS44" i="56"/>
  <c r="AI44" i="56"/>
  <c r="AH44" i="56"/>
  <c r="AG44" i="56"/>
  <c r="AF44" i="56"/>
  <c r="Z44" i="56"/>
  <c r="Y44" i="56"/>
  <c r="X44" i="56"/>
  <c r="W44" i="56"/>
  <c r="V44" i="56"/>
  <c r="U44" i="56"/>
  <c r="BE40" i="56"/>
  <c r="BC40" i="56"/>
  <c r="BA40" i="56"/>
  <c r="AQ40" i="56"/>
  <c r="AQ226" i="56" s="1"/>
  <c r="AO40" i="56"/>
  <c r="AM40" i="56"/>
  <c r="AK40" i="56"/>
  <c r="AK226" i="56" s="1"/>
  <c r="AE40" i="56"/>
  <c r="AE226" i="56" s="1"/>
  <c r="AD40" i="56"/>
  <c r="AD226" i="56" s="1"/>
  <c r="AC40" i="56"/>
  <c r="AC226" i="56" s="1"/>
  <c r="S40" i="56"/>
  <c r="S226" i="56" s="1"/>
  <c r="Q40" i="56"/>
  <c r="O40" i="56"/>
  <c r="M40" i="56"/>
  <c r="M226" i="56" s="1"/>
  <c r="BJ39" i="56"/>
  <c r="BI39" i="56"/>
  <c r="BH39" i="56"/>
  <c r="BG39" i="56"/>
  <c r="AX39" i="56"/>
  <c r="AW39" i="56"/>
  <c r="AV39" i="56"/>
  <c r="AU39" i="56"/>
  <c r="AT39" i="56"/>
  <c r="AS39" i="56"/>
  <c r="Z39" i="56"/>
  <c r="Y39" i="56"/>
  <c r="X39" i="56"/>
  <c r="W39" i="56"/>
  <c r="V39" i="56"/>
  <c r="U39" i="56"/>
  <c r="BJ38" i="56"/>
  <c r="BI38" i="56"/>
  <c r="BH38" i="56"/>
  <c r="BG38" i="56"/>
  <c r="AX38" i="56"/>
  <c r="AW38" i="56"/>
  <c r="AV38" i="56"/>
  <c r="AU38" i="56"/>
  <c r="AT38" i="56"/>
  <c r="AS38" i="56"/>
  <c r="Z38" i="56"/>
  <c r="Y38" i="56"/>
  <c r="X38" i="56"/>
  <c r="W38" i="56"/>
  <c r="V38" i="56"/>
  <c r="U38" i="56"/>
  <c r="BJ37" i="56"/>
  <c r="BI37" i="56"/>
  <c r="BH37" i="56"/>
  <c r="BG37" i="56"/>
  <c r="AX37" i="56"/>
  <c r="AW37" i="56"/>
  <c r="AV37" i="56"/>
  <c r="AU37" i="56"/>
  <c r="AT37" i="56"/>
  <c r="AS37" i="56"/>
  <c r="Z37" i="56"/>
  <c r="Y37" i="56"/>
  <c r="X37" i="56"/>
  <c r="W37" i="56"/>
  <c r="V37" i="56"/>
  <c r="U37" i="56"/>
  <c r="BJ36" i="56"/>
  <c r="BI36" i="56"/>
  <c r="BH36" i="56"/>
  <c r="BG36" i="56"/>
  <c r="AX36" i="56"/>
  <c r="AW36" i="56"/>
  <c r="AV36" i="56"/>
  <c r="AU36" i="56"/>
  <c r="AT36" i="56"/>
  <c r="AS36" i="56"/>
  <c r="Z36" i="56"/>
  <c r="Y36" i="56"/>
  <c r="X36" i="56"/>
  <c r="W36" i="56"/>
  <c r="V36" i="56"/>
  <c r="U36" i="56"/>
  <c r="BJ33" i="56"/>
  <c r="BI33" i="56"/>
  <c r="BH33" i="56"/>
  <c r="BG33" i="56"/>
  <c r="AX33" i="56"/>
  <c r="AW33" i="56"/>
  <c r="AV33" i="56"/>
  <c r="AU33" i="56"/>
  <c r="AT33" i="56"/>
  <c r="AS33" i="56"/>
  <c r="Z33" i="56"/>
  <c r="Y33" i="56"/>
  <c r="X33" i="56"/>
  <c r="W33" i="56"/>
  <c r="V33" i="56"/>
  <c r="U33" i="56"/>
  <c r="BJ32" i="56"/>
  <c r="BI32" i="56"/>
  <c r="BH32" i="56"/>
  <c r="BG32" i="56"/>
  <c r="AX32" i="56"/>
  <c r="AW32" i="56"/>
  <c r="AV32" i="56"/>
  <c r="AU32" i="56"/>
  <c r="AT32" i="56"/>
  <c r="AS32" i="56"/>
  <c r="AI32" i="56"/>
  <c r="AH32" i="56"/>
  <c r="AG32" i="56"/>
  <c r="AF32" i="56"/>
  <c r="Z32" i="56"/>
  <c r="Y32" i="56"/>
  <c r="X32" i="56"/>
  <c r="W32" i="56"/>
  <c r="V32" i="56"/>
  <c r="U32" i="56"/>
  <c r="BJ29" i="56"/>
  <c r="BI29" i="56"/>
  <c r="BH29" i="56"/>
  <c r="BG29" i="56"/>
  <c r="AX29" i="56"/>
  <c r="AW29" i="56"/>
  <c r="AV29" i="56"/>
  <c r="AU29" i="56"/>
  <c r="AT29" i="56"/>
  <c r="AS29" i="56"/>
  <c r="AI29" i="56"/>
  <c r="AH29" i="56"/>
  <c r="AG29" i="56"/>
  <c r="AF29" i="56"/>
  <c r="Z29" i="56"/>
  <c r="Y29" i="56"/>
  <c r="X29" i="56"/>
  <c r="W29" i="56"/>
  <c r="V29" i="56"/>
  <c r="U29" i="56"/>
  <c r="I24" i="56"/>
  <c r="I25" i="56" s="1"/>
  <c r="I23" i="56"/>
  <c r="BC21" i="56"/>
  <c r="AO21" i="56"/>
  <c r="AV21" i="56" s="1"/>
  <c r="AH21" i="56"/>
  <c r="AI21" i="56" s="1"/>
  <c r="Q21" i="56"/>
  <c r="X21" i="56" s="1"/>
  <c r="G21" i="56"/>
  <c r="BH20" i="56"/>
  <c r="BG20" i="56"/>
  <c r="AV20" i="56"/>
  <c r="AU20" i="56"/>
  <c r="AI20" i="56"/>
  <c r="AH20" i="56"/>
  <c r="X20" i="56"/>
  <c r="W20" i="56"/>
  <c r="BE6" i="56"/>
  <c r="BE21" i="56" s="1"/>
  <c r="BA6" i="56"/>
  <c r="BA21" i="56" s="1"/>
  <c r="AQ6" i="56"/>
  <c r="AQ21" i="56" s="1"/>
  <c r="AM6" i="56"/>
  <c r="AM21" i="56" s="1"/>
  <c r="AS21" i="56" s="1"/>
  <c r="AK6" i="56"/>
  <c r="AK21" i="56" s="1"/>
  <c r="AD6" i="56"/>
  <c r="AD21" i="56" s="1"/>
  <c r="AC6" i="56"/>
  <c r="AC21" i="56" s="1"/>
  <c r="S6" i="56"/>
  <c r="S21" i="56" s="1"/>
  <c r="O6" i="56"/>
  <c r="O21" i="56" s="1"/>
  <c r="M6" i="56"/>
  <c r="M21" i="56" s="1"/>
  <c r="AQ5" i="56"/>
  <c r="AO5" i="56"/>
  <c r="AM5" i="56"/>
  <c r="AK5" i="56"/>
  <c r="AE5" i="56"/>
  <c r="AD5" i="56"/>
  <c r="AC5" i="56"/>
  <c r="S5" i="56"/>
  <c r="Q5" i="56"/>
  <c r="O5" i="56"/>
  <c r="M5" i="56"/>
  <c r="AQ4" i="56"/>
  <c r="AO4" i="56"/>
  <c r="BC4" i="56" s="1"/>
  <c r="BC20" i="56" s="1"/>
  <c r="AM4" i="56"/>
  <c r="AK4" i="56"/>
  <c r="BA4" i="56" s="1"/>
  <c r="BA20" i="56" s="1"/>
  <c r="AE4" i="56"/>
  <c r="AD4" i="56"/>
  <c r="AC4" i="56"/>
  <c r="S4" i="56"/>
  <c r="Q4" i="56"/>
  <c r="O4" i="56"/>
  <c r="M4" i="56"/>
  <c r="L4" i="56"/>
  <c r="BD2" i="56"/>
  <c r="BH2" i="56" s="1"/>
  <c r="AV2" i="56"/>
  <c r="AU2" i="56" s="1"/>
  <c r="AT2" i="56"/>
  <c r="AS2" i="56" s="1"/>
  <c r="AO2" i="56"/>
  <c r="AP2" i="56" s="1"/>
  <c r="AM2" i="56"/>
  <c r="AN2" i="56" s="1"/>
  <c r="X2" i="56"/>
  <c r="W2" i="56" s="1"/>
  <c r="V2" i="56"/>
  <c r="U2" i="56" s="1"/>
  <c r="Q2" i="56"/>
  <c r="R2" i="56" s="1"/>
  <c r="O2" i="56"/>
  <c r="P2" i="56" s="1"/>
  <c r="A166" i="54"/>
  <c r="A161" i="54"/>
  <c r="A156" i="54"/>
  <c r="A151" i="54"/>
  <c r="A141" i="54"/>
  <c r="A136" i="54"/>
  <c r="A131" i="54"/>
  <c r="A129" i="54"/>
  <c r="A122" i="54"/>
  <c r="A119" i="54"/>
  <c r="A116" i="54"/>
  <c r="A111" i="54"/>
  <c r="A104" i="54"/>
  <c r="A94" i="54"/>
  <c r="A85" i="54"/>
  <c r="A81" i="54"/>
  <c r="A78" i="54"/>
  <c r="A65" i="54"/>
  <c r="A57" i="54"/>
  <c r="A49" i="54"/>
  <c r="A47" i="54"/>
  <c r="A45" i="54"/>
  <c r="A34" i="54"/>
  <c r="A28" i="54"/>
  <c r="A27" i="54"/>
  <c r="A26" i="54"/>
  <c r="A25" i="54"/>
  <c r="A22" i="54"/>
  <c r="A21" i="54"/>
  <c r="AL49" i="54"/>
  <c r="AL48" i="54"/>
  <c r="AL47" i="54"/>
  <c r="AL46" i="54"/>
  <c r="AL45" i="54"/>
  <c r="AL44" i="54"/>
  <c r="AL43" i="54"/>
  <c r="AL34" i="54"/>
  <c r="AL33" i="54"/>
  <c r="BA20" i="58" l="1"/>
  <c r="BE4" i="56"/>
  <c r="BE20" i="56" s="1"/>
  <c r="AK195" i="58"/>
  <c r="AC227" i="56"/>
  <c r="AQ195" i="58"/>
  <c r="AD227" i="56"/>
  <c r="S195" i="58"/>
  <c r="AE227" i="56"/>
  <c r="BW135" i="57"/>
  <c r="BN135" i="57"/>
  <c r="BF135" i="57"/>
  <c r="AW135" i="57"/>
  <c r="AO135" i="57"/>
  <c r="AE135" i="57"/>
  <c r="U135" i="57"/>
  <c r="M135" i="57"/>
  <c r="BV135" i="57"/>
  <c r="BM135" i="57"/>
  <c r="BE135" i="57"/>
  <c r="AV135" i="57"/>
  <c r="AN135" i="57"/>
  <c r="AD135" i="57"/>
  <c r="T135" i="57"/>
  <c r="L135" i="57"/>
  <c r="BU135" i="57"/>
  <c r="BL135" i="57"/>
  <c r="BD135" i="57"/>
  <c r="AU135" i="57"/>
  <c r="AK135" i="57"/>
  <c r="AC135" i="57"/>
  <c r="S135" i="57"/>
  <c r="CB135" i="57"/>
  <c r="BT135" i="57"/>
  <c r="BK135" i="57"/>
  <c r="BC135" i="57"/>
  <c r="AT135" i="57"/>
  <c r="AJ135" i="57"/>
  <c r="AB135" i="57"/>
  <c r="R135" i="57"/>
  <c r="CA135" i="57"/>
  <c r="BS135" i="57"/>
  <c r="BJ135" i="57"/>
  <c r="BB135" i="57"/>
  <c r="AS135" i="57"/>
  <c r="AI135" i="57"/>
  <c r="AA135" i="57"/>
  <c r="Q135" i="57"/>
  <c r="BZ135" i="57"/>
  <c r="BR135" i="57"/>
  <c r="BI135" i="57"/>
  <c r="AZ135" i="57"/>
  <c r="AR135" i="57"/>
  <c r="AH135" i="57"/>
  <c r="Z135" i="57"/>
  <c r="P135" i="57"/>
  <c r="BX135" i="57"/>
  <c r="BP135" i="57"/>
  <c r="BG135" i="57"/>
  <c r="AX135" i="57"/>
  <c r="AP135" i="57"/>
  <c r="AF135" i="57"/>
  <c r="V135" i="57"/>
  <c r="N135" i="57"/>
  <c r="BY135" i="57"/>
  <c r="BQ135" i="57"/>
  <c r="BH135" i="57"/>
  <c r="AY135" i="57"/>
  <c r="AQ135" i="57"/>
  <c r="AG135" i="57"/>
  <c r="W135" i="57"/>
  <c r="O135" i="57"/>
  <c r="AL135" i="57"/>
  <c r="X135" i="57"/>
  <c r="X194" i="58"/>
  <c r="AW194" i="58"/>
  <c r="W194" i="58"/>
  <c r="AI194" i="58"/>
  <c r="AV194" i="58"/>
  <c r="AG194" i="58"/>
  <c r="AU194" i="58"/>
  <c r="Y194" i="58"/>
  <c r="AX194" i="58"/>
  <c r="Z194" i="58"/>
  <c r="AC195" i="58"/>
  <c r="AK227" i="56"/>
  <c r="AD195" i="58"/>
  <c r="AL27" i="59"/>
  <c r="AL43" i="59" s="1"/>
  <c r="AF226" i="56"/>
  <c r="AH226" i="56"/>
  <c r="M227" i="56"/>
  <c r="AE195" i="58"/>
  <c r="CA110" i="59"/>
  <c r="BS110" i="59"/>
  <c r="BI110" i="59"/>
  <c r="AZ110" i="59"/>
  <c r="AR110" i="59"/>
  <c r="AI110" i="59"/>
  <c r="AA110" i="59"/>
  <c r="R110" i="59"/>
  <c r="BZ110" i="59"/>
  <c r="BR110" i="59"/>
  <c r="BH110" i="59"/>
  <c r="AY110" i="59"/>
  <c r="AQ110" i="59"/>
  <c r="AH110" i="59"/>
  <c r="Z110" i="59"/>
  <c r="Q110" i="59"/>
  <c r="BY110" i="59"/>
  <c r="BQ110" i="59"/>
  <c r="BG110" i="59"/>
  <c r="AX110" i="59"/>
  <c r="AP110" i="59"/>
  <c r="AG110" i="59"/>
  <c r="X110" i="59"/>
  <c r="P110" i="59"/>
  <c r="BX110" i="59"/>
  <c r="BP110" i="59"/>
  <c r="BF110" i="59"/>
  <c r="AW110" i="59"/>
  <c r="AO110" i="59"/>
  <c r="AF110" i="59"/>
  <c r="W110" i="59"/>
  <c r="O110" i="59"/>
  <c r="BW110" i="59"/>
  <c r="BM110" i="59"/>
  <c r="BE110" i="59"/>
  <c r="AV110" i="59"/>
  <c r="AN110" i="59"/>
  <c r="AE110" i="59"/>
  <c r="V110" i="59"/>
  <c r="N110" i="59"/>
  <c r="BV110" i="59"/>
  <c r="BL110" i="59"/>
  <c r="BD110" i="59"/>
  <c r="AU110" i="59"/>
  <c r="AL110" i="59"/>
  <c r="AD110" i="59"/>
  <c r="U110" i="59"/>
  <c r="M110" i="59"/>
  <c r="CB110" i="59"/>
  <c r="BT110" i="59"/>
  <c r="BJ110" i="59"/>
  <c r="BB110" i="59"/>
  <c r="AS110" i="59"/>
  <c r="AJ110" i="59"/>
  <c r="AB110" i="59"/>
  <c r="S110" i="59"/>
  <c r="BC110" i="59"/>
  <c r="AT110" i="59"/>
  <c r="AK110" i="59"/>
  <c r="AC110" i="59"/>
  <c r="T110" i="59"/>
  <c r="L110" i="59"/>
  <c r="BU110" i="59"/>
  <c r="BK110" i="59"/>
  <c r="BN110" i="59"/>
  <c r="AQ227" i="56"/>
  <c r="AF194" i="58"/>
  <c r="AH194" i="58"/>
  <c r="M195" i="58"/>
  <c r="S227" i="56"/>
  <c r="AX226" i="56"/>
  <c r="X226" i="56"/>
  <c r="AV226" i="56"/>
  <c r="W226" i="56"/>
  <c r="AI226" i="56"/>
  <c r="AW226" i="56"/>
  <c r="Y226" i="56"/>
  <c r="AU226" i="56"/>
  <c r="Z226" i="56"/>
  <c r="AG226" i="56"/>
  <c r="H19" i="56"/>
  <c r="AP127" i="56" s="1"/>
  <c r="AP14" i="57"/>
  <c r="P14" i="57"/>
  <c r="L4" i="57"/>
  <c r="L15" i="57" s="1"/>
  <c r="M14" i="57"/>
  <c r="S14" i="57"/>
  <c r="AA4" i="57"/>
  <c r="AB4" i="57" s="1"/>
  <c r="N4" i="57" s="1"/>
  <c r="N15" i="57" s="1"/>
  <c r="AF19" i="58"/>
  <c r="AC20" i="58" s="1"/>
  <c r="AE20" i="58" s="1"/>
  <c r="Z5" i="57"/>
  <c r="Z14" i="57" s="1"/>
  <c r="S14" i="59"/>
  <c r="AQ14" i="59"/>
  <c r="AR14" i="59"/>
  <c r="AS14" i="59"/>
  <c r="R14" i="59"/>
  <c r="AV14" i="59"/>
  <c r="AM20" i="58"/>
  <c r="N14" i="59"/>
  <c r="V14" i="59"/>
  <c r="Q14" i="59"/>
  <c r="AO14" i="59"/>
  <c r="AW14" i="59"/>
  <c r="AO20" i="56"/>
  <c r="AN4" i="57"/>
  <c r="AN15" i="57" s="1"/>
  <c r="O14" i="57"/>
  <c r="V14" i="57"/>
  <c r="A207" i="57"/>
  <c r="A208" i="57" s="1"/>
  <c r="S20" i="58"/>
  <c r="T14" i="59"/>
  <c r="AY14" i="59"/>
  <c r="AQ20" i="56"/>
  <c r="M20" i="58"/>
  <c r="A175" i="59"/>
  <c r="A176" i="59" s="1"/>
  <c r="M20" i="56"/>
  <c r="O20" i="56"/>
  <c r="M19" i="56"/>
  <c r="AR14" i="57"/>
  <c r="AX14" i="59"/>
  <c r="AT14" i="57"/>
  <c r="AS14" i="57"/>
  <c r="M19" i="58"/>
  <c r="AM20" i="56"/>
  <c r="R44" i="59"/>
  <c r="AB44" i="59"/>
  <c r="AJ43" i="59"/>
  <c r="AT44" i="59"/>
  <c r="BX51" i="57"/>
  <c r="V38" i="58"/>
  <c r="BI40" i="56"/>
  <c r="W21" i="56"/>
  <c r="AV61" i="56"/>
  <c r="AE63" i="56"/>
  <c r="AD52" i="57"/>
  <c r="BF52" i="57"/>
  <c r="X136" i="56"/>
  <c r="AX14" i="57"/>
  <c r="AB51" i="57"/>
  <c r="AT52" i="57"/>
  <c r="BV51" i="57"/>
  <c r="BE54" i="58"/>
  <c r="BE114" i="58" s="1"/>
  <c r="O14" i="59"/>
  <c r="W14" i="59"/>
  <c r="AT14" i="59"/>
  <c r="AW14" i="57"/>
  <c r="AJ51" i="57"/>
  <c r="U14" i="57"/>
  <c r="AQ14" i="57"/>
  <c r="AY14" i="57"/>
  <c r="AK20" i="58"/>
  <c r="AT53" i="58"/>
  <c r="P14" i="59"/>
  <c r="AU14" i="59"/>
  <c r="AK20" i="56"/>
  <c r="O20" i="58"/>
  <c r="N14" i="57"/>
  <c r="Q20" i="58"/>
  <c r="AP14" i="59"/>
  <c r="Y40" i="56"/>
  <c r="O62" i="56"/>
  <c r="O138" i="56" s="1"/>
  <c r="AO63" i="56"/>
  <c r="BB15" i="57"/>
  <c r="Q14" i="57"/>
  <c r="N51" i="57"/>
  <c r="V51" i="57"/>
  <c r="AX51" i="57"/>
  <c r="BR51" i="57"/>
  <c r="BZ52" i="57"/>
  <c r="AV14" i="57"/>
  <c r="W14" i="57"/>
  <c r="AG51" i="57"/>
  <c r="BQ52" i="57"/>
  <c r="BY52" i="57"/>
  <c r="AI53" i="58"/>
  <c r="M14" i="59"/>
  <c r="U14" i="59"/>
  <c r="AU21" i="56"/>
  <c r="AI136" i="56"/>
  <c r="BT52" i="57"/>
  <c r="AH136" i="56"/>
  <c r="Q52" i="57"/>
  <c r="AS51" i="57"/>
  <c r="BC52" i="57"/>
  <c r="BK52" i="57"/>
  <c r="BU52" i="57"/>
  <c r="AU38" i="58"/>
  <c r="U61" i="56"/>
  <c r="AT136" i="56"/>
  <c r="B40" i="58"/>
  <c r="B55" i="58" s="1"/>
  <c r="AS112" i="58"/>
  <c r="AD63" i="56"/>
  <c r="AH38" i="58"/>
  <c r="AV112" i="58"/>
  <c r="P44" i="59"/>
  <c r="Z43" i="59"/>
  <c r="AH44" i="59"/>
  <c r="AR44" i="59"/>
  <c r="BH44" i="59"/>
  <c r="BR44" i="59"/>
  <c r="BZ43" i="59"/>
  <c r="W136" i="56"/>
  <c r="BE62" i="56"/>
  <c r="BE138" i="56" s="1"/>
  <c r="AI43" i="59"/>
  <c r="AS43" i="59"/>
  <c r="BC44" i="59"/>
  <c r="BK44" i="59"/>
  <c r="BU44" i="59"/>
  <c r="O44" i="59"/>
  <c r="AQ43" i="59"/>
  <c r="AY43" i="59"/>
  <c r="V53" i="58"/>
  <c r="BI136" i="56"/>
  <c r="AR52" i="57"/>
  <c r="AS38" i="58"/>
  <c r="BF43" i="59"/>
  <c r="BP43" i="59"/>
  <c r="BX43" i="59"/>
  <c r="AT21" i="56"/>
  <c r="BB60" i="56"/>
  <c r="T61" i="56"/>
  <c r="AQ62" i="56"/>
  <c r="AQ138" i="56" s="1"/>
  <c r="N114" i="56"/>
  <c r="BF131" i="56"/>
  <c r="AG136" i="56"/>
  <c r="AN33" i="56"/>
  <c r="BB59" i="56"/>
  <c r="P60" i="56"/>
  <c r="AN60" i="56"/>
  <c r="R32" i="56"/>
  <c r="BD36" i="56"/>
  <c r="R37" i="56"/>
  <c r="BD38" i="56"/>
  <c r="AN54" i="56"/>
  <c r="BD75" i="56"/>
  <c r="AL52" i="57"/>
  <c r="AR36" i="56"/>
  <c r="BF36" i="56"/>
  <c r="AN38" i="56"/>
  <c r="AR107" i="56"/>
  <c r="AU136" i="56"/>
  <c r="N68" i="56"/>
  <c r="R134" i="56"/>
  <c r="AN135" i="56"/>
  <c r="AE51" i="57"/>
  <c r="AO52" i="57"/>
  <c r="AW52" i="57"/>
  <c r="BG51" i="57"/>
  <c r="AQ55" i="58"/>
  <c r="P43" i="59"/>
  <c r="Z44" i="59"/>
  <c r="BB44" i="59"/>
  <c r="AF38" i="58"/>
  <c r="B57" i="58"/>
  <c r="B112" i="58" s="1"/>
  <c r="B114" i="58" s="1"/>
  <c r="Q44" i="59"/>
  <c r="AA43" i="59"/>
  <c r="AQ52" i="57"/>
  <c r="AY52" i="57"/>
  <c r="AG38" i="58"/>
  <c r="AG53" i="58"/>
  <c r="AH112" i="58"/>
  <c r="Z52" i="57"/>
  <c r="AH52" i="57"/>
  <c r="BJ51" i="57"/>
  <c r="X38" i="58"/>
  <c r="AF43" i="59"/>
  <c r="AO43" i="59"/>
  <c r="AW43" i="59"/>
  <c r="AU52" i="57"/>
  <c r="BW51" i="57"/>
  <c r="S55" i="58"/>
  <c r="AV53" i="58"/>
  <c r="V112" i="58"/>
  <c r="AS40" i="56"/>
  <c r="B42" i="56"/>
  <c r="B61" i="56" s="1"/>
  <c r="AG61" i="56"/>
  <c r="BA63" i="56"/>
  <c r="R93" i="56"/>
  <c r="T135" i="56"/>
  <c r="BJ136" i="56"/>
  <c r="W38" i="58"/>
  <c r="U112" i="58"/>
  <c r="AI61" i="56"/>
  <c r="BB32" i="56"/>
  <c r="X61" i="56"/>
  <c r="AH61" i="56"/>
  <c r="BF92" i="56"/>
  <c r="W21" i="58"/>
  <c r="AI38" i="58"/>
  <c r="AE54" i="58"/>
  <c r="AE114" i="58" s="1"/>
  <c r="U40" i="56"/>
  <c r="BJ40" i="56"/>
  <c r="AN32" i="56"/>
  <c r="N44" i="56"/>
  <c r="AL57" i="56"/>
  <c r="AP92" i="56"/>
  <c r="BF134" i="56"/>
  <c r="AS136" i="56"/>
  <c r="AP32" i="56"/>
  <c r="AP36" i="56"/>
  <c r="AU40" i="56"/>
  <c r="P44" i="56"/>
  <c r="AU61" i="56"/>
  <c r="B65" i="56"/>
  <c r="B136" i="56" s="1"/>
  <c r="B138" i="56" s="1"/>
  <c r="AR134" i="56"/>
  <c r="AE239" i="56"/>
  <c r="Z53" i="58"/>
  <c r="AF53" i="58"/>
  <c r="BG53" i="58"/>
  <c r="AV40" i="56"/>
  <c r="AH53" i="58"/>
  <c r="X112" i="58"/>
  <c r="AL40" i="56"/>
  <c r="S54" i="58"/>
  <c r="S114" i="58" s="1"/>
  <c r="BI51" i="57"/>
  <c r="CA51" i="57"/>
  <c r="S44" i="59"/>
  <c r="AC44" i="59"/>
  <c r="AK44" i="59"/>
  <c r="BD43" i="59"/>
  <c r="BL43" i="59"/>
  <c r="AT43" i="59"/>
  <c r="V101" i="59"/>
  <c r="M101" i="59"/>
  <c r="AA51" i="57"/>
  <c r="AI51" i="57"/>
  <c r="BH52" i="57"/>
  <c r="P125" i="57"/>
  <c r="L44" i="59"/>
  <c r="T44" i="59"/>
  <c r="AD44" i="59"/>
  <c r="AU44" i="59"/>
  <c r="BW43" i="59"/>
  <c r="BC43" i="59"/>
  <c r="AF101" i="59"/>
  <c r="A172" i="59"/>
  <c r="A173" i="59" s="1"/>
  <c r="AP101" i="59"/>
  <c r="BU51" i="57"/>
  <c r="AX125" i="57"/>
  <c r="AB43" i="59"/>
  <c r="AY101" i="59"/>
  <c r="W52" i="57"/>
  <c r="BP125" i="57"/>
  <c r="BI101" i="59"/>
  <c r="AS44" i="59"/>
  <c r="AG125" i="57"/>
  <c r="AJ44" i="59"/>
  <c r="U51" i="57"/>
  <c r="AV51" i="57"/>
  <c r="BF51" i="57"/>
  <c r="BZ51" i="57"/>
  <c r="CA43" i="59"/>
  <c r="AW44" i="59"/>
  <c r="AO44" i="59"/>
  <c r="BW44" i="59"/>
  <c r="BS101" i="59"/>
  <c r="AF51" i="57"/>
  <c r="BW52" i="57"/>
  <c r="AA44" i="59"/>
  <c r="AI44" i="59"/>
  <c r="AF44" i="59"/>
  <c r="BY43" i="59"/>
  <c r="AK43" i="59"/>
  <c r="BV44" i="59"/>
  <c r="N44" i="59"/>
  <c r="V44" i="59"/>
  <c r="AE44" i="59"/>
  <c r="AN44" i="59"/>
  <c r="AV44" i="59"/>
  <c r="BE44" i="59"/>
  <c r="BM44" i="59"/>
  <c r="Q43" i="59"/>
  <c r="BM43" i="59"/>
  <c r="BL44" i="59"/>
  <c r="N101" i="59"/>
  <c r="W101" i="59"/>
  <c r="AG101" i="59"/>
  <c r="AQ101" i="59"/>
  <c r="AZ101" i="59"/>
  <c r="BJ101" i="59"/>
  <c r="BU101" i="59"/>
  <c r="Z15" i="59"/>
  <c r="AA4" i="59"/>
  <c r="O43" i="59"/>
  <c r="W43" i="59"/>
  <c r="R43" i="59"/>
  <c r="AU43" i="59"/>
  <c r="BE43" i="59"/>
  <c r="BD44" i="59"/>
  <c r="BX44" i="59"/>
  <c r="O101" i="59"/>
  <c r="X101" i="59"/>
  <c r="AH101" i="59"/>
  <c r="AR101" i="59"/>
  <c r="BB101" i="59"/>
  <c r="BL101" i="59"/>
  <c r="BV101" i="59"/>
  <c r="BV43" i="59"/>
  <c r="L14" i="59"/>
  <c r="CB101" i="59"/>
  <c r="BT101" i="59"/>
  <c r="BK101" i="59"/>
  <c r="BC101" i="59"/>
  <c r="AT101" i="59"/>
  <c r="AK101" i="59"/>
  <c r="AC101" i="59"/>
  <c r="T101" i="59"/>
  <c r="L101" i="59"/>
  <c r="X27" i="59"/>
  <c r="X44" i="59" s="1"/>
  <c r="S43" i="59"/>
  <c r="AC43" i="59"/>
  <c r="AV43" i="59"/>
  <c r="BG43" i="59"/>
  <c r="BQ43" i="59"/>
  <c r="BF44" i="59"/>
  <c r="BP44" i="59"/>
  <c r="BY44" i="59"/>
  <c r="P101" i="59"/>
  <c r="Z101" i="59"/>
  <c r="AI101" i="59"/>
  <c r="AS101" i="59"/>
  <c r="BD101" i="59"/>
  <c r="BM101" i="59"/>
  <c r="BW101" i="59"/>
  <c r="AN4" i="59"/>
  <c r="AN15" i="59" s="1"/>
  <c r="T43" i="59"/>
  <c r="AD43" i="59"/>
  <c r="AN43" i="59"/>
  <c r="AX43" i="59"/>
  <c r="BH43" i="59"/>
  <c r="BR43" i="59"/>
  <c r="BG44" i="59"/>
  <c r="BQ44" i="59"/>
  <c r="BZ44" i="59"/>
  <c r="Q101" i="59"/>
  <c r="AA101" i="59"/>
  <c r="AJ101" i="59"/>
  <c r="AU101" i="59"/>
  <c r="BE101" i="59"/>
  <c r="BN101" i="59"/>
  <c r="BX101" i="59"/>
  <c r="AZ27" i="59"/>
  <c r="AZ44" i="59" s="1"/>
  <c r="L43" i="59"/>
  <c r="U43" i="59"/>
  <c r="AE43" i="59"/>
  <c r="AP43" i="59"/>
  <c r="BI43" i="59"/>
  <c r="BS43" i="59"/>
  <c r="AX44" i="59"/>
  <c r="CA44" i="59"/>
  <c r="R101" i="59"/>
  <c r="AB101" i="59"/>
  <c r="AL101" i="59"/>
  <c r="AV101" i="59"/>
  <c r="BF101" i="59"/>
  <c r="BP101" i="59"/>
  <c r="BY101" i="59"/>
  <c r="Z1" i="59"/>
  <c r="L4" i="59"/>
  <c r="L15" i="59" s="1"/>
  <c r="BN27" i="59"/>
  <c r="BN44" i="59" s="1"/>
  <c r="CB27" i="59"/>
  <c r="CB44" i="59" s="1"/>
  <c r="M43" i="59"/>
  <c r="V43" i="59"/>
  <c r="AG43" i="59"/>
  <c r="BJ43" i="59"/>
  <c r="BT43" i="59"/>
  <c r="U44" i="59"/>
  <c r="AP44" i="59"/>
  <c r="AY44" i="59"/>
  <c r="BI44" i="59"/>
  <c r="BS44" i="59"/>
  <c r="S101" i="59"/>
  <c r="AD101" i="59"/>
  <c r="AN101" i="59"/>
  <c r="AW101" i="59"/>
  <c r="BG101" i="59"/>
  <c r="BQ101" i="59"/>
  <c r="BZ101" i="59"/>
  <c r="BB4" i="59"/>
  <c r="BB15" i="59" s="1"/>
  <c r="N43" i="59"/>
  <c r="AH43" i="59"/>
  <c r="AR43" i="59"/>
  <c r="BB43" i="59"/>
  <c r="BK43" i="59"/>
  <c r="BU43" i="59"/>
  <c r="M44" i="59"/>
  <c r="W44" i="59"/>
  <c r="AG44" i="59"/>
  <c r="AQ44" i="59"/>
  <c r="BJ44" i="59"/>
  <c r="BT44" i="59"/>
  <c r="U101" i="59"/>
  <c r="AE101" i="59"/>
  <c r="AO101" i="59"/>
  <c r="AX101" i="59"/>
  <c r="BH101" i="59"/>
  <c r="BR101" i="59"/>
  <c r="CA101" i="59"/>
  <c r="I25" i="58"/>
  <c r="U21" i="58"/>
  <c r="V21" i="58"/>
  <c r="BJ38" i="58"/>
  <c r="BA207" i="58"/>
  <c r="BA55" i="58"/>
  <c r="BC54" i="58"/>
  <c r="BC207" i="58"/>
  <c r="BC55" i="58"/>
  <c r="AK19" i="58"/>
  <c r="AQ20" i="58"/>
  <c r="BG21" i="58"/>
  <c r="O207" i="58"/>
  <c r="O55" i="58"/>
  <c r="Y53" i="58"/>
  <c r="BH53" i="58"/>
  <c r="AX112" i="58"/>
  <c r="AW112" i="58"/>
  <c r="AO20" i="58"/>
  <c r="Z112" i="58"/>
  <c r="Y112" i="58"/>
  <c r="AD20" i="58"/>
  <c r="AS21" i="58"/>
  <c r="Y38" i="58"/>
  <c r="BE207" i="58"/>
  <c r="BE55" i="58"/>
  <c r="AQ207" i="58"/>
  <c r="X53" i="58"/>
  <c r="Q207" i="58"/>
  <c r="Q54" i="58"/>
  <c r="Z38" i="58"/>
  <c r="AK207" i="58"/>
  <c r="AK55" i="58"/>
  <c r="AV38" i="58"/>
  <c r="AK54" i="58"/>
  <c r="AT38" i="58"/>
  <c r="BG38" i="58"/>
  <c r="Q55" i="58"/>
  <c r="BA54" i="58"/>
  <c r="AU21" i="58"/>
  <c r="AC207" i="58"/>
  <c r="AC54" i="58"/>
  <c r="AC114" i="58" s="1"/>
  <c r="AC55" i="58"/>
  <c r="BH38" i="58"/>
  <c r="W53" i="58"/>
  <c r="AX53" i="58"/>
  <c r="AW53" i="58"/>
  <c r="BI53" i="58"/>
  <c r="AI112" i="58"/>
  <c r="S207" i="58"/>
  <c r="AD207" i="58"/>
  <c r="AD54" i="58"/>
  <c r="AD114" i="58" s="1"/>
  <c r="AD55" i="58"/>
  <c r="AM207" i="58"/>
  <c r="AM55" i="58"/>
  <c r="AM54" i="58"/>
  <c r="AW38" i="58"/>
  <c r="BI38" i="58"/>
  <c r="BJ53" i="58"/>
  <c r="AQ54" i="58"/>
  <c r="AO54" i="58"/>
  <c r="AO207" i="58"/>
  <c r="AX38" i="58"/>
  <c r="U53" i="58"/>
  <c r="O54" i="58"/>
  <c r="AO55" i="58"/>
  <c r="AS53" i="58"/>
  <c r="M207" i="58"/>
  <c r="U38" i="58"/>
  <c r="M54" i="58"/>
  <c r="AT112" i="58"/>
  <c r="BI112" i="58"/>
  <c r="AU53" i="58"/>
  <c r="AE55" i="58"/>
  <c r="BJ112" i="58"/>
  <c r="M55" i="58"/>
  <c r="AG112" i="58"/>
  <c r="AF112" i="58"/>
  <c r="AE207" i="58"/>
  <c r="W112" i="58"/>
  <c r="AU112" i="58"/>
  <c r="BH112" i="58"/>
  <c r="BG112" i="58"/>
  <c r="AZ29" i="57"/>
  <c r="AZ51" i="57" s="1"/>
  <c r="BN29" i="57"/>
  <c r="BN51" i="57" s="1"/>
  <c r="S52" i="57"/>
  <c r="AB52" i="57"/>
  <c r="AJ52" i="57"/>
  <c r="AS52" i="57"/>
  <c r="BB52" i="57"/>
  <c r="BJ52" i="57"/>
  <c r="X50" i="57"/>
  <c r="S51" i="57"/>
  <c r="AU51" i="57"/>
  <c r="R52" i="57"/>
  <c r="AF52" i="57"/>
  <c r="S125" i="57"/>
  <c r="AJ125" i="57"/>
  <c r="BB125" i="57"/>
  <c r="BS125" i="57"/>
  <c r="AU14" i="57"/>
  <c r="Z15" i="57"/>
  <c r="CB29" i="57"/>
  <c r="CB52" i="57" s="1"/>
  <c r="L51" i="57"/>
  <c r="T51" i="57"/>
  <c r="AC51" i="57"/>
  <c r="AK51" i="57"/>
  <c r="AT51" i="57"/>
  <c r="BC51" i="57"/>
  <c r="BK51" i="57"/>
  <c r="T52" i="57"/>
  <c r="BI52" i="57"/>
  <c r="U125" i="57"/>
  <c r="AL125" i="57"/>
  <c r="BD125" i="57"/>
  <c r="BU125" i="57"/>
  <c r="BW125" i="57"/>
  <c r="R14" i="57"/>
  <c r="BV52" i="57"/>
  <c r="U52" i="57"/>
  <c r="W125" i="57"/>
  <c r="BF125" i="57"/>
  <c r="N52" i="57"/>
  <c r="V52" i="57"/>
  <c r="AE52" i="57"/>
  <c r="AN52" i="57"/>
  <c r="AV52" i="57"/>
  <c r="BE52" i="57"/>
  <c r="BM52" i="57"/>
  <c r="AL51" i="57"/>
  <c r="BM51" i="57"/>
  <c r="AK52" i="57"/>
  <c r="BL52" i="57"/>
  <c r="X125" i="57"/>
  <c r="AP125" i="57"/>
  <c r="BG125" i="57"/>
  <c r="BX125" i="57"/>
  <c r="CA52" i="57"/>
  <c r="A204" i="57"/>
  <c r="BL51" i="57"/>
  <c r="AI52" i="57"/>
  <c r="AO125" i="57"/>
  <c r="T14" i="57"/>
  <c r="AO14" i="57"/>
  <c r="O51" i="57"/>
  <c r="W51" i="57"/>
  <c r="AO51" i="57"/>
  <c r="AW51" i="57"/>
  <c r="BP52" i="57"/>
  <c r="BX52" i="57"/>
  <c r="M51" i="57"/>
  <c r="AN51" i="57"/>
  <c r="BB51" i="57"/>
  <c r="BP51" i="57"/>
  <c r="L52" i="57"/>
  <c r="AB125" i="57"/>
  <c r="AS125" i="57"/>
  <c r="BJ125" i="57"/>
  <c r="CA125" i="57"/>
  <c r="X29" i="57"/>
  <c r="AP52" i="57"/>
  <c r="AP51" i="57"/>
  <c r="AD125" i="57"/>
  <c r="AU125" i="57"/>
  <c r="BL125" i="57"/>
  <c r="BS52" i="57"/>
  <c r="R51" i="57"/>
  <c r="CB125" i="57"/>
  <c r="BT125" i="57"/>
  <c r="BK125" i="57"/>
  <c r="BC125" i="57"/>
  <c r="AT125" i="57"/>
  <c r="AK125" i="57"/>
  <c r="AC125" i="57"/>
  <c r="T125" i="57"/>
  <c r="L125" i="57"/>
  <c r="BZ125" i="57"/>
  <c r="BR125" i="57"/>
  <c r="BI125" i="57"/>
  <c r="AZ125" i="57"/>
  <c r="AR125" i="57"/>
  <c r="AI125" i="57"/>
  <c r="AA125" i="57"/>
  <c r="R125" i="57"/>
  <c r="BY125" i="57"/>
  <c r="BQ125" i="57"/>
  <c r="BH125" i="57"/>
  <c r="AY125" i="57"/>
  <c r="AQ125" i="57"/>
  <c r="AH125" i="57"/>
  <c r="Z125" i="57"/>
  <c r="Q125" i="57"/>
  <c r="BV125" i="57"/>
  <c r="BM125" i="57"/>
  <c r="BE125" i="57"/>
  <c r="AV125" i="57"/>
  <c r="AN125" i="57"/>
  <c r="AE125" i="57"/>
  <c r="V125" i="57"/>
  <c r="N125" i="57"/>
  <c r="P52" i="57"/>
  <c r="AG52" i="57"/>
  <c r="AX52" i="57"/>
  <c r="BG52" i="57"/>
  <c r="BD51" i="57"/>
  <c r="M52" i="57"/>
  <c r="AA52" i="57"/>
  <c r="M125" i="57"/>
  <c r="P51" i="57"/>
  <c r="AD51" i="57"/>
  <c r="AR51" i="57"/>
  <c r="BE51" i="57"/>
  <c r="BS51" i="57"/>
  <c r="O52" i="57"/>
  <c r="AC52" i="57"/>
  <c r="BD52" i="57"/>
  <c r="BR52" i="57"/>
  <c r="O125" i="57"/>
  <c r="AF125" i="57"/>
  <c r="AW125" i="57"/>
  <c r="BN125" i="57"/>
  <c r="Q51" i="57"/>
  <c r="Z51" i="57"/>
  <c r="AH51" i="57"/>
  <c r="AQ51" i="57"/>
  <c r="AY51" i="57"/>
  <c r="BH51" i="57"/>
  <c r="BQ51" i="57"/>
  <c r="BY51" i="57"/>
  <c r="BT51" i="57"/>
  <c r="BT204" i="57" s="1"/>
  <c r="P106" i="56"/>
  <c r="AP107" i="56"/>
  <c r="BB107" i="56"/>
  <c r="BF114" i="56"/>
  <c r="N134" i="56"/>
  <c r="AL134" i="56"/>
  <c r="BD134" i="56"/>
  <c r="R135" i="56"/>
  <c r="AL135" i="56"/>
  <c r="BB135" i="56"/>
  <c r="N32" i="56"/>
  <c r="AR32" i="56"/>
  <c r="BD32" i="56"/>
  <c r="P33" i="56"/>
  <c r="T37" i="56"/>
  <c r="AN37" i="56"/>
  <c r="AN44" i="56"/>
  <c r="N55" i="56"/>
  <c r="AN55" i="56"/>
  <c r="BB55" i="56"/>
  <c r="R57" i="56"/>
  <c r="AR57" i="56"/>
  <c r="BD61" i="56"/>
  <c r="P75" i="56"/>
  <c r="BF76" i="56"/>
  <c r="R127" i="56"/>
  <c r="P32" i="56"/>
  <c r="BF32" i="56"/>
  <c r="R33" i="56"/>
  <c r="AL33" i="56"/>
  <c r="P39" i="56"/>
  <c r="AL39" i="56"/>
  <c r="BD40" i="56"/>
  <c r="AP44" i="56"/>
  <c r="BB44" i="56"/>
  <c r="N45" i="56"/>
  <c r="BF45" i="56"/>
  <c r="T55" i="56"/>
  <c r="AP55" i="56"/>
  <c r="BD58" i="56"/>
  <c r="AR44" i="56"/>
  <c r="BD44" i="56"/>
  <c r="P45" i="56"/>
  <c r="AL45" i="56"/>
  <c r="P121" i="56"/>
  <c r="BD126" i="56"/>
  <c r="R131" i="56"/>
  <c r="T32" i="56"/>
  <c r="AR38" i="56"/>
  <c r="BF38" i="56"/>
  <c r="AR40" i="56"/>
  <c r="BF44" i="56"/>
  <c r="R45" i="56"/>
  <c r="BF54" i="56"/>
  <c r="BB56" i="56"/>
  <c r="AN67" i="56"/>
  <c r="AP89" i="56"/>
  <c r="N93" i="56"/>
  <c r="R120" i="56"/>
  <c r="AL120" i="56"/>
  <c r="N126" i="56"/>
  <c r="AL126" i="56"/>
  <c r="N136" i="56"/>
  <c r="AP114" i="56"/>
  <c r="BB114" i="56"/>
  <c r="T120" i="56"/>
  <c r="AN120" i="56"/>
  <c r="BB120" i="56"/>
  <c r="P126" i="56"/>
  <c r="AR114" i="56"/>
  <c r="BD114" i="56"/>
  <c r="AP120" i="56"/>
  <c r="R132" i="56"/>
  <c r="R136" i="56"/>
  <c r="BB136" i="56"/>
  <c r="I26" i="56"/>
  <c r="U21" i="56"/>
  <c r="V21" i="56"/>
  <c r="Q20" i="56"/>
  <c r="M63" i="56"/>
  <c r="X40" i="56"/>
  <c r="N40" i="56"/>
  <c r="W40" i="56"/>
  <c r="V40" i="56"/>
  <c r="Z40" i="56"/>
  <c r="AN40" i="56"/>
  <c r="AT61" i="56"/>
  <c r="AS61" i="56"/>
  <c r="V61" i="56"/>
  <c r="V136" i="56"/>
  <c r="Z136" i="56"/>
  <c r="AL136" i="56"/>
  <c r="BD135" i="56"/>
  <c r="AR135" i="56"/>
  <c r="P134" i="56"/>
  <c r="BB132" i="56"/>
  <c r="AP132" i="56"/>
  <c r="N131" i="56"/>
  <c r="AN127" i="56"/>
  <c r="T127" i="56"/>
  <c r="AL121" i="56"/>
  <c r="R121" i="56"/>
  <c r="BF120" i="56"/>
  <c r="P114" i="56"/>
  <c r="BD113" i="56"/>
  <c r="AR113" i="56"/>
  <c r="N107" i="56"/>
  <c r="BB106" i="56"/>
  <c r="AP106" i="56"/>
  <c r="AN97" i="56"/>
  <c r="T97" i="56"/>
  <c r="BF93" i="56"/>
  <c r="AL92" i="56"/>
  <c r="R92" i="56"/>
  <c r="BD90" i="56"/>
  <c r="AR90" i="56"/>
  <c r="P89" i="56"/>
  <c r="BB76" i="56"/>
  <c r="N135" i="56"/>
  <c r="BB134" i="56"/>
  <c r="AP134" i="56"/>
  <c r="BF132" i="56"/>
  <c r="AR132" i="56"/>
  <c r="N127" i="56"/>
  <c r="BB126" i="56"/>
  <c r="AP126" i="56"/>
  <c r="N120" i="56"/>
  <c r="AN114" i="56"/>
  <c r="T114" i="56"/>
  <c r="BF113" i="56"/>
  <c r="AP113" i="56"/>
  <c r="N106" i="56"/>
  <c r="AN98" i="56"/>
  <c r="T98" i="56"/>
  <c r="AN92" i="56"/>
  <c r="P92" i="56"/>
  <c r="AL90" i="56"/>
  <c r="R90" i="56"/>
  <c r="BF89" i="56"/>
  <c r="AN75" i="56"/>
  <c r="T75" i="56"/>
  <c r="BF68" i="56"/>
  <c r="AL67" i="56"/>
  <c r="R67" i="56"/>
  <c r="BD66" i="56"/>
  <c r="AR66" i="56"/>
  <c r="P66" i="56"/>
  <c r="BF60" i="56"/>
  <c r="AL59" i="56"/>
  <c r="R59" i="56"/>
  <c r="AN134" i="56"/>
  <c r="T134" i="56"/>
  <c r="BD132" i="56"/>
  <c r="AN132" i="56"/>
  <c r="T132" i="56"/>
  <c r="AN126" i="56"/>
  <c r="T126" i="56"/>
  <c r="BF121" i="56"/>
  <c r="AL114" i="56"/>
  <c r="R114" i="56"/>
  <c r="BB113" i="56"/>
  <c r="AN113" i="56"/>
  <c r="T113" i="56"/>
  <c r="BF107" i="56"/>
  <c r="AL98" i="56"/>
  <c r="R98" i="56"/>
  <c r="BF97" i="56"/>
  <c r="N92" i="56"/>
  <c r="P90" i="56"/>
  <c r="BD89" i="56"/>
  <c r="AR89" i="56"/>
  <c r="AL75" i="56"/>
  <c r="R75" i="56"/>
  <c r="BD68" i="56"/>
  <c r="AR68" i="56"/>
  <c r="P67" i="56"/>
  <c r="BB66" i="56"/>
  <c r="AP66" i="56"/>
  <c r="N66" i="56"/>
  <c r="AP136" i="56"/>
  <c r="AL132" i="56"/>
  <c r="P132" i="56"/>
  <c r="BD131" i="56"/>
  <c r="AR131" i="56"/>
  <c r="AL113" i="56"/>
  <c r="P113" i="56"/>
  <c r="AN107" i="56"/>
  <c r="T107" i="56"/>
  <c r="BF106" i="56"/>
  <c r="AR106" i="56"/>
  <c r="BF98" i="56"/>
  <c r="BD97" i="56"/>
  <c r="AR97" i="56"/>
  <c r="BD93" i="56"/>
  <c r="AR93" i="56"/>
  <c r="BB89" i="56"/>
  <c r="AN89" i="56"/>
  <c r="T89" i="56"/>
  <c r="BD76" i="56"/>
  <c r="AP76" i="56"/>
  <c r="AP68" i="56"/>
  <c r="AN59" i="56"/>
  <c r="P59" i="56"/>
  <c r="BB58" i="56"/>
  <c r="AP58" i="56"/>
  <c r="N57" i="56"/>
  <c r="AN56" i="56"/>
  <c r="T56" i="56"/>
  <c r="AL54" i="56"/>
  <c r="R54" i="56"/>
  <c r="BD45" i="56"/>
  <c r="AR45" i="56"/>
  <c r="BF39" i="56"/>
  <c r="AL38" i="56"/>
  <c r="R38" i="56"/>
  <c r="BF37" i="56"/>
  <c r="AL36" i="56"/>
  <c r="R36" i="56"/>
  <c r="BF33" i="56"/>
  <c r="AL32" i="56"/>
  <c r="T45" i="56"/>
  <c r="AP39" i="56"/>
  <c r="N38" i="56"/>
  <c r="BB33" i="56"/>
  <c r="N132" i="56"/>
  <c r="BB131" i="56"/>
  <c r="AP131" i="56"/>
  <c r="BF127" i="56"/>
  <c r="BD121" i="56"/>
  <c r="AR121" i="56"/>
  <c r="N113" i="56"/>
  <c r="AL107" i="56"/>
  <c r="R107" i="56"/>
  <c r="BD106" i="56"/>
  <c r="AN106" i="56"/>
  <c r="T106" i="56"/>
  <c r="BD98" i="56"/>
  <c r="AR98" i="56"/>
  <c r="P98" i="56"/>
  <c r="BB97" i="56"/>
  <c r="AP97" i="56"/>
  <c r="R97" i="56"/>
  <c r="BB93" i="56"/>
  <c r="AP93" i="56"/>
  <c r="BF90" i="56"/>
  <c r="AP90" i="56"/>
  <c r="T90" i="56"/>
  <c r="AL89" i="56"/>
  <c r="R89" i="56"/>
  <c r="AN76" i="56"/>
  <c r="T76" i="56"/>
  <c r="BB68" i="56"/>
  <c r="AN68" i="56"/>
  <c r="T68" i="56"/>
  <c r="AN66" i="56"/>
  <c r="P61" i="56"/>
  <c r="N59" i="56"/>
  <c r="AN58" i="56"/>
  <c r="T58" i="56"/>
  <c r="AL56" i="56"/>
  <c r="R56" i="56"/>
  <c r="BF55" i="56"/>
  <c r="P54" i="56"/>
  <c r="BB45" i="56"/>
  <c r="AP45" i="56"/>
  <c r="BD39" i="56"/>
  <c r="AR39" i="56"/>
  <c r="P38" i="56"/>
  <c r="BD37" i="56"/>
  <c r="AR37" i="56"/>
  <c r="P36" i="56"/>
  <c r="BD33" i="56"/>
  <c r="AR33" i="56"/>
  <c r="BB37" i="56"/>
  <c r="AP33" i="56"/>
  <c r="AN131" i="56"/>
  <c r="T131" i="56"/>
  <c r="BD127" i="56"/>
  <c r="AR127" i="56"/>
  <c r="BF126" i="56"/>
  <c r="AR126" i="56"/>
  <c r="R126" i="56"/>
  <c r="BB121" i="56"/>
  <c r="AP121" i="56"/>
  <c r="T121" i="56"/>
  <c r="BD120" i="56"/>
  <c r="AR120" i="56"/>
  <c r="P107" i="56"/>
  <c r="AL106" i="56"/>
  <c r="R106" i="56"/>
  <c r="BB98" i="56"/>
  <c r="AP98" i="56"/>
  <c r="N98" i="56"/>
  <c r="AL97" i="56"/>
  <c r="P97" i="56"/>
  <c r="AN93" i="56"/>
  <c r="T93" i="56"/>
  <c r="BB90" i="56"/>
  <c r="AN90" i="56"/>
  <c r="N90" i="56"/>
  <c r="N89" i="56"/>
  <c r="AL76" i="56"/>
  <c r="R76" i="56"/>
  <c r="BF75" i="56"/>
  <c r="AL68" i="56"/>
  <c r="R68" i="56"/>
  <c r="BF67" i="56"/>
  <c r="BF66" i="56"/>
  <c r="AL66" i="56"/>
  <c r="BD60" i="56"/>
  <c r="AR60" i="56"/>
  <c r="AL58" i="56"/>
  <c r="R58" i="56"/>
  <c r="BF57" i="56"/>
  <c r="P56" i="56"/>
  <c r="BD55" i="56"/>
  <c r="AR55" i="56"/>
  <c r="N54" i="56"/>
  <c r="AN45" i="56"/>
  <c r="T44" i="56"/>
  <c r="BB39" i="56"/>
  <c r="AP37" i="56"/>
  <c r="N36" i="56"/>
  <c r="BH21" i="56"/>
  <c r="BG21" i="56"/>
  <c r="AN36" i="56"/>
  <c r="T38" i="56"/>
  <c r="AP38" i="56"/>
  <c r="BB38" i="56"/>
  <c r="N39" i="56"/>
  <c r="Q239" i="56"/>
  <c r="Q62" i="56"/>
  <c r="Q63" i="56"/>
  <c r="AD239" i="56"/>
  <c r="AD62" i="56"/>
  <c r="BC62" i="56"/>
  <c r="BC239" i="56"/>
  <c r="BC63" i="56"/>
  <c r="BH40" i="56"/>
  <c r="BG40" i="56"/>
  <c r="R44" i="56"/>
  <c r="P57" i="56"/>
  <c r="BF59" i="56"/>
  <c r="R60" i="56"/>
  <c r="AL60" i="56"/>
  <c r="N61" i="56"/>
  <c r="AP61" i="56"/>
  <c r="BI61" i="56"/>
  <c r="T92" i="56"/>
  <c r="AR92" i="56"/>
  <c r="BD92" i="56"/>
  <c r="P93" i="56"/>
  <c r="AL93" i="56"/>
  <c r="P131" i="56"/>
  <c r="AL131" i="56"/>
  <c r="AP135" i="56"/>
  <c r="BF135" i="56"/>
  <c r="P136" i="56"/>
  <c r="BB61" i="56"/>
  <c r="S20" i="56"/>
  <c r="AC239" i="56"/>
  <c r="AC62" i="56"/>
  <c r="AC138" i="56" s="1"/>
  <c r="AC63" i="56"/>
  <c r="AH40" i="56"/>
  <c r="AG40" i="56"/>
  <c r="AF40" i="56"/>
  <c r="AX61" i="56"/>
  <c r="AW61" i="56"/>
  <c r="AE62" i="56"/>
  <c r="Z61" i="56"/>
  <c r="Y61" i="56"/>
  <c r="Y136" i="56"/>
  <c r="AN61" i="56"/>
  <c r="BJ61" i="56"/>
  <c r="AQ63" i="56"/>
  <c r="AF19" i="56"/>
  <c r="AC20" i="56" s="1"/>
  <c r="AE20" i="56" s="1"/>
  <c r="S239" i="56"/>
  <c r="S63" i="56"/>
  <c r="S62" i="56"/>
  <c r="AI40" i="56"/>
  <c r="BE239" i="56"/>
  <c r="BE63" i="56"/>
  <c r="T54" i="56"/>
  <c r="AP54" i="56"/>
  <c r="BB54" i="56"/>
  <c r="P55" i="56"/>
  <c r="N56" i="56"/>
  <c r="AR56" i="56"/>
  <c r="BD56" i="56"/>
  <c r="T57" i="56"/>
  <c r="AN57" i="56"/>
  <c r="N58" i="56"/>
  <c r="AR58" i="56"/>
  <c r="BF58" i="56"/>
  <c r="AP60" i="56"/>
  <c r="AR61" i="56"/>
  <c r="T67" i="56"/>
  <c r="AP67" i="56"/>
  <c r="BB67" i="56"/>
  <c r="P68" i="56"/>
  <c r="N76" i="56"/>
  <c r="AR76" i="56"/>
  <c r="AW136" i="56"/>
  <c r="AX136" i="56"/>
  <c r="M239" i="56"/>
  <c r="AM239" i="56"/>
  <c r="AM63" i="56"/>
  <c r="AM62" i="56"/>
  <c r="BH61" i="56"/>
  <c r="BG61" i="56"/>
  <c r="AV136" i="56"/>
  <c r="AD20" i="56"/>
  <c r="T39" i="56"/>
  <c r="AN39" i="56"/>
  <c r="T40" i="56"/>
  <c r="AK239" i="56"/>
  <c r="AK63" i="56"/>
  <c r="AX40" i="56"/>
  <c r="AK62" i="56"/>
  <c r="AW40" i="56"/>
  <c r="AT40" i="56"/>
  <c r="BF40" i="56"/>
  <c r="AL44" i="56"/>
  <c r="AR54" i="56"/>
  <c r="BD54" i="56"/>
  <c r="R55" i="56"/>
  <c r="AL55" i="56"/>
  <c r="BF56" i="56"/>
  <c r="AP57" i="56"/>
  <c r="BB57" i="56"/>
  <c r="P58" i="56"/>
  <c r="R61" i="56"/>
  <c r="AF61" i="56"/>
  <c r="M62" i="56"/>
  <c r="R66" i="56"/>
  <c r="AR67" i="56"/>
  <c r="BD67" i="56"/>
  <c r="N75" i="56"/>
  <c r="AP75" i="56"/>
  <c r="BB75" i="56"/>
  <c r="P76" i="56"/>
  <c r="N97" i="56"/>
  <c r="R113" i="56"/>
  <c r="P120" i="56"/>
  <c r="N121" i="56"/>
  <c r="AN121" i="56"/>
  <c r="P127" i="56"/>
  <c r="AL127" i="56"/>
  <c r="BB127" i="56"/>
  <c r="U136" i="56"/>
  <c r="AR136" i="56"/>
  <c r="BF136" i="56"/>
  <c r="AO239" i="56"/>
  <c r="AO62" i="56"/>
  <c r="AN136" i="56"/>
  <c r="BA239" i="56"/>
  <c r="AK19" i="56"/>
  <c r="O239" i="56"/>
  <c r="O63" i="56"/>
  <c r="AP40" i="56"/>
  <c r="BF61" i="56"/>
  <c r="BA62" i="56"/>
  <c r="P40" i="56"/>
  <c r="AQ239" i="56"/>
  <c r="W61" i="56"/>
  <c r="AL61" i="56"/>
  <c r="BG136" i="56"/>
  <c r="BH136" i="56"/>
  <c r="AF136" i="56"/>
  <c r="T136" i="56"/>
  <c r="BN122" i="54"/>
  <c r="BN121" i="54"/>
  <c r="BN119" i="54"/>
  <c r="BN118" i="54"/>
  <c r="BN116" i="54"/>
  <c r="BN115" i="54"/>
  <c r="BN111" i="54"/>
  <c r="BN110" i="54"/>
  <c r="BN104" i="54"/>
  <c r="BN103" i="54"/>
  <c r="BN94" i="54"/>
  <c r="BN93" i="54"/>
  <c r="BN85" i="54"/>
  <c r="BN84" i="54"/>
  <c r="BN81" i="54"/>
  <c r="BN80" i="54"/>
  <c r="BN78" i="54"/>
  <c r="BN77" i="54"/>
  <c r="BN65" i="54"/>
  <c r="BN64" i="54"/>
  <c r="BN57" i="54"/>
  <c r="BN56" i="54"/>
  <c r="AL122" i="54"/>
  <c r="AL121" i="54"/>
  <c r="AL119" i="54"/>
  <c r="AL118" i="54"/>
  <c r="AL116" i="54"/>
  <c r="AL115" i="54"/>
  <c r="AL111" i="54"/>
  <c r="AL110" i="54"/>
  <c r="AL104" i="54"/>
  <c r="AL103" i="54"/>
  <c r="AL94" i="54"/>
  <c r="AL93" i="54"/>
  <c r="AL85" i="54"/>
  <c r="AL84" i="54"/>
  <c r="AL81" i="54"/>
  <c r="AL80" i="54"/>
  <c r="AL78" i="54"/>
  <c r="AL77" i="54"/>
  <c r="AL65" i="54"/>
  <c r="AL64" i="54"/>
  <c r="AL57" i="54"/>
  <c r="AL56" i="54"/>
  <c r="AZ122" i="54"/>
  <c r="AZ121" i="54"/>
  <c r="AZ119" i="54"/>
  <c r="AZ118" i="54"/>
  <c r="AZ116" i="54"/>
  <c r="AZ115" i="54"/>
  <c r="AZ111" i="54"/>
  <c r="AZ110" i="54"/>
  <c r="AZ104" i="54"/>
  <c r="AZ103" i="54"/>
  <c r="AZ94" i="54"/>
  <c r="AZ93" i="54"/>
  <c r="AZ85" i="54"/>
  <c r="AZ84" i="54"/>
  <c r="AZ81" i="54"/>
  <c r="AZ80" i="54"/>
  <c r="AZ78" i="54"/>
  <c r="AZ77" i="54"/>
  <c r="AZ65" i="54"/>
  <c r="AZ64" i="54"/>
  <c r="AZ57" i="54"/>
  <c r="AZ56" i="54"/>
  <c r="X122" i="54"/>
  <c r="X121" i="54"/>
  <c r="X119" i="54"/>
  <c r="X118" i="54"/>
  <c r="X116" i="54"/>
  <c r="X115" i="54"/>
  <c r="X111" i="54"/>
  <c r="X110" i="54"/>
  <c r="X104" i="54"/>
  <c r="X103" i="54"/>
  <c r="X94" i="54"/>
  <c r="X93" i="54"/>
  <c r="X85" i="54"/>
  <c r="X84" i="54"/>
  <c r="X81" i="54"/>
  <c r="X80" i="54"/>
  <c r="X78" i="54"/>
  <c r="X77" i="54"/>
  <c r="X65" i="54"/>
  <c r="X64" i="54"/>
  <c r="X57" i="54"/>
  <c r="X56" i="54"/>
  <c r="BN49" i="54"/>
  <c r="BN48" i="54"/>
  <c r="BN47" i="54"/>
  <c r="BN46" i="54"/>
  <c r="BN45" i="54"/>
  <c r="BN44" i="54"/>
  <c r="BN43" i="54"/>
  <c r="BN34" i="54"/>
  <c r="BN33" i="54"/>
  <c r="AZ49" i="54"/>
  <c r="AZ48" i="54"/>
  <c r="AZ47" i="54"/>
  <c r="AZ46" i="54"/>
  <c r="AZ45" i="54"/>
  <c r="AZ44" i="54"/>
  <c r="AZ43" i="54"/>
  <c r="AZ34" i="54"/>
  <c r="AZ33" i="54"/>
  <c r="X49" i="54"/>
  <c r="X48" i="54"/>
  <c r="X47" i="54"/>
  <c r="X46" i="54"/>
  <c r="X45" i="54"/>
  <c r="X44" i="54"/>
  <c r="X43" i="54"/>
  <c r="X34" i="54"/>
  <c r="X33" i="54"/>
  <c r="BM50" i="54"/>
  <c r="BL50" i="54"/>
  <c r="BK50" i="54"/>
  <c r="BJ50" i="54"/>
  <c r="BI50" i="54"/>
  <c r="BH50" i="54"/>
  <c r="BG50" i="54"/>
  <c r="BF50" i="54"/>
  <c r="BE50" i="54"/>
  <c r="BD50" i="54"/>
  <c r="BC50" i="54"/>
  <c r="BB50" i="54"/>
  <c r="AY50" i="54"/>
  <c r="AX50" i="54"/>
  <c r="AW50" i="54"/>
  <c r="AV50" i="54"/>
  <c r="AU50" i="54"/>
  <c r="AT50" i="54"/>
  <c r="AS50" i="54"/>
  <c r="AR50" i="54"/>
  <c r="AQ50" i="54"/>
  <c r="AP50" i="54"/>
  <c r="AO50" i="54"/>
  <c r="AN50" i="54"/>
  <c r="AK50" i="54"/>
  <c r="AJ50" i="54"/>
  <c r="AI50" i="54"/>
  <c r="AH50" i="54"/>
  <c r="AG50" i="54"/>
  <c r="AF50" i="54"/>
  <c r="AE50" i="54"/>
  <c r="AD50" i="54"/>
  <c r="AC50" i="54"/>
  <c r="AB50" i="54"/>
  <c r="AA50" i="54"/>
  <c r="Z50" i="54"/>
  <c r="W50" i="54"/>
  <c r="V50" i="54"/>
  <c r="U50" i="54"/>
  <c r="T50" i="54"/>
  <c r="S50" i="54"/>
  <c r="R50" i="54"/>
  <c r="Q50" i="54"/>
  <c r="P50" i="54"/>
  <c r="O50" i="54"/>
  <c r="N50" i="54"/>
  <c r="M50" i="54"/>
  <c r="L50" i="54"/>
  <c r="BN28" i="54"/>
  <c r="BN27" i="54"/>
  <c r="BN26" i="54"/>
  <c r="BN25" i="54"/>
  <c r="BN22" i="54"/>
  <c r="BN21" i="54"/>
  <c r="AZ28" i="54"/>
  <c r="AZ27" i="54"/>
  <c r="AZ26" i="54"/>
  <c r="AZ25" i="54"/>
  <c r="AZ22" i="54"/>
  <c r="AZ21" i="54"/>
  <c r="AL28" i="54"/>
  <c r="AL27" i="54"/>
  <c r="AL26" i="54"/>
  <c r="AL25" i="54"/>
  <c r="AL22" i="54"/>
  <c r="AL21" i="54"/>
  <c r="X28" i="54"/>
  <c r="X27" i="54"/>
  <c r="X26" i="54"/>
  <c r="X25" i="54"/>
  <c r="X22" i="54"/>
  <c r="X21" i="54"/>
  <c r="BM29" i="54"/>
  <c r="BL29" i="54"/>
  <c r="BK29" i="54"/>
  <c r="BJ29" i="54"/>
  <c r="BI29" i="54"/>
  <c r="BH29" i="54"/>
  <c r="BG29" i="54"/>
  <c r="BF29" i="54"/>
  <c r="BE29" i="54"/>
  <c r="BD29" i="54"/>
  <c r="BC29" i="54"/>
  <c r="BB29" i="54"/>
  <c r="AY29" i="54"/>
  <c r="AX29" i="54"/>
  <c r="AW29" i="54"/>
  <c r="AV29" i="54"/>
  <c r="AU29" i="54"/>
  <c r="AT29" i="54"/>
  <c r="AS29" i="54"/>
  <c r="AR29" i="54"/>
  <c r="AQ29" i="54"/>
  <c r="AP29" i="54"/>
  <c r="AO29" i="54"/>
  <c r="AN29" i="54"/>
  <c r="W29" i="54"/>
  <c r="V29" i="54"/>
  <c r="U29" i="54"/>
  <c r="T29" i="54"/>
  <c r="S29" i="54"/>
  <c r="R29" i="54"/>
  <c r="Q29" i="54"/>
  <c r="P29" i="54"/>
  <c r="O29" i="54"/>
  <c r="N29" i="54"/>
  <c r="M29" i="54"/>
  <c r="L29" i="54"/>
  <c r="Z29" i="54"/>
  <c r="AK29" i="54"/>
  <c r="AJ29" i="54"/>
  <c r="AI29" i="54"/>
  <c r="AH29" i="54"/>
  <c r="AG29" i="54"/>
  <c r="AF29" i="54"/>
  <c r="AE29" i="54"/>
  <c r="AD29" i="54"/>
  <c r="AC29" i="54"/>
  <c r="AB29" i="54"/>
  <c r="AA29" i="54"/>
  <c r="AN1" i="54"/>
  <c r="BA1" i="54"/>
  <c r="AZ1" i="54"/>
  <c r="AY1" i="54"/>
  <c r="AX1" i="54"/>
  <c r="AW1" i="54"/>
  <c r="AV1" i="54"/>
  <c r="AU1" i="54"/>
  <c r="AT1" i="54"/>
  <c r="AS1" i="54"/>
  <c r="AR1" i="54"/>
  <c r="AQ1" i="54"/>
  <c r="AP1" i="54"/>
  <c r="AO1" i="54"/>
  <c r="BA6" i="53"/>
  <c r="AM6" i="53"/>
  <c r="O6" i="53"/>
  <c r="AY5" i="54"/>
  <c r="AX5" i="54"/>
  <c r="AW5" i="54"/>
  <c r="AV5" i="54"/>
  <c r="AU5" i="54"/>
  <c r="AT5" i="54"/>
  <c r="AS5" i="54"/>
  <c r="AR5" i="54"/>
  <c r="AQ5" i="54"/>
  <c r="AP5" i="54"/>
  <c r="AO5" i="54"/>
  <c r="AN5" i="54"/>
  <c r="AN14" i="54" s="1"/>
  <c r="AN13" i="54" s="1"/>
  <c r="AZ13" i="54" s="1"/>
  <c r="BM3" i="54"/>
  <c r="BL3" i="54"/>
  <c r="BK3" i="54"/>
  <c r="BJ3" i="54"/>
  <c r="BI3" i="54"/>
  <c r="BH3" i="54"/>
  <c r="BG3" i="54"/>
  <c r="BF3" i="54"/>
  <c r="BE3" i="54"/>
  <c r="BD3" i="54"/>
  <c r="BC3" i="54"/>
  <c r="BB3" i="54"/>
  <c r="AY3" i="54"/>
  <c r="AX3" i="54"/>
  <c r="AW3" i="54"/>
  <c r="AV3" i="54"/>
  <c r="AU3" i="54"/>
  <c r="AT3" i="54"/>
  <c r="AS3" i="54"/>
  <c r="AR3" i="54"/>
  <c r="AQ3" i="54"/>
  <c r="AP3" i="54"/>
  <c r="AO3" i="54"/>
  <c r="AN3" i="54"/>
  <c r="AZ14" i="54" s="1"/>
  <c r="AK3" i="54"/>
  <c r="W3" i="54" s="1"/>
  <c r="AJ3" i="54"/>
  <c r="V3" i="54" s="1"/>
  <c r="AI3" i="54"/>
  <c r="U3" i="54" s="1"/>
  <c r="AH3" i="54"/>
  <c r="T3" i="54" s="1"/>
  <c r="AG3" i="54"/>
  <c r="S3" i="54" s="1"/>
  <c r="AF3" i="54"/>
  <c r="R3" i="54" s="1"/>
  <c r="AE3" i="54"/>
  <c r="Q3" i="54" s="1"/>
  <c r="AD3" i="54"/>
  <c r="P3" i="54" s="1"/>
  <c r="AC3" i="54"/>
  <c r="O3" i="54" s="1"/>
  <c r="AB3" i="54"/>
  <c r="N3" i="54" s="1"/>
  <c r="AA3" i="54"/>
  <c r="M3" i="54" s="1"/>
  <c r="Z3" i="54"/>
  <c r="L3" i="54" s="1"/>
  <c r="W5" i="54"/>
  <c r="V5" i="54"/>
  <c r="U5" i="54"/>
  <c r="T5" i="54"/>
  <c r="S5" i="54"/>
  <c r="R5" i="54"/>
  <c r="Q5" i="54"/>
  <c r="P5" i="54"/>
  <c r="O5" i="54"/>
  <c r="N5" i="54"/>
  <c r="M5" i="54"/>
  <c r="L5" i="54"/>
  <c r="L14" i="54" s="1"/>
  <c r="CA4" i="54"/>
  <c r="BZ4" i="54"/>
  <c r="BY4" i="54"/>
  <c r="BX4" i="54"/>
  <c r="BW4" i="54"/>
  <c r="BV4" i="54"/>
  <c r="BU4" i="54"/>
  <c r="BT4" i="54"/>
  <c r="BS4" i="54"/>
  <c r="BR4" i="54"/>
  <c r="BQ4" i="54"/>
  <c r="BP4" i="54"/>
  <c r="Z4" i="54"/>
  <c r="Z5" i="54" s="1"/>
  <c r="A205" i="54"/>
  <c r="A204" i="54"/>
  <c r="CB55" i="54"/>
  <c r="BN55" i="54"/>
  <c r="AZ55" i="54"/>
  <c r="AL55" i="54"/>
  <c r="X55" i="54"/>
  <c r="C123" i="54"/>
  <c r="CA50" i="54"/>
  <c r="BZ50" i="54"/>
  <c r="BY50" i="54"/>
  <c r="BX50" i="54"/>
  <c r="BW50" i="54"/>
  <c r="BV50" i="54"/>
  <c r="BU50" i="54"/>
  <c r="BT50" i="54"/>
  <c r="BS50" i="54"/>
  <c r="BR50" i="54"/>
  <c r="BQ50" i="54"/>
  <c r="BP50" i="54"/>
  <c r="CB32" i="54"/>
  <c r="CB50" i="54" s="1"/>
  <c r="BN32" i="54"/>
  <c r="BN50" i="54" s="1"/>
  <c r="AZ32" i="54"/>
  <c r="AZ50" i="54" s="1"/>
  <c r="AL32" i="54"/>
  <c r="AL50" i="54" s="1"/>
  <c r="X32" i="54"/>
  <c r="X50" i="54" s="1"/>
  <c r="C50" i="54"/>
  <c r="CA29" i="54"/>
  <c r="BZ29" i="54"/>
  <c r="BY29" i="54"/>
  <c r="BX29" i="54"/>
  <c r="BW29" i="54"/>
  <c r="BV29" i="54"/>
  <c r="BU29" i="54"/>
  <c r="BT29" i="54"/>
  <c r="BS29" i="54"/>
  <c r="BR29" i="54"/>
  <c r="BQ29" i="54"/>
  <c r="BP29" i="54"/>
  <c r="CB20" i="54"/>
  <c r="BN20" i="54"/>
  <c r="BN29" i="54" s="1"/>
  <c r="AZ20" i="54"/>
  <c r="AZ29" i="54" s="1"/>
  <c r="AL20" i="54"/>
  <c r="AL29" i="54" s="1"/>
  <c r="X20" i="54"/>
  <c r="X29" i="54" s="1"/>
  <c r="C29" i="54"/>
  <c r="CB18" i="54"/>
  <c r="BN18" i="54"/>
  <c r="AZ18" i="54"/>
  <c r="AL18" i="54"/>
  <c r="X18" i="54"/>
  <c r="G15" i="54"/>
  <c r="CA14" i="54"/>
  <c r="BZ14" i="54"/>
  <c r="BY14" i="54"/>
  <c r="BX14" i="54"/>
  <c r="BW14" i="54"/>
  <c r="BV14" i="54"/>
  <c r="BU14" i="54"/>
  <c r="BT14" i="54"/>
  <c r="BS14" i="54"/>
  <c r="BR14" i="54"/>
  <c r="BQ14" i="54"/>
  <c r="BP14" i="54"/>
  <c r="BM14" i="54"/>
  <c r="BL14" i="54"/>
  <c r="BK14" i="54"/>
  <c r="BJ14" i="54"/>
  <c r="BI14" i="54"/>
  <c r="BH14" i="54"/>
  <c r="BG14" i="54"/>
  <c r="BF14" i="54"/>
  <c r="BE14" i="54"/>
  <c r="BD14" i="54"/>
  <c r="BC14" i="54"/>
  <c r="C13" i="54"/>
  <c r="BM1" i="54"/>
  <c r="BL1" i="54"/>
  <c r="BK1" i="54"/>
  <c r="BJ1" i="54"/>
  <c r="BI1" i="54"/>
  <c r="BH1" i="54"/>
  <c r="BG1" i="54"/>
  <c r="BF1" i="54"/>
  <c r="BE1" i="54"/>
  <c r="BD1" i="54"/>
  <c r="BC1" i="54"/>
  <c r="BB1" i="54"/>
  <c r="BN1" i="54" s="1"/>
  <c r="AL1" i="54"/>
  <c r="F1" i="54"/>
  <c r="E1" i="54"/>
  <c r="D1" i="54"/>
  <c r="BE61" i="53"/>
  <c r="BC61" i="53"/>
  <c r="BA61" i="53"/>
  <c r="AQ61" i="53"/>
  <c r="AO61" i="53"/>
  <c r="AM61" i="53"/>
  <c r="AK61" i="53"/>
  <c r="AE61" i="53"/>
  <c r="AD61" i="53"/>
  <c r="AC61" i="53"/>
  <c r="S61" i="53"/>
  <c r="Q61" i="53"/>
  <c r="O61" i="53"/>
  <c r="M61" i="53"/>
  <c r="BE134" i="53"/>
  <c r="BC134" i="53"/>
  <c r="BA134" i="53"/>
  <c r="AQ134" i="53"/>
  <c r="AO134" i="53"/>
  <c r="AM134" i="53"/>
  <c r="AK134" i="53"/>
  <c r="AE134" i="53"/>
  <c r="AD134" i="53"/>
  <c r="AC134" i="53"/>
  <c r="S134" i="53"/>
  <c r="Q134" i="53"/>
  <c r="O134" i="53"/>
  <c r="M134" i="53"/>
  <c r="BJ133" i="53"/>
  <c r="BI133" i="53"/>
  <c r="BH133" i="53"/>
  <c r="BG133" i="53"/>
  <c r="BJ132" i="53"/>
  <c r="BI132" i="53"/>
  <c r="BH132" i="53"/>
  <c r="BG132" i="53"/>
  <c r="BJ130" i="53"/>
  <c r="BI130" i="53"/>
  <c r="BH130" i="53"/>
  <c r="BG130" i="53"/>
  <c r="BJ129" i="53"/>
  <c r="BI129" i="53"/>
  <c r="BH129" i="53"/>
  <c r="BG129" i="53"/>
  <c r="BJ127" i="53"/>
  <c r="BI127" i="53"/>
  <c r="BH127" i="53"/>
  <c r="BG127" i="53"/>
  <c r="BJ126" i="53"/>
  <c r="BI126" i="53"/>
  <c r="BH126" i="53"/>
  <c r="BG126" i="53"/>
  <c r="BJ122" i="53"/>
  <c r="BI122" i="53"/>
  <c r="BH122" i="53"/>
  <c r="BG122" i="53"/>
  <c r="BJ121" i="53"/>
  <c r="BI121" i="53"/>
  <c r="BH121" i="53"/>
  <c r="BG121" i="53"/>
  <c r="BJ115" i="53"/>
  <c r="BI115" i="53"/>
  <c r="BH115" i="53"/>
  <c r="BG115" i="53"/>
  <c r="BJ114" i="53"/>
  <c r="BI114" i="53"/>
  <c r="BH114" i="53"/>
  <c r="BG114" i="53"/>
  <c r="BJ105" i="53"/>
  <c r="BI105" i="53"/>
  <c r="BH105" i="53"/>
  <c r="BG105" i="53"/>
  <c r="BJ104" i="53"/>
  <c r="BI104" i="53"/>
  <c r="BH104" i="53"/>
  <c r="BG104" i="53"/>
  <c r="BJ96" i="53"/>
  <c r="BI96" i="53"/>
  <c r="BH96" i="53"/>
  <c r="BG96" i="53"/>
  <c r="BJ95" i="53"/>
  <c r="BI95" i="53"/>
  <c r="BH95" i="53"/>
  <c r="BG95" i="53"/>
  <c r="BJ92" i="53"/>
  <c r="BI92" i="53"/>
  <c r="BH92" i="53"/>
  <c r="BG92" i="53"/>
  <c r="BJ91" i="53"/>
  <c r="BI91" i="53"/>
  <c r="BH91" i="53"/>
  <c r="BG91" i="53"/>
  <c r="BJ89" i="53"/>
  <c r="BI89" i="53"/>
  <c r="BH89" i="53"/>
  <c r="BG89" i="53"/>
  <c r="BJ88" i="53"/>
  <c r="BI88" i="53"/>
  <c r="BH88" i="53"/>
  <c r="BG88" i="53"/>
  <c r="BJ76" i="53"/>
  <c r="BI76" i="53"/>
  <c r="BH76" i="53"/>
  <c r="BG76" i="53"/>
  <c r="BJ75" i="53"/>
  <c r="BI75" i="53"/>
  <c r="BH75" i="53"/>
  <c r="BG75" i="53"/>
  <c r="BJ68" i="53"/>
  <c r="BI68" i="53"/>
  <c r="BH68" i="53"/>
  <c r="BG68" i="53"/>
  <c r="BJ67" i="53"/>
  <c r="BI67" i="53"/>
  <c r="BH67" i="53"/>
  <c r="BG67" i="53"/>
  <c r="AX133" i="53"/>
  <c r="AW133" i="53"/>
  <c r="AV133" i="53"/>
  <c r="AU133" i="53"/>
  <c r="AT133" i="53"/>
  <c r="AS133" i="53"/>
  <c r="AX132" i="53"/>
  <c r="AW132" i="53"/>
  <c r="AV132" i="53"/>
  <c r="AU132" i="53"/>
  <c r="AT132" i="53"/>
  <c r="AS132" i="53"/>
  <c r="AX130" i="53"/>
  <c r="AW130" i="53"/>
  <c r="AV130" i="53"/>
  <c r="AU130" i="53"/>
  <c r="AT130" i="53"/>
  <c r="AS130" i="53"/>
  <c r="AX129" i="53"/>
  <c r="AW129" i="53"/>
  <c r="AV129" i="53"/>
  <c r="AU129" i="53"/>
  <c r="AT129" i="53"/>
  <c r="AS129" i="53"/>
  <c r="AX127" i="53"/>
  <c r="AW127" i="53"/>
  <c r="AV127" i="53"/>
  <c r="AU127" i="53"/>
  <c r="AT127" i="53"/>
  <c r="AS127" i="53"/>
  <c r="AX126" i="53"/>
  <c r="AW126" i="53"/>
  <c r="AV126" i="53"/>
  <c r="AU126" i="53"/>
  <c r="AT126" i="53"/>
  <c r="AS126" i="53"/>
  <c r="AX122" i="53"/>
  <c r="AW122" i="53"/>
  <c r="AV122" i="53"/>
  <c r="AU122" i="53"/>
  <c r="AT122" i="53"/>
  <c r="AS122" i="53"/>
  <c r="AX121" i="53"/>
  <c r="AW121" i="53"/>
  <c r="AV121" i="53"/>
  <c r="AU121" i="53"/>
  <c r="AT121" i="53"/>
  <c r="AS121" i="53"/>
  <c r="AX115" i="53"/>
  <c r="AW115" i="53"/>
  <c r="AV115" i="53"/>
  <c r="AU115" i="53"/>
  <c r="AT115" i="53"/>
  <c r="AS115" i="53"/>
  <c r="AX114" i="53"/>
  <c r="AW114" i="53"/>
  <c r="AV114" i="53"/>
  <c r="AU114" i="53"/>
  <c r="AT114" i="53"/>
  <c r="AS114" i="53"/>
  <c r="AX105" i="53"/>
  <c r="AW105" i="53"/>
  <c r="AV105" i="53"/>
  <c r="AU105" i="53"/>
  <c r="AT105" i="53"/>
  <c r="AS105" i="53"/>
  <c r="AX104" i="53"/>
  <c r="AW104" i="53"/>
  <c r="AV104" i="53"/>
  <c r="AU104" i="53"/>
  <c r="AT104" i="53"/>
  <c r="AS104" i="53"/>
  <c r="AX96" i="53"/>
  <c r="AW96" i="53"/>
  <c r="AV96" i="53"/>
  <c r="AU96" i="53"/>
  <c r="AT96" i="53"/>
  <c r="AS96" i="53"/>
  <c r="AX95" i="53"/>
  <c r="AW95" i="53"/>
  <c r="AV95" i="53"/>
  <c r="AU95" i="53"/>
  <c r="AT95" i="53"/>
  <c r="AS95" i="53"/>
  <c r="AX92" i="53"/>
  <c r="AW92" i="53"/>
  <c r="AV92" i="53"/>
  <c r="AU92" i="53"/>
  <c r="AT92" i="53"/>
  <c r="AS92" i="53"/>
  <c r="AX91" i="53"/>
  <c r="AW91" i="53"/>
  <c r="AV91" i="53"/>
  <c r="AU91" i="53"/>
  <c r="AT91" i="53"/>
  <c r="AS91" i="53"/>
  <c r="AX89" i="53"/>
  <c r="AW89" i="53"/>
  <c r="AV89" i="53"/>
  <c r="AU89" i="53"/>
  <c r="AT89" i="53"/>
  <c r="AS89" i="53"/>
  <c r="AX88" i="53"/>
  <c r="AW88" i="53"/>
  <c r="AV88" i="53"/>
  <c r="AU88" i="53"/>
  <c r="AT88" i="53"/>
  <c r="AS88" i="53"/>
  <c r="AX76" i="53"/>
  <c r="AW76" i="53"/>
  <c r="AV76" i="53"/>
  <c r="AU76" i="53"/>
  <c r="AT76" i="53"/>
  <c r="AS76" i="53"/>
  <c r="AX75" i="53"/>
  <c r="AW75" i="53"/>
  <c r="AV75" i="53"/>
  <c r="AU75" i="53"/>
  <c r="AT75" i="53"/>
  <c r="AS75" i="53"/>
  <c r="AX68" i="53"/>
  <c r="AW68" i="53"/>
  <c r="AV68" i="53"/>
  <c r="AU68" i="53"/>
  <c r="AT68" i="53"/>
  <c r="AS68" i="53"/>
  <c r="AX67" i="53"/>
  <c r="AW67" i="53"/>
  <c r="AV67" i="53"/>
  <c r="AU67" i="53"/>
  <c r="AT67" i="53"/>
  <c r="AS67" i="53"/>
  <c r="BJ60" i="53"/>
  <c r="BI60" i="53"/>
  <c r="BH60" i="53"/>
  <c r="BG60" i="53"/>
  <c r="BJ59" i="53"/>
  <c r="BI59" i="53"/>
  <c r="BH59" i="53"/>
  <c r="BG59" i="53"/>
  <c r="BJ58" i="53"/>
  <c r="BI58" i="53"/>
  <c r="BH58" i="53"/>
  <c r="BG58" i="53"/>
  <c r="BJ57" i="53"/>
  <c r="BI57" i="53"/>
  <c r="BH57" i="53"/>
  <c r="BG57" i="53"/>
  <c r="BJ56" i="53"/>
  <c r="BI56" i="53"/>
  <c r="BH56" i="53"/>
  <c r="BG56" i="53"/>
  <c r="BJ55" i="53"/>
  <c r="BI55" i="53"/>
  <c r="BH55" i="53"/>
  <c r="BG55" i="53"/>
  <c r="BJ54" i="53"/>
  <c r="BI54" i="53"/>
  <c r="BH54" i="53"/>
  <c r="BG54" i="53"/>
  <c r="BJ45" i="53"/>
  <c r="BI45" i="53"/>
  <c r="BH45" i="53"/>
  <c r="BG45" i="53"/>
  <c r="AX60" i="53"/>
  <c r="AW60" i="53"/>
  <c r="AV60" i="53"/>
  <c r="AU60" i="53"/>
  <c r="AT60" i="53"/>
  <c r="AS60" i="53"/>
  <c r="AX59" i="53"/>
  <c r="AW59" i="53"/>
  <c r="AV59" i="53"/>
  <c r="AU59" i="53"/>
  <c r="AT59" i="53"/>
  <c r="AS59" i="53"/>
  <c r="AX58" i="53"/>
  <c r="AW58" i="53"/>
  <c r="AV58" i="53"/>
  <c r="AU58" i="53"/>
  <c r="AT58" i="53"/>
  <c r="AS58" i="53"/>
  <c r="AX57" i="53"/>
  <c r="AW57" i="53"/>
  <c r="AV57" i="53"/>
  <c r="AU57" i="53"/>
  <c r="AT57" i="53"/>
  <c r="AS57" i="53"/>
  <c r="AX56" i="53"/>
  <c r="AW56" i="53"/>
  <c r="AV56" i="53"/>
  <c r="AU56" i="53"/>
  <c r="AT56" i="53"/>
  <c r="AS56" i="53"/>
  <c r="AX55" i="53"/>
  <c r="AW55" i="53"/>
  <c r="AV55" i="53"/>
  <c r="AU55" i="53"/>
  <c r="AT55" i="53"/>
  <c r="AS55" i="53"/>
  <c r="AX54" i="53"/>
  <c r="AW54" i="53"/>
  <c r="AV54" i="53"/>
  <c r="AU54" i="53"/>
  <c r="AT54" i="53"/>
  <c r="AS54" i="53"/>
  <c r="AX45" i="53"/>
  <c r="AW45" i="53"/>
  <c r="AV45" i="53"/>
  <c r="AU45" i="53"/>
  <c r="AT45" i="53"/>
  <c r="AS45" i="53"/>
  <c r="Z133" i="53"/>
  <c r="Y133" i="53"/>
  <c r="X133" i="53"/>
  <c r="W133" i="53"/>
  <c r="V133" i="53"/>
  <c r="U133" i="53"/>
  <c r="Z132" i="53"/>
  <c r="Y132" i="53"/>
  <c r="X132" i="53"/>
  <c r="W132" i="53"/>
  <c r="V132" i="53"/>
  <c r="U132" i="53"/>
  <c r="Z130" i="53"/>
  <c r="Y130" i="53"/>
  <c r="X130" i="53"/>
  <c r="W130" i="53"/>
  <c r="V130" i="53"/>
  <c r="U130" i="53"/>
  <c r="Z129" i="53"/>
  <c r="Y129" i="53"/>
  <c r="X129" i="53"/>
  <c r="W129" i="53"/>
  <c r="V129" i="53"/>
  <c r="U129" i="53"/>
  <c r="Z127" i="53"/>
  <c r="Y127" i="53"/>
  <c r="X127" i="53"/>
  <c r="W127" i="53"/>
  <c r="V127" i="53"/>
  <c r="U127" i="53"/>
  <c r="Z126" i="53"/>
  <c r="Y126" i="53"/>
  <c r="X126" i="53"/>
  <c r="W126" i="53"/>
  <c r="V126" i="53"/>
  <c r="U126" i="53"/>
  <c r="Z122" i="53"/>
  <c r="Y122" i="53"/>
  <c r="X122" i="53"/>
  <c r="W122" i="53"/>
  <c r="V122" i="53"/>
  <c r="U122" i="53"/>
  <c r="Z121" i="53"/>
  <c r="Y121" i="53"/>
  <c r="X121" i="53"/>
  <c r="W121" i="53"/>
  <c r="V121" i="53"/>
  <c r="U121" i="53"/>
  <c r="Z115" i="53"/>
  <c r="Y115" i="53"/>
  <c r="X115" i="53"/>
  <c r="W115" i="53"/>
  <c r="V115" i="53"/>
  <c r="U115" i="53"/>
  <c r="Z114" i="53"/>
  <c r="Y114" i="53"/>
  <c r="X114" i="53"/>
  <c r="W114" i="53"/>
  <c r="V114" i="53"/>
  <c r="U114" i="53"/>
  <c r="Z105" i="53"/>
  <c r="Y105" i="53"/>
  <c r="X105" i="53"/>
  <c r="W105" i="53"/>
  <c r="V105" i="53"/>
  <c r="U105" i="53"/>
  <c r="Z104" i="53"/>
  <c r="Y104" i="53"/>
  <c r="X104" i="53"/>
  <c r="W104" i="53"/>
  <c r="V104" i="53"/>
  <c r="U104" i="53"/>
  <c r="Z96" i="53"/>
  <c r="Y96" i="53"/>
  <c r="X96" i="53"/>
  <c r="W96" i="53"/>
  <c r="V96" i="53"/>
  <c r="U96" i="53"/>
  <c r="Z95" i="53"/>
  <c r="Y95" i="53"/>
  <c r="X95" i="53"/>
  <c r="W95" i="53"/>
  <c r="V95" i="53"/>
  <c r="U95" i="53"/>
  <c r="Z92" i="53"/>
  <c r="Y92" i="53"/>
  <c r="X92" i="53"/>
  <c r="W92" i="53"/>
  <c r="V92" i="53"/>
  <c r="U92" i="53"/>
  <c r="Z91" i="53"/>
  <c r="Y91" i="53"/>
  <c r="X91" i="53"/>
  <c r="W91" i="53"/>
  <c r="V91" i="53"/>
  <c r="U91" i="53"/>
  <c r="Z89" i="53"/>
  <c r="Y89" i="53"/>
  <c r="X89" i="53"/>
  <c r="W89" i="53"/>
  <c r="V89" i="53"/>
  <c r="U89" i="53"/>
  <c r="Z88" i="53"/>
  <c r="Y88" i="53"/>
  <c r="X88" i="53"/>
  <c r="W88" i="53"/>
  <c r="V88" i="53"/>
  <c r="U88" i="53"/>
  <c r="Z76" i="53"/>
  <c r="Y76" i="53"/>
  <c r="X76" i="53"/>
  <c r="W76" i="53"/>
  <c r="V76" i="53"/>
  <c r="U76" i="53"/>
  <c r="Z75" i="53"/>
  <c r="Y75" i="53"/>
  <c r="X75" i="53"/>
  <c r="W75" i="53"/>
  <c r="V75" i="53"/>
  <c r="U75" i="53"/>
  <c r="Z68" i="53"/>
  <c r="Y68" i="53"/>
  <c r="X68" i="53"/>
  <c r="W68" i="53"/>
  <c r="V68" i="53"/>
  <c r="U68" i="53"/>
  <c r="Z67" i="53"/>
  <c r="Y67" i="53"/>
  <c r="X67" i="53"/>
  <c r="W67" i="53"/>
  <c r="V67" i="53"/>
  <c r="U67" i="53"/>
  <c r="Z60" i="53"/>
  <c r="Y60" i="53"/>
  <c r="X60" i="53"/>
  <c r="W60" i="53"/>
  <c r="V60" i="53"/>
  <c r="U60" i="53"/>
  <c r="Z59" i="53"/>
  <c r="Y59" i="53"/>
  <c r="X59" i="53"/>
  <c r="W59" i="53"/>
  <c r="V59" i="53"/>
  <c r="U59" i="53"/>
  <c r="Z58" i="53"/>
  <c r="Y58" i="53"/>
  <c r="X58" i="53"/>
  <c r="W58" i="53"/>
  <c r="V58" i="53"/>
  <c r="U58" i="53"/>
  <c r="Z57" i="53"/>
  <c r="Y57" i="53"/>
  <c r="X57" i="53"/>
  <c r="W57" i="53"/>
  <c r="V57" i="53"/>
  <c r="U57" i="53"/>
  <c r="Z56" i="53"/>
  <c r="Y56" i="53"/>
  <c r="X56" i="53"/>
  <c r="W56" i="53"/>
  <c r="V56" i="53"/>
  <c r="U56" i="53"/>
  <c r="Z55" i="53"/>
  <c r="Y55" i="53"/>
  <c r="X55" i="53"/>
  <c r="W55" i="53"/>
  <c r="V55" i="53"/>
  <c r="U55" i="53"/>
  <c r="Z54" i="53"/>
  <c r="Y54" i="53"/>
  <c r="X54" i="53"/>
  <c r="W54" i="53"/>
  <c r="V54" i="53"/>
  <c r="U54" i="53"/>
  <c r="Z45" i="53"/>
  <c r="Y45" i="53"/>
  <c r="X45" i="53"/>
  <c r="W45" i="53"/>
  <c r="V45" i="53"/>
  <c r="U45" i="53"/>
  <c r="Z39" i="53"/>
  <c r="Y39" i="53"/>
  <c r="X39" i="53"/>
  <c r="W39" i="53"/>
  <c r="V39" i="53"/>
  <c r="U39" i="53"/>
  <c r="Z38" i="53"/>
  <c r="Y38" i="53"/>
  <c r="X38" i="53"/>
  <c r="W38" i="53"/>
  <c r="V38" i="53"/>
  <c r="U38" i="53"/>
  <c r="Z37" i="53"/>
  <c r="Y37" i="53"/>
  <c r="X37" i="53"/>
  <c r="W37" i="53"/>
  <c r="V37" i="53"/>
  <c r="U37" i="53"/>
  <c r="Z36" i="53"/>
  <c r="Y36" i="53"/>
  <c r="X36" i="53"/>
  <c r="W36" i="53"/>
  <c r="V36" i="53"/>
  <c r="U36" i="53"/>
  <c r="Z33" i="53"/>
  <c r="Y33" i="53"/>
  <c r="X33" i="53"/>
  <c r="W33" i="53"/>
  <c r="V33" i="53"/>
  <c r="U33" i="53"/>
  <c r="BJ39" i="53"/>
  <c r="BI39" i="53"/>
  <c r="BH39" i="53"/>
  <c r="BG39" i="53"/>
  <c r="BJ38" i="53"/>
  <c r="BI38" i="53"/>
  <c r="BH38" i="53"/>
  <c r="BG38" i="53"/>
  <c r="BJ37" i="53"/>
  <c r="BI37" i="53"/>
  <c r="BH37" i="53"/>
  <c r="BG37" i="53"/>
  <c r="BJ36" i="53"/>
  <c r="BI36" i="53"/>
  <c r="BH36" i="53"/>
  <c r="BG36" i="53"/>
  <c r="BJ33" i="53"/>
  <c r="BI33" i="53"/>
  <c r="BH33" i="53"/>
  <c r="BG33" i="53"/>
  <c r="AX39" i="53"/>
  <c r="AW39" i="53"/>
  <c r="AV39" i="53"/>
  <c r="AU39" i="53"/>
  <c r="AT39" i="53"/>
  <c r="AS39" i="53"/>
  <c r="AX38" i="53"/>
  <c r="AW38" i="53"/>
  <c r="AV38" i="53"/>
  <c r="AU38" i="53"/>
  <c r="AT38" i="53"/>
  <c r="AS38" i="53"/>
  <c r="AX37" i="53"/>
  <c r="AW37" i="53"/>
  <c r="AV37" i="53"/>
  <c r="AU37" i="53"/>
  <c r="AT37" i="53"/>
  <c r="AS37" i="53"/>
  <c r="AX36" i="53"/>
  <c r="AW36" i="53"/>
  <c r="AV36" i="53"/>
  <c r="AU36" i="53"/>
  <c r="AT36" i="53"/>
  <c r="AS36" i="53"/>
  <c r="AX33" i="53"/>
  <c r="AW33" i="53"/>
  <c r="AV33" i="53"/>
  <c r="AU33" i="53"/>
  <c r="AT33" i="53"/>
  <c r="AS33" i="53"/>
  <c r="BE40" i="53"/>
  <c r="BC40" i="53"/>
  <c r="BA40" i="53"/>
  <c r="AQ40" i="53"/>
  <c r="AQ221" i="53" s="1"/>
  <c r="AO40" i="53"/>
  <c r="AM40" i="53"/>
  <c r="AK40" i="53"/>
  <c r="AK221" i="53" s="1"/>
  <c r="AE40" i="53"/>
  <c r="AE221" i="53" s="1"/>
  <c r="AD40" i="53"/>
  <c r="AD221" i="53" s="1"/>
  <c r="AC40" i="53"/>
  <c r="AC221" i="53" s="1"/>
  <c r="S40" i="53"/>
  <c r="S221" i="53" s="1"/>
  <c r="Q40" i="53"/>
  <c r="O40" i="53"/>
  <c r="M40" i="53"/>
  <c r="M221" i="53" s="1"/>
  <c r="AR75" i="56" l="1"/>
  <c r="BD136" i="56"/>
  <c r="N60" i="56"/>
  <c r="N37" i="56"/>
  <c r="BD57" i="56"/>
  <c r="AB5" i="57"/>
  <c r="BF35" i="56"/>
  <c r="AL35" i="56"/>
  <c r="R34" i="56"/>
  <c r="BF52" i="56"/>
  <c r="AL52" i="56"/>
  <c r="R51" i="56"/>
  <c r="BF49" i="56"/>
  <c r="AL49" i="56"/>
  <c r="R48" i="56"/>
  <c r="BF46" i="56"/>
  <c r="AL46" i="56"/>
  <c r="R74" i="56"/>
  <c r="BF72" i="56"/>
  <c r="AL72" i="56"/>
  <c r="R71" i="56"/>
  <c r="BF69" i="56"/>
  <c r="AL69" i="56"/>
  <c r="R88" i="56"/>
  <c r="BB35" i="56"/>
  <c r="AP34" i="56"/>
  <c r="N34" i="56"/>
  <c r="BB52" i="56"/>
  <c r="AP51" i="56"/>
  <c r="N51" i="56"/>
  <c r="BB49" i="56"/>
  <c r="AP48" i="56"/>
  <c r="N48" i="56"/>
  <c r="BB46" i="56"/>
  <c r="AP74" i="56"/>
  <c r="N74" i="56"/>
  <c r="P35" i="56"/>
  <c r="BD52" i="56"/>
  <c r="AL51" i="56"/>
  <c r="AP50" i="56"/>
  <c r="N50" i="56"/>
  <c r="P49" i="56"/>
  <c r="BD46" i="56"/>
  <c r="AL74" i="56"/>
  <c r="AP73" i="56"/>
  <c r="N73" i="56"/>
  <c r="R72" i="56"/>
  <c r="BD70" i="56"/>
  <c r="AP69" i="56"/>
  <c r="T88" i="56"/>
  <c r="BF86" i="56"/>
  <c r="AL86" i="56"/>
  <c r="R85" i="56"/>
  <c r="BF83" i="56"/>
  <c r="AL83" i="56"/>
  <c r="R82" i="56"/>
  <c r="BF80" i="56"/>
  <c r="AL80" i="56"/>
  <c r="R79" i="56"/>
  <c r="BF77" i="56"/>
  <c r="AL77" i="56"/>
  <c r="R91" i="56"/>
  <c r="BF95" i="56"/>
  <c r="AL95" i="56"/>
  <c r="R94" i="56"/>
  <c r="BF104" i="56"/>
  <c r="AL104" i="56"/>
  <c r="R103" i="56"/>
  <c r="BF101" i="56"/>
  <c r="AL101" i="56"/>
  <c r="R100" i="56"/>
  <c r="BF112" i="56"/>
  <c r="AL112" i="56"/>
  <c r="R111" i="56"/>
  <c r="BF109" i="56"/>
  <c r="AL109" i="56"/>
  <c r="R108" i="56"/>
  <c r="BF118" i="56"/>
  <c r="AL118" i="56"/>
  <c r="R117" i="56"/>
  <c r="BF115" i="56"/>
  <c r="AL115" i="56"/>
  <c r="R125" i="56"/>
  <c r="BF123" i="56"/>
  <c r="AL123" i="56"/>
  <c r="R122" i="56"/>
  <c r="BF129" i="56"/>
  <c r="AL129" i="56"/>
  <c r="R128" i="56"/>
  <c r="BF148" i="56"/>
  <c r="AL148" i="56"/>
  <c r="BF164" i="56"/>
  <c r="AL164" i="56"/>
  <c r="R164" i="56"/>
  <c r="BF161" i="56"/>
  <c r="AL161" i="56"/>
  <c r="R161" i="56"/>
  <c r="AR35" i="56"/>
  <c r="N35" i="56"/>
  <c r="T34" i="56"/>
  <c r="BF51" i="56"/>
  <c r="AN50" i="56"/>
  <c r="AR49" i="56"/>
  <c r="N49" i="56"/>
  <c r="T48" i="56"/>
  <c r="BF74" i="56"/>
  <c r="AP35" i="56"/>
  <c r="P34" i="56"/>
  <c r="BD51" i="56"/>
  <c r="BF50" i="56"/>
  <c r="AL50" i="56"/>
  <c r="AP49" i="56"/>
  <c r="P48" i="56"/>
  <c r="BD74" i="56"/>
  <c r="BF73" i="56"/>
  <c r="AL73" i="56"/>
  <c r="AR72" i="56"/>
  <c r="N72" i="56"/>
  <c r="AR88" i="56"/>
  <c r="N88" i="56"/>
  <c r="BB86" i="56"/>
  <c r="AP85" i="56"/>
  <c r="N85" i="56"/>
  <c r="BB83" i="56"/>
  <c r="AP82" i="56"/>
  <c r="N82" i="56"/>
  <c r="BB80" i="56"/>
  <c r="AP79" i="56"/>
  <c r="N79" i="56"/>
  <c r="BB77" i="56"/>
  <c r="AP91" i="56"/>
  <c r="N91" i="56"/>
  <c r="BB95" i="56"/>
  <c r="AP94" i="56"/>
  <c r="N94" i="56"/>
  <c r="BB104" i="56"/>
  <c r="AP103" i="56"/>
  <c r="N103" i="56"/>
  <c r="BB101" i="56"/>
  <c r="AP100" i="56"/>
  <c r="N100" i="56"/>
  <c r="BB112" i="56"/>
  <c r="AP111" i="56"/>
  <c r="N111" i="56"/>
  <c r="BB109" i="56"/>
  <c r="AP108" i="56"/>
  <c r="N108" i="56"/>
  <c r="BB118" i="56"/>
  <c r="AP117" i="56"/>
  <c r="N117" i="56"/>
  <c r="BB115" i="56"/>
  <c r="AP125" i="56"/>
  <c r="N125" i="56"/>
  <c r="BB123" i="56"/>
  <c r="AP122" i="56"/>
  <c r="N122" i="56"/>
  <c r="BB129" i="56"/>
  <c r="AP128" i="56"/>
  <c r="N128" i="56"/>
  <c r="BB148" i="56"/>
  <c r="AP165" i="56"/>
  <c r="BB164" i="56"/>
  <c r="N164" i="56"/>
  <c r="AP162" i="56"/>
  <c r="BB161" i="56"/>
  <c r="N161" i="56"/>
  <c r="AP159" i="56"/>
  <c r="BD34" i="56"/>
  <c r="BF53" i="56"/>
  <c r="AL53" i="56"/>
  <c r="AP52" i="56"/>
  <c r="P51" i="56"/>
  <c r="T35" i="56"/>
  <c r="P53" i="56"/>
  <c r="N52" i="56"/>
  <c r="BD48" i="56"/>
  <c r="BB47" i="56"/>
  <c r="BD73" i="56"/>
  <c r="BD72" i="56"/>
  <c r="BD71" i="56"/>
  <c r="AN70" i="56"/>
  <c r="N69" i="56"/>
  <c r="P88" i="56"/>
  <c r="BD85" i="56"/>
  <c r="BF84" i="56"/>
  <c r="AL84" i="56"/>
  <c r="AP83" i="56"/>
  <c r="P82" i="56"/>
  <c r="BD79" i="56"/>
  <c r="BF78" i="56"/>
  <c r="AL78" i="56"/>
  <c r="AP77" i="56"/>
  <c r="P91" i="56"/>
  <c r="BD94" i="56"/>
  <c r="BF105" i="56"/>
  <c r="AL105" i="56"/>
  <c r="AP104" i="56"/>
  <c r="P103" i="56"/>
  <c r="BD100" i="56"/>
  <c r="BF99" i="56"/>
  <c r="AL99" i="56"/>
  <c r="AP112" i="56"/>
  <c r="P111" i="56"/>
  <c r="BD108" i="56"/>
  <c r="BF119" i="56"/>
  <c r="AL119" i="56"/>
  <c r="AP118" i="56"/>
  <c r="P117" i="56"/>
  <c r="BD125" i="56"/>
  <c r="BF124" i="56"/>
  <c r="AL124" i="56"/>
  <c r="AP123" i="56"/>
  <c r="P122" i="56"/>
  <c r="BD128" i="56"/>
  <c r="BF133" i="56"/>
  <c r="AL133" i="56"/>
  <c r="AP148" i="56"/>
  <c r="BD164" i="56"/>
  <c r="AR163" i="56"/>
  <c r="BD162" i="56"/>
  <c r="N162" i="56"/>
  <c r="R35" i="56"/>
  <c r="AR53" i="56"/>
  <c r="N53" i="56"/>
  <c r="AR52" i="56"/>
  <c r="AR51" i="56"/>
  <c r="BB48" i="56"/>
  <c r="BB73" i="56"/>
  <c r="BB72" i="56"/>
  <c r="BB71" i="56"/>
  <c r="AL70" i="56"/>
  <c r="AR69" i="56"/>
  <c r="T87" i="56"/>
  <c r="BB85" i="56"/>
  <c r="BD84" i="56"/>
  <c r="AN83" i="56"/>
  <c r="T81" i="56"/>
  <c r="BB79" i="56"/>
  <c r="BD78" i="56"/>
  <c r="AN77" i="56"/>
  <c r="T96" i="56"/>
  <c r="BB94" i="56"/>
  <c r="BD105" i="56"/>
  <c r="AN104" i="56"/>
  <c r="T102" i="56"/>
  <c r="BB100" i="56"/>
  <c r="BD99" i="56"/>
  <c r="AN112" i="56"/>
  <c r="T110" i="56"/>
  <c r="BB108" i="56"/>
  <c r="BD119" i="56"/>
  <c r="AN118" i="56"/>
  <c r="T116" i="56"/>
  <c r="BB125" i="56"/>
  <c r="BD124" i="56"/>
  <c r="AN123" i="56"/>
  <c r="T130" i="56"/>
  <c r="BB128" i="56"/>
  <c r="BD133" i="56"/>
  <c r="AN148" i="56"/>
  <c r="AP163" i="56"/>
  <c r="BB162" i="56"/>
  <c r="AR161" i="56"/>
  <c r="BB34" i="56"/>
  <c r="P50" i="56"/>
  <c r="AN34" i="56"/>
  <c r="BF48" i="56"/>
  <c r="BB74" i="56"/>
  <c r="T73" i="56"/>
  <c r="AR71" i="56"/>
  <c r="N71" i="56"/>
  <c r="P70" i="56"/>
  <c r="P69" i="56"/>
  <c r="R87" i="56"/>
  <c r="T86" i="56"/>
  <c r="T84" i="56"/>
  <c r="R83" i="56"/>
  <c r="BF79" i="56"/>
  <c r="BD77" i="56"/>
  <c r="BD91" i="56"/>
  <c r="BD96" i="56"/>
  <c r="AL94" i="56"/>
  <c r="AN103" i="56"/>
  <c r="AP102" i="56"/>
  <c r="AR101" i="56"/>
  <c r="N101" i="56"/>
  <c r="AR99" i="56"/>
  <c r="N99" i="56"/>
  <c r="R110" i="56"/>
  <c r="T109" i="56"/>
  <c r="T119" i="56"/>
  <c r="R118" i="56"/>
  <c r="BF125" i="56"/>
  <c r="BD123" i="56"/>
  <c r="BD122" i="56"/>
  <c r="BD130" i="56"/>
  <c r="AL128" i="56"/>
  <c r="AN165" i="56"/>
  <c r="T165" i="56"/>
  <c r="BD163" i="56"/>
  <c r="AR162" i="56"/>
  <c r="BD160" i="56"/>
  <c r="P160" i="56"/>
  <c r="AL34" i="56"/>
  <c r="BD53" i="56"/>
  <c r="T52" i="56"/>
  <c r="AR50" i="56"/>
  <c r="R73" i="56"/>
  <c r="AP71" i="56"/>
  <c r="N70" i="56"/>
  <c r="P87" i="56"/>
  <c r="R86" i="56"/>
  <c r="T85" i="56"/>
  <c r="R84" i="56"/>
  <c r="P83" i="56"/>
  <c r="BB91" i="56"/>
  <c r="BB96" i="56"/>
  <c r="AL103" i="56"/>
  <c r="AN102" i="56"/>
  <c r="AP101" i="56"/>
  <c r="AR100" i="56"/>
  <c r="AP99" i="56"/>
  <c r="AR112" i="56"/>
  <c r="P110" i="56"/>
  <c r="R109" i="56"/>
  <c r="T108" i="56"/>
  <c r="R119" i="56"/>
  <c r="P118" i="56"/>
  <c r="BB122" i="56"/>
  <c r="BB130" i="56"/>
  <c r="AL165" i="56"/>
  <c r="R165" i="56"/>
  <c r="BB163" i="56"/>
  <c r="AN162" i="56"/>
  <c r="T162" i="56"/>
  <c r="BB53" i="56"/>
  <c r="R52" i="56"/>
  <c r="P73" i="56"/>
  <c r="AP72" i="56"/>
  <c r="AN71" i="56"/>
  <c r="AR70" i="56"/>
  <c r="AR87" i="56"/>
  <c r="N87" i="56"/>
  <c r="P86" i="56"/>
  <c r="P85" i="56"/>
  <c r="P84" i="56"/>
  <c r="N83" i="56"/>
  <c r="T82" i="56"/>
  <c r="T77" i="56"/>
  <c r="BD95" i="56"/>
  <c r="BB105" i="56"/>
  <c r="BF103" i="56"/>
  <c r="BF102" i="56"/>
  <c r="AL102" i="56"/>
  <c r="AN101" i="56"/>
  <c r="AN100" i="56"/>
  <c r="AN99" i="56"/>
  <c r="AR111" i="56"/>
  <c r="AR110" i="56"/>
  <c r="N110" i="56"/>
  <c r="P109" i="56"/>
  <c r="P108" i="56"/>
  <c r="P119" i="56"/>
  <c r="N118" i="56"/>
  <c r="T117" i="56"/>
  <c r="T123" i="56"/>
  <c r="BD129" i="56"/>
  <c r="BB133" i="56"/>
  <c r="BF165" i="56"/>
  <c r="P165" i="56"/>
  <c r="AL162" i="56"/>
  <c r="R162" i="56"/>
  <c r="T50" i="56"/>
  <c r="AN48" i="56"/>
  <c r="AL47" i="56"/>
  <c r="AN46" i="56"/>
  <c r="AN74" i="56"/>
  <c r="BB69" i="56"/>
  <c r="BB88" i="56"/>
  <c r="BD86" i="56"/>
  <c r="BB84" i="56"/>
  <c r="BF82" i="56"/>
  <c r="BF81" i="56"/>
  <c r="AL81" i="56"/>
  <c r="AN80" i="56"/>
  <c r="AN79" i="56"/>
  <c r="AN78" i="56"/>
  <c r="AR91" i="56"/>
  <c r="AR96" i="56"/>
  <c r="N96" i="56"/>
  <c r="P95" i="56"/>
  <c r="P94" i="56"/>
  <c r="P105" i="56"/>
  <c r="N104" i="56"/>
  <c r="T103" i="56"/>
  <c r="T112" i="56"/>
  <c r="BD109" i="56"/>
  <c r="BB119" i="56"/>
  <c r="BF117" i="56"/>
  <c r="BF116" i="56"/>
  <c r="AL116" i="56"/>
  <c r="AN115" i="56"/>
  <c r="AN125" i="56"/>
  <c r="AN124" i="56"/>
  <c r="AR122" i="56"/>
  <c r="AR130" i="56"/>
  <c r="N130" i="56"/>
  <c r="P129" i="56"/>
  <c r="P128" i="56"/>
  <c r="AN35" i="56"/>
  <c r="BF34" i="56"/>
  <c r="T47" i="56"/>
  <c r="R46" i="56"/>
  <c r="T72" i="56"/>
  <c r="AP70" i="56"/>
  <c r="BD88" i="56"/>
  <c r="AR85" i="56"/>
  <c r="N81" i="56"/>
  <c r="N80" i="56"/>
  <c r="AR79" i="56"/>
  <c r="BF91" i="56"/>
  <c r="R95" i="56"/>
  <c r="AN105" i="56"/>
  <c r="R102" i="56"/>
  <c r="AL100" i="56"/>
  <c r="R112" i="56"/>
  <c r="AR109" i="56"/>
  <c r="AL108" i="56"/>
  <c r="AP116" i="56"/>
  <c r="AP115" i="56"/>
  <c r="P130" i="56"/>
  <c r="AR129" i="56"/>
  <c r="AR128" i="56"/>
  <c r="AL163" i="56"/>
  <c r="R163" i="56"/>
  <c r="AR159" i="56"/>
  <c r="AP53" i="56"/>
  <c r="T51" i="56"/>
  <c r="R47" i="56"/>
  <c r="P46" i="56"/>
  <c r="P72" i="56"/>
  <c r="AN85" i="56"/>
  <c r="T83" i="56"/>
  <c r="AR81" i="56"/>
  <c r="AR80" i="56"/>
  <c r="AL79" i="56"/>
  <c r="R96" i="56"/>
  <c r="N95" i="56"/>
  <c r="BD103" i="56"/>
  <c r="P102" i="56"/>
  <c r="P112" i="56"/>
  <c r="T111" i="56"/>
  <c r="AP109" i="56"/>
  <c r="AR117" i="56"/>
  <c r="AN116" i="56"/>
  <c r="BB124" i="56"/>
  <c r="T122" i="56"/>
  <c r="AP129" i="56"/>
  <c r="AN128" i="56"/>
  <c r="BD165" i="56"/>
  <c r="P163" i="56"/>
  <c r="P162" i="56"/>
  <c r="AN159" i="56"/>
  <c r="T159" i="56"/>
  <c r="BD49" i="56"/>
  <c r="AR47" i="56"/>
  <c r="N47" i="56"/>
  <c r="AR46" i="56"/>
  <c r="AP86" i="56"/>
  <c r="AR82" i="56"/>
  <c r="AN81" i="56"/>
  <c r="BB78" i="56"/>
  <c r="T91" i="56"/>
  <c r="AP95" i="56"/>
  <c r="AN94" i="56"/>
  <c r="BD104" i="56"/>
  <c r="T99" i="56"/>
  <c r="BF108" i="56"/>
  <c r="N119" i="56"/>
  <c r="AL117" i="56"/>
  <c r="BD116" i="56"/>
  <c r="P123" i="56"/>
  <c r="AN130" i="56"/>
  <c r="AN161" i="56"/>
  <c r="P161" i="56"/>
  <c r="BF159" i="56"/>
  <c r="P159" i="56"/>
  <c r="BB50" i="56"/>
  <c r="BD47" i="56"/>
  <c r="R70" i="56"/>
  <c r="AN88" i="56"/>
  <c r="AL87" i="56"/>
  <c r="AR84" i="56"/>
  <c r="BB82" i="56"/>
  <c r="T79" i="56"/>
  <c r="P78" i="56"/>
  <c r="AL91" i="56"/>
  <c r="R105" i="56"/>
  <c r="BD101" i="56"/>
  <c r="P100" i="56"/>
  <c r="BF111" i="56"/>
  <c r="BD110" i="56"/>
  <c r="AN119" i="56"/>
  <c r="R116" i="56"/>
  <c r="R115" i="56"/>
  <c r="AR124" i="56"/>
  <c r="T128" i="56"/>
  <c r="AR133" i="56"/>
  <c r="N133" i="56"/>
  <c r="N165" i="56"/>
  <c r="AR164" i="56"/>
  <c r="BF162" i="56"/>
  <c r="AL160" i="56"/>
  <c r="R160" i="56"/>
  <c r="P52" i="56"/>
  <c r="T70" i="56"/>
  <c r="BD87" i="56"/>
  <c r="AL85" i="56"/>
  <c r="BB81" i="56"/>
  <c r="R80" i="56"/>
  <c r="R77" i="56"/>
  <c r="AP119" i="56"/>
  <c r="BD118" i="56"/>
  <c r="N124" i="56"/>
  <c r="AR123" i="56"/>
  <c r="T133" i="56"/>
  <c r="P148" i="56"/>
  <c r="AP164" i="56"/>
  <c r="T164" i="56"/>
  <c r="AP161" i="56"/>
  <c r="AN51" i="56"/>
  <c r="BD50" i="56"/>
  <c r="AN72" i="56"/>
  <c r="BF71" i="56"/>
  <c r="AN69" i="56"/>
  <c r="BB87" i="56"/>
  <c r="P80" i="56"/>
  <c r="P77" i="56"/>
  <c r="AR102" i="56"/>
  <c r="BD112" i="56"/>
  <c r="AP110" i="56"/>
  <c r="BD115" i="56"/>
  <c r="T125" i="56"/>
  <c r="R130" i="56"/>
  <c r="AN129" i="56"/>
  <c r="R133" i="56"/>
  <c r="N148" i="56"/>
  <c r="AN164" i="56"/>
  <c r="P164" i="56"/>
  <c r="T163" i="56"/>
  <c r="AR160" i="56"/>
  <c r="AL71" i="56"/>
  <c r="T69" i="56"/>
  <c r="AP87" i="56"/>
  <c r="BD83" i="56"/>
  <c r="AP78" i="56"/>
  <c r="BF94" i="56"/>
  <c r="N102" i="56"/>
  <c r="BD111" i="56"/>
  <c r="BD117" i="56"/>
  <c r="AR115" i="56"/>
  <c r="N123" i="56"/>
  <c r="T129" i="56"/>
  <c r="BD148" i="56"/>
  <c r="AN53" i="56"/>
  <c r="T49" i="56"/>
  <c r="T46" i="56"/>
  <c r="R69" i="56"/>
  <c r="AN87" i="56"/>
  <c r="BD80" i="56"/>
  <c r="AP96" i="56"/>
  <c r="BB111" i="56"/>
  <c r="AN109" i="56"/>
  <c r="BB117" i="56"/>
  <c r="T124" i="56"/>
  <c r="AN122" i="56"/>
  <c r="R129" i="56"/>
  <c r="BD159" i="56"/>
  <c r="R50" i="56"/>
  <c r="AN49" i="56"/>
  <c r="AL88" i="56"/>
  <c r="BF87" i="56"/>
  <c r="AR86" i="56"/>
  <c r="T104" i="56"/>
  <c r="P101" i="56"/>
  <c r="T115" i="56"/>
  <c r="R123" i="56"/>
  <c r="T74" i="56"/>
  <c r="AN86" i="56"/>
  <c r="AP81" i="56"/>
  <c r="T95" i="56"/>
  <c r="AR94" i="56"/>
  <c r="R104" i="56"/>
  <c r="BB99" i="56"/>
  <c r="P115" i="56"/>
  <c r="AL122" i="56"/>
  <c r="BF130" i="56"/>
  <c r="BB165" i="56"/>
  <c r="AP160" i="56"/>
  <c r="T160" i="56"/>
  <c r="AL48" i="56"/>
  <c r="BF47" i="56"/>
  <c r="T71" i="56"/>
  <c r="N86" i="56"/>
  <c r="R81" i="56"/>
  <c r="T94" i="56"/>
  <c r="AR105" i="56"/>
  <c r="BB103" i="56"/>
  <c r="AN108" i="56"/>
  <c r="AR118" i="56"/>
  <c r="AP130" i="56"/>
  <c r="AR165" i="56"/>
  <c r="BB159" i="56"/>
  <c r="P47" i="56"/>
  <c r="AP46" i="56"/>
  <c r="AL82" i="56"/>
  <c r="BD81" i="56"/>
  <c r="P104" i="56"/>
  <c r="AR103" i="56"/>
  <c r="BD102" i="56"/>
  <c r="N163" i="56"/>
  <c r="P74" i="56"/>
  <c r="AR73" i="56"/>
  <c r="BF70" i="56"/>
  <c r="P79" i="56"/>
  <c r="AR78" i="56"/>
  <c r="AL96" i="56"/>
  <c r="BF100" i="56"/>
  <c r="AL110" i="56"/>
  <c r="AR108" i="56"/>
  <c r="BF128" i="56"/>
  <c r="AN73" i="56"/>
  <c r="BB70" i="56"/>
  <c r="T100" i="56"/>
  <c r="AR116" i="56"/>
  <c r="AN133" i="56"/>
  <c r="BB160" i="56"/>
  <c r="P81" i="56"/>
  <c r="AP80" i="56"/>
  <c r="AN96" i="56"/>
  <c r="BB102" i="56"/>
  <c r="AN110" i="56"/>
  <c r="P125" i="56"/>
  <c r="AP124" i="56"/>
  <c r="AN163" i="56"/>
  <c r="N109" i="56"/>
  <c r="AP133" i="56"/>
  <c r="BF160" i="56"/>
  <c r="BF88" i="56"/>
  <c r="BD161" i="56"/>
  <c r="P71" i="56"/>
  <c r="BF85" i="56"/>
  <c r="AP84" i="56"/>
  <c r="T80" i="56"/>
  <c r="R101" i="56"/>
  <c r="AR119" i="56"/>
  <c r="T118" i="56"/>
  <c r="AN117" i="56"/>
  <c r="BB116" i="56"/>
  <c r="R124" i="56"/>
  <c r="BF122" i="56"/>
  <c r="AL130" i="56"/>
  <c r="N129" i="56"/>
  <c r="T161" i="56"/>
  <c r="R159" i="56"/>
  <c r="BD69" i="56"/>
  <c r="AN84" i="56"/>
  <c r="T78" i="56"/>
  <c r="P96" i="56"/>
  <c r="AR95" i="56"/>
  <c r="AP105" i="56"/>
  <c r="R99" i="56"/>
  <c r="P124" i="56"/>
  <c r="N160" i="56"/>
  <c r="AL159" i="56"/>
  <c r="N159" i="56"/>
  <c r="BD35" i="56"/>
  <c r="AR34" i="56"/>
  <c r="T53" i="56"/>
  <c r="R49" i="56"/>
  <c r="AR48" i="56"/>
  <c r="AN82" i="56"/>
  <c r="N115" i="56"/>
  <c r="AR125" i="56"/>
  <c r="R53" i="56"/>
  <c r="AN52" i="56"/>
  <c r="BB51" i="56"/>
  <c r="AL125" i="56"/>
  <c r="AN160" i="56"/>
  <c r="AP88" i="56"/>
  <c r="P99" i="56"/>
  <c r="T148" i="56"/>
  <c r="R78" i="56"/>
  <c r="T101" i="56"/>
  <c r="R148" i="56"/>
  <c r="BF163" i="56"/>
  <c r="N78" i="56"/>
  <c r="AR77" i="56"/>
  <c r="T105" i="56"/>
  <c r="N84" i="56"/>
  <c r="AR83" i="56"/>
  <c r="BD82" i="56"/>
  <c r="N105" i="56"/>
  <c r="AR104" i="56"/>
  <c r="P116" i="56"/>
  <c r="AP47" i="56"/>
  <c r="N116" i="56"/>
  <c r="N112" i="56"/>
  <c r="AN111" i="56"/>
  <c r="AL111" i="56"/>
  <c r="BF110" i="56"/>
  <c r="BB110" i="56"/>
  <c r="AN47" i="56"/>
  <c r="AR74" i="56"/>
  <c r="N77" i="56"/>
  <c r="AN91" i="56"/>
  <c r="BF96" i="56"/>
  <c r="AN95" i="56"/>
  <c r="N46" i="56"/>
  <c r="P133" i="56"/>
  <c r="AR148" i="56"/>
  <c r="R39" i="56"/>
  <c r="BD107" i="56"/>
  <c r="BB92" i="56"/>
  <c r="N67" i="56"/>
  <c r="AP59" i="56"/>
  <c r="BB36" i="56"/>
  <c r="T66" i="56"/>
  <c r="AP56" i="56"/>
  <c r="R40" i="56"/>
  <c r="N33" i="56"/>
  <c r="BC4" i="57"/>
  <c r="BC15" i="57" s="1"/>
  <c r="BD4" i="57"/>
  <c r="BD15" i="57" s="1"/>
  <c r="AC4" i="57"/>
  <c r="AD4" i="57" s="1"/>
  <c r="AA5" i="57"/>
  <c r="AB15" i="57"/>
  <c r="BU172" i="59"/>
  <c r="BU182" i="59" s="1"/>
  <c r="R172" i="59"/>
  <c r="R182" i="59" s="1"/>
  <c r="BU204" i="57"/>
  <c r="BU214" i="57" s="1"/>
  <c r="O172" i="59"/>
  <c r="O182" i="59" s="1"/>
  <c r="BR172" i="59"/>
  <c r="BD59" i="56"/>
  <c r="AD172" i="59"/>
  <c r="M4" i="57"/>
  <c r="M15" i="57" s="1"/>
  <c r="BQ204" i="57"/>
  <c r="BK172" i="59"/>
  <c r="BK182" i="59" s="1"/>
  <c r="AH172" i="59"/>
  <c r="AH182" i="59" s="1"/>
  <c r="T60" i="56"/>
  <c r="T36" i="56"/>
  <c r="T172" i="59"/>
  <c r="T182" i="59" s="1"/>
  <c r="S172" i="59"/>
  <c r="S182" i="59" s="1"/>
  <c r="U172" i="59"/>
  <c r="U182" i="59" s="1"/>
  <c r="AW227" i="56"/>
  <c r="BY204" i="57"/>
  <c r="BY214" i="57" s="1"/>
  <c r="AE172" i="59"/>
  <c r="AE182" i="59" s="1"/>
  <c r="AK172" i="59"/>
  <c r="AK182" i="59" s="1"/>
  <c r="AL44" i="59"/>
  <c r="AL172" i="59" s="1"/>
  <c r="AQ204" i="57"/>
  <c r="AQ214" i="57" s="1"/>
  <c r="AW204" i="57"/>
  <c r="AW214" i="57" s="1"/>
  <c r="AV204" i="57"/>
  <c r="AV214" i="57" s="1"/>
  <c r="AT204" i="57"/>
  <c r="AT214" i="57" s="1"/>
  <c r="BQ172" i="59"/>
  <c r="AD204" i="57"/>
  <c r="AD214" i="57" s="1"/>
  <c r="AX172" i="59"/>
  <c r="AX182" i="59" s="1"/>
  <c r="BG172" i="59"/>
  <c r="BG182" i="59" s="1"/>
  <c r="BM172" i="59"/>
  <c r="BM182" i="59" s="1"/>
  <c r="BB172" i="59"/>
  <c r="BB173" i="59" s="1"/>
  <c r="AB172" i="59"/>
  <c r="AB182" i="59" s="1"/>
  <c r="AR172" i="59"/>
  <c r="AR182" i="59" s="1"/>
  <c r="AU172" i="59"/>
  <c r="AU182" i="59" s="1"/>
  <c r="BZ204" i="57"/>
  <c r="BZ214" i="57" s="1"/>
  <c r="AH204" i="57"/>
  <c r="AH214" i="57" s="1"/>
  <c r="BJ204" i="57"/>
  <c r="BJ214" i="57" s="1"/>
  <c r="AO172" i="59"/>
  <c r="AO182" i="59" s="1"/>
  <c r="AQ222" i="53"/>
  <c r="S222" i="53"/>
  <c r="AY204" i="57"/>
  <c r="AY214" i="57" s="1"/>
  <c r="BH172" i="59"/>
  <c r="BH182" i="59" s="1"/>
  <c r="BV172" i="59"/>
  <c r="BV182" i="59" s="1"/>
  <c r="BC172" i="59"/>
  <c r="BC182" i="59" s="1"/>
  <c r="AF195" i="58"/>
  <c r="AP204" i="57"/>
  <c r="AP214" i="57" s="1"/>
  <c r="L172" i="59"/>
  <c r="L173" i="59" s="1"/>
  <c r="AN172" i="59"/>
  <c r="AN173" i="59" s="1"/>
  <c r="AV172" i="59"/>
  <c r="AV182" i="59" s="1"/>
  <c r="BE172" i="59"/>
  <c r="BE182" i="59" s="1"/>
  <c r="Q172" i="59"/>
  <c r="Q182" i="59" s="1"/>
  <c r="AR59" i="56"/>
  <c r="AC172" i="59"/>
  <c r="AC182" i="59" s="1"/>
  <c r="P37" i="56"/>
  <c r="BS204" i="57"/>
  <c r="AW172" i="59"/>
  <c r="AW182" i="59" s="1"/>
  <c r="T59" i="56"/>
  <c r="P135" i="56"/>
  <c r="AU204" i="57"/>
  <c r="AU214" i="57" s="1"/>
  <c r="CA204" i="57"/>
  <c r="CA214" i="57" s="1"/>
  <c r="AQ172" i="59"/>
  <c r="AQ182" i="59" s="1"/>
  <c r="Z172" i="59"/>
  <c r="Z173" i="59" s="1"/>
  <c r="BR204" i="57"/>
  <c r="BR214" i="57" s="1"/>
  <c r="AF172" i="59"/>
  <c r="AF182" i="59" s="1"/>
  <c r="AL37" i="56"/>
  <c r="AF227" i="56"/>
  <c r="BC204" i="57"/>
  <c r="BC214" i="57" s="1"/>
  <c r="AJ172" i="59"/>
  <c r="AJ182" i="59" s="1"/>
  <c r="BP204" i="57"/>
  <c r="BP205" i="57" s="1"/>
  <c r="BQ205" i="57" s="1"/>
  <c r="BW172" i="59"/>
  <c r="BW182" i="59" s="1"/>
  <c r="AT172" i="59"/>
  <c r="AT182" i="59" s="1"/>
  <c r="BV204" i="57"/>
  <c r="BV214" i="57" s="1"/>
  <c r="BT172" i="59"/>
  <c r="BT182" i="59" s="1"/>
  <c r="BL172" i="59"/>
  <c r="BL182" i="59" s="1"/>
  <c r="BZ172" i="59"/>
  <c r="BZ182" i="59" s="1"/>
  <c r="N204" i="57"/>
  <c r="N214" i="57" s="1"/>
  <c r="BF204" i="57"/>
  <c r="BF214" i="57" s="1"/>
  <c r="BJ172" i="59"/>
  <c r="BJ182" i="59" s="1"/>
  <c r="BD172" i="59"/>
  <c r="BD182" i="59" s="1"/>
  <c r="BW204" i="57"/>
  <c r="BW214" i="57" s="1"/>
  <c r="P172" i="59"/>
  <c r="P182" i="59" s="1"/>
  <c r="AB204" i="57"/>
  <c r="AB214" i="57" s="1"/>
  <c r="V204" i="57"/>
  <c r="V214" i="57" s="1"/>
  <c r="T204" i="57"/>
  <c r="T214" i="57" s="1"/>
  <c r="W204" i="57"/>
  <c r="W214" i="57" s="1"/>
  <c r="AL204" i="57"/>
  <c r="AC204" i="57"/>
  <c r="AC214" i="57" s="1"/>
  <c r="N172" i="59"/>
  <c r="N182" i="59" s="1"/>
  <c r="AG172" i="59"/>
  <c r="AG182" i="59" s="1"/>
  <c r="BS172" i="59"/>
  <c r="W172" i="59"/>
  <c r="W182" i="59" s="1"/>
  <c r="BY172" i="59"/>
  <c r="BY182" i="59" s="1"/>
  <c r="CA172" i="59"/>
  <c r="CA182" i="59" s="1"/>
  <c r="AA172" i="59"/>
  <c r="BX172" i="59"/>
  <c r="BX182" i="59" s="1"/>
  <c r="AS172" i="59"/>
  <c r="AS182" i="59" s="1"/>
  <c r="AE204" i="57"/>
  <c r="AE214" i="57" s="1"/>
  <c r="AI204" i="57"/>
  <c r="AI214" i="57" s="1"/>
  <c r="S204" i="57"/>
  <c r="S214" i="57" s="1"/>
  <c r="V172" i="59"/>
  <c r="V182" i="59" s="1"/>
  <c r="BI172" i="59"/>
  <c r="BI182" i="59" s="1"/>
  <c r="BP172" i="59"/>
  <c r="BP173" i="59" s="1"/>
  <c r="AI172" i="59"/>
  <c r="AI182" i="59" s="1"/>
  <c r="BX204" i="57"/>
  <c r="BX214" i="57" s="1"/>
  <c r="AH227" i="56"/>
  <c r="AR204" i="57"/>
  <c r="BL204" i="57"/>
  <c r="BL214" i="57" s="1"/>
  <c r="AS204" i="57"/>
  <c r="AS214" i="57" s="1"/>
  <c r="M172" i="59"/>
  <c r="AP172" i="59"/>
  <c r="AP182" i="59" s="1"/>
  <c r="BF172" i="59"/>
  <c r="BF182" i="59" s="1"/>
  <c r="AY172" i="59"/>
  <c r="AY182" i="59" s="1"/>
  <c r="AN204" i="57"/>
  <c r="AN205" i="57" s="1"/>
  <c r="AK204" i="57"/>
  <c r="AK214" i="57" s="1"/>
  <c r="AO204" i="57"/>
  <c r="AO214" i="57" s="1"/>
  <c r="AF204" i="57"/>
  <c r="AF214" i="57" s="1"/>
  <c r="M222" i="53"/>
  <c r="Z204" i="57"/>
  <c r="Z205" i="57" s="1"/>
  <c r="AA204" i="57"/>
  <c r="AA214" i="57" s="1"/>
  <c r="AJ204" i="57"/>
  <c r="AJ214" i="57" s="1"/>
  <c r="BG204" i="57"/>
  <c r="BG214" i="57" s="1"/>
  <c r="U204" i="57"/>
  <c r="U214" i="57" s="1"/>
  <c r="T185" i="56"/>
  <c r="BF184" i="56"/>
  <c r="AN180" i="56"/>
  <c r="AL179" i="56"/>
  <c r="R179" i="56"/>
  <c r="AL175" i="56"/>
  <c r="P174" i="56"/>
  <c r="N169" i="56"/>
  <c r="BF185" i="56"/>
  <c r="R185" i="56"/>
  <c r="BD184" i="56"/>
  <c r="AR184" i="56"/>
  <c r="AL180" i="56"/>
  <c r="P179" i="56"/>
  <c r="N174" i="56"/>
  <c r="BD185" i="56"/>
  <c r="AR185" i="56"/>
  <c r="P185" i="56"/>
  <c r="BB184" i="56"/>
  <c r="AP184" i="56"/>
  <c r="AN181" i="56"/>
  <c r="N179" i="56"/>
  <c r="AP176" i="56"/>
  <c r="T170" i="56"/>
  <c r="BF169" i="56"/>
  <c r="BB185" i="56"/>
  <c r="AP185" i="56"/>
  <c r="N185" i="56"/>
  <c r="AN184" i="56"/>
  <c r="T184" i="56"/>
  <c r="T175" i="56"/>
  <c r="BF174" i="56"/>
  <c r="BF170" i="56"/>
  <c r="AN185" i="56"/>
  <c r="AL184" i="56"/>
  <c r="R184" i="56"/>
  <c r="AL181" i="56"/>
  <c r="T181" i="56"/>
  <c r="T180" i="56"/>
  <c r="BF179" i="56"/>
  <c r="BF175" i="56"/>
  <c r="R175" i="56"/>
  <c r="BD174" i="56"/>
  <c r="AL185" i="56"/>
  <c r="P184" i="56"/>
  <c r="BF180" i="56"/>
  <c r="R180" i="56"/>
  <c r="BD179" i="56"/>
  <c r="AR179" i="56"/>
  <c r="BD175" i="56"/>
  <c r="AR175" i="56"/>
  <c r="P175" i="56"/>
  <c r="BB174" i="56"/>
  <c r="AP174" i="56"/>
  <c r="N184" i="56"/>
  <c r="BD180" i="56"/>
  <c r="AR180" i="56"/>
  <c r="P180" i="56"/>
  <c r="BB179" i="56"/>
  <c r="AP179" i="56"/>
  <c r="BB175" i="56"/>
  <c r="AP175" i="56"/>
  <c r="N175" i="56"/>
  <c r="AN174" i="56"/>
  <c r="T174" i="56"/>
  <c r="AN170" i="56"/>
  <c r="BF186" i="56"/>
  <c r="AR181" i="56"/>
  <c r="BB180" i="56"/>
  <c r="AP180" i="56"/>
  <c r="N180" i="56"/>
  <c r="AN179" i="56"/>
  <c r="T179" i="56"/>
  <c r="AN175" i="56"/>
  <c r="AL174" i="56"/>
  <c r="R174" i="56"/>
  <c r="BD169" i="56"/>
  <c r="AR169" i="56"/>
  <c r="BD158" i="56"/>
  <c r="AR158" i="56"/>
  <c r="P158" i="56"/>
  <c r="BB157" i="56"/>
  <c r="AP157" i="56"/>
  <c r="BB153" i="56"/>
  <c r="AP153" i="56"/>
  <c r="N153" i="56"/>
  <c r="AN152" i="56"/>
  <c r="T152" i="56"/>
  <c r="BB147" i="56"/>
  <c r="AP147" i="56"/>
  <c r="AL145" i="56"/>
  <c r="R145" i="56"/>
  <c r="BD144" i="56"/>
  <c r="AR144" i="56"/>
  <c r="AR174" i="56"/>
  <c r="BD171" i="56"/>
  <c r="R170" i="56"/>
  <c r="BB169" i="56"/>
  <c r="AP169" i="56"/>
  <c r="BB158" i="56"/>
  <c r="AP158" i="56"/>
  <c r="N158" i="56"/>
  <c r="AN157" i="56"/>
  <c r="T157" i="56"/>
  <c r="AN153" i="56"/>
  <c r="AL152" i="56"/>
  <c r="R152" i="56"/>
  <c r="BB149" i="56"/>
  <c r="AN147" i="56"/>
  <c r="T147" i="56"/>
  <c r="BF146" i="56"/>
  <c r="P145" i="56"/>
  <c r="BB144" i="56"/>
  <c r="AP144" i="56"/>
  <c r="T143" i="56"/>
  <c r="BF142" i="56"/>
  <c r="P170" i="56"/>
  <c r="AN169" i="56"/>
  <c r="T169" i="56"/>
  <c r="AN158" i="56"/>
  <c r="AL157" i="56"/>
  <c r="R157" i="56"/>
  <c r="AL153" i="56"/>
  <c r="P152" i="56"/>
  <c r="AL149" i="56"/>
  <c r="AL147" i="56"/>
  <c r="R147" i="56"/>
  <c r="BD146" i="56"/>
  <c r="AR146" i="56"/>
  <c r="N145" i="56"/>
  <c r="AN144" i="56"/>
  <c r="T144" i="56"/>
  <c r="BF143" i="56"/>
  <c r="R143" i="56"/>
  <c r="BD142" i="56"/>
  <c r="AR142" i="56"/>
  <c r="N170" i="56"/>
  <c r="AL169" i="56"/>
  <c r="R169" i="56"/>
  <c r="AL166" i="56"/>
  <c r="AL158" i="56"/>
  <c r="P157" i="56"/>
  <c r="N152" i="56"/>
  <c r="P147" i="56"/>
  <c r="BB146" i="56"/>
  <c r="AP146" i="56"/>
  <c r="AL144" i="56"/>
  <c r="R144" i="56"/>
  <c r="BD143" i="56"/>
  <c r="AR143" i="56"/>
  <c r="P143" i="56"/>
  <c r="BB142" i="56"/>
  <c r="AP142" i="56"/>
  <c r="BD170" i="56"/>
  <c r="AR170" i="56"/>
  <c r="P169" i="56"/>
  <c r="N157" i="56"/>
  <c r="N147" i="56"/>
  <c r="AN146" i="56"/>
  <c r="T146" i="56"/>
  <c r="BF145" i="56"/>
  <c r="P144" i="56"/>
  <c r="BB143" i="56"/>
  <c r="AP143" i="56"/>
  <c r="N143" i="56"/>
  <c r="AN142" i="56"/>
  <c r="T142" i="56"/>
  <c r="BB170" i="56"/>
  <c r="AP170" i="56"/>
  <c r="T153" i="56"/>
  <c r="BF152" i="56"/>
  <c r="AL146" i="56"/>
  <c r="R146" i="56"/>
  <c r="BD145" i="56"/>
  <c r="AR145" i="56"/>
  <c r="N144" i="56"/>
  <c r="AN143" i="56"/>
  <c r="AL142" i="56"/>
  <c r="R142" i="56"/>
  <c r="AN171" i="56"/>
  <c r="AL170" i="56"/>
  <c r="AR166" i="56"/>
  <c r="T166" i="56"/>
  <c r="T158" i="56"/>
  <c r="BF157" i="56"/>
  <c r="AN154" i="56"/>
  <c r="BF153" i="56"/>
  <c r="R153" i="56"/>
  <c r="BD152" i="56"/>
  <c r="AR152" i="56"/>
  <c r="BF147" i="56"/>
  <c r="P146" i="56"/>
  <c r="BB145" i="56"/>
  <c r="AP145" i="56"/>
  <c r="AL143" i="56"/>
  <c r="P142" i="56"/>
  <c r="BF158" i="56"/>
  <c r="R158" i="56"/>
  <c r="BD157" i="56"/>
  <c r="AR157" i="56"/>
  <c r="BD153" i="56"/>
  <c r="AR153" i="56"/>
  <c r="P153" i="56"/>
  <c r="BB152" i="56"/>
  <c r="AP152" i="56"/>
  <c r="BD147" i="56"/>
  <c r="AR147" i="56"/>
  <c r="N146" i="56"/>
  <c r="AN145" i="56"/>
  <c r="T145" i="56"/>
  <c r="BF144" i="56"/>
  <c r="N142" i="56"/>
  <c r="BB166" i="56"/>
  <c r="T176" i="56"/>
  <c r="AR149" i="56"/>
  <c r="BD176" i="56"/>
  <c r="AN176" i="56"/>
  <c r="AP181" i="56"/>
  <c r="AR176" i="56"/>
  <c r="AL186" i="56"/>
  <c r="BB176" i="56"/>
  <c r="T171" i="56"/>
  <c r="T154" i="56"/>
  <c r="AP149" i="56"/>
  <c r="BF149" i="56"/>
  <c r="AL154" i="56"/>
  <c r="BD166" i="56"/>
  <c r="BD149" i="56"/>
  <c r="BF154" i="56"/>
  <c r="AN166" i="56"/>
  <c r="BB171" i="56"/>
  <c r="AN149" i="56"/>
  <c r="AP171" i="56"/>
  <c r="AP154" i="56"/>
  <c r="AR154" i="56"/>
  <c r="BB154" i="56"/>
  <c r="AP166" i="56"/>
  <c r="AP186" i="56"/>
  <c r="BB186" i="56"/>
  <c r="T149" i="56"/>
  <c r="BF176" i="56"/>
  <c r="BF166" i="56"/>
  <c r="BB181" i="56"/>
  <c r="T186" i="56"/>
  <c r="AL171" i="56"/>
  <c r="BF181" i="56"/>
  <c r="BD154" i="56"/>
  <c r="BD181" i="56"/>
  <c r="AL176" i="56"/>
  <c r="BD186" i="56"/>
  <c r="AN186" i="56"/>
  <c r="AR186" i="56"/>
  <c r="AR171" i="56"/>
  <c r="BF171" i="56"/>
  <c r="AU221" i="53"/>
  <c r="W221" i="53"/>
  <c r="AG221" i="53"/>
  <c r="AW221" i="53"/>
  <c r="AV221" i="53"/>
  <c r="Z221" i="53"/>
  <c r="AI221" i="53"/>
  <c r="Y221" i="53"/>
  <c r="X221" i="53"/>
  <c r="AX221" i="53"/>
  <c r="P204" i="57"/>
  <c r="P214" i="57" s="1"/>
  <c r="BU132" i="54"/>
  <c r="BK132" i="54"/>
  <c r="BC132" i="54"/>
  <c r="AT132" i="54"/>
  <c r="AK132" i="54"/>
  <c r="AC132" i="54"/>
  <c r="T132" i="54"/>
  <c r="L132" i="54"/>
  <c r="CB132" i="54"/>
  <c r="BT132" i="54"/>
  <c r="BJ132" i="54"/>
  <c r="BB132" i="54"/>
  <c r="AS132" i="54"/>
  <c r="AJ132" i="54"/>
  <c r="AB132" i="54"/>
  <c r="S132" i="54"/>
  <c r="CA132" i="54"/>
  <c r="BS132" i="54"/>
  <c r="BI132" i="54"/>
  <c r="AZ132" i="54"/>
  <c r="AR132" i="54"/>
  <c r="AI132" i="54"/>
  <c r="AA132" i="54"/>
  <c r="R132" i="54"/>
  <c r="BZ132" i="54"/>
  <c r="BR132" i="54"/>
  <c r="BH132" i="54"/>
  <c r="AY132" i="54"/>
  <c r="AQ132" i="54"/>
  <c r="AH132" i="54"/>
  <c r="Z132" i="54"/>
  <c r="Q132" i="54"/>
  <c r="BY132" i="54"/>
  <c r="BQ132" i="54"/>
  <c r="BG132" i="54"/>
  <c r="AX132" i="54"/>
  <c r="AP132" i="54"/>
  <c r="AG132" i="54"/>
  <c r="X132" i="54"/>
  <c r="P132" i="54"/>
  <c r="BX132" i="54"/>
  <c r="BP132" i="54"/>
  <c r="BF132" i="54"/>
  <c r="AW132" i="54"/>
  <c r="AO132" i="54"/>
  <c r="AF132" i="54"/>
  <c r="W132" i="54"/>
  <c r="O132" i="54"/>
  <c r="BW132" i="54"/>
  <c r="BM132" i="54"/>
  <c r="BE132" i="54"/>
  <c r="AV132" i="54"/>
  <c r="AN132" i="54"/>
  <c r="AE132" i="54"/>
  <c r="V132" i="54"/>
  <c r="N132" i="54"/>
  <c r="BV132" i="54"/>
  <c r="BL132" i="54"/>
  <c r="BD132" i="54"/>
  <c r="AU132" i="54"/>
  <c r="AL132" i="54"/>
  <c r="AD132" i="54"/>
  <c r="U132" i="54"/>
  <c r="M132" i="54"/>
  <c r="BN132" i="54"/>
  <c r="BE204" i="57"/>
  <c r="BE214" i="57" s="1"/>
  <c r="BH204" i="57"/>
  <c r="BH214" i="57" s="1"/>
  <c r="BI204" i="57"/>
  <c r="BI214" i="57" s="1"/>
  <c r="X195" i="58"/>
  <c r="Y195" i="58"/>
  <c r="W195" i="58"/>
  <c r="AI195" i="58"/>
  <c r="AG195" i="58"/>
  <c r="AX195" i="58"/>
  <c r="AW195" i="58"/>
  <c r="AU195" i="58"/>
  <c r="Z195" i="58"/>
  <c r="AV195" i="58"/>
  <c r="AC222" i="53"/>
  <c r="AD222" i="53"/>
  <c r="O204" i="57"/>
  <c r="O214" i="57" s="1"/>
  <c r="BM204" i="57"/>
  <c r="BM214" i="57" s="1"/>
  <c r="BK204" i="57"/>
  <c r="BK214" i="57" s="1"/>
  <c r="AX204" i="57"/>
  <c r="AX214" i="57" s="1"/>
  <c r="AH221" i="53"/>
  <c r="AF221" i="53"/>
  <c r="AE222" i="53"/>
  <c r="AG204" i="57"/>
  <c r="AG214" i="57" s="1"/>
  <c r="X227" i="56"/>
  <c r="AU227" i="56"/>
  <c r="Z227" i="56"/>
  <c r="Y227" i="56"/>
  <c r="W227" i="56"/>
  <c r="AI227" i="56"/>
  <c r="AG227" i="56"/>
  <c r="AX227" i="56"/>
  <c r="AV227" i="56"/>
  <c r="AK222" i="53"/>
  <c r="CB29" i="54"/>
  <c r="CB51" i="54" s="1"/>
  <c r="M204" i="57"/>
  <c r="M214" i="57" s="1"/>
  <c r="Q204" i="57"/>
  <c r="Q214" i="57" s="1"/>
  <c r="R204" i="57"/>
  <c r="R214" i="57" s="1"/>
  <c r="L204" i="57"/>
  <c r="L205" i="57" s="1"/>
  <c r="BD204" i="57"/>
  <c r="BD214" i="57" s="1"/>
  <c r="BB204" i="57"/>
  <c r="BB205" i="57" s="1"/>
  <c r="AH195" i="58"/>
  <c r="AD115" i="58"/>
  <c r="AD188" i="58" s="1"/>
  <c r="AD205" i="58" s="1"/>
  <c r="AE115" i="58"/>
  <c r="AE188" i="58" s="1"/>
  <c r="AE205" i="58" s="1"/>
  <c r="AQ139" i="56"/>
  <c r="AQ220" i="56" s="1"/>
  <c r="BB40" i="56"/>
  <c r="T33" i="56"/>
  <c r="H19" i="58"/>
  <c r="C3" i="58"/>
  <c r="AP4" i="57"/>
  <c r="AP15" i="57" s="1"/>
  <c r="AA15" i="57"/>
  <c r="AO4" i="57"/>
  <c r="AO15" i="57" s="1"/>
  <c r="BQ214" i="57"/>
  <c r="B53" i="58"/>
  <c r="P62" i="56"/>
  <c r="BR182" i="59"/>
  <c r="BF62" i="56"/>
  <c r="BT214" i="57"/>
  <c r="AF55" i="58"/>
  <c r="Z1" i="57"/>
  <c r="AR214" i="57"/>
  <c r="AR138" i="56"/>
  <c r="AR62" i="56"/>
  <c r="BI239" i="56"/>
  <c r="B62" i="56"/>
  <c r="AI207" i="58"/>
  <c r="B63" i="56"/>
  <c r="B54" i="58"/>
  <c r="BN52" i="57"/>
  <c r="BN204" i="57" s="1"/>
  <c r="AZ43" i="59"/>
  <c r="AZ172" i="59" s="1"/>
  <c r="BS214" i="57"/>
  <c r="AU239" i="56"/>
  <c r="AF54" i="58"/>
  <c r="X43" i="59"/>
  <c r="X172" i="59" s="1"/>
  <c r="X51" i="57"/>
  <c r="AD182" i="59"/>
  <c r="X52" i="57"/>
  <c r="AF207" i="58"/>
  <c r="AH207" i="58"/>
  <c r="AS207" i="58"/>
  <c r="AG207" i="58"/>
  <c r="U207" i="58"/>
  <c r="AX207" i="58"/>
  <c r="Y239" i="56"/>
  <c r="X207" i="58"/>
  <c r="AG239" i="56"/>
  <c r="AS239" i="56"/>
  <c r="W207" i="58"/>
  <c r="AU207" i="58"/>
  <c r="BJ239" i="56"/>
  <c r="V207" i="58"/>
  <c r="U239" i="56"/>
  <c r="AV239" i="56"/>
  <c r="BQ182" i="59"/>
  <c r="A174" i="59"/>
  <c r="BN43" i="59"/>
  <c r="BN172" i="59" s="1"/>
  <c r="AZ52" i="57"/>
  <c r="AZ204" i="57" s="1"/>
  <c r="BS182" i="59"/>
  <c r="BC4" i="59"/>
  <c r="BC15" i="59" s="1"/>
  <c r="AA15" i="59"/>
  <c r="M4" i="59"/>
  <c r="M15" i="59" s="1"/>
  <c r="AO4" i="59"/>
  <c r="AO15" i="59" s="1"/>
  <c r="AB4" i="59"/>
  <c r="AA5" i="59"/>
  <c r="CB43" i="59"/>
  <c r="CB172" i="59" s="1"/>
  <c r="O114" i="58"/>
  <c r="AQ114" i="58"/>
  <c r="BH207" i="58"/>
  <c r="BG207" i="58"/>
  <c r="Z207" i="58"/>
  <c r="BJ207" i="58"/>
  <c r="AM114" i="58"/>
  <c r="AT207" i="58"/>
  <c r="Q114" i="58"/>
  <c r="AX54" i="58"/>
  <c r="AV54" i="58"/>
  <c r="AK114" i="58"/>
  <c r="AT54" i="58"/>
  <c r="AV207" i="58"/>
  <c r="BE115" i="58"/>
  <c r="BE188" i="58" s="1"/>
  <c r="AO114" i="58"/>
  <c r="AI114" i="58"/>
  <c r="AH114" i="58"/>
  <c r="AC115" i="58"/>
  <c r="AC188" i="58" s="1"/>
  <c r="AF114" i="58"/>
  <c r="AG114" i="58"/>
  <c r="BA114" i="58"/>
  <c r="BJ54" i="58"/>
  <c r="BH54" i="58"/>
  <c r="BC114" i="58"/>
  <c r="M114" i="58"/>
  <c r="X54" i="58"/>
  <c r="V54" i="58"/>
  <c r="Z54" i="58"/>
  <c r="S115" i="58"/>
  <c r="S188" i="58" s="1"/>
  <c r="BI207" i="58"/>
  <c r="AW207" i="58"/>
  <c r="Y207" i="58"/>
  <c r="CB51" i="57"/>
  <c r="CB204" i="57" s="1"/>
  <c r="AB1" i="57"/>
  <c r="AB14" i="57"/>
  <c r="BE4" i="57"/>
  <c r="BE15" i="57" s="1"/>
  <c r="AC5" i="57"/>
  <c r="O4" i="57"/>
  <c r="O15" i="57" s="1"/>
  <c r="AQ4" i="57"/>
  <c r="AQ15" i="57" s="1"/>
  <c r="AA1" i="57"/>
  <c r="AA14" i="57"/>
  <c r="A205" i="57"/>
  <c r="A206" i="57"/>
  <c r="AL62" i="56"/>
  <c r="AX62" i="56"/>
  <c r="AV62" i="56"/>
  <c r="AK138" i="56"/>
  <c r="AT62" i="56"/>
  <c r="M138" i="56"/>
  <c r="N62" i="56"/>
  <c r="Z62" i="56"/>
  <c r="X62" i="56"/>
  <c r="V62" i="56"/>
  <c r="AX239" i="56"/>
  <c r="AF239" i="56"/>
  <c r="AF62" i="56"/>
  <c r="AF63" i="56"/>
  <c r="BG239" i="56"/>
  <c r="BF138" i="56"/>
  <c r="BE139" i="56"/>
  <c r="BE220" i="56" s="1"/>
  <c r="BF220" i="56" s="1"/>
  <c r="BA138" i="56"/>
  <c r="BB62" i="56"/>
  <c r="BJ62" i="56"/>
  <c r="BH62" i="56"/>
  <c r="BH239" i="56"/>
  <c r="Z239" i="56"/>
  <c r="R62" i="56"/>
  <c r="Q138" i="56"/>
  <c r="V239" i="56"/>
  <c r="AP62" i="56"/>
  <c r="AO138" i="56"/>
  <c r="AM138" i="56"/>
  <c r="AN62" i="56"/>
  <c r="AH239" i="56"/>
  <c r="W239" i="56"/>
  <c r="S138" i="56"/>
  <c r="T62" i="56"/>
  <c r="P138" i="56"/>
  <c r="O139" i="56"/>
  <c r="O220" i="56" s="1"/>
  <c r="P220" i="56" s="1"/>
  <c r="BD62" i="56"/>
  <c r="BC138" i="56"/>
  <c r="AT239" i="56"/>
  <c r="AE138" i="56"/>
  <c r="X239" i="56"/>
  <c r="AW239" i="56"/>
  <c r="AI239" i="56"/>
  <c r="AC139" i="56"/>
  <c r="AC220" i="56" s="1"/>
  <c r="AD138" i="56"/>
  <c r="N123" i="54"/>
  <c r="AV123" i="54"/>
  <c r="O123" i="54"/>
  <c r="AW123" i="54"/>
  <c r="V123" i="54"/>
  <c r="BE123" i="54"/>
  <c r="W123" i="54"/>
  <c r="BM123" i="54"/>
  <c r="AE123" i="54"/>
  <c r="BV123" i="54"/>
  <c r="AF123" i="54"/>
  <c r="AN123" i="54"/>
  <c r="AO123" i="54"/>
  <c r="L123" i="54"/>
  <c r="T123" i="54"/>
  <c r="AC123" i="54"/>
  <c r="AK123" i="54"/>
  <c r="AT123" i="54"/>
  <c r="BC123" i="54"/>
  <c r="BK123" i="54"/>
  <c r="BX123" i="54"/>
  <c r="BP123" i="54"/>
  <c r="M123" i="54"/>
  <c r="U123" i="54"/>
  <c r="AD123" i="54"/>
  <c r="AL123" i="54"/>
  <c r="AU123" i="54"/>
  <c r="BD123" i="54"/>
  <c r="BL123" i="54"/>
  <c r="BW123" i="54"/>
  <c r="BF123" i="54"/>
  <c r="BN123" i="54"/>
  <c r="BU123" i="54"/>
  <c r="P123" i="54"/>
  <c r="X123" i="54"/>
  <c r="AG123" i="54"/>
  <c r="AP123" i="54"/>
  <c r="AX123" i="54"/>
  <c r="BG123" i="54"/>
  <c r="CB123" i="54"/>
  <c r="BT123" i="54"/>
  <c r="Q123" i="54"/>
  <c r="Z123" i="54"/>
  <c r="AH123" i="54"/>
  <c r="AQ123" i="54"/>
  <c r="AY123" i="54"/>
  <c r="BH123" i="54"/>
  <c r="CA123" i="54"/>
  <c r="BS123" i="54"/>
  <c r="R123" i="54"/>
  <c r="AA123" i="54"/>
  <c r="AI123" i="54"/>
  <c r="AR123" i="54"/>
  <c r="AZ123" i="54"/>
  <c r="BI123" i="54"/>
  <c r="BZ123" i="54"/>
  <c r="BR123" i="54"/>
  <c r="S123" i="54"/>
  <c r="AB123" i="54"/>
  <c r="AJ123" i="54"/>
  <c r="AS123" i="54"/>
  <c r="BB123" i="54"/>
  <c r="BJ123" i="54"/>
  <c r="BY123" i="54"/>
  <c r="BQ123" i="54"/>
  <c r="BB4" i="54"/>
  <c r="BB15" i="54" s="1"/>
  <c r="AA4" i="54"/>
  <c r="AA5" i="54" s="1"/>
  <c r="L4" i="54"/>
  <c r="AN4" i="54"/>
  <c r="AN15" i="54" s="1"/>
  <c r="AW14" i="54"/>
  <c r="AS14" i="54"/>
  <c r="AU14" i="54"/>
  <c r="BZ52" i="54"/>
  <c r="AC51" i="54"/>
  <c r="Z1" i="54"/>
  <c r="Z15" i="54"/>
  <c r="N14" i="54"/>
  <c r="AN51" i="54"/>
  <c r="AV14" i="54"/>
  <c r="BX51" i="54"/>
  <c r="AO14" i="54"/>
  <c r="AN52" i="54"/>
  <c r="BV51" i="54"/>
  <c r="AR52" i="54"/>
  <c r="AP51" i="54"/>
  <c r="AT52" i="54"/>
  <c r="L52" i="54"/>
  <c r="BC52" i="54"/>
  <c r="L51" i="54"/>
  <c r="T52" i="54"/>
  <c r="T14" i="54"/>
  <c r="N51" i="54"/>
  <c r="BE51" i="54"/>
  <c r="V52" i="54"/>
  <c r="BI52" i="54"/>
  <c r="M14" i="54"/>
  <c r="U14" i="54"/>
  <c r="V51" i="54"/>
  <c r="BG51" i="54"/>
  <c r="AA52" i="54"/>
  <c r="BT52" i="54"/>
  <c r="R14" i="54"/>
  <c r="AT51" i="54"/>
  <c r="AV51" i="54"/>
  <c r="BE52" i="54"/>
  <c r="V14" i="54"/>
  <c r="X51" i="54"/>
  <c r="BK51" i="54"/>
  <c r="AK52" i="54"/>
  <c r="BV52" i="54"/>
  <c r="AY14" i="54"/>
  <c r="AT14" i="54"/>
  <c r="O14" i="54"/>
  <c r="W14" i="54"/>
  <c r="P14" i="54"/>
  <c r="Z14" i="54"/>
  <c r="AQ14" i="54"/>
  <c r="AR14" i="54"/>
  <c r="Q14" i="54"/>
  <c r="AP14" i="54"/>
  <c r="AX14" i="54"/>
  <c r="S14" i="54"/>
  <c r="BY52" i="54"/>
  <c r="BQ52" i="54"/>
  <c r="BH52" i="54"/>
  <c r="AY52" i="54"/>
  <c r="AQ52" i="54"/>
  <c r="AH52" i="54"/>
  <c r="Z52" i="54"/>
  <c r="Q52" i="54"/>
  <c r="CA51" i="54"/>
  <c r="BS51" i="54"/>
  <c r="BJ51" i="54"/>
  <c r="BB51" i="54"/>
  <c r="AS51" i="54"/>
  <c r="AJ51" i="54"/>
  <c r="AB51" i="54"/>
  <c r="S51" i="54"/>
  <c r="BX52" i="54"/>
  <c r="BP52" i="54"/>
  <c r="BG52" i="54"/>
  <c r="AX52" i="54"/>
  <c r="AP52" i="54"/>
  <c r="AG52" i="54"/>
  <c r="X52" i="54"/>
  <c r="P52" i="54"/>
  <c r="BZ51" i="54"/>
  <c r="BR51" i="54"/>
  <c r="BI51" i="54"/>
  <c r="AZ51" i="54"/>
  <c r="AR51" i="54"/>
  <c r="AI51" i="54"/>
  <c r="AA51" i="54"/>
  <c r="R51" i="54"/>
  <c r="BW52" i="54"/>
  <c r="BN52" i="54"/>
  <c r="BF52" i="54"/>
  <c r="AW52" i="54"/>
  <c r="AO52" i="54"/>
  <c r="AF52" i="54"/>
  <c r="W52" i="54"/>
  <c r="O52" i="54"/>
  <c r="BY51" i="54"/>
  <c r="BQ51" i="54"/>
  <c r="BH51" i="54"/>
  <c r="AY51" i="54"/>
  <c r="AQ51" i="54"/>
  <c r="AH51" i="54"/>
  <c r="Z51" i="54"/>
  <c r="Q51" i="54"/>
  <c r="BU52" i="54"/>
  <c r="BL52" i="54"/>
  <c r="BD52" i="54"/>
  <c r="AU52" i="54"/>
  <c r="AL52" i="54"/>
  <c r="AD52" i="54"/>
  <c r="U52" i="54"/>
  <c r="M52" i="54"/>
  <c r="BW51" i="54"/>
  <c r="BN51" i="54"/>
  <c r="BF51" i="54"/>
  <c r="AW51" i="54"/>
  <c r="AO51" i="54"/>
  <c r="AF51" i="54"/>
  <c r="W51" i="54"/>
  <c r="O51" i="54"/>
  <c r="BS52" i="54"/>
  <c r="BB52" i="54"/>
  <c r="AJ52" i="54"/>
  <c r="S52" i="54"/>
  <c r="BU51" i="54"/>
  <c r="BD51" i="54"/>
  <c r="AL51" i="54"/>
  <c r="U51" i="54"/>
  <c r="BR52" i="54"/>
  <c r="AZ52" i="54"/>
  <c r="AI52" i="54"/>
  <c r="R52" i="54"/>
  <c r="BT51" i="54"/>
  <c r="BC51" i="54"/>
  <c r="AK51" i="54"/>
  <c r="T51" i="54"/>
  <c r="BM52" i="54"/>
  <c r="AV52" i="54"/>
  <c r="AE52" i="54"/>
  <c r="N52" i="54"/>
  <c r="BP51" i="54"/>
  <c r="AX51" i="54"/>
  <c r="AG51" i="54"/>
  <c r="P51" i="54"/>
  <c r="CA52" i="54"/>
  <c r="BJ52" i="54"/>
  <c r="AS52" i="54"/>
  <c r="AB52" i="54"/>
  <c r="BL51" i="54"/>
  <c r="AU51" i="54"/>
  <c r="AD51" i="54"/>
  <c r="M51" i="54"/>
  <c r="AE51" i="54"/>
  <c r="BM51" i="54"/>
  <c r="AC52" i="54"/>
  <c r="BK52" i="54"/>
  <c r="A202" i="54"/>
  <c r="A203" i="54" s="1"/>
  <c r="BQ173" i="59" l="1"/>
  <c r="R45" i="58"/>
  <c r="BF63" i="58"/>
  <c r="AL63" i="58"/>
  <c r="R62" i="58"/>
  <c r="BF74" i="58"/>
  <c r="AL74" i="58"/>
  <c r="R73" i="58"/>
  <c r="BF71" i="58"/>
  <c r="AL71" i="58"/>
  <c r="R70" i="58"/>
  <c r="BF68" i="58"/>
  <c r="AL68" i="58"/>
  <c r="R67" i="58"/>
  <c r="BF77" i="58"/>
  <c r="AL77" i="58"/>
  <c r="R81" i="58"/>
  <c r="BF86" i="58"/>
  <c r="AL86" i="58"/>
  <c r="R85" i="58"/>
  <c r="BF91" i="58"/>
  <c r="AL91" i="58"/>
  <c r="R90" i="58"/>
  <c r="BF97" i="58"/>
  <c r="AL97" i="58"/>
  <c r="R96" i="58"/>
  <c r="BF94" i="58"/>
  <c r="AL94" i="58"/>
  <c r="R103" i="58"/>
  <c r="BF101" i="58"/>
  <c r="AL101" i="58"/>
  <c r="R100" i="58"/>
  <c r="BF109" i="58"/>
  <c r="AL109" i="58"/>
  <c r="AR45" i="58"/>
  <c r="P45" i="58"/>
  <c r="BD63" i="58"/>
  <c r="AR62" i="58"/>
  <c r="P62" i="58"/>
  <c r="BD74" i="58"/>
  <c r="AR73" i="58"/>
  <c r="P73" i="58"/>
  <c r="BD71" i="58"/>
  <c r="AR70" i="58"/>
  <c r="P70" i="58"/>
  <c r="BD68" i="58"/>
  <c r="AR67" i="58"/>
  <c r="P67" i="58"/>
  <c r="BD77" i="58"/>
  <c r="AR81" i="58"/>
  <c r="P81" i="58"/>
  <c r="BD86" i="58"/>
  <c r="AR85" i="58"/>
  <c r="P85" i="58"/>
  <c r="BD91" i="58"/>
  <c r="AR90" i="58"/>
  <c r="P90" i="58"/>
  <c r="BD97" i="58"/>
  <c r="AR96" i="58"/>
  <c r="P96" i="58"/>
  <c r="BD94" i="58"/>
  <c r="AR103" i="58"/>
  <c r="P103" i="58"/>
  <c r="BD101" i="58"/>
  <c r="AR100" i="58"/>
  <c r="P100" i="58"/>
  <c r="BD109" i="58"/>
  <c r="AP45" i="58"/>
  <c r="N45" i="58"/>
  <c r="BB63" i="58"/>
  <c r="AP62" i="58"/>
  <c r="N62" i="58"/>
  <c r="BB74" i="58"/>
  <c r="AP73" i="58"/>
  <c r="N73" i="58"/>
  <c r="BB71" i="58"/>
  <c r="AP70" i="58"/>
  <c r="N70" i="58"/>
  <c r="BB68" i="58"/>
  <c r="AP67" i="58"/>
  <c r="N67" i="58"/>
  <c r="BB77" i="58"/>
  <c r="AP81" i="58"/>
  <c r="N81" i="58"/>
  <c r="BB86" i="58"/>
  <c r="AP85" i="58"/>
  <c r="N85" i="58"/>
  <c r="BB91" i="58"/>
  <c r="AP90" i="58"/>
  <c r="N90" i="58"/>
  <c r="BB97" i="58"/>
  <c r="AP96" i="58"/>
  <c r="N96" i="58"/>
  <c r="BB94" i="58"/>
  <c r="AP103" i="58"/>
  <c r="N103" i="58"/>
  <c r="BB101" i="58"/>
  <c r="AP100" i="58"/>
  <c r="N100" i="58"/>
  <c r="BB109" i="58"/>
  <c r="AN45" i="58"/>
  <c r="T44" i="58"/>
  <c r="AN62" i="58"/>
  <c r="T61" i="58"/>
  <c r="AN73" i="58"/>
  <c r="T72" i="58"/>
  <c r="AN70" i="58"/>
  <c r="T69" i="58"/>
  <c r="AN67" i="58"/>
  <c r="T66" i="58"/>
  <c r="AN81" i="58"/>
  <c r="T80" i="58"/>
  <c r="AN85" i="58"/>
  <c r="T84" i="58"/>
  <c r="AN90" i="58"/>
  <c r="T89" i="58"/>
  <c r="AN96" i="58"/>
  <c r="T95" i="58"/>
  <c r="AN103" i="58"/>
  <c r="T102" i="58"/>
  <c r="AN100" i="58"/>
  <c r="T106" i="58"/>
  <c r="AP44" i="58"/>
  <c r="AP63" i="58"/>
  <c r="AR61" i="58"/>
  <c r="N61" i="58"/>
  <c r="AR74" i="58"/>
  <c r="N74" i="58"/>
  <c r="P72" i="58"/>
  <c r="P71" i="58"/>
  <c r="R69" i="58"/>
  <c r="R68" i="58"/>
  <c r="T67" i="58"/>
  <c r="T77" i="58"/>
  <c r="BB85" i="58"/>
  <c r="BD90" i="58"/>
  <c r="BF96" i="58"/>
  <c r="BB95" i="58"/>
  <c r="BD102" i="58"/>
  <c r="BF106" i="58"/>
  <c r="AL106" i="58"/>
  <c r="AL45" i="58"/>
  <c r="AN44" i="58"/>
  <c r="AN63" i="58"/>
  <c r="AP61" i="58"/>
  <c r="AP74" i="58"/>
  <c r="AR72" i="58"/>
  <c r="N72" i="58"/>
  <c r="AR71" i="58"/>
  <c r="N71" i="58"/>
  <c r="P69" i="58"/>
  <c r="P68" i="58"/>
  <c r="R66" i="58"/>
  <c r="R77" i="58"/>
  <c r="T81" i="58"/>
  <c r="T86" i="58"/>
  <c r="BB90" i="58"/>
  <c r="BD96" i="58"/>
  <c r="BF103" i="58"/>
  <c r="BB102" i="58"/>
  <c r="BD106" i="58"/>
  <c r="BF44" i="58"/>
  <c r="AL44" i="58"/>
  <c r="AL62" i="58"/>
  <c r="AN61" i="58"/>
  <c r="AN74" i="58"/>
  <c r="AP72" i="58"/>
  <c r="AP71" i="58"/>
  <c r="AR69" i="58"/>
  <c r="N69" i="58"/>
  <c r="AR68" i="58"/>
  <c r="N68" i="58"/>
  <c r="P66" i="58"/>
  <c r="P77" i="58"/>
  <c r="R80" i="58"/>
  <c r="R86" i="58"/>
  <c r="T85" i="58"/>
  <c r="T91" i="58"/>
  <c r="BB96" i="58"/>
  <c r="BD103" i="58"/>
  <c r="BF100" i="58"/>
  <c r="BB106" i="58"/>
  <c r="T45" i="58"/>
  <c r="T63" i="58"/>
  <c r="BB73" i="58"/>
  <c r="BD70" i="58"/>
  <c r="BF67" i="58"/>
  <c r="BB66" i="58"/>
  <c r="BD80" i="58"/>
  <c r="BF84" i="58"/>
  <c r="AL84" i="58"/>
  <c r="AL90" i="58"/>
  <c r="AN89" i="58"/>
  <c r="AN97" i="58"/>
  <c r="AP95" i="58"/>
  <c r="AP94" i="58"/>
  <c r="AR102" i="58"/>
  <c r="N102" i="58"/>
  <c r="AR101" i="58"/>
  <c r="N101" i="58"/>
  <c r="P106" i="58"/>
  <c r="P109" i="58"/>
  <c r="BD44" i="58"/>
  <c r="R63" i="58"/>
  <c r="BF73" i="58"/>
  <c r="AL70" i="58"/>
  <c r="AL69" i="58"/>
  <c r="AR66" i="58"/>
  <c r="AN77" i="58"/>
  <c r="N84" i="58"/>
  <c r="AR91" i="58"/>
  <c r="BF89" i="58"/>
  <c r="R94" i="58"/>
  <c r="AN102" i="58"/>
  <c r="R109" i="58"/>
  <c r="BB44" i="58"/>
  <c r="P63" i="58"/>
  <c r="BD73" i="58"/>
  <c r="BF69" i="58"/>
  <c r="AP66" i="58"/>
  <c r="BF81" i="58"/>
  <c r="AR84" i="58"/>
  <c r="AP91" i="58"/>
  <c r="BD89" i="58"/>
  <c r="R95" i="58"/>
  <c r="P94" i="58"/>
  <c r="AL102" i="58"/>
  <c r="BD100" i="58"/>
  <c r="R106" i="58"/>
  <c r="N109" i="58"/>
  <c r="N63" i="58"/>
  <c r="AL61" i="58"/>
  <c r="R72" i="58"/>
  <c r="AN71" i="58"/>
  <c r="BD69" i="58"/>
  <c r="T68" i="58"/>
  <c r="AN66" i="58"/>
  <c r="BD81" i="58"/>
  <c r="P86" i="58"/>
  <c r="AP84" i="58"/>
  <c r="AN91" i="58"/>
  <c r="BB89" i="58"/>
  <c r="T96" i="58"/>
  <c r="P95" i="58"/>
  <c r="N94" i="58"/>
  <c r="BB100" i="58"/>
  <c r="N106" i="58"/>
  <c r="AR109" i="58"/>
  <c r="AR44" i="58"/>
  <c r="BF62" i="58"/>
  <c r="AL73" i="58"/>
  <c r="BD67" i="58"/>
  <c r="AN80" i="58"/>
  <c r="N89" i="58"/>
  <c r="AR97" i="58"/>
  <c r="BF95" i="58"/>
  <c r="BB103" i="58"/>
  <c r="R102" i="58"/>
  <c r="R44" i="58"/>
  <c r="BB61" i="58"/>
  <c r="BB72" i="58"/>
  <c r="N66" i="58"/>
  <c r="AR77" i="58"/>
  <c r="N86" i="58"/>
  <c r="R91" i="58"/>
  <c r="AR95" i="58"/>
  <c r="T103" i="58"/>
  <c r="P44" i="58"/>
  <c r="R61" i="58"/>
  <c r="AP68" i="58"/>
  <c r="AP77" i="58"/>
  <c r="P91" i="58"/>
  <c r="AN95" i="58"/>
  <c r="AP102" i="58"/>
  <c r="T100" i="58"/>
  <c r="AR106" i="58"/>
  <c r="T74" i="58"/>
  <c r="AL72" i="58"/>
  <c r="T71" i="58"/>
  <c r="N77" i="58"/>
  <c r="BF90" i="58"/>
  <c r="P102" i="58"/>
  <c r="AP101" i="58"/>
  <c r="R74" i="58"/>
  <c r="R71" i="58"/>
  <c r="AL67" i="58"/>
  <c r="BF66" i="58"/>
  <c r="AL81" i="58"/>
  <c r="BF80" i="58"/>
  <c r="T90" i="58"/>
  <c r="AR89" i="58"/>
  <c r="N95" i="58"/>
  <c r="AR94" i="58"/>
  <c r="AN101" i="58"/>
  <c r="AP109" i="58"/>
  <c r="N44" i="58"/>
  <c r="AR63" i="58"/>
  <c r="BD62" i="58"/>
  <c r="AN72" i="58"/>
  <c r="AL80" i="58"/>
  <c r="T94" i="58"/>
  <c r="AL103" i="58"/>
  <c r="BF102" i="58"/>
  <c r="BB62" i="58"/>
  <c r="BB69" i="58"/>
  <c r="T97" i="58"/>
  <c r="T62" i="58"/>
  <c r="AN84" i="58"/>
  <c r="R97" i="58"/>
  <c r="AP106" i="58"/>
  <c r="BF61" i="58"/>
  <c r="AP69" i="58"/>
  <c r="N80" i="58"/>
  <c r="AR86" i="58"/>
  <c r="P101" i="58"/>
  <c r="AL100" i="58"/>
  <c r="T70" i="58"/>
  <c r="AN69" i="58"/>
  <c r="BD66" i="58"/>
  <c r="BB81" i="58"/>
  <c r="P97" i="58"/>
  <c r="T101" i="58"/>
  <c r="AN109" i="58"/>
  <c r="AR80" i="58"/>
  <c r="N97" i="58"/>
  <c r="AL96" i="58"/>
  <c r="BD95" i="58"/>
  <c r="R101" i="58"/>
  <c r="BD61" i="58"/>
  <c r="N91" i="58"/>
  <c r="R84" i="58"/>
  <c r="AP89" i="58"/>
  <c r="AL95" i="58"/>
  <c r="AL85" i="58"/>
  <c r="BD84" i="58"/>
  <c r="AL89" i="58"/>
  <c r="AN94" i="58"/>
  <c r="BB80" i="58"/>
  <c r="BB84" i="58"/>
  <c r="AP80" i="58"/>
  <c r="P89" i="58"/>
  <c r="AP97" i="58"/>
  <c r="P74" i="58"/>
  <c r="BF72" i="58"/>
  <c r="BF70" i="58"/>
  <c r="AN68" i="58"/>
  <c r="BB67" i="58"/>
  <c r="AL66" i="58"/>
  <c r="BD85" i="58"/>
  <c r="BD72" i="58"/>
  <c r="P84" i="58"/>
  <c r="T73" i="58"/>
  <c r="P61" i="58"/>
  <c r="AN106" i="58"/>
  <c r="T109" i="58"/>
  <c r="R89" i="58"/>
  <c r="BF45" i="58"/>
  <c r="BB70" i="58"/>
  <c r="P80" i="58"/>
  <c r="AP86" i="58"/>
  <c r="BD45" i="58"/>
  <c r="AN86" i="58"/>
  <c r="BF85" i="58"/>
  <c r="BB45" i="58"/>
  <c r="BP214" i="57"/>
  <c r="AC15" i="57"/>
  <c r="AA173" i="59"/>
  <c r="AB173" i="59" s="1"/>
  <c r="AC173" i="59" s="1"/>
  <c r="AD173" i="59" s="1"/>
  <c r="AE173" i="59" s="1"/>
  <c r="AF173" i="59" s="1"/>
  <c r="AG173" i="59" s="1"/>
  <c r="AH173" i="59" s="1"/>
  <c r="AI173" i="59" s="1"/>
  <c r="AJ173" i="59" s="1"/>
  <c r="AK173" i="59" s="1"/>
  <c r="BR173" i="59"/>
  <c r="BS173" i="59" s="1"/>
  <c r="BT173" i="59" s="1"/>
  <c r="BU173" i="59" s="1"/>
  <c r="BV173" i="59" s="1"/>
  <c r="BW173" i="59" s="1"/>
  <c r="BX173" i="59" s="1"/>
  <c r="BY173" i="59" s="1"/>
  <c r="BZ173" i="59" s="1"/>
  <c r="CA173" i="59" s="1"/>
  <c r="CB173" i="59" s="1"/>
  <c r="BC205" i="57"/>
  <c r="BD205" i="57" s="1"/>
  <c r="BE205" i="57" s="1"/>
  <c r="BF205" i="57" s="1"/>
  <c r="BG205" i="57" s="1"/>
  <c r="BH205" i="57" s="1"/>
  <c r="BI205" i="57" s="1"/>
  <c r="BJ205" i="57" s="1"/>
  <c r="BK205" i="57" s="1"/>
  <c r="BL205" i="57" s="1"/>
  <c r="BM205" i="57" s="1"/>
  <c r="BN205" i="57" s="1"/>
  <c r="M173" i="59"/>
  <c r="N173" i="59" s="1"/>
  <c r="O173" i="59" s="1"/>
  <c r="P173" i="59" s="1"/>
  <c r="Q173" i="59" s="1"/>
  <c r="R173" i="59" s="1"/>
  <c r="S173" i="59" s="1"/>
  <c r="T173" i="59" s="1"/>
  <c r="U173" i="59" s="1"/>
  <c r="V173" i="59" s="1"/>
  <c r="W173" i="59" s="1"/>
  <c r="X173" i="59" s="1"/>
  <c r="AN182" i="59"/>
  <c r="AO173" i="59"/>
  <c r="AP173" i="59" s="1"/>
  <c r="AQ173" i="59" s="1"/>
  <c r="AR173" i="59" s="1"/>
  <c r="AS173" i="59" s="1"/>
  <c r="AT173" i="59" s="1"/>
  <c r="AU173" i="59" s="1"/>
  <c r="AV173" i="59" s="1"/>
  <c r="AW173" i="59" s="1"/>
  <c r="AX173" i="59" s="1"/>
  <c r="AY173" i="59" s="1"/>
  <c r="AZ173" i="59" s="1"/>
  <c r="M182" i="59"/>
  <c r="AA182" i="59"/>
  <c r="BC173" i="59"/>
  <c r="BD173" i="59" s="1"/>
  <c r="BE173" i="59" s="1"/>
  <c r="BF173" i="59" s="1"/>
  <c r="BG173" i="59" s="1"/>
  <c r="BH173" i="59" s="1"/>
  <c r="BI173" i="59" s="1"/>
  <c r="BJ173" i="59" s="1"/>
  <c r="BK173" i="59" s="1"/>
  <c r="BL173" i="59" s="1"/>
  <c r="BM173" i="59" s="1"/>
  <c r="BN173" i="59" s="1"/>
  <c r="BR199" i="54"/>
  <c r="BS199" i="54"/>
  <c r="AO205" i="57"/>
  <c r="AP205" i="57" s="1"/>
  <c r="AQ205" i="57" s="1"/>
  <c r="AR205" i="57" s="1"/>
  <c r="AS205" i="57" s="1"/>
  <c r="AT205" i="57" s="1"/>
  <c r="AU205" i="57" s="1"/>
  <c r="AV205" i="57" s="1"/>
  <c r="AW205" i="57" s="1"/>
  <c r="AX205" i="57" s="1"/>
  <c r="AY205" i="57" s="1"/>
  <c r="AZ205" i="57" s="1"/>
  <c r="T188" i="58"/>
  <c r="X204" i="57"/>
  <c r="AN214" i="57"/>
  <c r="M205" i="57"/>
  <c r="N205" i="57" s="1"/>
  <c r="O205" i="57" s="1"/>
  <c r="P205" i="57" s="1"/>
  <c r="Q205" i="57" s="1"/>
  <c r="R205" i="57" s="1"/>
  <c r="S205" i="57" s="1"/>
  <c r="T205" i="57" s="1"/>
  <c r="U205" i="57" s="1"/>
  <c r="V205" i="57" s="1"/>
  <c r="W205" i="57" s="1"/>
  <c r="X205" i="57" s="1"/>
  <c r="AR220" i="56"/>
  <c r="AQ237" i="56"/>
  <c r="BX199" i="54"/>
  <c r="BX209" i="54" s="1"/>
  <c r="BU199" i="54"/>
  <c r="M199" i="54"/>
  <c r="M209" i="54" s="1"/>
  <c r="AY199" i="54"/>
  <c r="AY209" i="54" s="1"/>
  <c r="AR54" i="58"/>
  <c r="O199" i="54"/>
  <c r="O209" i="54" s="1"/>
  <c r="AB199" i="54"/>
  <c r="AB209" i="54" s="1"/>
  <c r="S199" i="54"/>
  <c r="S209" i="54" s="1"/>
  <c r="R199" i="54"/>
  <c r="R209" i="54" s="1"/>
  <c r="Q199" i="54"/>
  <c r="Q209" i="54" s="1"/>
  <c r="P199" i="54"/>
  <c r="P209" i="54" s="1"/>
  <c r="BR205" i="57"/>
  <c r="BS205" i="57" s="1"/>
  <c r="BT205" i="57" s="1"/>
  <c r="BU205" i="57" s="1"/>
  <c r="BV205" i="57" s="1"/>
  <c r="BW205" i="57" s="1"/>
  <c r="BX205" i="57" s="1"/>
  <c r="BY205" i="57" s="1"/>
  <c r="BZ205" i="57" s="1"/>
  <c r="CA205" i="57" s="1"/>
  <c r="CB205" i="57" s="1"/>
  <c r="R54" i="58"/>
  <c r="BF188" i="58"/>
  <c r="BZ199" i="54"/>
  <c r="BZ209" i="54" s="1"/>
  <c r="CA199" i="54"/>
  <c r="CA209" i="54" s="1"/>
  <c r="BV199" i="54"/>
  <c r="BV209" i="54" s="1"/>
  <c r="AC199" i="54"/>
  <c r="AC209" i="54" s="1"/>
  <c r="BP199" i="54"/>
  <c r="BP200" i="54" s="1"/>
  <c r="BT199" i="54"/>
  <c r="BT209" i="54" s="1"/>
  <c r="CB52" i="54"/>
  <c r="CB199" i="54" s="1"/>
  <c r="L214" i="57"/>
  <c r="AZ199" i="54"/>
  <c r="AR199" i="54"/>
  <c r="AR209" i="54" s="1"/>
  <c r="AP199" i="54"/>
  <c r="AP209" i="54" s="1"/>
  <c r="V199" i="54"/>
  <c r="V209" i="54" s="1"/>
  <c r="AJ199" i="54"/>
  <c r="AJ209" i="54" s="1"/>
  <c r="AI199" i="54"/>
  <c r="AI209" i="54" s="1"/>
  <c r="AH199" i="54"/>
  <c r="AH209" i="54" s="1"/>
  <c r="AG199" i="54"/>
  <c r="BD199" i="54"/>
  <c r="BD209" i="54" s="1"/>
  <c r="BK199" i="54"/>
  <c r="BK209" i="54" s="1"/>
  <c r="AN199" i="54"/>
  <c r="AN200" i="54" s="1"/>
  <c r="AW199" i="54"/>
  <c r="AW209" i="54" s="1"/>
  <c r="AA199" i="54"/>
  <c r="AA209" i="54" s="1"/>
  <c r="Z199" i="54"/>
  <c r="Z200" i="54" s="1"/>
  <c r="X199" i="54"/>
  <c r="AU199" i="54"/>
  <c r="AU209" i="54" s="1"/>
  <c r="BC199" i="54"/>
  <c r="BC209" i="54" s="1"/>
  <c r="AF199" i="54"/>
  <c r="AF209" i="54" s="1"/>
  <c r="AL199" i="54"/>
  <c r="AT199" i="54"/>
  <c r="AT209" i="54" s="1"/>
  <c r="AV199" i="54"/>
  <c r="AV209" i="54" s="1"/>
  <c r="AN153" i="58"/>
  <c r="AL152" i="58"/>
  <c r="R152" i="58"/>
  <c r="AL148" i="58"/>
  <c r="P147" i="58"/>
  <c r="AL143" i="58"/>
  <c r="P142" i="58"/>
  <c r="AL138" i="58"/>
  <c r="P137" i="58"/>
  <c r="AL128" i="58"/>
  <c r="P127" i="58"/>
  <c r="AL123" i="58"/>
  <c r="R123" i="58"/>
  <c r="BD122" i="58"/>
  <c r="AR122" i="58"/>
  <c r="N121" i="58"/>
  <c r="AN120" i="58"/>
  <c r="T120" i="58"/>
  <c r="BF119" i="58"/>
  <c r="R119" i="58"/>
  <c r="BD118" i="58"/>
  <c r="AR118" i="58"/>
  <c r="AL153" i="58"/>
  <c r="P152" i="58"/>
  <c r="AN149" i="58"/>
  <c r="N147" i="58"/>
  <c r="N142" i="58"/>
  <c r="N137" i="58"/>
  <c r="T134" i="58"/>
  <c r="T133" i="58"/>
  <c r="BF132" i="58"/>
  <c r="N127" i="58"/>
  <c r="P123" i="58"/>
  <c r="BB122" i="58"/>
  <c r="AP122" i="58"/>
  <c r="AL120" i="58"/>
  <c r="R120" i="58"/>
  <c r="BD119" i="58"/>
  <c r="AR119" i="58"/>
  <c r="P119" i="58"/>
  <c r="BB118" i="58"/>
  <c r="AP118" i="58"/>
  <c r="N152" i="58"/>
  <c r="BF133" i="58"/>
  <c r="R133" i="58"/>
  <c r="BD132" i="58"/>
  <c r="AR132" i="58"/>
  <c r="N123" i="58"/>
  <c r="AN122" i="58"/>
  <c r="T122" i="58"/>
  <c r="BF121" i="58"/>
  <c r="P120" i="58"/>
  <c r="BB119" i="58"/>
  <c r="AP119" i="58"/>
  <c r="N119" i="58"/>
  <c r="AN118" i="58"/>
  <c r="T118" i="58"/>
  <c r="T148" i="58"/>
  <c r="BF147" i="58"/>
  <c r="T143" i="58"/>
  <c r="BF142" i="58"/>
  <c r="T138" i="58"/>
  <c r="BF137" i="58"/>
  <c r="BD133" i="58"/>
  <c r="AR133" i="58"/>
  <c r="P133" i="58"/>
  <c r="BB132" i="58"/>
  <c r="AP132" i="58"/>
  <c r="T128" i="58"/>
  <c r="BF127" i="58"/>
  <c r="AL122" i="58"/>
  <c r="R122" i="58"/>
  <c r="BD121" i="58"/>
  <c r="AR121" i="58"/>
  <c r="N120" i="58"/>
  <c r="AN119" i="58"/>
  <c r="AL118" i="58"/>
  <c r="R118" i="58"/>
  <c r="T153" i="58"/>
  <c r="BF152" i="58"/>
  <c r="BF148" i="58"/>
  <c r="R148" i="58"/>
  <c r="BD147" i="58"/>
  <c r="AR147" i="58"/>
  <c r="BF143" i="58"/>
  <c r="R143" i="58"/>
  <c r="BD142" i="58"/>
  <c r="AR142" i="58"/>
  <c r="BF138" i="58"/>
  <c r="R138" i="58"/>
  <c r="BD137" i="58"/>
  <c r="AR137" i="58"/>
  <c r="BB133" i="58"/>
  <c r="AP133" i="58"/>
  <c r="N133" i="58"/>
  <c r="AN132" i="58"/>
  <c r="T132" i="58"/>
  <c r="BB129" i="58"/>
  <c r="BF128" i="58"/>
  <c r="R128" i="58"/>
  <c r="BD127" i="58"/>
  <c r="AR127" i="58"/>
  <c r="BF123" i="58"/>
  <c r="P122" i="58"/>
  <c r="BB121" i="58"/>
  <c r="AP121" i="58"/>
  <c r="AL119" i="58"/>
  <c r="P118" i="58"/>
  <c r="BF153" i="58"/>
  <c r="R153" i="58"/>
  <c r="BD152" i="58"/>
  <c r="AR152" i="58"/>
  <c r="BD148" i="58"/>
  <c r="AR148" i="58"/>
  <c r="P148" i="58"/>
  <c r="BB147" i="58"/>
  <c r="AP147" i="58"/>
  <c r="BD143" i="58"/>
  <c r="AR143" i="58"/>
  <c r="P143" i="58"/>
  <c r="BB142" i="58"/>
  <c r="AP142" i="58"/>
  <c r="BD138" i="58"/>
  <c r="AR138" i="58"/>
  <c r="P138" i="58"/>
  <c r="BB137" i="58"/>
  <c r="AP137" i="58"/>
  <c r="AN133" i="58"/>
  <c r="AL132" i="58"/>
  <c r="R132" i="58"/>
  <c r="BD128" i="58"/>
  <c r="AR128" i="58"/>
  <c r="P128" i="58"/>
  <c r="BB127" i="58"/>
  <c r="AP127" i="58"/>
  <c r="BD123" i="58"/>
  <c r="AR123" i="58"/>
  <c r="N122" i="58"/>
  <c r="AN121" i="58"/>
  <c r="T121" i="58"/>
  <c r="BF120" i="58"/>
  <c r="N118" i="58"/>
  <c r="BD154" i="58"/>
  <c r="BD153" i="58"/>
  <c r="AR153" i="58"/>
  <c r="P153" i="58"/>
  <c r="BB152" i="58"/>
  <c r="AP152" i="58"/>
  <c r="BB148" i="58"/>
  <c r="AP148" i="58"/>
  <c r="N148" i="58"/>
  <c r="AN147" i="58"/>
  <c r="T147" i="58"/>
  <c r="BB143" i="58"/>
  <c r="AP143" i="58"/>
  <c r="N143" i="58"/>
  <c r="AN142" i="58"/>
  <c r="T142" i="58"/>
  <c r="BB138" i="58"/>
  <c r="AP138" i="58"/>
  <c r="N138" i="58"/>
  <c r="AN137" i="58"/>
  <c r="T137" i="58"/>
  <c r="AL133" i="58"/>
  <c r="P132" i="58"/>
  <c r="AR129" i="58"/>
  <c r="BB128" i="58"/>
  <c r="AP128" i="58"/>
  <c r="N128" i="58"/>
  <c r="AN127" i="58"/>
  <c r="T127" i="58"/>
  <c r="BB123" i="58"/>
  <c r="AP123" i="58"/>
  <c r="AL121" i="58"/>
  <c r="R121" i="58"/>
  <c r="BD120" i="58"/>
  <c r="AR120" i="58"/>
  <c r="BB153" i="58"/>
  <c r="AP153" i="58"/>
  <c r="N153" i="58"/>
  <c r="AN152" i="58"/>
  <c r="T152" i="58"/>
  <c r="AN148" i="58"/>
  <c r="AL147" i="58"/>
  <c r="R147" i="58"/>
  <c r="AN143" i="58"/>
  <c r="AL142" i="58"/>
  <c r="R142" i="58"/>
  <c r="AN138" i="58"/>
  <c r="AL137" i="58"/>
  <c r="R137" i="58"/>
  <c r="N132" i="58"/>
  <c r="AN128" i="58"/>
  <c r="AL127" i="58"/>
  <c r="R127" i="58"/>
  <c r="AN123" i="58"/>
  <c r="T123" i="58"/>
  <c r="BF122" i="58"/>
  <c r="P121" i="58"/>
  <c r="BB120" i="58"/>
  <c r="AP120" i="58"/>
  <c r="T119" i="58"/>
  <c r="BF118" i="58"/>
  <c r="BF154" i="58"/>
  <c r="T149" i="58"/>
  <c r="AP149" i="58"/>
  <c r="AL144" i="58"/>
  <c r="AL134" i="58"/>
  <c r="AN129" i="58"/>
  <c r="AR124" i="58"/>
  <c r="BB149" i="58"/>
  <c r="BB139" i="58"/>
  <c r="BD144" i="58"/>
  <c r="AP129" i="58"/>
  <c r="AR139" i="58"/>
  <c r="AN144" i="58"/>
  <c r="BB144" i="58"/>
  <c r="AP154" i="58"/>
  <c r="AL139" i="58"/>
  <c r="AN139" i="58"/>
  <c r="BF124" i="58"/>
  <c r="T154" i="58"/>
  <c r="BD134" i="58"/>
  <c r="AP144" i="58"/>
  <c r="AP134" i="58"/>
  <c r="AN134" i="58"/>
  <c r="AR149" i="58"/>
  <c r="AL124" i="58"/>
  <c r="T139" i="58"/>
  <c r="AP139" i="58"/>
  <c r="T144" i="58"/>
  <c r="BD149" i="58"/>
  <c r="BD124" i="58"/>
  <c r="AR144" i="58"/>
  <c r="AL149" i="58"/>
  <c r="AR134" i="58"/>
  <c r="BB134" i="58"/>
  <c r="T124" i="58"/>
  <c r="BF139" i="58"/>
  <c r="AL129" i="58"/>
  <c r="BD129" i="58"/>
  <c r="AN124" i="58"/>
  <c r="BF144" i="58"/>
  <c r="BF149" i="58"/>
  <c r="BB124" i="58"/>
  <c r="BF129" i="58"/>
  <c r="BF134" i="58"/>
  <c r="BB154" i="58"/>
  <c r="AN154" i="58"/>
  <c r="BD139" i="58"/>
  <c r="AP124" i="58"/>
  <c r="AR154" i="58"/>
  <c r="T129" i="58"/>
  <c r="AL154" i="58"/>
  <c r="AD199" i="54"/>
  <c r="AD209" i="54" s="1"/>
  <c r="AE199" i="54"/>
  <c r="AE209" i="54" s="1"/>
  <c r="AA205" i="57"/>
  <c r="AB205" i="57" s="1"/>
  <c r="AC205" i="57" s="1"/>
  <c r="AD205" i="57" s="1"/>
  <c r="AE205" i="57" s="1"/>
  <c r="AF205" i="57" s="1"/>
  <c r="AG205" i="57" s="1"/>
  <c r="AH205" i="57" s="1"/>
  <c r="AI205" i="57" s="1"/>
  <c r="AJ205" i="57" s="1"/>
  <c r="AK205" i="57" s="1"/>
  <c r="AK199" i="54"/>
  <c r="AK209" i="54" s="1"/>
  <c r="N199" i="54"/>
  <c r="N209" i="54" s="1"/>
  <c r="BN199" i="54"/>
  <c r="U199" i="54"/>
  <c r="U209" i="54" s="1"/>
  <c r="BM199" i="54"/>
  <c r="BM209" i="54" s="1"/>
  <c r="BW199" i="54"/>
  <c r="BW209" i="54" s="1"/>
  <c r="BJ199" i="54"/>
  <c r="BJ209" i="54" s="1"/>
  <c r="BI199" i="54"/>
  <c r="BI209" i="54" s="1"/>
  <c r="BH199" i="54"/>
  <c r="BH209" i="54" s="1"/>
  <c r="BG199" i="54"/>
  <c r="BG209" i="54" s="1"/>
  <c r="BF199" i="54"/>
  <c r="BF209" i="54" s="1"/>
  <c r="T199" i="54"/>
  <c r="T209" i="54" s="1"/>
  <c r="W199" i="54"/>
  <c r="W209" i="54" s="1"/>
  <c r="BB199" i="54"/>
  <c r="BB200" i="54" s="1"/>
  <c r="AX199" i="54"/>
  <c r="AX209" i="54" s="1"/>
  <c r="L199" i="54"/>
  <c r="L200" i="54" s="1"/>
  <c r="BE199" i="54"/>
  <c r="BE209" i="54" s="1"/>
  <c r="BQ199" i="54"/>
  <c r="AH222" i="53"/>
  <c r="AF222" i="53"/>
  <c r="AV222" i="53"/>
  <c r="W222" i="53"/>
  <c r="AG222" i="53"/>
  <c r="AX222" i="53"/>
  <c r="AW222" i="53"/>
  <c r="AU222" i="53"/>
  <c r="Z222" i="53"/>
  <c r="AI222" i="53"/>
  <c r="Y222" i="53"/>
  <c r="X222" i="53"/>
  <c r="AS199" i="54"/>
  <c r="AS209" i="54" s="1"/>
  <c r="AQ199" i="54"/>
  <c r="AQ209" i="54" s="1"/>
  <c r="BL199" i="54"/>
  <c r="BL209" i="54" s="1"/>
  <c r="AO199" i="54"/>
  <c r="AO209" i="54" s="1"/>
  <c r="BY199" i="54"/>
  <c r="BY209" i="54" s="1"/>
  <c r="AI188" i="58"/>
  <c r="AG188" i="58"/>
  <c r="AH188" i="58"/>
  <c r="AF188" i="58"/>
  <c r="AD139" i="56"/>
  <c r="AD220" i="56" s="1"/>
  <c r="AE139" i="56"/>
  <c r="AE220" i="56" s="1"/>
  <c r="AP54" i="58"/>
  <c r="BB54" i="58"/>
  <c r="BD54" i="58"/>
  <c r="BF114" i="58"/>
  <c r="T54" i="58"/>
  <c r="N54" i="58"/>
  <c r="AL54" i="58"/>
  <c r="AN54" i="58"/>
  <c r="P54" i="58"/>
  <c r="BF54" i="58"/>
  <c r="T114" i="58"/>
  <c r="P108" i="58"/>
  <c r="AP37" i="58"/>
  <c r="AN37" i="58"/>
  <c r="BB65" i="58"/>
  <c r="N42" i="58"/>
  <c r="AR43" i="58"/>
  <c r="N60" i="58"/>
  <c r="BB35" i="58"/>
  <c r="T50" i="58"/>
  <c r="N34" i="58"/>
  <c r="T107" i="58"/>
  <c r="AN35" i="58"/>
  <c r="T37" i="58"/>
  <c r="AN33" i="58"/>
  <c r="AR46" i="58"/>
  <c r="N38" i="58"/>
  <c r="AP50" i="58"/>
  <c r="BB38" i="58"/>
  <c r="BD37" i="58"/>
  <c r="AP65" i="58"/>
  <c r="BF33" i="58"/>
  <c r="AP52" i="58"/>
  <c r="BD64" i="58"/>
  <c r="AR112" i="58"/>
  <c r="T36" i="58"/>
  <c r="AN49" i="58"/>
  <c r="BD78" i="58"/>
  <c r="AP36" i="58"/>
  <c r="AL38" i="58"/>
  <c r="AR48" i="58"/>
  <c r="BF58" i="58"/>
  <c r="AP104" i="58"/>
  <c r="P35" i="58"/>
  <c r="AP42" i="58"/>
  <c r="P51" i="58"/>
  <c r="N75" i="58"/>
  <c r="BD108" i="58"/>
  <c r="N107" i="58"/>
  <c r="AR92" i="58"/>
  <c r="AN111" i="58"/>
  <c r="N99" i="58"/>
  <c r="BD83" i="58"/>
  <c r="AL65" i="58"/>
  <c r="AL107" i="58"/>
  <c r="BD98" i="58"/>
  <c r="AP78" i="58"/>
  <c r="AL59" i="58"/>
  <c r="BD50" i="58"/>
  <c r="BF43" i="58"/>
  <c r="P104" i="58"/>
  <c r="AN78" i="58"/>
  <c r="BD60" i="58"/>
  <c r="N104" i="58"/>
  <c r="AL112" i="58"/>
  <c r="AP88" i="58"/>
  <c r="T60" i="58"/>
  <c r="P48" i="58"/>
  <c r="T88" i="58"/>
  <c r="AN75" i="58"/>
  <c r="BF51" i="58"/>
  <c r="R43" i="58"/>
  <c r="N93" i="58"/>
  <c r="R83" i="58"/>
  <c r="AR65" i="58"/>
  <c r="BB49" i="58"/>
  <c r="AL33" i="58"/>
  <c r="R46" i="58"/>
  <c r="N112" i="58"/>
  <c r="P38" i="58"/>
  <c r="BB33" i="58"/>
  <c r="P65" i="58"/>
  <c r="AP38" i="58"/>
  <c r="AL53" i="58"/>
  <c r="AR33" i="58"/>
  <c r="R58" i="58"/>
  <c r="AL76" i="58"/>
  <c r="R34" i="58"/>
  <c r="BB52" i="58"/>
  <c r="P76" i="58"/>
  <c r="AN36" i="58"/>
  <c r="N52" i="58"/>
  <c r="R79" i="58"/>
  <c r="N32" i="58"/>
  <c r="BB36" i="58"/>
  <c r="BF48" i="58"/>
  <c r="BD75" i="58"/>
  <c r="BF104" i="58"/>
  <c r="AR36" i="58"/>
  <c r="BB42" i="58"/>
  <c r="AN51" i="58"/>
  <c r="AR75" i="58"/>
  <c r="AR108" i="58"/>
  <c r="AN105" i="58"/>
  <c r="N88" i="58"/>
  <c r="T111" i="58"/>
  <c r="BB98" i="58"/>
  <c r="AR83" i="58"/>
  <c r="R65" i="58"/>
  <c r="R107" i="58"/>
  <c r="AN98" i="58"/>
  <c r="T78" i="58"/>
  <c r="R59" i="58"/>
  <c r="AR50" i="58"/>
  <c r="AL42" i="58"/>
  <c r="BB99" i="58"/>
  <c r="R78" i="58"/>
  <c r="AR60" i="58"/>
  <c r="AN99" i="58"/>
  <c r="N98" i="58"/>
  <c r="BF83" i="58"/>
  <c r="AL58" i="58"/>
  <c r="BD47" i="58"/>
  <c r="BF87" i="58"/>
  <c r="T75" i="58"/>
  <c r="P50" i="58"/>
  <c r="BF42" i="58"/>
  <c r="N92" i="58"/>
  <c r="BF82" i="58"/>
  <c r="P60" i="58"/>
  <c r="AP49" i="58"/>
  <c r="BF34" i="58"/>
  <c r="AP46" i="58"/>
  <c r="BD53" i="58"/>
  <c r="P42" i="58"/>
  <c r="T65" i="58"/>
  <c r="AR64" i="58"/>
  <c r="N35" i="58"/>
  <c r="BD34" i="58"/>
  <c r="R110" i="58"/>
  <c r="R87" i="58"/>
  <c r="BB78" i="58"/>
  <c r="T110" i="58"/>
  <c r="AR88" i="58"/>
  <c r="AN88" i="58"/>
  <c r="BF105" i="58"/>
  <c r="T38" i="58"/>
  <c r="T35" i="58"/>
  <c r="BF76" i="58"/>
  <c r="N36" i="58"/>
  <c r="AP107" i="58"/>
  <c r="BD33" i="58"/>
  <c r="N59" i="58"/>
  <c r="AP105" i="58"/>
  <c r="AL34" i="58"/>
  <c r="AN53" i="58"/>
  <c r="P79" i="58"/>
  <c r="AR52" i="58"/>
  <c r="N83" i="58"/>
  <c r="AP32" i="58"/>
  <c r="N37" i="58"/>
  <c r="AN42" i="58"/>
  <c r="N51" i="58"/>
  <c r="AR78" i="58"/>
  <c r="N108" i="58"/>
  <c r="P32" i="58"/>
  <c r="BD36" i="58"/>
  <c r="P43" i="58"/>
  <c r="BB51" i="58"/>
  <c r="P78" i="58"/>
  <c r="P107" i="58"/>
  <c r="T105" i="58"/>
  <c r="BB87" i="58"/>
  <c r="AL108" i="58"/>
  <c r="AP98" i="58"/>
  <c r="P82" i="58"/>
  <c r="BF64" i="58"/>
  <c r="AL105" i="58"/>
  <c r="T98" i="58"/>
  <c r="BD76" i="58"/>
  <c r="BD58" i="58"/>
  <c r="P49" i="58"/>
  <c r="AN112" i="58"/>
  <c r="AP99" i="58"/>
  <c r="BB76" i="58"/>
  <c r="P59" i="58"/>
  <c r="P99" i="58"/>
  <c r="AN93" i="58"/>
  <c r="AP83" i="58"/>
  <c r="T53" i="58"/>
  <c r="AL93" i="58"/>
  <c r="AR87" i="58"/>
  <c r="BF65" i="58"/>
  <c r="BD49" i="58"/>
  <c r="R42" i="58"/>
  <c r="AL88" i="58"/>
  <c r="BD79" i="58"/>
  <c r="BD59" i="58"/>
  <c r="AN47" i="58"/>
  <c r="R35" i="58"/>
  <c r="BB46" i="58"/>
  <c r="AP60" i="58"/>
  <c r="AR37" i="58"/>
  <c r="AL49" i="58"/>
  <c r="AN34" i="58"/>
  <c r="T104" i="58"/>
  <c r="BB112" i="58"/>
  <c r="AL78" i="58"/>
  <c r="AR99" i="58"/>
  <c r="T46" i="58"/>
  <c r="R64" i="58"/>
  <c r="AN60" i="58"/>
  <c r="AL43" i="58"/>
  <c r="R33" i="58"/>
  <c r="AP35" i="58"/>
  <c r="P88" i="58"/>
  <c r="AR38" i="58"/>
  <c r="R112" i="58"/>
  <c r="P34" i="58"/>
  <c r="BD38" i="58"/>
  <c r="AN59" i="58"/>
  <c r="BB105" i="58"/>
  <c r="BF35" i="58"/>
  <c r="BF38" i="58"/>
  <c r="T58" i="58"/>
  <c r="AL79" i="58"/>
  <c r="BD52" i="58"/>
  <c r="AN104" i="58"/>
  <c r="BB32" i="58"/>
  <c r="R38" i="58"/>
  <c r="N43" i="58"/>
  <c r="BF78" i="58"/>
  <c r="AN108" i="58"/>
  <c r="AR32" i="58"/>
  <c r="P37" i="58"/>
  <c r="AN43" i="58"/>
  <c r="AR53" i="58"/>
  <c r="R82" i="58"/>
  <c r="BD111" i="58"/>
  <c r="AL99" i="58"/>
  <c r="AP87" i="58"/>
  <c r="R108" i="58"/>
  <c r="AN92" i="58"/>
  <c r="BB79" i="58"/>
  <c r="BB111" i="58"/>
  <c r="N105" i="58"/>
  <c r="BF93" i="58"/>
  <c r="AR76" i="58"/>
  <c r="AR58" i="58"/>
  <c r="BB48" i="58"/>
  <c r="P112" i="58"/>
  <c r="T99" i="58"/>
  <c r="AP76" i="58"/>
  <c r="BB58" i="58"/>
  <c r="P98" i="58"/>
  <c r="T93" i="58"/>
  <c r="N76" i="58"/>
  <c r="AN52" i="58"/>
  <c r="R93" i="58"/>
  <c r="T87" i="58"/>
  <c r="AL60" i="58"/>
  <c r="AR49" i="58"/>
  <c r="BF112" i="58"/>
  <c r="R88" i="58"/>
  <c r="AN79" i="58"/>
  <c r="AR59" i="58"/>
  <c r="T47" i="58"/>
  <c r="AL35" i="58"/>
  <c r="AR42" i="58"/>
  <c r="AN50" i="58"/>
  <c r="P75" i="58"/>
  <c r="BD43" i="58"/>
  <c r="AL32" i="58"/>
  <c r="T49" i="58"/>
  <c r="BF47" i="58"/>
  <c r="BB60" i="58"/>
  <c r="BD92" i="58"/>
  <c r="AR110" i="58"/>
  <c r="R51" i="58"/>
  <c r="N110" i="58"/>
  <c r="BF49" i="58"/>
  <c r="R52" i="58"/>
  <c r="N50" i="58"/>
  <c r="BD46" i="58"/>
  <c r="AR98" i="58"/>
  <c r="BF50" i="58"/>
  <c r="AR35" i="58"/>
  <c r="T42" i="58"/>
  <c r="BB59" i="58"/>
  <c r="AP111" i="58"/>
  <c r="R36" i="58"/>
  <c r="R48" i="58"/>
  <c r="T59" i="58"/>
  <c r="R105" i="58"/>
  <c r="T48" i="58"/>
  <c r="P53" i="58"/>
  <c r="BB104" i="58"/>
  <c r="N33" i="58"/>
  <c r="N46" i="58"/>
  <c r="R53" i="58"/>
  <c r="AP82" i="58"/>
  <c r="BF110" i="58"/>
  <c r="BD32" i="58"/>
  <c r="P46" i="58"/>
  <c r="AR82" i="58"/>
  <c r="AP112" i="58"/>
  <c r="AR111" i="58"/>
  <c r="R99" i="58"/>
  <c r="AN82" i="58"/>
  <c r="BF107" i="58"/>
  <c r="T92" i="58"/>
  <c r="AP79" i="58"/>
  <c r="AL111" i="58"/>
  <c r="AL104" i="58"/>
  <c r="AL82" i="58"/>
  <c r="N65" i="58"/>
  <c r="P58" i="58"/>
  <c r="AP48" i="58"/>
  <c r="N111" i="58"/>
  <c r="AL98" i="58"/>
  <c r="R76" i="58"/>
  <c r="AP58" i="58"/>
  <c r="BB93" i="58"/>
  <c r="BF92" i="58"/>
  <c r="BB75" i="58"/>
  <c r="T52" i="58"/>
  <c r="BB92" i="58"/>
  <c r="BB83" i="58"/>
  <c r="R60" i="58"/>
  <c r="N48" i="58"/>
  <c r="T108" i="58"/>
  <c r="BD87" i="58"/>
  <c r="T79" i="58"/>
  <c r="P52" i="58"/>
  <c r="BF46" i="58"/>
  <c r="BF36" i="58"/>
  <c r="BD42" i="58"/>
  <c r="BB50" i="58"/>
  <c r="AN107" i="58"/>
  <c r="AR104" i="58"/>
  <c r="AN65" i="58"/>
  <c r="BF99" i="58"/>
  <c r="BD112" i="58"/>
  <c r="BD35" i="58"/>
  <c r="N49" i="58"/>
  <c r="AP64" i="58"/>
  <c r="AL36" i="58"/>
  <c r="AL48" i="58"/>
  <c r="AP59" i="58"/>
  <c r="AR105" i="58"/>
  <c r="AN32" i="58"/>
  <c r="AN48" i="58"/>
  <c r="AP53" i="58"/>
  <c r="BF108" i="58"/>
  <c r="AP34" i="58"/>
  <c r="P47" i="58"/>
  <c r="BB82" i="58"/>
  <c r="P33" i="58"/>
  <c r="AN38" i="58"/>
  <c r="AL46" i="58"/>
  <c r="BD82" i="58"/>
  <c r="BF111" i="58"/>
  <c r="P110" i="58"/>
  <c r="BF98" i="58"/>
  <c r="T82" i="58"/>
  <c r="P105" i="58"/>
  <c r="BF88" i="58"/>
  <c r="N78" i="58"/>
  <c r="P111" i="58"/>
  <c r="R104" i="58"/>
  <c r="N82" i="58"/>
  <c r="AN64" i="58"/>
  <c r="BF52" i="58"/>
  <c r="N47" i="58"/>
  <c r="BB110" i="58"/>
  <c r="R98" i="58"/>
  <c r="BF75" i="58"/>
  <c r="N58" i="58"/>
  <c r="AP93" i="58"/>
  <c r="AP92" i="58"/>
  <c r="AP75" i="58"/>
  <c r="AL50" i="58"/>
  <c r="AL92" i="58"/>
  <c r="AN83" i="58"/>
  <c r="BF59" i="58"/>
  <c r="BB47" i="58"/>
  <c r="BD107" i="58"/>
  <c r="AN87" i="58"/>
  <c r="AL75" i="58"/>
  <c r="BD51" i="58"/>
  <c r="R32" i="58"/>
  <c r="R37" i="58"/>
  <c r="T43" i="58"/>
  <c r="T51" i="58"/>
  <c r="BB107" i="58"/>
  <c r="BD65" i="58"/>
  <c r="T33" i="58"/>
  <c r="T32" i="58"/>
  <c r="BB37" i="58"/>
  <c r="P36" i="58"/>
  <c r="N53" i="58"/>
  <c r="BB64" i="58"/>
  <c r="BF37" i="58"/>
  <c r="R49" i="58"/>
  <c r="P64" i="58"/>
  <c r="BD105" i="58"/>
  <c r="T34" i="58"/>
  <c r="BD48" i="58"/>
  <c r="BF53" i="58"/>
  <c r="BB34" i="58"/>
  <c r="AL47" i="58"/>
  <c r="P83" i="58"/>
  <c r="AR34" i="58"/>
  <c r="R47" i="58"/>
  <c r="AN58" i="58"/>
  <c r="N87" i="58"/>
  <c r="AL110" i="58"/>
  <c r="BB108" i="58"/>
  <c r="P93" i="58"/>
  <c r="BF79" i="58"/>
  <c r="BD104" i="58"/>
  <c r="AL87" i="58"/>
  <c r="AN76" i="58"/>
  <c r="BD110" i="58"/>
  <c r="BD99" i="58"/>
  <c r="N79" i="58"/>
  <c r="T64" i="58"/>
  <c r="AL51" i="58"/>
  <c r="AN46" i="58"/>
  <c r="AP110" i="58"/>
  <c r="BD93" i="58"/>
  <c r="AL64" i="58"/>
  <c r="AN110" i="58"/>
  <c r="BD88" i="58"/>
  <c r="R92" i="58"/>
  <c r="N64" i="58"/>
  <c r="R50" i="58"/>
  <c r="P92" i="58"/>
  <c r="T83" i="58"/>
  <c r="AL52" i="58"/>
  <c r="AP47" i="58"/>
  <c r="AR107" i="58"/>
  <c r="P87" i="58"/>
  <c r="R75" i="58"/>
  <c r="AR51" i="58"/>
  <c r="BF32" i="58"/>
  <c r="AL37" i="58"/>
  <c r="AP43" i="58"/>
  <c r="AP51" i="58"/>
  <c r="AP33" i="58"/>
  <c r="T112" i="58"/>
  <c r="R111" i="58"/>
  <c r="BB53" i="58"/>
  <c r="AR47" i="58"/>
  <c r="AP108" i="58"/>
  <c r="T76" i="58"/>
  <c r="BF60" i="58"/>
  <c r="AR93" i="58"/>
  <c r="BB88" i="58"/>
  <c r="AR79" i="58"/>
  <c r="AL83" i="58"/>
  <c r="BB43" i="58"/>
  <c r="AA15" i="54"/>
  <c r="BB182" i="59"/>
  <c r="BP182" i="59"/>
  <c r="L182" i="59"/>
  <c r="BB214" i="57"/>
  <c r="Z214" i="57"/>
  <c r="Z182" i="59"/>
  <c r="AG138" i="56"/>
  <c r="AF138" i="56"/>
  <c r="AH138" i="56"/>
  <c r="AA14" i="59"/>
  <c r="AA1" i="59"/>
  <c r="AP4" i="59"/>
  <c r="AP15" i="59" s="1"/>
  <c r="AC4" i="59"/>
  <c r="AB5" i="59"/>
  <c r="AB15" i="59"/>
  <c r="BD4" i="59"/>
  <c r="BD15" i="59" s="1"/>
  <c r="N4" i="59"/>
  <c r="N15" i="59" s="1"/>
  <c r="S209" i="58"/>
  <c r="S205" i="58"/>
  <c r="AC205" i="58"/>
  <c r="AM115" i="58"/>
  <c r="AM188" i="58" s="1"/>
  <c r="AN188" i="58" s="1"/>
  <c r="AN114" i="58"/>
  <c r="BC115" i="58"/>
  <c r="BC188" i="58" s="1"/>
  <c r="BD188" i="58" s="1"/>
  <c r="BD114" i="58"/>
  <c r="P114" i="58"/>
  <c r="O115" i="58"/>
  <c r="O188" i="58" s="1"/>
  <c r="P188" i="58" s="1"/>
  <c r="AO115" i="58"/>
  <c r="AO188" i="58" s="1"/>
  <c r="AP188" i="58" s="1"/>
  <c r="AP114" i="58"/>
  <c r="Q115" i="58"/>
  <c r="Q188" i="58" s="1"/>
  <c r="R188" i="58" s="1"/>
  <c r="R114" i="58"/>
  <c r="Y114" i="58"/>
  <c r="X114" i="58"/>
  <c r="V114" i="58"/>
  <c r="N114" i="58"/>
  <c r="Z114" i="58"/>
  <c r="W114" i="58"/>
  <c r="U114" i="58"/>
  <c r="M115" i="58"/>
  <c r="M188" i="58" s="1"/>
  <c r="BJ114" i="58"/>
  <c r="BB114" i="58"/>
  <c r="BI114" i="58"/>
  <c r="BG114" i="58"/>
  <c r="BH114" i="58"/>
  <c r="BA115" i="58"/>
  <c r="BA188" i="58" s="1"/>
  <c r="AK115" i="58"/>
  <c r="AK188" i="58" s="1"/>
  <c r="AW114" i="58"/>
  <c r="AS114" i="58"/>
  <c r="AX114" i="58"/>
  <c r="AL114" i="58"/>
  <c r="AV114" i="58"/>
  <c r="AU114" i="58"/>
  <c r="AT114" i="58"/>
  <c r="AR114" i="58"/>
  <c r="AQ115" i="58"/>
  <c r="AC1" i="57"/>
  <c r="AC14" i="57"/>
  <c r="P4" i="57"/>
  <c r="P15" i="57" s="1"/>
  <c r="AD15" i="57"/>
  <c r="BF4" i="57"/>
  <c r="BF15" i="57" s="1"/>
  <c r="AD5" i="57"/>
  <c r="AR4" i="57"/>
  <c r="AR15" i="57" s="1"/>
  <c r="AE4" i="57"/>
  <c r="AK139" i="56"/>
  <c r="AK220" i="56" s="1"/>
  <c r="AW138" i="56"/>
  <c r="AV138" i="56"/>
  <c r="AX138" i="56"/>
  <c r="AU138" i="56"/>
  <c r="AT138" i="56"/>
  <c r="AS138" i="56"/>
  <c r="AL138" i="56"/>
  <c r="R138" i="56"/>
  <c r="Q139" i="56"/>
  <c r="Q220" i="56" s="1"/>
  <c r="R220" i="56" s="1"/>
  <c r="BD138" i="56"/>
  <c r="BC139" i="56"/>
  <c r="BC220" i="56" s="1"/>
  <c r="BD220" i="56" s="1"/>
  <c r="AO139" i="56"/>
  <c r="AO220" i="56" s="1"/>
  <c r="AP220" i="56" s="1"/>
  <c r="AP138" i="56"/>
  <c r="X138" i="56"/>
  <c r="Z138" i="56"/>
  <c r="N138" i="56"/>
  <c r="Y138" i="56"/>
  <c r="M139" i="56"/>
  <c r="M220" i="56" s="1"/>
  <c r="W138" i="56"/>
  <c r="V138" i="56"/>
  <c r="U138" i="56"/>
  <c r="AC237" i="56"/>
  <c r="S139" i="56"/>
  <c r="S220" i="56" s="1"/>
  <c r="T220" i="56" s="1"/>
  <c r="T138" i="56"/>
  <c r="AI138" i="56"/>
  <c r="AN138" i="56"/>
  <c r="AM139" i="56"/>
  <c r="AM220" i="56" s="1"/>
  <c r="AN220" i="56" s="1"/>
  <c r="BJ138" i="56"/>
  <c r="BI138" i="56"/>
  <c r="BH138" i="56"/>
  <c r="BG138" i="56"/>
  <c r="BA139" i="56"/>
  <c r="BA220" i="56" s="1"/>
  <c r="BB138" i="56"/>
  <c r="AG209" i="54"/>
  <c r="BU209" i="54"/>
  <c r="BR209" i="54"/>
  <c r="BS209" i="54"/>
  <c r="AO4" i="54"/>
  <c r="AO15" i="54" s="1"/>
  <c r="M4" i="54"/>
  <c r="M15" i="54" s="1"/>
  <c r="AB4" i="54"/>
  <c r="AB5" i="54" s="1"/>
  <c r="BC4" i="54"/>
  <c r="BC15" i="54" s="1"/>
  <c r="X14" i="54"/>
  <c r="L15" i="54"/>
  <c r="AA14" i="54"/>
  <c r="AA1" i="54"/>
  <c r="A199" i="54"/>
  <c r="AJ234" i="53"/>
  <c r="B216" i="53"/>
  <c r="BJ66" i="53"/>
  <c r="BI66" i="53"/>
  <c r="BH66" i="53"/>
  <c r="BG66" i="53"/>
  <c r="AX66" i="53"/>
  <c r="AW66" i="53"/>
  <c r="AV66" i="53"/>
  <c r="AU66" i="53"/>
  <c r="AT66" i="53"/>
  <c r="AS66" i="53"/>
  <c r="AI66" i="53"/>
  <c r="AH66" i="53"/>
  <c r="AG66" i="53"/>
  <c r="AF66" i="53"/>
  <c r="Z66" i="53"/>
  <c r="Y66" i="53"/>
  <c r="X66" i="53"/>
  <c r="W66" i="53"/>
  <c r="V66" i="53"/>
  <c r="U66" i="53"/>
  <c r="B65" i="53"/>
  <c r="B134" i="53" s="1"/>
  <c r="B136" i="53" s="1"/>
  <c r="BJ44" i="53"/>
  <c r="BI44" i="53"/>
  <c r="BH44" i="53"/>
  <c r="BG44" i="53"/>
  <c r="AX44" i="53"/>
  <c r="AW44" i="53"/>
  <c r="AV44" i="53"/>
  <c r="AU44" i="53"/>
  <c r="AT44" i="53"/>
  <c r="AS44" i="53"/>
  <c r="AI44" i="53"/>
  <c r="AH44" i="53"/>
  <c r="AG44" i="53"/>
  <c r="AF44" i="53"/>
  <c r="Z44" i="53"/>
  <c r="Y44" i="53"/>
  <c r="X44" i="53"/>
  <c r="W44" i="53"/>
  <c r="V44" i="53"/>
  <c r="U44" i="53"/>
  <c r="B42" i="53"/>
  <c r="BJ32" i="53"/>
  <c r="BI32" i="53"/>
  <c r="BH32" i="53"/>
  <c r="BG32" i="53"/>
  <c r="AX32" i="53"/>
  <c r="AW32" i="53"/>
  <c r="AV32" i="53"/>
  <c r="AU32" i="53"/>
  <c r="AT32" i="53"/>
  <c r="AS32" i="53"/>
  <c r="AI32" i="53"/>
  <c r="AH32" i="53"/>
  <c r="AG32" i="53"/>
  <c r="AF32" i="53"/>
  <c r="Z32" i="53"/>
  <c r="Y32" i="53"/>
  <c r="X32" i="53"/>
  <c r="W32" i="53"/>
  <c r="V32" i="53"/>
  <c r="U32" i="53"/>
  <c r="BJ29" i="53"/>
  <c r="BI29" i="53"/>
  <c r="BH29" i="53"/>
  <c r="BG29" i="53"/>
  <c r="AX29" i="53"/>
  <c r="AW29" i="53"/>
  <c r="AV29" i="53"/>
  <c r="AU29" i="53"/>
  <c r="AT29" i="53"/>
  <c r="AS29" i="53"/>
  <c r="AI29" i="53"/>
  <c r="AH29" i="53"/>
  <c r="AG29" i="53"/>
  <c r="AF29" i="53"/>
  <c r="Z29" i="53"/>
  <c r="Y29" i="53"/>
  <c r="X29" i="53"/>
  <c r="W29" i="53"/>
  <c r="V29" i="53"/>
  <c r="U29" i="53"/>
  <c r="I24" i="53"/>
  <c r="I25" i="53" s="1"/>
  <c r="I23" i="53"/>
  <c r="BC21" i="53"/>
  <c r="BH21" i="53" s="1"/>
  <c r="AO21" i="53"/>
  <c r="AV21" i="53" s="1"/>
  <c r="AH21" i="53"/>
  <c r="AI21" i="53" s="1"/>
  <c r="Q21" i="53"/>
  <c r="X21" i="53" s="1"/>
  <c r="G21" i="53"/>
  <c r="BH20" i="53"/>
  <c r="BG20" i="53"/>
  <c r="AV20" i="53"/>
  <c r="AU20" i="53"/>
  <c r="AI20" i="53"/>
  <c r="AH20" i="53"/>
  <c r="X20" i="53"/>
  <c r="W20" i="53"/>
  <c r="H19" i="53"/>
  <c r="BE6" i="53"/>
  <c r="BE21" i="53" s="1"/>
  <c r="BA21" i="53"/>
  <c r="AQ6" i="53"/>
  <c r="AQ21" i="53" s="1"/>
  <c r="AM21" i="53"/>
  <c r="AT21" i="53" s="1"/>
  <c r="AK6" i="53"/>
  <c r="AK21" i="53" s="1"/>
  <c r="AD6" i="53"/>
  <c r="AD21" i="53" s="1"/>
  <c r="AC6" i="53"/>
  <c r="AC21" i="53" s="1"/>
  <c r="S6" i="53"/>
  <c r="S21" i="53" s="1"/>
  <c r="O21" i="53"/>
  <c r="M6" i="53"/>
  <c r="M21" i="53" s="1"/>
  <c r="AQ5" i="53"/>
  <c r="AO5" i="53"/>
  <c r="AM5" i="53"/>
  <c r="AK5" i="53"/>
  <c r="AE5" i="53"/>
  <c r="AD5" i="53"/>
  <c r="AC5" i="53"/>
  <c r="S5" i="53"/>
  <c r="Q5" i="53"/>
  <c r="O5" i="53"/>
  <c r="M5" i="53"/>
  <c r="AQ4" i="53"/>
  <c r="AO4" i="53"/>
  <c r="BC4" i="53" s="1"/>
  <c r="BC20" i="53" s="1"/>
  <c r="AM4" i="53"/>
  <c r="AK4" i="53"/>
  <c r="BA4" i="53" s="1"/>
  <c r="BE4" i="53" s="1"/>
  <c r="BE20" i="53" s="1"/>
  <c r="AE4" i="53"/>
  <c r="AD4" i="53"/>
  <c r="AC4" i="53"/>
  <c r="S4" i="53"/>
  <c r="Q4" i="53"/>
  <c r="O4" i="53"/>
  <c r="M4" i="53"/>
  <c r="L4" i="53"/>
  <c r="C3" i="53"/>
  <c r="BD2" i="53"/>
  <c r="BH2" i="53" s="1"/>
  <c r="AV2" i="53"/>
  <c r="AU2" i="53" s="1"/>
  <c r="AT2" i="53"/>
  <c r="AS2" i="53" s="1"/>
  <c r="AO2" i="53"/>
  <c r="AP2" i="53" s="1"/>
  <c r="AM2" i="53"/>
  <c r="AN2" i="53" s="1"/>
  <c r="X2" i="53"/>
  <c r="W2" i="53" s="1"/>
  <c r="V2" i="53"/>
  <c r="U2" i="53" s="1"/>
  <c r="Q2" i="53"/>
  <c r="R2" i="53" s="1"/>
  <c r="O2" i="53"/>
  <c r="P2" i="53" s="1"/>
  <c r="AJ384" i="52"/>
  <c r="G381" i="52"/>
  <c r="F381" i="52"/>
  <c r="E381" i="52"/>
  <c r="AX378" i="52"/>
  <c r="AW378" i="52"/>
  <c r="AV378" i="52"/>
  <c r="AU378" i="52"/>
  <c r="AI378" i="52"/>
  <c r="AH378" i="52"/>
  <c r="AG378" i="52"/>
  <c r="AF378" i="52"/>
  <c r="Z378" i="52"/>
  <c r="Y378" i="52"/>
  <c r="X378" i="52"/>
  <c r="W378" i="52"/>
  <c r="H378" i="52"/>
  <c r="G378" i="52"/>
  <c r="F378" i="52"/>
  <c r="E378" i="52"/>
  <c r="AX377" i="52"/>
  <c r="AW377" i="52"/>
  <c r="AV377" i="52"/>
  <c r="AU377" i="52"/>
  <c r="AI377" i="52"/>
  <c r="AH377" i="52"/>
  <c r="AG377" i="52"/>
  <c r="AF377" i="52"/>
  <c r="Z377" i="52"/>
  <c r="Y377" i="52"/>
  <c r="X377" i="52"/>
  <c r="W377" i="52"/>
  <c r="H377" i="52"/>
  <c r="G377" i="52"/>
  <c r="F377" i="52"/>
  <c r="E377" i="52"/>
  <c r="AX376" i="52"/>
  <c r="AW376" i="52"/>
  <c r="AV376" i="52"/>
  <c r="AU376" i="52"/>
  <c r="AI376" i="52"/>
  <c r="AH376" i="52"/>
  <c r="AG376" i="52"/>
  <c r="AF376" i="52"/>
  <c r="Z376" i="52"/>
  <c r="Y376" i="52"/>
  <c r="X376" i="52"/>
  <c r="W376" i="52"/>
  <c r="H376" i="52"/>
  <c r="G376" i="52"/>
  <c r="F376" i="52"/>
  <c r="E376" i="52"/>
  <c r="AX375" i="52"/>
  <c r="AW375" i="52"/>
  <c r="AV375" i="52"/>
  <c r="AU375" i="52"/>
  <c r="AI375" i="52"/>
  <c r="AH375" i="52"/>
  <c r="AG375" i="52"/>
  <c r="AF375" i="52"/>
  <c r="Z375" i="52"/>
  <c r="Y375" i="52"/>
  <c r="X375" i="52"/>
  <c r="W375" i="52"/>
  <c r="H375" i="52"/>
  <c r="G375" i="52"/>
  <c r="F375" i="52"/>
  <c r="E375" i="52"/>
  <c r="AX374" i="52"/>
  <c r="AW374" i="52"/>
  <c r="AV374" i="52"/>
  <c r="AU374" i="52"/>
  <c r="AI374" i="52"/>
  <c r="AH374" i="52"/>
  <c r="AG374" i="52"/>
  <c r="AF374" i="52"/>
  <c r="Z374" i="52"/>
  <c r="Y374" i="52"/>
  <c r="X374" i="52"/>
  <c r="W374" i="52"/>
  <c r="H374" i="52" a="1"/>
  <c r="H374" i="52" s="1"/>
  <c r="G374" i="52"/>
  <c r="F374" i="52"/>
  <c r="E374" i="52"/>
  <c r="AX373" i="52"/>
  <c r="AW373" i="52"/>
  <c r="AV373" i="52"/>
  <c r="AU373" i="52"/>
  <c r="AI373" i="52"/>
  <c r="AH373" i="52"/>
  <c r="AG373" i="52"/>
  <c r="AF373" i="52"/>
  <c r="Z373" i="52"/>
  <c r="Y373" i="52"/>
  <c r="X373" i="52"/>
  <c r="W373" i="52"/>
  <c r="H373" i="52"/>
  <c r="G373" i="52"/>
  <c r="F373" i="52"/>
  <c r="E373" i="52"/>
  <c r="H372" i="52"/>
  <c r="G372" i="52"/>
  <c r="F372" i="52"/>
  <c r="E372" i="52"/>
  <c r="H371" i="52"/>
  <c r="G371" i="52"/>
  <c r="F371" i="52"/>
  <c r="E371" i="52"/>
  <c r="AX370" i="52"/>
  <c r="AW370" i="52"/>
  <c r="AV370" i="52"/>
  <c r="AU370" i="52"/>
  <c r="AI370" i="52"/>
  <c r="AH370" i="52"/>
  <c r="AG370" i="52"/>
  <c r="AF370" i="52"/>
  <c r="Z370" i="52"/>
  <c r="Y370" i="52"/>
  <c r="X370" i="52"/>
  <c r="W370" i="52"/>
  <c r="H370" i="52"/>
  <c r="G370" i="52"/>
  <c r="F370" i="52"/>
  <c r="E370" i="52"/>
  <c r="BJ369" i="52"/>
  <c r="BH369" i="52"/>
  <c r="AX369" i="52"/>
  <c r="AW369" i="52"/>
  <c r="AV369" i="52"/>
  <c r="AU369" i="52"/>
  <c r="AT369" i="52"/>
  <c r="AI369" i="52"/>
  <c r="AH369" i="52"/>
  <c r="AG369" i="52"/>
  <c r="AF369" i="52"/>
  <c r="Z369" i="52"/>
  <c r="Y369" i="52"/>
  <c r="X369" i="52"/>
  <c r="W369" i="52"/>
  <c r="V369" i="52"/>
  <c r="G369" i="52"/>
  <c r="F369" i="52"/>
  <c r="E369" i="52"/>
  <c r="B366" i="52"/>
  <c r="BE362" i="52"/>
  <c r="BC362" i="52"/>
  <c r="BA362" i="52"/>
  <c r="AQ362" i="52"/>
  <c r="AK362" i="52"/>
  <c r="AV362" i="52" s="1"/>
  <c r="AE362" i="52"/>
  <c r="AD362" i="52"/>
  <c r="AC362" i="52"/>
  <c r="S362" i="52"/>
  <c r="Q362" i="52"/>
  <c r="O362" i="52"/>
  <c r="M362" i="52"/>
  <c r="BJ360" i="52"/>
  <c r="BI360" i="52"/>
  <c r="BH360" i="52"/>
  <c r="BG360" i="52"/>
  <c r="AX360" i="52"/>
  <c r="AW360" i="52"/>
  <c r="AV360" i="52"/>
  <c r="AU360" i="52"/>
  <c r="AT360" i="52"/>
  <c r="AS360" i="52"/>
  <c r="AI360" i="52"/>
  <c r="AH360" i="52"/>
  <c r="AG360" i="52"/>
  <c r="AF360" i="52"/>
  <c r="Z360" i="52"/>
  <c r="Y360" i="52"/>
  <c r="X360" i="52"/>
  <c r="W360" i="52"/>
  <c r="V360" i="52"/>
  <c r="U360" i="52"/>
  <c r="B359" i="52"/>
  <c r="B362" i="52" s="1"/>
  <c r="B363" i="52" s="1"/>
  <c r="BE357" i="52"/>
  <c r="BC357" i="52"/>
  <c r="BA357" i="52"/>
  <c r="AQ357" i="52"/>
  <c r="AK357" i="52"/>
  <c r="AE357" i="52"/>
  <c r="AD357" i="52"/>
  <c r="AC357" i="52"/>
  <c r="S357" i="52"/>
  <c r="Q357" i="52"/>
  <c r="O357" i="52"/>
  <c r="M357" i="52"/>
  <c r="BJ355" i="52"/>
  <c r="BI355" i="52"/>
  <c r="BH355" i="52"/>
  <c r="BG355" i="52"/>
  <c r="AX355" i="52"/>
  <c r="AW355" i="52"/>
  <c r="AV355" i="52"/>
  <c r="AU355" i="52"/>
  <c r="AT355" i="52"/>
  <c r="AS355" i="52"/>
  <c r="AI355" i="52"/>
  <c r="AH355" i="52"/>
  <c r="AG355" i="52"/>
  <c r="AF355" i="52"/>
  <c r="Z355" i="52"/>
  <c r="Y355" i="52"/>
  <c r="X355" i="52"/>
  <c r="W355" i="52"/>
  <c r="V355" i="52"/>
  <c r="U355" i="52"/>
  <c r="B354" i="52"/>
  <c r="B357" i="52" s="1"/>
  <c r="B358" i="52" s="1"/>
  <c r="BE352" i="52"/>
  <c r="BC352" i="52"/>
  <c r="BA352" i="52"/>
  <c r="AQ352" i="52"/>
  <c r="AO352" i="52"/>
  <c r="AM352" i="52"/>
  <c r="AK352" i="52"/>
  <c r="AE352" i="52"/>
  <c r="AD352" i="52"/>
  <c r="AC352" i="52"/>
  <c r="S352" i="52"/>
  <c r="Q352" i="52"/>
  <c r="O352" i="52"/>
  <c r="M352" i="52"/>
  <c r="BJ350" i="52"/>
  <c r="BI350" i="52"/>
  <c r="BH350" i="52"/>
  <c r="BG350" i="52"/>
  <c r="AX350" i="52"/>
  <c r="AW350" i="52"/>
  <c r="AV350" i="52"/>
  <c r="AU350" i="52"/>
  <c r="AT350" i="52"/>
  <c r="AS350" i="52"/>
  <c r="AI350" i="52"/>
  <c r="AH350" i="52"/>
  <c r="AG350" i="52"/>
  <c r="AF350" i="52"/>
  <c r="Z350" i="52"/>
  <c r="Y350" i="52"/>
  <c r="X350" i="52"/>
  <c r="W350" i="52"/>
  <c r="V350" i="52"/>
  <c r="U350" i="52"/>
  <c r="B349" i="52"/>
  <c r="B352" i="52" s="1"/>
  <c r="B353" i="52" s="1"/>
  <c r="BE347" i="52"/>
  <c r="BC347" i="52"/>
  <c r="BA347" i="52"/>
  <c r="AQ347" i="52"/>
  <c r="AO347" i="52"/>
  <c r="AM347" i="52"/>
  <c r="AK347" i="52"/>
  <c r="AE347" i="52"/>
  <c r="AD347" i="52"/>
  <c r="AC347" i="52"/>
  <c r="S347" i="52"/>
  <c r="Q347" i="52"/>
  <c r="O347" i="52"/>
  <c r="M347" i="52"/>
  <c r="BJ345" i="52"/>
  <c r="BI345" i="52"/>
  <c r="BH345" i="52"/>
  <c r="BG345" i="52"/>
  <c r="AX345" i="52"/>
  <c r="AW345" i="52"/>
  <c r="AV345" i="52"/>
  <c r="AU345" i="52"/>
  <c r="AT345" i="52"/>
  <c r="AS345" i="52"/>
  <c r="AI345" i="52"/>
  <c r="AH345" i="52"/>
  <c r="AG345" i="52"/>
  <c r="AF345" i="52"/>
  <c r="Z345" i="52"/>
  <c r="Y345" i="52"/>
  <c r="X345" i="52"/>
  <c r="W345" i="52"/>
  <c r="V345" i="52"/>
  <c r="U345" i="52"/>
  <c r="B344" i="52"/>
  <c r="B347" i="52" s="1"/>
  <c r="B348" i="52" s="1"/>
  <c r="BE342" i="52"/>
  <c r="BC342" i="52"/>
  <c r="BA342" i="52"/>
  <c r="AQ342" i="52"/>
  <c r="AO342" i="52"/>
  <c r="AM342" i="52"/>
  <c r="AK342" i="52"/>
  <c r="AE342" i="52"/>
  <c r="AD342" i="52"/>
  <c r="AC342" i="52"/>
  <c r="S342" i="52"/>
  <c r="Q342" i="52"/>
  <c r="O342" i="52"/>
  <c r="M342" i="52"/>
  <c r="BJ338" i="52"/>
  <c r="BI338" i="52"/>
  <c r="BH338" i="52"/>
  <c r="AX338" i="52"/>
  <c r="AW338" i="52"/>
  <c r="AV338" i="52"/>
  <c r="AU338" i="52"/>
  <c r="AT338" i="52"/>
  <c r="AI338" i="52"/>
  <c r="AH338" i="52"/>
  <c r="AG338" i="52"/>
  <c r="AF338" i="52"/>
  <c r="Z338" i="52"/>
  <c r="Y338" i="52"/>
  <c r="X338" i="52"/>
  <c r="W338" i="52"/>
  <c r="B337" i="52"/>
  <c r="B342" i="52" s="1"/>
  <c r="B343" i="52" s="1"/>
  <c r="BE335" i="52"/>
  <c r="BC335" i="52"/>
  <c r="BA335" i="52"/>
  <c r="AQ335" i="52"/>
  <c r="AO335" i="52"/>
  <c r="AM335" i="52"/>
  <c r="AK335" i="52"/>
  <c r="AE335" i="52"/>
  <c r="AD335" i="52"/>
  <c r="AC335" i="52"/>
  <c r="S335" i="52"/>
  <c r="Q335" i="52"/>
  <c r="O335" i="52"/>
  <c r="M335" i="52"/>
  <c r="BJ333" i="52"/>
  <c r="BI333" i="52"/>
  <c r="BH333" i="52"/>
  <c r="BG333" i="52"/>
  <c r="AX333" i="52"/>
  <c r="AW333" i="52"/>
  <c r="AV333" i="52"/>
  <c r="AU333" i="52"/>
  <c r="AT333" i="52"/>
  <c r="AS333" i="52"/>
  <c r="AI333" i="52"/>
  <c r="AH333" i="52"/>
  <c r="AG333" i="52"/>
  <c r="AF333" i="52"/>
  <c r="Z333" i="52"/>
  <c r="Y333" i="52"/>
  <c r="X333" i="52"/>
  <c r="W333" i="52"/>
  <c r="V333" i="52"/>
  <c r="U333" i="52"/>
  <c r="B332" i="52"/>
  <c r="B335" i="52" s="1"/>
  <c r="B336" i="52" s="1"/>
  <c r="BE330" i="52"/>
  <c r="BC330" i="52"/>
  <c r="BA330" i="52"/>
  <c r="AQ330" i="52"/>
  <c r="AO330" i="52"/>
  <c r="AM330" i="52"/>
  <c r="AK330" i="52"/>
  <c r="AE330" i="52"/>
  <c r="AD330" i="52"/>
  <c r="AC330" i="52"/>
  <c r="S330" i="52"/>
  <c r="Q330" i="52"/>
  <c r="O330" i="52"/>
  <c r="M330" i="52"/>
  <c r="BJ328" i="52"/>
  <c r="BI328" i="52"/>
  <c r="BH328" i="52"/>
  <c r="BG328" i="52"/>
  <c r="AX328" i="52"/>
  <c r="AW328" i="52"/>
  <c r="AV328" i="52"/>
  <c r="AU328" i="52"/>
  <c r="AT328" i="52"/>
  <c r="AS328" i="52"/>
  <c r="AI328" i="52"/>
  <c r="AH328" i="52"/>
  <c r="AG328" i="52"/>
  <c r="AF328" i="52"/>
  <c r="Z328" i="52"/>
  <c r="Y328" i="52"/>
  <c r="X328" i="52"/>
  <c r="W328" i="52"/>
  <c r="V328" i="52"/>
  <c r="U328" i="52"/>
  <c r="B327" i="52"/>
  <c r="B330" i="52" s="1"/>
  <c r="B331" i="52" s="1"/>
  <c r="BE322" i="52"/>
  <c r="BC322" i="52"/>
  <c r="BA322" i="52"/>
  <c r="AQ322" i="52"/>
  <c r="AO322" i="52"/>
  <c r="AM322" i="52"/>
  <c r="AK322" i="52"/>
  <c r="AE322" i="52"/>
  <c r="AD322" i="52"/>
  <c r="AC322" i="52"/>
  <c r="S322" i="52"/>
  <c r="Q322" i="52"/>
  <c r="O322" i="52"/>
  <c r="M322" i="52"/>
  <c r="BJ145" i="52"/>
  <c r="BI145" i="52"/>
  <c r="BH145" i="52"/>
  <c r="BG145" i="52"/>
  <c r="AX145" i="52"/>
  <c r="AW145" i="52"/>
  <c r="AV145" i="52"/>
  <c r="AU145" i="52"/>
  <c r="AT145" i="52"/>
  <c r="AS145" i="52"/>
  <c r="AI145" i="52"/>
  <c r="AH145" i="52"/>
  <c r="AG145" i="52"/>
  <c r="AF145" i="52"/>
  <c r="Z145" i="52"/>
  <c r="Y145" i="52"/>
  <c r="X145" i="52"/>
  <c r="W145" i="52"/>
  <c r="V145" i="52"/>
  <c r="U145" i="52"/>
  <c r="B144" i="52"/>
  <c r="B322" i="52" s="1"/>
  <c r="B324" i="52" s="1"/>
  <c r="BE140" i="52"/>
  <c r="BC140" i="52"/>
  <c r="BA140" i="52"/>
  <c r="AQ140" i="52"/>
  <c r="AO140" i="52"/>
  <c r="AM140" i="52"/>
  <c r="AK140" i="52"/>
  <c r="AE140" i="52"/>
  <c r="AD140" i="52"/>
  <c r="AC140" i="52"/>
  <c r="S140" i="52"/>
  <c r="Q140" i="52"/>
  <c r="O140" i="52"/>
  <c r="M140" i="52"/>
  <c r="BJ66" i="52"/>
  <c r="BI66" i="52"/>
  <c r="BH66" i="52"/>
  <c r="BG66" i="52"/>
  <c r="AX66" i="52"/>
  <c r="AW66" i="52"/>
  <c r="AV66" i="52"/>
  <c r="AU66" i="52"/>
  <c r="AT66" i="52"/>
  <c r="AS66" i="52"/>
  <c r="AI66" i="52"/>
  <c r="AH66" i="52"/>
  <c r="AG66" i="52"/>
  <c r="AF66" i="52"/>
  <c r="Z66" i="52"/>
  <c r="Y66" i="52"/>
  <c r="X66" i="52"/>
  <c r="W66" i="52"/>
  <c r="V66" i="52"/>
  <c r="U66" i="52"/>
  <c r="B65" i="52"/>
  <c r="B142" i="52" s="1"/>
  <c r="BE63" i="52"/>
  <c r="BC63" i="52"/>
  <c r="BA63" i="52"/>
  <c r="AQ63" i="52"/>
  <c r="AO63" i="52"/>
  <c r="AM63" i="52"/>
  <c r="AK63" i="52"/>
  <c r="AE63" i="52"/>
  <c r="AD63" i="52"/>
  <c r="AC63" i="52"/>
  <c r="S63" i="52"/>
  <c r="Q63" i="52"/>
  <c r="O63" i="52"/>
  <c r="M63" i="52"/>
  <c r="BJ31" i="52"/>
  <c r="BI31" i="52"/>
  <c r="BH31" i="52"/>
  <c r="BG31" i="52"/>
  <c r="AX31" i="52"/>
  <c r="AW31" i="52"/>
  <c r="AV31" i="52"/>
  <c r="AU31" i="52"/>
  <c r="AT31" i="52"/>
  <c r="AS31" i="52"/>
  <c r="AI31" i="52"/>
  <c r="AH31" i="52"/>
  <c r="AG31" i="52"/>
  <c r="AF31" i="52"/>
  <c r="Z31" i="52"/>
  <c r="Y31" i="52"/>
  <c r="X31" i="52"/>
  <c r="W31" i="52"/>
  <c r="V31" i="52"/>
  <c r="U31" i="52"/>
  <c r="B30" i="52"/>
  <c r="B63" i="52" s="1"/>
  <c r="B64" i="52" s="1"/>
  <c r="BJ29" i="52"/>
  <c r="BI29" i="52"/>
  <c r="BH29" i="52"/>
  <c r="BG29" i="52"/>
  <c r="AX29" i="52"/>
  <c r="AW29" i="52"/>
  <c r="AV29" i="52"/>
  <c r="AU29" i="52"/>
  <c r="AT29" i="52"/>
  <c r="AS29" i="52"/>
  <c r="AI29" i="52"/>
  <c r="AH29" i="52"/>
  <c r="AG29" i="52"/>
  <c r="AF29" i="52"/>
  <c r="Z29" i="52"/>
  <c r="Y29" i="52"/>
  <c r="X29" i="52"/>
  <c r="W29" i="52"/>
  <c r="V29" i="52"/>
  <c r="U29" i="52"/>
  <c r="I24" i="52"/>
  <c r="I26" i="52" s="1"/>
  <c r="I23" i="52"/>
  <c r="BC21" i="52"/>
  <c r="BH21" i="52" s="1"/>
  <c r="AO21" i="52"/>
  <c r="AU21" i="52" s="1"/>
  <c r="AH21" i="52"/>
  <c r="AI21" i="52" s="1"/>
  <c r="Q21" i="52"/>
  <c r="W21" i="52" s="1"/>
  <c r="G21" i="52"/>
  <c r="BH20" i="52"/>
  <c r="BG20" i="52"/>
  <c r="BC20" i="52"/>
  <c r="BA20" i="52"/>
  <c r="AV20" i="52"/>
  <c r="AU20" i="52"/>
  <c r="AI20" i="52"/>
  <c r="AH20" i="52"/>
  <c r="X20" i="52"/>
  <c r="W20" i="52"/>
  <c r="G20" i="52"/>
  <c r="H19" i="52"/>
  <c r="BE6" i="52"/>
  <c r="BE21" i="52" s="1"/>
  <c r="BA6" i="52"/>
  <c r="BA21" i="52" s="1"/>
  <c r="AQ6" i="52"/>
  <c r="AQ21" i="52" s="1"/>
  <c r="AM6" i="52"/>
  <c r="AM21" i="52" s="1"/>
  <c r="AK6" i="52"/>
  <c r="AK21" i="52" s="1"/>
  <c r="AD6" i="52"/>
  <c r="AD21" i="52" s="1"/>
  <c r="AC6" i="52"/>
  <c r="AC21" i="52" s="1"/>
  <c r="S6" i="52"/>
  <c r="S21" i="52" s="1"/>
  <c r="O6" i="52"/>
  <c r="O21" i="52" s="1"/>
  <c r="M6" i="52"/>
  <c r="M21" i="52" s="1"/>
  <c r="AQ5" i="52"/>
  <c r="AO5" i="52"/>
  <c r="AM5" i="52"/>
  <c r="AK5" i="52"/>
  <c r="AE5" i="52"/>
  <c r="AD5" i="52"/>
  <c r="AC5" i="52"/>
  <c r="S5" i="52"/>
  <c r="Q5" i="52"/>
  <c r="O5" i="52"/>
  <c r="M5" i="52"/>
  <c r="BE4" i="52"/>
  <c r="BE20" i="52" s="1"/>
  <c r="AQ4" i="52"/>
  <c r="AO4" i="52"/>
  <c r="AM4" i="52"/>
  <c r="AK4" i="52"/>
  <c r="AE4" i="52"/>
  <c r="AD4" i="52"/>
  <c r="AC4" i="52"/>
  <c r="S4" i="52"/>
  <c r="Q4" i="52"/>
  <c r="O4" i="52"/>
  <c r="M4" i="52"/>
  <c r="L4" i="52"/>
  <c r="C3" i="52"/>
  <c r="BH2" i="52"/>
  <c r="BG2" i="52" s="1"/>
  <c r="BC2" i="52"/>
  <c r="BD2" i="52" s="1"/>
  <c r="AV2" i="52"/>
  <c r="AU2" i="52" s="1"/>
  <c r="AT2" i="52"/>
  <c r="AS2" i="52" s="1"/>
  <c r="AO2" i="52"/>
  <c r="AP2" i="52" s="1"/>
  <c r="AM2" i="52"/>
  <c r="AN2" i="52" s="1"/>
  <c r="X2" i="52"/>
  <c r="W2" i="52" s="1"/>
  <c r="V2" i="52"/>
  <c r="U2" i="52" s="1"/>
  <c r="Q2" i="52"/>
  <c r="R2" i="52" s="1"/>
  <c r="O2" i="52"/>
  <c r="P2" i="52" s="1"/>
  <c r="BF61" i="52" l="1"/>
  <c r="AL61" i="52"/>
  <c r="R61" i="52"/>
  <c r="AP59" i="52"/>
  <c r="BD56" i="52"/>
  <c r="P56" i="52"/>
  <c r="AN54" i="52"/>
  <c r="T54" i="52"/>
  <c r="AR52" i="52"/>
  <c r="BB51" i="52"/>
  <c r="N51" i="52"/>
  <c r="BF49" i="52"/>
  <c r="AL49" i="52"/>
  <c r="R49" i="52"/>
  <c r="AP47" i="52"/>
  <c r="BD44" i="52"/>
  <c r="P44" i="52"/>
  <c r="AN42" i="52"/>
  <c r="T42" i="52"/>
  <c r="AR40" i="52"/>
  <c r="BB39" i="52"/>
  <c r="N39" i="52"/>
  <c r="BF37" i="52"/>
  <c r="AL37" i="52"/>
  <c r="R37" i="52"/>
  <c r="AP35" i="52"/>
  <c r="BD32" i="52"/>
  <c r="P32" i="52"/>
  <c r="AN137" i="52"/>
  <c r="T137" i="52"/>
  <c r="AR135" i="52"/>
  <c r="BB134" i="52"/>
  <c r="N134" i="52"/>
  <c r="BF132" i="52"/>
  <c r="AL132" i="52"/>
  <c r="R132" i="52"/>
  <c r="AP130" i="52"/>
  <c r="BD127" i="52"/>
  <c r="P127" i="52"/>
  <c r="AN125" i="52"/>
  <c r="T125" i="52"/>
  <c r="AR123" i="52"/>
  <c r="BB122" i="52"/>
  <c r="N122" i="52"/>
  <c r="BF120" i="52"/>
  <c r="AL120" i="52"/>
  <c r="R120" i="52"/>
  <c r="AP118" i="52"/>
  <c r="BD115" i="52"/>
  <c r="P115" i="52"/>
  <c r="AN113" i="52"/>
  <c r="BB61" i="52"/>
  <c r="N61" i="52"/>
  <c r="BF59" i="52"/>
  <c r="AL59" i="52"/>
  <c r="R59" i="52"/>
  <c r="AP57" i="52"/>
  <c r="BD54" i="52"/>
  <c r="P54" i="52"/>
  <c r="AN52" i="52"/>
  <c r="T52" i="52"/>
  <c r="AR50" i="52"/>
  <c r="BB49" i="52"/>
  <c r="N49" i="52"/>
  <c r="BF47" i="52"/>
  <c r="AL47" i="52"/>
  <c r="R47" i="52"/>
  <c r="AP45" i="52"/>
  <c r="BD42" i="52"/>
  <c r="P42" i="52"/>
  <c r="AN40" i="52"/>
  <c r="T40" i="52"/>
  <c r="AR38" i="52"/>
  <c r="BB37" i="52"/>
  <c r="N37" i="52"/>
  <c r="BF35" i="52"/>
  <c r="AL35" i="52"/>
  <c r="R35" i="52"/>
  <c r="AP33" i="52"/>
  <c r="BD137" i="52"/>
  <c r="P137" i="52"/>
  <c r="AN135" i="52"/>
  <c r="T135" i="52"/>
  <c r="AR133" i="52"/>
  <c r="BB132" i="52"/>
  <c r="N132" i="52"/>
  <c r="BF130" i="52"/>
  <c r="AL130" i="52"/>
  <c r="R130" i="52"/>
  <c r="AP128" i="52"/>
  <c r="BD125" i="52"/>
  <c r="P125" i="52"/>
  <c r="AN123" i="52"/>
  <c r="T123" i="52"/>
  <c r="AR121" i="52"/>
  <c r="BB120" i="52"/>
  <c r="N120" i="52"/>
  <c r="BF118" i="52"/>
  <c r="AL118" i="52"/>
  <c r="BD61" i="52"/>
  <c r="AP60" i="52"/>
  <c r="BF58" i="52"/>
  <c r="AL58" i="52"/>
  <c r="R58" i="52"/>
  <c r="AL56" i="52"/>
  <c r="R56" i="52"/>
  <c r="AN60" i="52"/>
  <c r="T60" i="52"/>
  <c r="BD58" i="52"/>
  <c r="P58" i="52"/>
  <c r="BF56" i="52"/>
  <c r="N56" i="52"/>
  <c r="BF54" i="52"/>
  <c r="AR60" i="52"/>
  <c r="R60" i="52"/>
  <c r="BF57" i="52"/>
  <c r="P57" i="52"/>
  <c r="BD52" i="52"/>
  <c r="AP51" i="52"/>
  <c r="BB47" i="52"/>
  <c r="AP46" i="52"/>
  <c r="AP44" i="52"/>
  <c r="AP42" i="52"/>
  <c r="R42" i="52"/>
  <c r="N40" i="52"/>
  <c r="BB38" i="52"/>
  <c r="AP37" i="52"/>
  <c r="T37" i="52"/>
  <c r="BD33" i="52"/>
  <c r="N33" i="52"/>
  <c r="BB138" i="52"/>
  <c r="N138" i="52"/>
  <c r="AP135" i="52"/>
  <c r="R135" i="52"/>
  <c r="BF133" i="52"/>
  <c r="P133" i="52"/>
  <c r="AN130" i="52"/>
  <c r="P130" i="52"/>
  <c r="AL128" i="52"/>
  <c r="R128" i="52"/>
  <c r="BF126" i="52"/>
  <c r="AL126" i="52"/>
  <c r="R126" i="52"/>
  <c r="BB124" i="52"/>
  <c r="N124" i="52"/>
  <c r="AN121" i="52"/>
  <c r="T121" i="52"/>
  <c r="BB119" i="52"/>
  <c r="N119" i="52"/>
  <c r="BB115" i="52"/>
  <c r="BD113" i="52"/>
  <c r="N113" i="52"/>
  <c r="BF111" i="52"/>
  <c r="AL111" i="52"/>
  <c r="R111" i="52"/>
  <c r="AP109" i="52"/>
  <c r="BD106" i="52"/>
  <c r="P106" i="52"/>
  <c r="AN104" i="52"/>
  <c r="T104" i="52"/>
  <c r="AR102" i="52"/>
  <c r="BB101" i="52"/>
  <c r="N101" i="52"/>
  <c r="BF99" i="52"/>
  <c r="AL99" i="52"/>
  <c r="R99" i="52"/>
  <c r="AP97" i="52"/>
  <c r="BD94" i="52"/>
  <c r="P94" i="52"/>
  <c r="AN92" i="52"/>
  <c r="T92" i="52"/>
  <c r="AR90" i="52"/>
  <c r="BB89" i="52"/>
  <c r="N89" i="52"/>
  <c r="BF87" i="52"/>
  <c r="AL87" i="52"/>
  <c r="R87" i="52"/>
  <c r="AP85" i="52"/>
  <c r="BD82" i="52"/>
  <c r="P82" i="52"/>
  <c r="AN80" i="52"/>
  <c r="T80" i="52"/>
  <c r="AR78" i="52"/>
  <c r="BB77" i="52"/>
  <c r="N77" i="52"/>
  <c r="BF75" i="52"/>
  <c r="AL75" i="52"/>
  <c r="R75" i="52"/>
  <c r="AP73" i="52"/>
  <c r="BD70" i="52"/>
  <c r="P70" i="52"/>
  <c r="AN68" i="52"/>
  <c r="T68" i="52"/>
  <c r="AR320" i="52"/>
  <c r="BB319" i="52"/>
  <c r="N319" i="52"/>
  <c r="BF317" i="52"/>
  <c r="AL317" i="52"/>
  <c r="R317" i="52"/>
  <c r="AP315" i="52"/>
  <c r="BD312" i="52"/>
  <c r="P312" i="52"/>
  <c r="AN310" i="52"/>
  <c r="T310" i="52"/>
  <c r="AR308" i="52"/>
  <c r="BB307" i="52"/>
  <c r="N307" i="52"/>
  <c r="BF305" i="52"/>
  <c r="AL305" i="52"/>
  <c r="R305" i="52"/>
  <c r="AP303" i="52"/>
  <c r="N60" i="52"/>
  <c r="BB57" i="52"/>
  <c r="AP56" i="52"/>
  <c r="T56" i="52"/>
  <c r="BB54" i="52"/>
  <c r="AP53" i="52"/>
  <c r="AL51" i="52"/>
  <c r="R51" i="52"/>
  <c r="BD49" i="52"/>
  <c r="AP48" i="52"/>
  <c r="BF46" i="52"/>
  <c r="AL46" i="52"/>
  <c r="R46" i="52"/>
  <c r="AL44" i="52"/>
  <c r="R44" i="52"/>
  <c r="BD40" i="52"/>
  <c r="AP39" i="52"/>
  <c r="BB35" i="52"/>
  <c r="AP34" i="52"/>
  <c r="AP32" i="52"/>
  <c r="AP137" i="52"/>
  <c r="R137" i="52"/>
  <c r="N135" i="52"/>
  <c r="BB133" i="52"/>
  <c r="AP132" i="52"/>
  <c r="T132" i="52"/>
  <c r="BD128" i="52"/>
  <c r="N128" i="52"/>
  <c r="BB126" i="52"/>
  <c r="N126" i="52"/>
  <c r="AP123" i="52"/>
  <c r="R123" i="52"/>
  <c r="BF121" i="52"/>
  <c r="P121" i="52"/>
  <c r="AN118" i="52"/>
  <c r="R118" i="52"/>
  <c r="AP116" i="52"/>
  <c r="AP114" i="52"/>
  <c r="AR112" i="52"/>
  <c r="BB111" i="52"/>
  <c r="N111" i="52"/>
  <c r="BF109" i="52"/>
  <c r="AL109" i="52"/>
  <c r="R109" i="52"/>
  <c r="AP107" i="52"/>
  <c r="BD104" i="52"/>
  <c r="P104" i="52"/>
  <c r="AN102" i="52"/>
  <c r="T102" i="52"/>
  <c r="AR100" i="52"/>
  <c r="BB99" i="52"/>
  <c r="N99" i="52"/>
  <c r="BF97" i="52"/>
  <c r="AL97" i="52"/>
  <c r="R97" i="52"/>
  <c r="AP95" i="52"/>
  <c r="BD92" i="52"/>
  <c r="P92" i="52"/>
  <c r="AN90" i="52"/>
  <c r="T90" i="52"/>
  <c r="AR88" i="52"/>
  <c r="BB87" i="52"/>
  <c r="N87" i="52"/>
  <c r="BF85" i="52"/>
  <c r="AL85" i="52"/>
  <c r="R85" i="52"/>
  <c r="AP83" i="52"/>
  <c r="BD80" i="52"/>
  <c r="P80" i="52"/>
  <c r="AN78" i="52"/>
  <c r="T78" i="52"/>
  <c r="AR76" i="52"/>
  <c r="BB75" i="52"/>
  <c r="N75" i="52"/>
  <c r="BF73" i="52"/>
  <c r="AL73" i="52"/>
  <c r="R73" i="52"/>
  <c r="AP71" i="52"/>
  <c r="BD68" i="52"/>
  <c r="P68" i="52"/>
  <c r="AN320" i="52"/>
  <c r="T320" i="52"/>
  <c r="AR318" i="52"/>
  <c r="BB317" i="52"/>
  <c r="N317" i="52"/>
  <c r="BF315" i="52"/>
  <c r="AL315" i="52"/>
  <c r="R315" i="52"/>
  <c r="AP313" i="52"/>
  <c r="BD310" i="52"/>
  <c r="P310" i="52"/>
  <c r="AN308" i="52"/>
  <c r="T308" i="52"/>
  <c r="AR306" i="52"/>
  <c r="BB305" i="52"/>
  <c r="N305" i="52"/>
  <c r="BF303" i="52"/>
  <c r="AL303" i="52"/>
  <c r="R303" i="52"/>
  <c r="BD60" i="52"/>
  <c r="BD59" i="52"/>
  <c r="AN58" i="52"/>
  <c r="N58" i="52"/>
  <c r="AR57" i="52"/>
  <c r="AR53" i="52"/>
  <c r="BF51" i="52"/>
  <c r="AN50" i="52"/>
  <c r="T50" i="52"/>
  <c r="N47" i="52"/>
  <c r="BB42" i="52"/>
  <c r="BF41" i="52"/>
  <c r="AL41" i="52"/>
  <c r="R41" i="52"/>
  <c r="P38" i="52"/>
  <c r="AR34" i="52"/>
  <c r="N32" i="52"/>
  <c r="BD136" i="52"/>
  <c r="P136" i="52"/>
  <c r="BD133" i="52"/>
  <c r="AR131" i="52"/>
  <c r="BD129" i="52"/>
  <c r="P129" i="52"/>
  <c r="AP125" i="52"/>
  <c r="R125" i="52"/>
  <c r="BD123" i="52"/>
  <c r="AL122" i="52"/>
  <c r="R122" i="52"/>
  <c r="N118" i="52"/>
  <c r="BF116" i="52"/>
  <c r="P116" i="52"/>
  <c r="BB114" i="52"/>
  <c r="AR113" i="52"/>
  <c r="BB109" i="52"/>
  <c r="AP108" i="52"/>
  <c r="AP106" i="52"/>
  <c r="AP104" i="52"/>
  <c r="R104" i="52"/>
  <c r="N102" i="52"/>
  <c r="BB100" i="52"/>
  <c r="AP99" i="52"/>
  <c r="T99" i="52"/>
  <c r="BD95" i="52"/>
  <c r="N95" i="52"/>
  <c r="BB93" i="52"/>
  <c r="N93" i="52"/>
  <c r="AP90" i="52"/>
  <c r="R90" i="52"/>
  <c r="BF88" i="52"/>
  <c r="P88" i="52"/>
  <c r="AN85" i="52"/>
  <c r="P85" i="52"/>
  <c r="AL83" i="52"/>
  <c r="R83" i="52"/>
  <c r="BF81" i="52"/>
  <c r="AL81" i="52"/>
  <c r="R81" i="52"/>
  <c r="BB79" i="52"/>
  <c r="N79" i="52"/>
  <c r="AN76" i="52"/>
  <c r="T76" i="52"/>
  <c r="BB74" i="52"/>
  <c r="N74" i="52"/>
  <c r="AR71" i="52"/>
  <c r="AP69" i="52"/>
  <c r="BF67" i="52"/>
  <c r="AL67" i="52"/>
  <c r="R67" i="52"/>
  <c r="BD319" i="52"/>
  <c r="BF316" i="52"/>
  <c r="AL316" i="52"/>
  <c r="R316" i="52"/>
  <c r="BB314" i="52"/>
  <c r="N314" i="52"/>
  <c r="BB312" i="52"/>
  <c r="BB310" i="52"/>
  <c r="AP309" i="52"/>
  <c r="AL307" i="52"/>
  <c r="R307" i="52"/>
  <c r="BD305" i="52"/>
  <c r="AP304" i="52"/>
  <c r="BF302" i="52"/>
  <c r="AL302" i="52"/>
  <c r="R302" i="52"/>
  <c r="AP300" i="52"/>
  <c r="BD297" i="52"/>
  <c r="P297" i="52"/>
  <c r="AN295" i="52"/>
  <c r="T295" i="52"/>
  <c r="AR293" i="52"/>
  <c r="BB292" i="52"/>
  <c r="N292" i="52"/>
  <c r="BF290" i="52"/>
  <c r="AL290" i="52"/>
  <c r="R290" i="52"/>
  <c r="AP288" i="52"/>
  <c r="BD285" i="52"/>
  <c r="P285" i="52"/>
  <c r="AN283" i="52"/>
  <c r="T283" i="52"/>
  <c r="AR281" i="52"/>
  <c r="BB280" i="52"/>
  <c r="N280" i="52"/>
  <c r="BF278" i="52"/>
  <c r="AL278" i="52"/>
  <c r="R278" i="52"/>
  <c r="AP276" i="52"/>
  <c r="BD273" i="52"/>
  <c r="P273" i="52"/>
  <c r="AN271" i="52"/>
  <c r="T271" i="52"/>
  <c r="AR269" i="52"/>
  <c r="BB268" i="52"/>
  <c r="N268" i="52"/>
  <c r="BF266" i="52"/>
  <c r="AL266" i="52"/>
  <c r="R266" i="52"/>
  <c r="AP264" i="52"/>
  <c r="BB60" i="52"/>
  <c r="BB59" i="52"/>
  <c r="AN57" i="52"/>
  <c r="T57" i="52"/>
  <c r="AN53" i="52"/>
  <c r="T53" i="52"/>
  <c r="BD51" i="52"/>
  <c r="AL50" i="52"/>
  <c r="R50" i="52"/>
  <c r="AR46" i="52"/>
  <c r="T46" i="52"/>
  <c r="AR43" i="52"/>
  <c r="BD41" i="52"/>
  <c r="P41" i="52"/>
  <c r="BF38" i="52"/>
  <c r="N38" i="52"/>
  <c r="AR37" i="52"/>
  <c r="P37" i="52"/>
  <c r="BD35" i="52"/>
  <c r="AN34" i="52"/>
  <c r="T34" i="52"/>
  <c r="BF32" i="52"/>
  <c r="AR138" i="52"/>
  <c r="BB136" i="52"/>
  <c r="N136" i="52"/>
  <c r="AP131" i="52"/>
  <c r="BB129" i="52"/>
  <c r="N129" i="52"/>
  <c r="BD126" i="52"/>
  <c r="AL125" i="52"/>
  <c r="N125" i="52"/>
  <c r="BB123" i="52"/>
  <c r="BF122" i="52"/>
  <c r="P122" i="52"/>
  <c r="BD116" i="52"/>
  <c r="N116" i="52"/>
  <c r="AR115" i="52"/>
  <c r="AP113" i="52"/>
  <c r="T113" i="52"/>
  <c r="AR110" i="52"/>
  <c r="AN108" i="52"/>
  <c r="T108" i="52"/>
  <c r="AN106" i="52"/>
  <c r="T106" i="52"/>
  <c r="AL104" i="52"/>
  <c r="N104" i="52"/>
  <c r="BF102" i="52"/>
  <c r="AR101" i="52"/>
  <c r="AN99" i="52"/>
  <c r="P99" i="52"/>
  <c r="BD97" i="52"/>
  <c r="AR96" i="52"/>
  <c r="BB95" i="52"/>
  <c r="AR94" i="52"/>
  <c r="AR92" i="52"/>
  <c r="AL90" i="52"/>
  <c r="P90" i="52"/>
  <c r="BD88" i="52"/>
  <c r="N88" i="52"/>
  <c r="AR87" i="52"/>
  <c r="N85" i="52"/>
  <c r="BF83" i="52"/>
  <c r="P83" i="52"/>
  <c r="BD81" i="52"/>
  <c r="P81" i="52"/>
  <c r="AL76" i="52"/>
  <c r="R76" i="52"/>
  <c r="AR73" i="52"/>
  <c r="T73" i="52"/>
  <c r="AN71" i="52"/>
  <c r="T71" i="52"/>
  <c r="AN69" i="52"/>
  <c r="T69" i="52"/>
  <c r="BD67" i="52"/>
  <c r="P67" i="52"/>
  <c r="AP318" i="52"/>
  <c r="BD316" i="52"/>
  <c r="P316" i="52"/>
  <c r="AR311" i="52"/>
  <c r="AN309" i="52"/>
  <c r="T309" i="52"/>
  <c r="BF307" i="52"/>
  <c r="P307" i="52"/>
  <c r="AN304" i="52"/>
  <c r="T304" i="52"/>
  <c r="BD302" i="52"/>
  <c r="P302" i="52"/>
  <c r="AN300" i="52"/>
  <c r="T300" i="52"/>
  <c r="AR298" i="52"/>
  <c r="BB297" i="52"/>
  <c r="N297" i="52"/>
  <c r="BF295" i="52"/>
  <c r="AL295" i="52"/>
  <c r="R295" i="52"/>
  <c r="AP293" i="52"/>
  <c r="BD290" i="52"/>
  <c r="P290" i="52"/>
  <c r="AN288" i="52"/>
  <c r="T288" i="52"/>
  <c r="AR286" i="52"/>
  <c r="BB285" i="52"/>
  <c r="N285" i="52"/>
  <c r="BF283" i="52"/>
  <c r="AL283" i="52"/>
  <c r="R283" i="52"/>
  <c r="AP281" i="52"/>
  <c r="BD278" i="52"/>
  <c r="P278" i="52"/>
  <c r="AN276" i="52"/>
  <c r="T276" i="52"/>
  <c r="AR274" i="52"/>
  <c r="BB273" i="52"/>
  <c r="N273" i="52"/>
  <c r="BF271" i="52"/>
  <c r="AL271" i="52"/>
  <c r="R271" i="52"/>
  <c r="AP269" i="52"/>
  <c r="BD266" i="52"/>
  <c r="P266" i="52"/>
  <c r="BB58" i="52"/>
  <c r="N57" i="52"/>
  <c r="AR56" i="52"/>
  <c r="BF53" i="52"/>
  <c r="P53" i="52"/>
  <c r="BD50" i="52"/>
  <c r="N50" i="52"/>
  <c r="AP49" i="52"/>
  <c r="T49" i="52"/>
  <c r="BD47" i="52"/>
  <c r="N46" i="52"/>
  <c r="BB44" i="52"/>
  <c r="AN43" i="52"/>
  <c r="T43" i="52"/>
  <c r="AP40" i="52"/>
  <c r="R40" i="52"/>
  <c r="AR36" i="52"/>
  <c r="AL60" i="52"/>
  <c r="AR59" i="52"/>
  <c r="T59" i="52"/>
  <c r="BB56" i="52"/>
  <c r="BF60" i="52"/>
  <c r="BD53" i="52"/>
  <c r="AP50" i="52"/>
  <c r="AR48" i="52"/>
  <c r="AN36" i="52"/>
  <c r="T36" i="52"/>
  <c r="BF33" i="52"/>
  <c r="AN32" i="52"/>
  <c r="T32" i="52"/>
  <c r="AP134" i="52"/>
  <c r="BB131" i="52"/>
  <c r="AP129" i="52"/>
  <c r="AN124" i="52"/>
  <c r="T124" i="52"/>
  <c r="BF119" i="52"/>
  <c r="P119" i="52"/>
  <c r="T118" i="52"/>
  <c r="AL115" i="52"/>
  <c r="R115" i="52"/>
  <c r="BB113" i="52"/>
  <c r="BF112" i="52"/>
  <c r="P112" i="52"/>
  <c r="BB104" i="52"/>
  <c r="BB103" i="52"/>
  <c r="N103" i="52"/>
  <c r="BD100" i="52"/>
  <c r="AP98" i="52"/>
  <c r="BD96" i="52"/>
  <c r="N96" i="52"/>
  <c r="AR95" i="52"/>
  <c r="BF93" i="52"/>
  <c r="P93" i="52"/>
  <c r="AN89" i="52"/>
  <c r="T89" i="52"/>
  <c r="BB86" i="52"/>
  <c r="N86" i="52"/>
  <c r="T85" i="52"/>
  <c r="BD83" i="52"/>
  <c r="AN82" i="52"/>
  <c r="T82" i="52"/>
  <c r="BF79" i="52"/>
  <c r="P79" i="52"/>
  <c r="AP75" i="52"/>
  <c r="T75" i="52"/>
  <c r="BB73" i="52"/>
  <c r="BF72" i="52"/>
  <c r="AL72" i="52"/>
  <c r="R72" i="52"/>
  <c r="AR69" i="52"/>
  <c r="R69" i="52"/>
  <c r="BF320" i="52"/>
  <c r="AP319" i="52"/>
  <c r="AN316" i="52"/>
  <c r="N316" i="52"/>
  <c r="AL313" i="52"/>
  <c r="R313" i="52"/>
  <c r="BD311" i="52"/>
  <c r="N311" i="52"/>
  <c r="AR310" i="52"/>
  <c r="BD308" i="52"/>
  <c r="AN307" i="52"/>
  <c r="BD304" i="52"/>
  <c r="AN303" i="52"/>
  <c r="P303" i="52"/>
  <c r="AR300" i="52"/>
  <c r="R300" i="52"/>
  <c r="AN298" i="52"/>
  <c r="T298" i="52"/>
  <c r="BD296" i="52"/>
  <c r="P296" i="52"/>
  <c r="AN293" i="52"/>
  <c r="T293" i="52"/>
  <c r="AN291" i="52"/>
  <c r="T291" i="52"/>
  <c r="BB289" i="52"/>
  <c r="N289" i="52"/>
  <c r="AN284" i="52"/>
  <c r="T284" i="52"/>
  <c r="BB282" i="52"/>
  <c r="N282" i="52"/>
  <c r="AR279" i="52"/>
  <c r="BF277" i="52"/>
  <c r="AL277" i="52"/>
  <c r="R277" i="52"/>
  <c r="BD275" i="52"/>
  <c r="P275" i="52"/>
  <c r="BF273" i="52"/>
  <c r="AR272" i="52"/>
  <c r="BF270" i="52"/>
  <c r="AL270" i="52"/>
  <c r="R270" i="52"/>
  <c r="BF268" i="52"/>
  <c r="P268" i="52"/>
  <c r="BB266" i="52"/>
  <c r="AP265" i="52"/>
  <c r="AR263" i="52"/>
  <c r="BB262" i="52"/>
  <c r="N262" i="52"/>
  <c r="BF260" i="52"/>
  <c r="AL260" i="52"/>
  <c r="R260" i="52"/>
  <c r="AP258" i="52"/>
  <c r="BD255" i="52"/>
  <c r="P255" i="52"/>
  <c r="AN253" i="52"/>
  <c r="T253" i="52"/>
  <c r="AR251" i="52"/>
  <c r="BB250" i="52"/>
  <c r="N250" i="52"/>
  <c r="BF248" i="52"/>
  <c r="AL248" i="52"/>
  <c r="R248" i="52"/>
  <c r="AP246" i="52"/>
  <c r="BD243" i="52"/>
  <c r="P243" i="52"/>
  <c r="AN241" i="52"/>
  <c r="T241" i="52"/>
  <c r="AR239" i="52"/>
  <c r="BB238" i="52"/>
  <c r="N238" i="52"/>
  <c r="BF236" i="52"/>
  <c r="AL236" i="52"/>
  <c r="R236" i="52"/>
  <c r="AP234" i="52"/>
  <c r="BD231" i="52"/>
  <c r="P231" i="52"/>
  <c r="AN229" i="52"/>
  <c r="T229" i="52"/>
  <c r="AR227" i="52"/>
  <c r="BB226" i="52"/>
  <c r="N226" i="52"/>
  <c r="BF224" i="52"/>
  <c r="AL224" i="52"/>
  <c r="R224" i="52"/>
  <c r="AP222" i="52"/>
  <c r="BD219" i="52"/>
  <c r="P219" i="52"/>
  <c r="AN217" i="52"/>
  <c r="T217" i="52"/>
  <c r="AR215" i="52"/>
  <c r="BB214" i="52"/>
  <c r="N214" i="52"/>
  <c r="BF212" i="52"/>
  <c r="AL212" i="52"/>
  <c r="R212" i="52"/>
  <c r="AP210" i="52"/>
  <c r="BD207" i="52"/>
  <c r="P207" i="52"/>
  <c r="AN205" i="52"/>
  <c r="T205" i="52"/>
  <c r="AR203" i="52"/>
  <c r="BB202" i="52"/>
  <c r="N202" i="52"/>
  <c r="BF200" i="52"/>
  <c r="AL200" i="52"/>
  <c r="R200" i="52"/>
  <c r="AP198" i="52"/>
  <c r="BD195" i="52"/>
  <c r="P195" i="52"/>
  <c r="AN193" i="52"/>
  <c r="T193" i="52"/>
  <c r="AR191" i="52"/>
  <c r="BB190" i="52"/>
  <c r="N190" i="52"/>
  <c r="BF188" i="52"/>
  <c r="AL188" i="52"/>
  <c r="R188" i="52"/>
  <c r="AP186" i="52"/>
  <c r="BD183" i="52"/>
  <c r="P183" i="52"/>
  <c r="AN181" i="52"/>
  <c r="T181" i="52"/>
  <c r="AR179" i="52"/>
  <c r="BB178" i="52"/>
  <c r="N178" i="52"/>
  <c r="BF176" i="52"/>
  <c r="AL176" i="52"/>
  <c r="R176" i="52"/>
  <c r="AP174" i="52"/>
  <c r="BD171" i="52"/>
  <c r="P171" i="52"/>
  <c r="AN169" i="52"/>
  <c r="T169" i="52"/>
  <c r="AR167" i="52"/>
  <c r="BB166" i="52"/>
  <c r="N166" i="52"/>
  <c r="BF164" i="52"/>
  <c r="AL164" i="52"/>
  <c r="R164" i="52"/>
  <c r="AP162" i="52"/>
  <c r="BD159" i="52"/>
  <c r="P159" i="52"/>
  <c r="AN157" i="52"/>
  <c r="T157" i="52"/>
  <c r="AR155" i="52"/>
  <c r="BB154" i="52"/>
  <c r="N154" i="52"/>
  <c r="BF152" i="52"/>
  <c r="AL152" i="52"/>
  <c r="R152" i="52"/>
  <c r="AP150" i="52"/>
  <c r="AN56" i="52"/>
  <c r="AR55" i="52"/>
  <c r="BB53" i="52"/>
  <c r="BF52" i="52"/>
  <c r="AN48" i="52"/>
  <c r="T48" i="52"/>
  <c r="AP43" i="52"/>
  <c r="R43" i="52"/>
  <c r="AL36" i="52"/>
  <c r="R36" i="52"/>
  <c r="BB33" i="52"/>
  <c r="AL32" i="52"/>
  <c r="R32" i="52"/>
  <c r="AN134" i="52"/>
  <c r="T134" i="52"/>
  <c r="AN129" i="52"/>
  <c r="T129" i="52"/>
  <c r="AL124" i="52"/>
  <c r="R124" i="52"/>
  <c r="P123" i="52"/>
  <c r="BD119" i="52"/>
  <c r="AR118" i="52"/>
  <c r="P118" i="52"/>
  <c r="BB116" i="52"/>
  <c r="N115" i="52"/>
  <c r="BD112" i="52"/>
  <c r="N112" i="52"/>
  <c r="AR111" i="52"/>
  <c r="AR108" i="52"/>
  <c r="R108" i="52"/>
  <c r="AR105" i="52"/>
  <c r="AP102" i="52"/>
  <c r="R102" i="52"/>
  <c r="AN98" i="52"/>
  <c r="T98" i="52"/>
  <c r="BB96" i="52"/>
  <c r="AN95" i="52"/>
  <c r="T95" i="52"/>
  <c r="BD93" i="52"/>
  <c r="AP92" i="52"/>
  <c r="R92" i="52"/>
  <c r="AL89" i="52"/>
  <c r="R89" i="52"/>
  <c r="AR85" i="52"/>
  <c r="BB83" i="52"/>
  <c r="AL82" i="52"/>
  <c r="R82" i="52"/>
  <c r="BD79" i="52"/>
  <c r="AN75" i="52"/>
  <c r="P75" i="52"/>
  <c r="BD72" i="52"/>
  <c r="P72" i="52"/>
  <c r="AL69" i="52"/>
  <c r="P69" i="52"/>
  <c r="BD320" i="52"/>
  <c r="AN319" i="52"/>
  <c r="T319" i="52"/>
  <c r="BD317" i="52"/>
  <c r="AR315" i="52"/>
  <c r="T315" i="52"/>
  <c r="BF313" i="52"/>
  <c r="P313" i="52"/>
  <c r="BB311" i="52"/>
  <c r="AP310" i="52"/>
  <c r="R310" i="52"/>
  <c r="BB308" i="52"/>
  <c r="AP306" i="52"/>
  <c r="BB304" i="52"/>
  <c r="N303" i="52"/>
  <c r="AR302" i="52"/>
  <c r="AL300" i="52"/>
  <c r="P300" i="52"/>
  <c r="AL298" i="52"/>
  <c r="R298" i="52"/>
  <c r="BB296" i="52"/>
  <c r="N296" i="52"/>
  <c r="AL293" i="52"/>
  <c r="R293" i="52"/>
  <c r="BF291" i="52"/>
  <c r="AL291" i="52"/>
  <c r="R291" i="52"/>
  <c r="AP286" i="52"/>
  <c r="BF284" i="52"/>
  <c r="AL284" i="52"/>
  <c r="R284" i="52"/>
  <c r="AP279" i="52"/>
  <c r="BD277" i="52"/>
  <c r="P277" i="52"/>
  <c r="BB275" i="52"/>
  <c r="N275" i="52"/>
  <c r="AP272" i="52"/>
  <c r="BD270" i="52"/>
  <c r="P270" i="52"/>
  <c r="BD268" i="52"/>
  <c r="AN265" i="52"/>
  <c r="T265" i="52"/>
  <c r="AP263" i="52"/>
  <c r="BD260" i="52"/>
  <c r="P260" i="52"/>
  <c r="AN258" i="52"/>
  <c r="T258" i="52"/>
  <c r="AR256" i="52"/>
  <c r="BB255" i="52"/>
  <c r="N255" i="52"/>
  <c r="BF253" i="52"/>
  <c r="AL253" i="52"/>
  <c r="R253" i="52"/>
  <c r="AP251" i="52"/>
  <c r="BD248" i="52"/>
  <c r="P248" i="52"/>
  <c r="AN246" i="52"/>
  <c r="T246" i="52"/>
  <c r="AR244" i="52"/>
  <c r="BB243" i="52"/>
  <c r="N243" i="52"/>
  <c r="BF241" i="52"/>
  <c r="AL241" i="52"/>
  <c r="R241" i="52"/>
  <c r="AP239" i="52"/>
  <c r="BD236" i="52"/>
  <c r="P236" i="52"/>
  <c r="AN234" i="52"/>
  <c r="T234" i="52"/>
  <c r="AR232" i="52"/>
  <c r="BB231" i="52"/>
  <c r="N231" i="52"/>
  <c r="BF229" i="52"/>
  <c r="AL229" i="52"/>
  <c r="R229" i="52"/>
  <c r="AP227" i="52"/>
  <c r="BD224" i="52"/>
  <c r="P224" i="52"/>
  <c r="AN222" i="52"/>
  <c r="T222" i="52"/>
  <c r="AR220" i="52"/>
  <c r="BB219" i="52"/>
  <c r="N219" i="52"/>
  <c r="BF217" i="52"/>
  <c r="AL217" i="52"/>
  <c r="R217" i="52"/>
  <c r="AP215" i="52"/>
  <c r="BD212" i="52"/>
  <c r="P212" i="52"/>
  <c r="AN210" i="52"/>
  <c r="T210" i="52"/>
  <c r="AR208" i="52"/>
  <c r="BB207" i="52"/>
  <c r="N207" i="52"/>
  <c r="BF205" i="52"/>
  <c r="AL205" i="52"/>
  <c r="R205" i="52"/>
  <c r="AP203" i="52"/>
  <c r="BD200" i="52"/>
  <c r="P200" i="52"/>
  <c r="AN198" i="52"/>
  <c r="T198" i="52"/>
  <c r="AR196" i="52"/>
  <c r="BB195" i="52"/>
  <c r="N195" i="52"/>
  <c r="BF193" i="52"/>
  <c r="AL193" i="52"/>
  <c r="BD57" i="52"/>
  <c r="AL53" i="52"/>
  <c r="N53" i="52"/>
  <c r="AL45" i="52"/>
  <c r="R45" i="52"/>
  <c r="BF42" i="52"/>
  <c r="BB41" i="52"/>
  <c r="AL39" i="52"/>
  <c r="R39" i="52"/>
  <c r="AR33" i="52"/>
  <c r="AN136" i="52"/>
  <c r="T136" i="52"/>
  <c r="AL131" i="52"/>
  <c r="R131" i="52"/>
  <c r="BB128" i="52"/>
  <c r="AL127" i="52"/>
  <c r="R127" i="52"/>
  <c r="AR126" i="52"/>
  <c r="BD121" i="52"/>
  <c r="AR119" i="52"/>
  <c r="BB117" i="52"/>
  <c r="N117" i="52"/>
  <c r="AR116" i="52"/>
  <c r="BF110" i="52"/>
  <c r="P110" i="52"/>
  <c r="BF107" i="52"/>
  <c r="P107" i="52"/>
  <c r="AP103" i="52"/>
  <c r="BD101" i="52"/>
  <c r="AN100" i="52"/>
  <c r="T100" i="52"/>
  <c r="AP96" i="52"/>
  <c r="BF94" i="52"/>
  <c r="AR93" i="52"/>
  <c r="BD91" i="52"/>
  <c r="P91" i="52"/>
  <c r="AP86" i="52"/>
  <c r="AR83" i="52"/>
  <c r="T83" i="52"/>
  <c r="AR79" i="52"/>
  <c r="AL77" i="52"/>
  <c r="R77" i="52"/>
  <c r="BD71" i="52"/>
  <c r="AN70" i="52"/>
  <c r="T70" i="52"/>
  <c r="BB68" i="52"/>
  <c r="BF318" i="52"/>
  <c r="N318" i="52"/>
  <c r="AR317" i="52"/>
  <c r="BF314" i="52"/>
  <c r="P314" i="52"/>
  <c r="AP311" i="52"/>
  <c r="BD309" i="52"/>
  <c r="AP308" i="52"/>
  <c r="R308" i="52"/>
  <c r="AP52" i="52"/>
  <c r="R52" i="52"/>
  <c r="BD46" i="52"/>
  <c r="BF45" i="52"/>
  <c r="P45" i="52"/>
  <c r="P39" i="52"/>
  <c r="AP38" i="52"/>
  <c r="BF34" i="52"/>
  <c r="AN33" i="52"/>
  <c r="T33" i="52"/>
  <c r="AL136" i="52"/>
  <c r="R136" i="52"/>
  <c r="P131" i="52"/>
  <c r="BF127" i="52"/>
  <c r="N127" i="52"/>
  <c r="AP126" i="52"/>
  <c r="T126" i="52"/>
  <c r="BB121" i="52"/>
  <c r="AP119" i="52"/>
  <c r="AN116" i="52"/>
  <c r="T116" i="52"/>
  <c r="AP112" i="52"/>
  <c r="BD110" i="52"/>
  <c r="N110" i="52"/>
  <c r="AR109" i="52"/>
  <c r="T109" i="52"/>
  <c r="BD107" i="52"/>
  <c r="N107" i="52"/>
  <c r="AN103" i="52"/>
  <c r="T103" i="52"/>
  <c r="AL100" i="52"/>
  <c r="R100" i="52"/>
  <c r="BB97" i="52"/>
  <c r="AN96" i="52"/>
  <c r="T96" i="52"/>
  <c r="BB94" i="52"/>
  <c r="AP93" i="52"/>
  <c r="BB91" i="52"/>
  <c r="N91" i="52"/>
  <c r="N90" i="52"/>
  <c r="BD87" i="52"/>
  <c r="AN86" i="52"/>
  <c r="T86" i="52"/>
  <c r="AN83" i="52"/>
  <c r="N83" i="52"/>
  <c r="BF80" i="52"/>
  <c r="AP79" i="52"/>
  <c r="BF77" i="52"/>
  <c r="P77" i="52"/>
  <c r="AR72" i="52"/>
  <c r="BB71" i="52"/>
  <c r="AL70" i="52"/>
  <c r="R70" i="52"/>
  <c r="AP320" i="52"/>
  <c r="R320" i="52"/>
  <c r="BD318" i="52"/>
  <c r="AP317" i="52"/>
  <c r="T317" i="52"/>
  <c r="BD314" i="52"/>
  <c r="AN311" i="52"/>
  <c r="T311" i="52"/>
  <c r="P59" i="52"/>
  <c r="AR58" i="52"/>
  <c r="T58" i="52"/>
  <c r="BD55" i="52"/>
  <c r="N55" i="52"/>
  <c r="AP54" i="52"/>
  <c r="R54" i="52"/>
  <c r="AN45" i="52"/>
  <c r="N45" i="52"/>
  <c r="AR44" i="52"/>
  <c r="T44" i="52"/>
  <c r="BB34" i="52"/>
  <c r="BB32" i="52"/>
  <c r="AL134" i="52"/>
  <c r="P134" i="52"/>
  <c r="AN133" i="52"/>
  <c r="T133" i="52"/>
  <c r="BB118" i="52"/>
  <c r="BF115" i="52"/>
  <c r="BF114" i="52"/>
  <c r="N114" i="52"/>
  <c r="AL113" i="52"/>
  <c r="P113" i="52"/>
  <c r="AN112" i="52"/>
  <c r="T112" i="52"/>
  <c r="AP105" i="52"/>
  <c r="BF100" i="52"/>
  <c r="BD99" i="52"/>
  <c r="BB98" i="52"/>
  <c r="N94" i="52"/>
  <c r="AL93" i="52"/>
  <c r="R93" i="52"/>
  <c r="N92" i="52"/>
  <c r="AR91" i="52"/>
  <c r="BD85" i="52"/>
  <c r="BB84" i="52"/>
  <c r="N84" i="52"/>
  <c r="AP80" i="52"/>
  <c r="R80" i="52"/>
  <c r="AN79" i="52"/>
  <c r="T79" i="52"/>
  <c r="BD76" i="52"/>
  <c r="BD74" i="52"/>
  <c r="AN72" i="52"/>
  <c r="N72" i="52"/>
  <c r="AL71" i="52"/>
  <c r="P71" i="52"/>
  <c r="BB318" i="52"/>
  <c r="BB316" i="52"/>
  <c r="BD315" i="52"/>
  <c r="AN313" i="52"/>
  <c r="N313" i="52"/>
  <c r="AR312" i="52"/>
  <c r="BD306" i="52"/>
  <c r="AN305" i="52"/>
  <c r="P305" i="52"/>
  <c r="AR304" i="52"/>
  <c r="R304" i="52"/>
  <c r="AR299" i="52"/>
  <c r="BB298" i="52"/>
  <c r="BF297" i="52"/>
  <c r="AN296" i="52"/>
  <c r="T296" i="52"/>
  <c r="AR292" i="52"/>
  <c r="AL289" i="52"/>
  <c r="R289" i="52"/>
  <c r="BB287" i="52"/>
  <c r="N287" i="52"/>
  <c r="AP283" i="52"/>
  <c r="N283" i="52"/>
  <c r="BB281" i="52"/>
  <c r="AN59" i="52"/>
  <c r="N59" i="52"/>
  <c r="AP58" i="52"/>
  <c r="BB55" i="52"/>
  <c r="AL54" i="52"/>
  <c r="N54" i="52"/>
  <c r="BF48" i="52"/>
  <c r="AN44" i="52"/>
  <c r="N44" i="52"/>
  <c r="AR41" i="52"/>
  <c r="AL133" i="52"/>
  <c r="R133" i="52"/>
  <c r="BD114" i="52"/>
  <c r="AL112" i="52"/>
  <c r="R112" i="52"/>
  <c r="AP111" i="52"/>
  <c r="T111" i="52"/>
  <c r="BF106" i="52"/>
  <c r="AN105" i="52"/>
  <c r="T105" i="52"/>
  <c r="AL92" i="52"/>
  <c r="AP91" i="52"/>
  <c r="BB85" i="52"/>
  <c r="BF82" i="52"/>
  <c r="AL80" i="52"/>
  <c r="N80" i="52"/>
  <c r="AL79" i="52"/>
  <c r="R79" i="52"/>
  <c r="BB76" i="52"/>
  <c r="BD75" i="52"/>
  <c r="N71" i="52"/>
  <c r="BB315" i="52"/>
  <c r="AP312" i="52"/>
  <c r="BB306" i="52"/>
  <c r="AL304" i="52"/>
  <c r="P304" i="52"/>
  <c r="AP299" i="52"/>
  <c r="AL296" i="52"/>
  <c r="R296" i="52"/>
  <c r="AP292" i="52"/>
  <c r="BF289" i="52"/>
  <c r="P289" i="52"/>
  <c r="BD284" i="52"/>
  <c r="AR282" i="52"/>
  <c r="AN280" i="52"/>
  <c r="T280" i="52"/>
  <c r="BB278" i="52"/>
  <c r="BD274" i="52"/>
  <c r="N274" i="52"/>
  <c r="AP273" i="52"/>
  <c r="BD271" i="52"/>
  <c r="BD267" i="52"/>
  <c r="P267" i="52"/>
  <c r="AR266" i="52"/>
  <c r="BD264" i="52"/>
  <c r="N264" i="52"/>
  <c r="AR261" i="52"/>
  <c r="BF259" i="52"/>
  <c r="AL259" i="52"/>
  <c r="R259" i="52"/>
  <c r="BD257" i="52"/>
  <c r="P257" i="52"/>
  <c r="BF255" i="52"/>
  <c r="AR254" i="52"/>
  <c r="BF252" i="52"/>
  <c r="AL252" i="52"/>
  <c r="R252" i="52"/>
  <c r="BF250" i="52"/>
  <c r="P250" i="52"/>
  <c r="BB248" i="52"/>
  <c r="AP247" i="52"/>
  <c r="AN245" i="52"/>
  <c r="T245" i="52"/>
  <c r="AL243" i="52"/>
  <c r="R243" i="52"/>
  <c r="BD241" i="52"/>
  <c r="AP240" i="52"/>
  <c r="AN238" i="52"/>
  <c r="T238" i="52"/>
  <c r="BD234" i="52"/>
  <c r="AR233" i="52"/>
  <c r="BB232" i="52"/>
  <c r="AP231" i="52"/>
  <c r="BD227" i="52"/>
  <c r="AR226" i="52"/>
  <c r="AP224" i="52"/>
  <c r="T224" i="52"/>
  <c r="N222" i="52"/>
  <c r="BF220" i="52"/>
  <c r="P220" i="52"/>
  <c r="AR217" i="52"/>
  <c r="P217" i="52"/>
  <c r="P215" i="52"/>
  <c r="BD213" i="52"/>
  <c r="P213" i="52"/>
  <c r="AR210" i="52"/>
  <c r="R210" i="52"/>
  <c r="AN208" i="52"/>
  <c r="T208" i="52"/>
  <c r="BD206" i="52"/>
  <c r="P206" i="52"/>
  <c r="AN203" i="52"/>
  <c r="T203" i="52"/>
  <c r="AN201" i="52"/>
  <c r="T201" i="52"/>
  <c r="BB199" i="52"/>
  <c r="N199" i="52"/>
  <c r="AN194" i="52"/>
  <c r="T194" i="52"/>
  <c r="BD192" i="52"/>
  <c r="P192" i="52"/>
  <c r="BF190" i="52"/>
  <c r="P190" i="52"/>
  <c r="BD188" i="52"/>
  <c r="BD186" i="52"/>
  <c r="N186" i="52"/>
  <c r="BF184" i="52"/>
  <c r="AL184" i="52"/>
  <c r="R184" i="52"/>
  <c r="BF182" i="52"/>
  <c r="AL182" i="52"/>
  <c r="R182" i="52"/>
  <c r="BF180" i="52"/>
  <c r="AL180" i="52"/>
  <c r="R180" i="52"/>
  <c r="AL178" i="52"/>
  <c r="R178" i="52"/>
  <c r="N176" i="52"/>
  <c r="BF174" i="52"/>
  <c r="P174" i="52"/>
  <c r="AN172" i="52"/>
  <c r="T172" i="52"/>
  <c r="AN170" i="52"/>
  <c r="T170" i="52"/>
  <c r="AN168" i="52"/>
  <c r="T168" i="52"/>
  <c r="AN166" i="52"/>
  <c r="T166" i="52"/>
  <c r="AN164" i="52"/>
  <c r="P164" i="52"/>
  <c r="AL162" i="52"/>
  <c r="R162" i="52"/>
  <c r="AP160" i="52"/>
  <c r="AP158" i="52"/>
  <c r="AP156" i="52"/>
  <c r="AP154" i="52"/>
  <c r="AP152" i="52"/>
  <c r="T152" i="52"/>
  <c r="AN150" i="52"/>
  <c r="T150" i="52"/>
  <c r="AR148" i="52"/>
  <c r="BB147" i="52"/>
  <c r="N147" i="52"/>
  <c r="AP55" i="52"/>
  <c r="AR49" i="52"/>
  <c r="P49" i="52"/>
  <c r="BB43" i="52"/>
  <c r="BF40" i="52"/>
  <c r="BF39" i="52"/>
  <c r="BF36" i="52"/>
  <c r="N34" i="52"/>
  <c r="AL138" i="52"/>
  <c r="R138" i="52"/>
  <c r="BD131" i="52"/>
  <c r="BD130" i="52"/>
  <c r="BF124" i="52"/>
  <c r="BD122" i="52"/>
  <c r="AL117" i="52"/>
  <c r="R117" i="52"/>
  <c r="AL116" i="52"/>
  <c r="AN115" i="52"/>
  <c r="AR114" i="52"/>
  <c r="AL107" i="52"/>
  <c r="R107" i="52"/>
  <c r="BD103" i="52"/>
  <c r="AL98" i="52"/>
  <c r="P98" i="52"/>
  <c r="AR97" i="52"/>
  <c r="T97" i="52"/>
  <c r="BF90" i="52"/>
  <c r="BD89" i="52"/>
  <c r="BB88" i="52"/>
  <c r="AP84" i="52"/>
  <c r="BB78" i="52"/>
  <c r="AP76" i="52"/>
  <c r="N76" i="52"/>
  <c r="AR75" i="52"/>
  <c r="AP74" i="52"/>
  <c r="BD69" i="52"/>
  <c r="AL318" i="52"/>
  <c r="R318" i="52"/>
  <c r="AN317" i="52"/>
  <c r="AP316" i="52"/>
  <c r="AN315" i="52"/>
  <c r="N315" i="52"/>
  <c r="AP314" i="52"/>
  <c r="BF309" i="52"/>
  <c r="AN306" i="52"/>
  <c r="T306" i="52"/>
  <c r="BB303" i="52"/>
  <c r="BF301" i="52"/>
  <c r="AL301" i="52"/>
  <c r="R301" i="52"/>
  <c r="AP297" i="52"/>
  <c r="BF294" i="52"/>
  <c r="AL294" i="52"/>
  <c r="R294" i="52"/>
  <c r="AN290" i="52"/>
  <c r="N290" i="52"/>
  <c r="BB288" i="52"/>
  <c r="AP287" i="52"/>
  <c r="AL285" i="52"/>
  <c r="R285" i="52"/>
  <c r="AL281" i="52"/>
  <c r="R281" i="52"/>
  <c r="BF279" i="52"/>
  <c r="N279" i="52"/>
  <c r="AR278" i="52"/>
  <c r="BF272" i="52"/>
  <c r="AN49" i="52"/>
  <c r="N48" i="52"/>
  <c r="AN47" i="52"/>
  <c r="P47" i="52"/>
  <c r="AN46" i="52"/>
  <c r="AR45" i="52"/>
  <c r="BD39" i="52"/>
  <c r="BD38" i="52"/>
  <c r="BB36" i="52"/>
  <c r="BB137" i="52"/>
  <c r="BF136" i="52"/>
  <c r="BD135" i="52"/>
  <c r="BF134" i="52"/>
  <c r="T115" i="52"/>
  <c r="AL114" i="52"/>
  <c r="R114" i="52"/>
  <c r="BB110" i="52"/>
  <c r="AN107" i="52"/>
  <c r="AL106" i="52"/>
  <c r="N106" i="52"/>
  <c r="P97" i="52"/>
  <c r="R96" i="52"/>
  <c r="R95" i="52"/>
  <c r="AP94" i="52"/>
  <c r="T93" i="52"/>
  <c r="AL86" i="52"/>
  <c r="P86" i="52"/>
  <c r="P84" i="52"/>
  <c r="BD77" i="52"/>
  <c r="AR313" i="52"/>
  <c r="AL312" i="52"/>
  <c r="R312" i="52"/>
  <c r="R311" i="52"/>
  <c r="N310" i="52"/>
  <c r="AR309" i="52"/>
  <c r="R309" i="52"/>
  <c r="N304" i="52"/>
  <c r="AR303" i="52"/>
  <c r="AN302" i="52"/>
  <c r="N302" i="52"/>
  <c r="AP296" i="52"/>
  <c r="AP295" i="52"/>
  <c r="N295" i="52"/>
  <c r="AN289" i="52"/>
  <c r="AR288" i="52"/>
  <c r="R288" i="52"/>
  <c r="BD286" i="52"/>
  <c r="AP285" i="52"/>
  <c r="T285" i="52"/>
  <c r="AR284" i="52"/>
  <c r="P284" i="52"/>
  <c r="BF280" i="52"/>
  <c r="AL279" i="52"/>
  <c r="R279" i="52"/>
  <c r="AP278" i="52"/>
  <c r="T278" i="52"/>
  <c r="BF275" i="52"/>
  <c r="AN274" i="52"/>
  <c r="T274" i="52"/>
  <c r="BB271" i="52"/>
  <c r="AN269" i="52"/>
  <c r="T269" i="52"/>
  <c r="AR265" i="52"/>
  <c r="R265" i="52"/>
  <c r="BD263" i="52"/>
  <c r="AR262" i="52"/>
  <c r="AN260" i="52"/>
  <c r="N260" i="52"/>
  <c r="AL257" i="52"/>
  <c r="R257" i="52"/>
  <c r="AN254" i="52"/>
  <c r="T254" i="52"/>
  <c r="AL251" i="52"/>
  <c r="R251" i="52"/>
  <c r="BB249" i="52"/>
  <c r="N249" i="52"/>
  <c r="AP248" i="52"/>
  <c r="T248" i="52"/>
  <c r="BF246" i="52"/>
  <c r="AN243" i="52"/>
  <c r="BF240" i="52"/>
  <c r="P240" i="52"/>
  <c r="BD238" i="52"/>
  <c r="AP237" i="52"/>
  <c r="BD235" i="52"/>
  <c r="P235" i="52"/>
  <c r="AN232" i="52"/>
  <c r="T232" i="52"/>
  <c r="BB230" i="52"/>
  <c r="N230" i="52"/>
  <c r="P227" i="52"/>
  <c r="BB225" i="52"/>
  <c r="N225" i="52"/>
  <c r="AR224" i="52"/>
  <c r="N224" i="52"/>
  <c r="BF222" i="52"/>
  <c r="AR221" i="52"/>
  <c r="AL219" i="52"/>
  <c r="R219" i="52"/>
  <c r="BD217" i="52"/>
  <c r="BF216" i="52"/>
  <c r="AL216" i="52"/>
  <c r="R216" i="52"/>
  <c r="BD214" i="52"/>
  <c r="AR213" i="52"/>
  <c r="BD211" i="52"/>
  <c r="P211" i="52"/>
  <c r="AP208" i="52"/>
  <c r="R208" i="52"/>
  <c r="AP205" i="52"/>
  <c r="N205" i="52"/>
  <c r="BF203" i="52"/>
  <c r="AP202" i="52"/>
  <c r="AP199" i="52"/>
  <c r="BF197" i="52"/>
  <c r="AL197" i="52"/>
  <c r="R197" i="52"/>
  <c r="BF192" i="52"/>
  <c r="N192" i="52"/>
  <c r="AP189" i="52"/>
  <c r="BF187" i="52"/>
  <c r="AL187" i="52"/>
  <c r="R187" i="52"/>
  <c r="BD185" i="52"/>
  <c r="P185" i="52"/>
  <c r="AP182" i="52"/>
  <c r="T182" i="52"/>
  <c r="BD180" i="52"/>
  <c r="AN177" i="52"/>
  <c r="T177" i="52"/>
  <c r="BD175" i="52"/>
  <c r="P175" i="52"/>
  <c r="BB173" i="52"/>
  <c r="N173" i="52"/>
  <c r="AR170" i="52"/>
  <c r="AL168" i="52"/>
  <c r="P168" i="52"/>
  <c r="BF166" i="52"/>
  <c r="AR165" i="52"/>
  <c r="BF163" i="52"/>
  <c r="AL163" i="52"/>
  <c r="R163" i="52"/>
  <c r="BD161" i="52"/>
  <c r="P161" i="52"/>
  <c r="BF159" i="52"/>
  <c r="N159" i="52"/>
  <c r="BD157" i="52"/>
  <c r="BB155" i="52"/>
  <c r="AR154" i="52"/>
  <c r="AN152" i="52"/>
  <c r="N152" i="52"/>
  <c r="BF150" i="52"/>
  <c r="BD148" i="52"/>
  <c r="N148" i="52"/>
  <c r="BB146" i="52"/>
  <c r="N146" i="52"/>
  <c r="AL52" i="52"/>
  <c r="AN51" i="52"/>
  <c r="AP121" i="52"/>
  <c r="BD109" i="52"/>
  <c r="AL105" i="52"/>
  <c r="AL103" i="52"/>
  <c r="AP101" i="52"/>
  <c r="AR98" i="52"/>
  <c r="AL94" i="52"/>
  <c r="BD84" i="52"/>
  <c r="R71" i="52"/>
  <c r="N69" i="52"/>
  <c r="AR316" i="52"/>
  <c r="AL308" i="52"/>
  <c r="AR307" i="52"/>
  <c r="AL306" i="52"/>
  <c r="AR305" i="52"/>
  <c r="AP301" i="52"/>
  <c r="AP294" i="52"/>
  <c r="AP282" i="52"/>
  <c r="AP277" i="52"/>
  <c r="AN273" i="52"/>
  <c r="AR268" i="52"/>
  <c r="N265" i="52"/>
  <c r="AN262" i="52"/>
  <c r="AP259" i="52"/>
  <c r="BB257" i="52"/>
  <c r="P254" i="52"/>
  <c r="BF251" i="52"/>
  <c r="AR250" i="52"/>
  <c r="BB246" i="52"/>
  <c r="R245" i="52"/>
  <c r="AP242" i="52"/>
  <c r="BF237" i="52"/>
  <c r="R237" i="52"/>
  <c r="R234" i="52"/>
  <c r="P232" i="52"/>
  <c r="AP229" i="52"/>
  <c r="BF227" i="52"/>
  <c r="AR223" i="52"/>
  <c r="T221" i="52"/>
  <c r="AR218" i="52"/>
  <c r="N216" i="52"/>
  <c r="AN213" i="52"/>
  <c r="P210" i="52"/>
  <c r="AR207" i="52"/>
  <c r="AR204" i="52"/>
  <c r="AL202" i="52"/>
  <c r="AL199" i="52"/>
  <c r="BB197" i="52"/>
  <c r="R194" i="52"/>
  <c r="BF189" i="52"/>
  <c r="R189" i="52"/>
  <c r="N187" i="52"/>
  <c r="AN179" i="52"/>
  <c r="BD177" i="52"/>
  <c r="AR174" i="52"/>
  <c r="AL170" i="52"/>
  <c r="BD168" i="52"/>
  <c r="T165" i="52"/>
  <c r="N163" i="52"/>
  <c r="AN156" i="52"/>
  <c r="R154" i="52"/>
  <c r="AR151" i="52"/>
  <c r="AP147" i="52"/>
  <c r="BD48" i="52"/>
  <c r="AP122" i="52"/>
  <c r="T122" i="52"/>
  <c r="N121" i="52"/>
  <c r="N105" i="52"/>
  <c r="AL102" i="52"/>
  <c r="T101" i="52"/>
  <c r="AR99" i="52"/>
  <c r="BF86" i="52"/>
  <c r="T74" i="52"/>
  <c r="AR70" i="52"/>
  <c r="R68" i="52"/>
  <c r="P317" i="52"/>
  <c r="N306" i="52"/>
  <c r="AN301" i="52"/>
  <c r="BD298" i="52"/>
  <c r="BD295" i="52"/>
  <c r="P294" i="52"/>
  <c r="BB290" i="52"/>
  <c r="AN282" i="52"/>
  <c r="BD279" i="52"/>
  <c r="N277" i="52"/>
  <c r="AL273" i="52"/>
  <c r="BF269" i="52"/>
  <c r="AP268" i="52"/>
  <c r="AR264" i="52"/>
  <c r="R262" i="52"/>
  <c r="BB260" i="52"/>
  <c r="P259" i="52"/>
  <c r="BD254" i="52"/>
  <c r="AP250" i="52"/>
  <c r="AL245" i="52"/>
  <c r="AN242" i="52"/>
  <c r="T239" i="52"/>
  <c r="BD237" i="52"/>
  <c r="P234" i="52"/>
  <c r="BF232" i="52"/>
  <c r="BB227" i="52"/>
  <c r="T226" i="52"/>
  <c r="AP223" i="52"/>
  <c r="AL221" i="52"/>
  <c r="AP218" i="52"/>
  <c r="R213" i="52"/>
  <c r="N210" i="52"/>
  <c r="AP207" i="52"/>
  <c r="AP204" i="52"/>
  <c r="P202" i="52"/>
  <c r="BF199" i="52"/>
  <c r="AL194" i="52"/>
  <c r="AN191" i="52"/>
  <c r="BD189" i="52"/>
  <c r="AR186" i="52"/>
  <c r="AP184" i="52"/>
  <c r="BD182" i="52"/>
  <c r="R179" i="52"/>
  <c r="N177" i="52"/>
  <c r="AN174" i="52"/>
  <c r="R172" i="52"/>
  <c r="N170" i="52"/>
  <c r="BB168" i="52"/>
  <c r="AL165" i="52"/>
  <c r="AN158" i="52"/>
  <c r="R156" i="52"/>
  <c r="BD152" i="52"/>
  <c r="T149" i="52"/>
  <c r="AN147" i="52"/>
  <c r="P52" i="52"/>
  <c r="AR51" i="52"/>
  <c r="T51" i="52"/>
  <c r="P50" i="52"/>
  <c r="BF43" i="52"/>
  <c r="BB40" i="52"/>
  <c r="BD37" i="52"/>
  <c r="BD34" i="52"/>
  <c r="BB135" i="52"/>
  <c r="BD134" i="52"/>
  <c r="AP115" i="52"/>
  <c r="P114" i="52"/>
  <c r="BD111" i="52"/>
  <c r="R105" i="52"/>
  <c r="AR103" i="52"/>
  <c r="R103" i="52"/>
  <c r="R98" i="52"/>
  <c r="AN97" i="52"/>
  <c r="N97" i="52"/>
  <c r="AL96" i="52"/>
  <c r="P96" i="52"/>
  <c r="AL95" i="52"/>
  <c r="P95" i="52"/>
  <c r="AN94" i="52"/>
  <c r="T94" i="52"/>
  <c r="AN93" i="52"/>
  <c r="BF84" i="52"/>
  <c r="BB82" i="52"/>
  <c r="BB81" i="52"/>
  <c r="BF76" i="52"/>
  <c r="T316" i="52"/>
  <c r="N312" i="52"/>
  <c r="AL311" i="52"/>
  <c r="P311" i="52"/>
  <c r="AL310" i="52"/>
  <c r="AL309" i="52"/>
  <c r="P309" i="52"/>
  <c r="P308" i="52"/>
  <c r="R306" i="52"/>
  <c r="AR301" i="52"/>
  <c r="AR294" i="52"/>
  <c r="BD291" i="52"/>
  <c r="AL288" i="52"/>
  <c r="P288" i="52"/>
  <c r="BB286" i="52"/>
  <c r="AN285" i="52"/>
  <c r="AP284" i="52"/>
  <c r="N284" i="52"/>
  <c r="P283" i="52"/>
  <c r="BD280" i="52"/>
  <c r="P279" i="52"/>
  <c r="AN278" i="52"/>
  <c r="N278" i="52"/>
  <c r="AR277" i="52"/>
  <c r="AL274" i="52"/>
  <c r="R274" i="52"/>
  <c r="AR273" i="52"/>
  <c r="BB270" i="52"/>
  <c r="AL269" i="52"/>
  <c r="R269" i="52"/>
  <c r="AL265" i="52"/>
  <c r="P265" i="52"/>
  <c r="BB263" i="52"/>
  <c r="AP262" i="52"/>
  <c r="AR259" i="52"/>
  <c r="BF257" i="52"/>
  <c r="N257" i="52"/>
  <c r="AL254" i="52"/>
  <c r="R254" i="52"/>
  <c r="P251" i="52"/>
  <c r="AN248" i="52"/>
  <c r="N248" i="52"/>
  <c r="BD246" i="52"/>
  <c r="AR245" i="52"/>
  <c r="AR242" i="52"/>
  <c r="BD240" i="52"/>
  <c r="N240" i="52"/>
  <c r="AN237" i="52"/>
  <c r="T237" i="52"/>
  <c r="BB235" i="52"/>
  <c r="N235" i="52"/>
  <c r="AL232" i="52"/>
  <c r="R232" i="52"/>
  <c r="AR229" i="52"/>
  <c r="P229" i="52"/>
  <c r="N227" i="52"/>
  <c r="AN224" i="52"/>
  <c r="BD222" i="52"/>
  <c r="AP221" i="52"/>
  <c r="BB217" i="52"/>
  <c r="BD216" i="52"/>
  <c r="P216" i="52"/>
  <c r="AP213" i="52"/>
  <c r="BB211" i="52"/>
  <c r="N211" i="52"/>
  <c r="AL208" i="52"/>
  <c r="P208" i="52"/>
  <c r="BD203" i="52"/>
  <c r="AN202" i="52"/>
  <c r="T202" i="52"/>
  <c r="BB200" i="52"/>
  <c r="AN199" i="52"/>
  <c r="T199" i="52"/>
  <c r="BD197" i="52"/>
  <c r="P197" i="52"/>
  <c r="BF195" i="52"/>
  <c r="AR194" i="52"/>
  <c r="BB192" i="52"/>
  <c r="AN189" i="52"/>
  <c r="T189" i="52"/>
  <c r="BD187" i="52"/>
  <c r="P187" i="52"/>
  <c r="BB185" i="52"/>
  <c r="N185" i="52"/>
  <c r="AN182" i="52"/>
  <c r="P182" i="52"/>
  <c r="BB180" i="52"/>
  <c r="AP179" i="52"/>
  <c r="BF177" i="52"/>
  <c r="AL177" i="52"/>
  <c r="R177" i="52"/>
  <c r="BB175" i="52"/>
  <c r="N175" i="52"/>
  <c r="AP170" i="52"/>
  <c r="R170" i="52"/>
  <c r="BF168" i="52"/>
  <c r="N168" i="52"/>
  <c r="BD166" i="52"/>
  <c r="AP165" i="52"/>
  <c r="BD163" i="52"/>
  <c r="P163" i="52"/>
  <c r="BB161" i="52"/>
  <c r="N161" i="52"/>
  <c r="BB159" i="52"/>
  <c r="BB157" i="52"/>
  <c r="AR156" i="52"/>
  <c r="AN154" i="52"/>
  <c r="T154" i="52"/>
  <c r="BD150" i="52"/>
  <c r="AR149" i="52"/>
  <c r="BB148" i="52"/>
  <c r="AR147" i="52"/>
  <c r="R53" i="52"/>
  <c r="N52" i="52"/>
  <c r="P51" i="52"/>
  <c r="BD43" i="52"/>
  <c r="AR122" i="52"/>
  <c r="R121" i="52"/>
  <c r="R116" i="52"/>
  <c r="BF108" i="52"/>
  <c r="P105" i="52"/>
  <c r="P103" i="52"/>
  <c r="P102" i="52"/>
  <c r="N98" i="52"/>
  <c r="R94" i="52"/>
  <c r="BF89" i="52"/>
  <c r="AR74" i="52"/>
  <c r="AR68" i="52"/>
  <c r="N309" i="52"/>
  <c r="N308" i="52"/>
  <c r="T307" i="52"/>
  <c r="P306" i="52"/>
  <c r="T305" i="52"/>
  <c r="T301" i="52"/>
  <c r="BF298" i="52"/>
  <c r="T294" i="52"/>
  <c r="BB291" i="52"/>
  <c r="N288" i="52"/>
  <c r="AR283" i="52"/>
  <c r="T277" i="52"/>
  <c r="P274" i="52"/>
  <c r="T273" i="52"/>
  <c r="P269" i="52"/>
  <c r="T262" i="52"/>
  <c r="T259" i="52"/>
  <c r="BF254" i="52"/>
  <c r="N251" i="52"/>
  <c r="AP245" i="52"/>
  <c r="BB240" i="52"/>
  <c r="AL237" i="52"/>
  <c r="AR234" i="52"/>
  <c r="N229" i="52"/>
  <c r="AP226" i="52"/>
  <c r="BB222" i="52"/>
  <c r="AN221" i="52"/>
  <c r="BF219" i="52"/>
  <c r="BB216" i="52"/>
  <c r="T213" i="52"/>
  <c r="N208" i="52"/>
  <c r="BB203" i="52"/>
  <c r="R202" i="52"/>
  <c r="R199" i="52"/>
  <c r="N197" i="52"/>
  <c r="AP194" i="52"/>
  <c r="AP191" i="52"/>
  <c r="AL189" i="52"/>
  <c r="BB187" i="52"/>
  <c r="AR184" i="52"/>
  <c r="N182" i="52"/>
  <c r="T179" i="52"/>
  <c r="P177" i="52"/>
  <c r="AR172" i="52"/>
  <c r="P170" i="52"/>
  <c r="AN165" i="52"/>
  <c r="BB163" i="52"/>
  <c r="AR158" i="52"/>
  <c r="T156" i="52"/>
  <c r="AL154" i="52"/>
  <c r="BB150" i="52"/>
  <c r="AP149" i="52"/>
  <c r="N123" i="52"/>
  <c r="AL121" i="52"/>
  <c r="AR120" i="52"/>
  <c r="AR117" i="52"/>
  <c r="BD108" i="52"/>
  <c r="AR104" i="52"/>
  <c r="AN101" i="52"/>
  <c r="P100" i="52"/>
  <c r="BF91" i="52"/>
  <c r="BB80" i="52"/>
  <c r="AN74" i="52"/>
  <c r="N70" i="52"/>
  <c r="AP68" i="52"/>
  <c r="AP307" i="52"/>
  <c r="AP305" i="52"/>
  <c r="P301" i="52"/>
  <c r="AN294" i="52"/>
  <c r="BD289" i="52"/>
  <c r="AR287" i="52"/>
  <c r="T282" i="52"/>
  <c r="AN277" i="52"/>
  <c r="BF274" i="52"/>
  <c r="R273" i="52"/>
  <c r="N269" i="52"/>
  <c r="BF265" i="52"/>
  <c r="AL262" i="52"/>
  <c r="AN259" i="52"/>
  <c r="AP256" i="52"/>
  <c r="N254" i="52"/>
  <c r="BD251" i="52"/>
  <c r="AR247" i="52"/>
  <c r="P245" i="52"/>
  <c r="BF243" i="52"/>
  <c r="T242" i="52"/>
  <c r="AN239" i="52"/>
  <c r="P237" i="52"/>
  <c r="AL234" i="52"/>
  <c r="N232" i="52"/>
  <c r="AR231" i="52"/>
  <c r="AN226" i="52"/>
  <c r="BF221" i="52"/>
  <c r="R221" i="52"/>
  <c r="AL213" i="52"/>
  <c r="AL210" i="52"/>
  <c r="BF208" i="52"/>
  <c r="BD205" i="52"/>
  <c r="BF202" i="52"/>
  <c r="P199" i="52"/>
  <c r="P194" i="52"/>
  <c r="T191" i="52"/>
  <c r="P189" i="52"/>
  <c r="T184" i="52"/>
  <c r="AL179" i="52"/>
  <c r="BB177" i="52"/>
  <c r="T174" i="52"/>
  <c r="AP172" i="52"/>
  <c r="BF170" i="52"/>
  <c r="AP167" i="52"/>
  <c r="BF165" i="52"/>
  <c r="R165" i="52"/>
  <c r="AR160" i="52"/>
  <c r="T158" i="52"/>
  <c r="AL156" i="52"/>
  <c r="P154" i="52"/>
  <c r="AP151" i="52"/>
  <c r="AN149" i="52"/>
  <c r="T147" i="52"/>
  <c r="P60" i="52"/>
  <c r="P55" i="52"/>
  <c r="BB50" i="52"/>
  <c r="P43" i="52"/>
  <c r="AR42" i="52"/>
  <c r="N42" i="52"/>
  <c r="AN41" i="52"/>
  <c r="N41" i="52"/>
  <c r="AL40" i="52"/>
  <c r="AN39" i="52"/>
  <c r="AL38" i="52"/>
  <c r="R38" i="52"/>
  <c r="AN37" i="52"/>
  <c r="N35" i="52"/>
  <c r="AL34" i="52"/>
  <c r="P34" i="52"/>
  <c r="AL137" i="52"/>
  <c r="AP136" i="52"/>
  <c r="AL135" i="52"/>
  <c r="AR134" i="52"/>
  <c r="AN127" i="52"/>
  <c r="BD120" i="52"/>
  <c r="BD117" i="52"/>
  <c r="AN111" i="52"/>
  <c r="AN110" i="52"/>
  <c r="T110" i="52"/>
  <c r="P109" i="52"/>
  <c r="BF104" i="52"/>
  <c r="BB102" i="52"/>
  <c r="AP88" i="52"/>
  <c r="AR82" i="52"/>
  <c r="N82" i="52"/>
  <c r="AR81" i="52"/>
  <c r="AP77" i="52"/>
  <c r="T77" i="52"/>
  <c r="BB70" i="52"/>
  <c r="BF69" i="52"/>
  <c r="P299" i="52"/>
  <c r="P292" i="52"/>
  <c r="BD287" i="52"/>
  <c r="AN286" i="52"/>
  <c r="T286" i="52"/>
  <c r="AR280" i="52"/>
  <c r="BF276" i="52"/>
  <c r="AP275" i="52"/>
  <c r="BD272" i="52"/>
  <c r="AP271" i="52"/>
  <c r="N271" i="52"/>
  <c r="AR270" i="52"/>
  <c r="AN267" i="52"/>
  <c r="T267" i="52"/>
  <c r="BB264" i="52"/>
  <c r="AN263" i="52"/>
  <c r="T263" i="52"/>
  <c r="AL261" i="52"/>
  <c r="R261" i="52"/>
  <c r="N258" i="52"/>
  <c r="BB256" i="52"/>
  <c r="AN255" i="52"/>
  <c r="T255" i="52"/>
  <c r="BD253" i="52"/>
  <c r="AN252" i="52"/>
  <c r="P252" i="52"/>
  <c r="AP249" i="52"/>
  <c r="BB247" i="52"/>
  <c r="AL244" i="52"/>
  <c r="R244" i="52"/>
  <c r="BB239" i="52"/>
  <c r="AP238" i="52"/>
  <c r="R238" i="52"/>
  <c r="AR235" i="52"/>
  <c r="AL233" i="52"/>
  <c r="R233" i="52"/>
  <c r="BF231" i="52"/>
  <c r="AP230" i="52"/>
  <c r="BD228" i="52"/>
  <c r="P228" i="52"/>
  <c r="AP225" i="52"/>
  <c r="AL220" i="52"/>
  <c r="R220" i="52"/>
  <c r="AP217" i="52"/>
  <c r="BD215" i="52"/>
  <c r="AP214" i="52"/>
  <c r="AR211" i="52"/>
  <c r="BB210" i="52"/>
  <c r="BF209" i="52"/>
  <c r="AL209" i="52"/>
  <c r="R209" i="52"/>
  <c r="AN206" i="52"/>
  <c r="T206" i="52"/>
  <c r="R203" i="52"/>
  <c r="BF201" i="52"/>
  <c r="N201" i="52"/>
  <c r="AR200" i="52"/>
  <c r="BF198" i="52"/>
  <c r="BD196" i="52"/>
  <c r="N196" i="52"/>
  <c r="AR195" i="52"/>
  <c r="AR192" i="52"/>
  <c r="AN190" i="52"/>
  <c r="T190" i="52"/>
  <c r="BB186" i="52"/>
  <c r="AR185" i="52"/>
  <c r="AN183" i="52"/>
  <c r="T183" i="52"/>
  <c r="BD181" i="52"/>
  <c r="AR180" i="52"/>
  <c r="AN178" i="52"/>
  <c r="P178" i="52"/>
  <c r="BD176" i="52"/>
  <c r="AR175" i="52"/>
  <c r="AP173" i="52"/>
  <c r="AN171" i="52"/>
  <c r="T171" i="52"/>
  <c r="BF169" i="52"/>
  <c r="N169" i="52"/>
  <c r="BB167" i="52"/>
  <c r="AR166" i="52"/>
  <c r="BD162" i="52"/>
  <c r="AR161" i="52"/>
  <c r="BB160" i="52"/>
  <c r="AR159" i="52"/>
  <c r="AR157" i="52"/>
  <c r="AN155" i="52"/>
  <c r="T155" i="52"/>
  <c r="BF153" i="52"/>
  <c r="AL153" i="52"/>
  <c r="R153" i="52"/>
  <c r="AP148" i="52"/>
  <c r="AP146" i="52"/>
  <c r="AR61" i="52"/>
  <c r="AL43" i="52"/>
  <c r="N43" i="52"/>
  <c r="AL42" i="52"/>
  <c r="BF138" i="52"/>
  <c r="BD124" i="52"/>
  <c r="BF123" i="52"/>
  <c r="AL110" i="52"/>
  <c r="R110" i="52"/>
  <c r="AN109" i="52"/>
  <c r="N109" i="52"/>
  <c r="AR89" i="52"/>
  <c r="P89" i="52"/>
  <c r="AN88" i="52"/>
  <c r="T88" i="52"/>
  <c r="AP87" i="52"/>
  <c r="T87" i="52"/>
  <c r="AR84" i="52"/>
  <c r="AP82" i="52"/>
  <c r="AP81" i="52"/>
  <c r="T81" i="52"/>
  <c r="BF78" i="52"/>
  <c r="AN77" i="52"/>
  <c r="BF71" i="52"/>
  <c r="BB69" i="52"/>
  <c r="BB67" i="52"/>
  <c r="AR314" i="52"/>
  <c r="BF300" i="52"/>
  <c r="BF299" i="52"/>
  <c r="N299" i="52"/>
  <c r="P298" i="52"/>
  <c r="AR297" i="52"/>
  <c r="BF293" i="52"/>
  <c r="AR291" i="52"/>
  <c r="P291" i="52"/>
  <c r="AL286" i="52"/>
  <c r="R286" i="52"/>
  <c r="AP280" i="52"/>
  <c r="R280" i="52"/>
  <c r="BD276" i="52"/>
  <c r="AN275" i="52"/>
  <c r="T275" i="52"/>
  <c r="BB272" i="52"/>
  <c r="AP270" i="52"/>
  <c r="T270" i="52"/>
  <c r="AL267" i="52"/>
  <c r="R267" i="52"/>
  <c r="AP266" i="52"/>
  <c r="T266" i="52"/>
  <c r="AL263" i="52"/>
  <c r="R263" i="52"/>
  <c r="BF261" i="52"/>
  <c r="P261" i="52"/>
  <c r="BF258" i="52"/>
  <c r="AR257" i="52"/>
  <c r="AL255" i="52"/>
  <c r="R255" i="52"/>
  <c r="BB253" i="52"/>
  <c r="N252" i="52"/>
  <c r="AN249" i="52"/>
  <c r="T249" i="52"/>
  <c r="AR246" i="52"/>
  <c r="R246" i="52"/>
  <c r="BF244" i="52"/>
  <c r="P244" i="52"/>
  <c r="AR240" i="52"/>
  <c r="AL238" i="52"/>
  <c r="P238" i="52"/>
  <c r="BB236" i="52"/>
  <c r="AP235" i="52"/>
  <c r="BF233" i="52"/>
  <c r="P233" i="52"/>
  <c r="AN230" i="52"/>
  <c r="T230" i="52"/>
  <c r="BB228" i="52"/>
  <c r="N228" i="52"/>
  <c r="AN225" i="52"/>
  <c r="T225" i="52"/>
  <c r="AR222" i="52"/>
  <c r="R222" i="52"/>
  <c r="N220" i="52"/>
  <c r="AR219" i="52"/>
  <c r="AR216" i="52"/>
  <c r="BB215" i="52"/>
  <c r="AN214" i="52"/>
  <c r="T214" i="52"/>
  <c r="BB212" i="52"/>
  <c r="AP211" i="52"/>
  <c r="BD209" i="52"/>
  <c r="P209" i="52"/>
  <c r="AL206" i="52"/>
  <c r="R206" i="52"/>
  <c r="AL203" i="52"/>
  <c r="P203" i="52"/>
  <c r="BD201" i="52"/>
  <c r="AP200" i="52"/>
  <c r="T200" i="52"/>
  <c r="BD198" i="52"/>
  <c r="AR197" i="52"/>
  <c r="BB196" i="52"/>
  <c r="AP195" i="52"/>
  <c r="BD193" i="52"/>
  <c r="AP192" i="52"/>
  <c r="AL190" i="52"/>
  <c r="R190" i="52"/>
  <c r="BB188" i="52"/>
  <c r="AR187" i="52"/>
  <c r="AP185" i="52"/>
  <c r="AL183" i="52"/>
  <c r="R183" i="52"/>
  <c r="BB181" i="52"/>
  <c r="AP180" i="52"/>
  <c r="T180" i="52"/>
  <c r="BB176" i="52"/>
  <c r="AP175" i="52"/>
  <c r="AN173" i="52"/>
  <c r="T173" i="52"/>
  <c r="AL171" i="52"/>
  <c r="R171" i="52"/>
  <c r="BD169" i="52"/>
  <c r="AP166" i="52"/>
  <c r="R166" i="52"/>
  <c r="AR163" i="52"/>
  <c r="BB162" i="52"/>
  <c r="AP161" i="52"/>
  <c r="AP159" i="52"/>
  <c r="AP157" i="52"/>
  <c r="R157" i="52"/>
  <c r="AL155" i="52"/>
  <c r="R155" i="52"/>
  <c r="BD153" i="52"/>
  <c r="P153" i="52"/>
  <c r="AR150" i="52"/>
  <c r="R150" i="52"/>
  <c r="AN148" i="52"/>
  <c r="T148" i="52"/>
  <c r="AN146" i="52"/>
  <c r="T146" i="52"/>
  <c r="BB48" i="52"/>
  <c r="BD138" i="52"/>
  <c r="P111" i="52"/>
  <c r="BD102" i="52"/>
  <c r="AL91" i="52"/>
  <c r="R91" i="52"/>
  <c r="N81" i="52"/>
  <c r="P295" i="52"/>
  <c r="AN292" i="52"/>
  <c r="T292" i="52"/>
  <c r="AP291" i="52"/>
  <c r="BF287" i="52"/>
  <c r="BB274" i="52"/>
  <c r="AN272" i="52"/>
  <c r="T272" i="52"/>
  <c r="AN270" i="52"/>
  <c r="BF262" i="52"/>
  <c r="BB261" i="52"/>
  <c r="BD259" i="52"/>
  <c r="BB258" i="52"/>
  <c r="BF256" i="52"/>
  <c r="BD252" i="52"/>
  <c r="BD250" i="52"/>
  <c r="BF247" i="52"/>
  <c r="AN244" i="52"/>
  <c r="N244" i="52"/>
  <c r="AP243" i="52"/>
  <c r="R242" i="52"/>
  <c r="BD226" i="52"/>
  <c r="BF225" i="52"/>
  <c r="BD223" i="52"/>
  <c r="AL218" i="52"/>
  <c r="R218" i="52"/>
  <c r="N215" i="52"/>
  <c r="AR214" i="52"/>
  <c r="R214" i="52"/>
  <c r="N213" i="52"/>
  <c r="AP212" i="52"/>
  <c r="T212" i="52"/>
  <c r="AR209" i="52"/>
  <c r="AN207" i="52"/>
  <c r="T207" i="52"/>
  <c r="AL198" i="52"/>
  <c r="P198" i="52"/>
  <c r="AP197" i="52"/>
  <c r="T197" i="52"/>
  <c r="AP196" i="52"/>
  <c r="BB191" i="52"/>
  <c r="BB189" i="52"/>
  <c r="BF186" i="52"/>
  <c r="AR183" i="52"/>
  <c r="N183" i="52"/>
  <c r="AR182" i="52"/>
  <c r="AL181" i="52"/>
  <c r="P181" i="52"/>
  <c r="AN180" i="52"/>
  <c r="N180" i="52"/>
  <c r="P179" i="52"/>
  <c r="AP176" i="52"/>
  <c r="T176" i="52"/>
  <c r="BB172" i="52"/>
  <c r="BF171" i="52"/>
  <c r="BF167" i="52"/>
  <c r="N162" i="52"/>
  <c r="AN161" i="52"/>
  <c r="T161" i="52"/>
  <c r="BB158" i="52"/>
  <c r="AL151" i="52"/>
  <c r="R151" i="52"/>
  <c r="P150" i="52"/>
  <c r="AR77" i="52"/>
  <c r="BB295" i="52"/>
  <c r="BF282" i="52"/>
  <c r="R276" i="52"/>
  <c r="AN264" i="52"/>
  <c r="P263" i="52"/>
  <c r="AR253" i="52"/>
  <c r="T41" i="52"/>
  <c r="P36" i="52"/>
  <c r="AR35" i="52"/>
  <c r="T35" i="52"/>
  <c r="BF137" i="52"/>
  <c r="BF125" i="52"/>
  <c r="BD118" i="52"/>
  <c r="BF113" i="52"/>
  <c r="AN81" i="52"/>
  <c r="P76" i="52"/>
  <c r="BD303" i="52"/>
  <c r="AR295" i="52"/>
  <c r="AL292" i="52"/>
  <c r="R292" i="52"/>
  <c r="BF285" i="52"/>
  <c r="R282" i="52"/>
  <c r="T279" i="52"/>
  <c r="AL272" i="52"/>
  <c r="R272" i="52"/>
  <c r="P271" i="52"/>
  <c r="BD265" i="52"/>
  <c r="BF263" i="52"/>
  <c r="BD262" i="52"/>
  <c r="BB259" i="52"/>
  <c r="BD256" i="52"/>
  <c r="BB252" i="52"/>
  <c r="BB251" i="52"/>
  <c r="BF249" i="52"/>
  <c r="BD247" i="52"/>
  <c r="AL242" i="52"/>
  <c r="P242" i="52"/>
  <c r="AR236" i="52"/>
  <c r="BD225" i="52"/>
  <c r="BB223" i="52"/>
  <c r="P218" i="52"/>
  <c r="AL214" i="52"/>
  <c r="P214" i="52"/>
  <c r="AN212" i="52"/>
  <c r="N212" i="52"/>
  <c r="AN211" i="52"/>
  <c r="T211" i="52"/>
  <c r="AP209" i="52"/>
  <c r="T209" i="52"/>
  <c r="AL207" i="52"/>
  <c r="R207" i="52"/>
  <c r="P205" i="52"/>
  <c r="AR201" i="52"/>
  <c r="N200" i="52"/>
  <c r="AR199" i="52"/>
  <c r="N198" i="52"/>
  <c r="AN197" i="52"/>
  <c r="AN196" i="52"/>
  <c r="T196" i="52"/>
  <c r="BD190" i="52"/>
  <c r="AP183" i="52"/>
  <c r="N181" i="52"/>
  <c r="N179" i="52"/>
  <c r="AR177" i="52"/>
  <c r="AN176" i="52"/>
  <c r="P176" i="52"/>
  <c r="AN175" i="52"/>
  <c r="T175" i="52"/>
  <c r="BB171" i="52"/>
  <c r="BD170" i="52"/>
  <c r="BD167" i="52"/>
  <c r="AL161" i="52"/>
  <c r="R161" i="52"/>
  <c r="BF157" i="52"/>
  <c r="BF156" i="52"/>
  <c r="BB153" i="52"/>
  <c r="P151" i="52"/>
  <c r="AL150" i="52"/>
  <c r="N150" i="52"/>
  <c r="BB52" i="52"/>
  <c r="T45" i="52"/>
  <c r="AP41" i="52"/>
  <c r="AP36" i="52"/>
  <c r="N36" i="52"/>
  <c r="AN35" i="52"/>
  <c r="P35" i="52"/>
  <c r="P135" i="52"/>
  <c r="BD132" i="52"/>
  <c r="BF131" i="52"/>
  <c r="BB130" i="52"/>
  <c r="BF129" i="52"/>
  <c r="BF128" i="52"/>
  <c r="BB125" i="52"/>
  <c r="AN122" i="52"/>
  <c r="N100" i="52"/>
  <c r="R86" i="52"/>
  <c r="BF74" i="52"/>
  <c r="BD73" i="52"/>
  <c r="BB72" i="52"/>
  <c r="BF311" i="52"/>
  <c r="BD307" i="52"/>
  <c r="AN297" i="52"/>
  <c r="T297" i="52"/>
  <c r="BF288" i="52"/>
  <c r="BF286" i="52"/>
  <c r="AL282" i="52"/>
  <c r="P282" i="52"/>
  <c r="T281" i="52"/>
  <c r="P280" i="52"/>
  <c r="AN279" i="52"/>
  <c r="BB277" i="52"/>
  <c r="P272" i="52"/>
  <c r="AR271" i="52"/>
  <c r="BF267" i="52"/>
  <c r="BB265" i="52"/>
  <c r="BB254" i="52"/>
  <c r="BD249" i="52"/>
  <c r="N242" i="52"/>
  <c r="AR241" i="52"/>
  <c r="P241" i="52"/>
  <c r="AN240" i="52"/>
  <c r="T240" i="52"/>
  <c r="N237" i="52"/>
  <c r="AP236" i="52"/>
  <c r="T236" i="52"/>
  <c r="AN231" i="52"/>
  <c r="T231" i="52"/>
  <c r="BB224" i="52"/>
  <c r="BD221" i="52"/>
  <c r="BD220" i="52"/>
  <c r="BF218" i="52"/>
  <c r="N218" i="52"/>
  <c r="AL211" i="52"/>
  <c r="R211" i="52"/>
  <c r="AN209" i="52"/>
  <c r="N209" i="52"/>
  <c r="AR206" i="52"/>
  <c r="N206" i="52"/>
  <c r="AR205" i="52"/>
  <c r="AP201" i="52"/>
  <c r="R201" i="52"/>
  <c r="AN200" i="52"/>
  <c r="AL196" i="52"/>
  <c r="R196" i="52"/>
  <c r="AN195" i="52"/>
  <c r="T195" i="52"/>
  <c r="BF185" i="52"/>
  <c r="AR178" i="52"/>
  <c r="T178" i="52"/>
  <c r="AP177" i="52"/>
  <c r="AL175" i="52"/>
  <c r="R175" i="52"/>
  <c r="R174" i="52"/>
  <c r="BB170" i="52"/>
  <c r="BD165" i="52"/>
  <c r="BD164" i="52"/>
  <c r="AN160" i="52"/>
  <c r="T160" i="52"/>
  <c r="BD156" i="52"/>
  <c r="BF155" i="52"/>
  <c r="BF151" i="52"/>
  <c r="N151" i="52"/>
  <c r="R149" i="52"/>
  <c r="AN55" i="52"/>
  <c r="T55" i="52"/>
  <c r="AR54" i="52"/>
  <c r="P46" i="52"/>
  <c r="BB127" i="52"/>
  <c r="R106" i="52"/>
  <c r="BF103" i="52"/>
  <c r="R101" i="52"/>
  <c r="AP100" i="52"/>
  <c r="BF98" i="52"/>
  <c r="P87" i="52"/>
  <c r="AR86" i="52"/>
  <c r="BF68" i="52"/>
  <c r="BB320" i="52"/>
  <c r="BF319" i="52"/>
  <c r="BF312" i="52"/>
  <c r="N300" i="52"/>
  <c r="N298" i="52"/>
  <c r="AL297" i="52"/>
  <c r="R297" i="52"/>
  <c r="AR296" i="52"/>
  <c r="BD288" i="52"/>
  <c r="AN281" i="52"/>
  <c r="P281" i="52"/>
  <c r="AL280" i="52"/>
  <c r="N272" i="52"/>
  <c r="BB267" i="52"/>
  <c r="BF245" i="52"/>
  <c r="BD244" i="52"/>
  <c r="AP241" i="52"/>
  <c r="N241" i="52"/>
  <c r="AL240" i="52"/>
  <c r="R240" i="52"/>
  <c r="R239" i="52"/>
  <c r="AR237" i="52"/>
  <c r="AN236" i="52"/>
  <c r="N236" i="52"/>
  <c r="AN235" i="52"/>
  <c r="T235" i="52"/>
  <c r="N234" i="52"/>
  <c r="AL231" i="52"/>
  <c r="R231" i="52"/>
  <c r="AR228" i="52"/>
  <c r="BB221" i="52"/>
  <c r="BB220" i="52"/>
  <c r="BD218" i="52"/>
  <c r="BF215" i="52"/>
  <c r="AP206" i="52"/>
  <c r="AN204" i="52"/>
  <c r="T204" i="52"/>
  <c r="N203" i="52"/>
  <c r="AR202" i="52"/>
  <c r="AL201" i="52"/>
  <c r="P201" i="52"/>
  <c r="P196" i="52"/>
  <c r="AL195" i="52"/>
  <c r="R195" i="52"/>
  <c r="N194" i="52"/>
  <c r="AR193" i="52"/>
  <c r="R193" i="52"/>
  <c r="BD184" i="52"/>
  <c r="BF181" i="52"/>
  <c r="AP178" i="52"/>
  <c r="AL174" i="52"/>
  <c r="N174" i="52"/>
  <c r="BB165" i="52"/>
  <c r="BB164" i="52"/>
  <c r="BF162" i="52"/>
  <c r="AL160" i="52"/>
  <c r="R160" i="52"/>
  <c r="BB156" i="52"/>
  <c r="BD155" i="52"/>
  <c r="BF154" i="52"/>
  <c r="BB152" i="52"/>
  <c r="BD151" i="52"/>
  <c r="AL149" i="52"/>
  <c r="P149" i="52"/>
  <c r="R148" i="52"/>
  <c r="AL55" i="52"/>
  <c r="R55" i="52"/>
  <c r="P108" i="52"/>
  <c r="T107" i="52"/>
  <c r="AR106" i="52"/>
  <c r="AL101" i="52"/>
  <c r="P101" i="52"/>
  <c r="BD98" i="52"/>
  <c r="AN87" i="52"/>
  <c r="AP70" i="52"/>
  <c r="BD313" i="52"/>
  <c r="BF304" i="52"/>
  <c r="N301" i="52"/>
  <c r="AN299" i="52"/>
  <c r="T299" i="52"/>
  <c r="AP298" i="52"/>
  <c r="BD293" i="52"/>
  <c r="BF292" i="52"/>
  <c r="N281" i="52"/>
  <c r="BD269" i="52"/>
  <c r="BD245" i="52"/>
  <c r="BB244" i="52"/>
  <c r="BF242" i="52"/>
  <c r="AL239" i="52"/>
  <c r="P239" i="52"/>
  <c r="AL235" i="52"/>
  <c r="R235" i="52"/>
  <c r="AP233" i="52"/>
  <c r="T233" i="52"/>
  <c r="AR230" i="52"/>
  <c r="R230" i="52"/>
  <c r="AP228" i="52"/>
  <c r="BB218" i="52"/>
  <c r="AL204" i="52"/>
  <c r="R204" i="52"/>
  <c r="BB198" i="52"/>
  <c r="AP193" i="52"/>
  <c r="P193" i="52"/>
  <c r="AN192" i="52"/>
  <c r="T192" i="52"/>
  <c r="BB184" i="52"/>
  <c r="BF183" i="52"/>
  <c r="AR173" i="52"/>
  <c r="R173" i="52"/>
  <c r="P160" i="52"/>
  <c r="AN159" i="52"/>
  <c r="T159" i="52"/>
  <c r="BD154" i="52"/>
  <c r="BB151" i="52"/>
  <c r="N149" i="52"/>
  <c r="AL148" i="52"/>
  <c r="P148" i="52"/>
  <c r="R147" i="52"/>
  <c r="T47" i="52"/>
  <c r="AL123" i="52"/>
  <c r="AP117" i="52"/>
  <c r="T117" i="52"/>
  <c r="AL108" i="52"/>
  <c r="N108" i="52"/>
  <c r="AR107" i="52"/>
  <c r="BD90" i="52"/>
  <c r="R88" i="52"/>
  <c r="AP78" i="52"/>
  <c r="R78" i="52"/>
  <c r="BB313" i="52"/>
  <c r="BF308" i="52"/>
  <c r="T302" i="52"/>
  <c r="AL299" i="52"/>
  <c r="R299" i="52"/>
  <c r="BD294" i="52"/>
  <c r="BB293" i="52"/>
  <c r="BD292" i="52"/>
  <c r="BB269" i="52"/>
  <c r="BB245" i="52"/>
  <c r="BD242" i="52"/>
  <c r="N239" i="52"/>
  <c r="AR238" i="52"/>
  <c r="AN233" i="52"/>
  <c r="N233" i="52"/>
  <c r="AP232" i="52"/>
  <c r="AL230" i="52"/>
  <c r="P230" i="52"/>
  <c r="AN228" i="52"/>
  <c r="T228" i="52"/>
  <c r="AN227" i="52"/>
  <c r="T227" i="52"/>
  <c r="BF214" i="52"/>
  <c r="BB209" i="52"/>
  <c r="BF207" i="52"/>
  <c r="P204" i="52"/>
  <c r="BF196" i="52"/>
  <c r="N193" i="52"/>
  <c r="AL192" i="52"/>
  <c r="R192" i="52"/>
  <c r="AR188" i="52"/>
  <c r="BB183" i="52"/>
  <c r="BB182" i="52"/>
  <c r="BF179" i="52"/>
  <c r="AL173" i="52"/>
  <c r="P173" i="52"/>
  <c r="BF161" i="52"/>
  <c r="N160" i="52"/>
  <c r="AL159" i="52"/>
  <c r="R159" i="52"/>
  <c r="AL147" i="52"/>
  <c r="P147" i="52"/>
  <c r="R48" i="52"/>
  <c r="AR47" i="52"/>
  <c r="T38" i="52"/>
  <c r="AR136" i="52"/>
  <c r="AR124" i="52"/>
  <c r="P124" i="52"/>
  <c r="AN117" i="52"/>
  <c r="P117" i="52"/>
  <c r="R113" i="52"/>
  <c r="BF95" i="52"/>
  <c r="BB90" i="52"/>
  <c r="AL88" i="52"/>
  <c r="AL78" i="52"/>
  <c r="P78" i="52"/>
  <c r="T303" i="52"/>
  <c r="AP302" i="52"/>
  <c r="BB294" i="52"/>
  <c r="AR276" i="52"/>
  <c r="T264" i="52"/>
  <c r="P262" i="52"/>
  <c r="N259" i="52"/>
  <c r="P253" i="52"/>
  <c r="BB242" i="52"/>
  <c r="AP61" i="52"/>
  <c r="T61" i="52"/>
  <c r="AL57" i="52"/>
  <c r="BF55" i="52"/>
  <c r="BD45" i="52"/>
  <c r="T39" i="52"/>
  <c r="AN138" i="52"/>
  <c r="P138" i="52"/>
  <c r="AR137" i="52"/>
  <c r="T131" i="52"/>
  <c r="T130" i="52"/>
  <c r="P126" i="52"/>
  <c r="AN120" i="52"/>
  <c r="P120" i="52"/>
  <c r="AL119" i="52"/>
  <c r="R119" i="52"/>
  <c r="T114" i="52"/>
  <c r="BF105" i="52"/>
  <c r="BB92" i="52"/>
  <c r="BD86" i="52"/>
  <c r="R74" i="52"/>
  <c r="P73" i="52"/>
  <c r="T72" i="52"/>
  <c r="AR67" i="52"/>
  <c r="BB309" i="52"/>
  <c r="BD299" i="52"/>
  <c r="BF296" i="52"/>
  <c r="AL287" i="52"/>
  <c r="R287" i="52"/>
  <c r="N286" i="52"/>
  <c r="AR285" i="52"/>
  <c r="BD283" i="52"/>
  <c r="BD281" i="52"/>
  <c r="N276" i="52"/>
  <c r="AL275" i="52"/>
  <c r="AN268" i="52"/>
  <c r="T268" i="52"/>
  <c r="N266" i="52"/>
  <c r="P264" i="52"/>
  <c r="AN261" i="52"/>
  <c r="N261" i="52"/>
  <c r="AP260" i="52"/>
  <c r="AL258" i="52"/>
  <c r="P258" i="52"/>
  <c r="AN257" i="52"/>
  <c r="AN256" i="52"/>
  <c r="T256" i="52"/>
  <c r="AR252" i="52"/>
  <c r="T252" i="52"/>
  <c r="AN251" i="52"/>
  <c r="AL250" i="52"/>
  <c r="R250" i="52"/>
  <c r="AN247" i="52"/>
  <c r="T247" i="52"/>
  <c r="BF239" i="52"/>
  <c r="BB237" i="52"/>
  <c r="BF235" i="52"/>
  <c r="BD233" i="52"/>
  <c r="BF230" i="52"/>
  <c r="BF228" i="52"/>
  <c r="AR225" i="52"/>
  <c r="R225" i="52"/>
  <c r="AN223" i="52"/>
  <c r="T223" i="52"/>
  <c r="P221" i="52"/>
  <c r="BD210" i="52"/>
  <c r="BB208" i="52"/>
  <c r="BB204" i="52"/>
  <c r="BD202" i="52"/>
  <c r="BF194" i="52"/>
  <c r="BB193" i="52"/>
  <c r="N191" i="52"/>
  <c r="AR190" i="52"/>
  <c r="N188" i="52"/>
  <c r="AN187" i="52"/>
  <c r="AL186" i="52"/>
  <c r="R186" i="52"/>
  <c r="BB174" i="52"/>
  <c r="BF173" i="52"/>
  <c r="AR171" i="52"/>
  <c r="N171" i="52"/>
  <c r="AL169" i="52"/>
  <c r="P169" i="52"/>
  <c r="AP168" i="52"/>
  <c r="AN167" i="52"/>
  <c r="T167" i="52"/>
  <c r="P165" i="52"/>
  <c r="N158" i="52"/>
  <c r="AL157" i="52"/>
  <c r="N157" i="52"/>
  <c r="P156" i="52"/>
  <c r="AR153" i="52"/>
  <c r="BB149" i="52"/>
  <c r="AN61" i="52"/>
  <c r="P61" i="52"/>
  <c r="BB45" i="52"/>
  <c r="AR39" i="52"/>
  <c r="R33" i="52"/>
  <c r="AR32" i="52"/>
  <c r="BF135" i="52"/>
  <c r="N133" i="52"/>
  <c r="AR132" i="52"/>
  <c r="P132" i="52"/>
  <c r="AN131" i="52"/>
  <c r="N131" i="52"/>
  <c r="AR130" i="52"/>
  <c r="N130" i="52"/>
  <c r="AR129" i="52"/>
  <c r="R129" i="52"/>
  <c r="AR128" i="52"/>
  <c r="T128" i="52"/>
  <c r="AN126" i="52"/>
  <c r="AR125" i="52"/>
  <c r="AN114" i="52"/>
  <c r="BB106" i="52"/>
  <c r="BD105" i="52"/>
  <c r="BF101" i="52"/>
  <c r="BF96" i="52"/>
  <c r="AP89" i="52"/>
  <c r="AN84" i="52"/>
  <c r="T84" i="52"/>
  <c r="AL74" i="52"/>
  <c r="P74" i="52"/>
  <c r="AN73" i="52"/>
  <c r="N73" i="52"/>
  <c r="AP72" i="52"/>
  <c r="BF70" i="52"/>
  <c r="N68" i="52"/>
  <c r="AP67" i="52"/>
  <c r="T67" i="52"/>
  <c r="P320" i="52"/>
  <c r="T318" i="52"/>
  <c r="T312" i="52"/>
  <c r="BD300" i="52"/>
  <c r="BB299" i="52"/>
  <c r="AR289" i="52"/>
  <c r="T289" i="52"/>
  <c r="P287" i="52"/>
  <c r="BB283" i="52"/>
  <c r="AL268" i="52"/>
  <c r="R268" i="52"/>
  <c r="AN266" i="52"/>
  <c r="AL256" i="52"/>
  <c r="R256" i="52"/>
  <c r="AP254" i="52"/>
  <c r="AP252" i="52"/>
  <c r="AR249" i="52"/>
  <c r="R249" i="52"/>
  <c r="AR248" i="52"/>
  <c r="AL247" i="52"/>
  <c r="R247" i="52"/>
  <c r="P246" i="52"/>
  <c r="BD239" i="52"/>
  <c r="BF234" i="52"/>
  <c r="BB233" i="52"/>
  <c r="BD230" i="52"/>
  <c r="AL225" i="52"/>
  <c r="P225" i="52"/>
  <c r="AL223" i="52"/>
  <c r="R223" i="52"/>
  <c r="P222" i="52"/>
  <c r="N221" i="52"/>
  <c r="AP219" i="52"/>
  <c r="T219" i="52"/>
  <c r="BD194" i="52"/>
  <c r="AP190" i="52"/>
  <c r="P186" i="52"/>
  <c r="AN185" i="52"/>
  <c r="T185" i="52"/>
  <c r="BD173" i="52"/>
  <c r="AP171" i="52"/>
  <c r="AL167" i="52"/>
  <c r="R167" i="52"/>
  <c r="P166" i="52"/>
  <c r="N165" i="52"/>
  <c r="N156" i="52"/>
  <c r="P155" i="52"/>
  <c r="AP153" i="52"/>
  <c r="T153" i="52"/>
  <c r="P152" i="52"/>
  <c r="BF148" i="52"/>
  <c r="BF147" i="52"/>
  <c r="R57" i="52"/>
  <c r="AL33" i="52"/>
  <c r="AL129" i="52"/>
  <c r="BD301" i="52"/>
  <c r="P293" i="52"/>
  <c r="N270" i="52"/>
  <c r="BF264" i="52"/>
  <c r="BB234" i="52"/>
  <c r="BF226" i="52"/>
  <c r="BD160" i="52"/>
  <c r="R158" i="52"/>
  <c r="BD147" i="52"/>
  <c r="AN219" i="52"/>
  <c r="R198" i="52"/>
  <c r="P184" i="52"/>
  <c r="AL158" i="52"/>
  <c r="P158" i="52"/>
  <c r="AL48" i="52"/>
  <c r="T119" i="52"/>
  <c r="AL320" i="52"/>
  <c r="AP267" i="52"/>
  <c r="BD261" i="52"/>
  <c r="P249" i="52"/>
  <c r="AP244" i="52"/>
  <c r="BF223" i="52"/>
  <c r="T215" i="52"/>
  <c r="N155" i="52"/>
  <c r="BF50" i="52"/>
  <c r="AN38" i="52"/>
  <c r="T138" i="52"/>
  <c r="AN119" i="52"/>
  <c r="BF117" i="52"/>
  <c r="BB107" i="52"/>
  <c r="BD78" i="52"/>
  <c r="N67" i="52"/>
  <c r="AR290" i="52"/>
  <c r="T290" i="52"/>
  <c r="P286" i="52"/>
  <c r="AP274" i="52"/>
  <c r="AL249" i="52"/>
  <c r="N245" i="52"/>
  <c r="BD232" i="52"/>
  <c r="AP216" i="52"/>
  <c r="T216" i="52"/>
  <c r="AL215" i="52"/>
  <c r="R215" i="52"/>
  <c r="T186" i="52"/>
  <c r="AR181" i="52"/>
  <c r="R181" i="52"/>
  <c r="BF178" i="52"/>
  <c r="AR176" i="52"/>
  <c r="BD174" i="52"/>
  <c r="P172" i="52"/>
  <c r="P167" i="52"/>
  <c r="AL166" i="52"/>
  <c r="BF158" i="52"/>
  <c r="AP155" i="52"/>
  <c r="T151" i="52"/>
  <c r="AR146" i="52"/>
  <c r="R146" i="52"/>
  <c r="T120" i="52"/>
  <c r="AN67" i="52"/>
  <c r="BF306" i="52"/>
  <c r="AP290" i="52"/>
  <c r="R264" i="52"/>
  <c r="R226" i="52"/>
  <c r="AN216" i="52"/>
  <c r="BB205" i="52"/>
  <c r="BB194" i="52"/>
  <c r="AN186" i="52"/>
  <c r="BD178" i="52"/>
  <c r="N172" i="52"/>
  <c r="N167" i="52"/>
  <c r="BD158" i="52"/>
  <c r="BF149" i="52"/>
  <c r="P146" i="52"/>
  <c r="T127" i="52"/>
  <c r="BF92" i="52"/>
  <c r="AL264" i="52"/>
  <c r="AN250" i="52"/>
  <c r="R227" i="52"/>
  <c r="P226" i="52"/>
  <c r="T187" i="52"/>
  <c r="AN132" i="52"/>
  <c r="BD282" i="52"/>
  <c r="AP261" i="52"/>
  <c r="AP255" i="52"/>
  <c r="BD172" i="52"/>
  <c r="AP164" i="52"/>
  <c r="AN163" i="52"/>
  <c r="AN153" i="52"/>
  <c r="R34" i="52"/>
  <c r="P318" i="52"/>
  <c r="AN314" i="52"/>
  <c r="T314" i="52"/>
  <c r="BB301" i="52"/>
  <c r="N293" i="52"/>
  <c r="BB279" i="52"/>
  <c r="T257" i="52"/>
  <c r="T243" i="52"/>
  <c r="BF211" i="52"/>
  <c r="N137" i="52"/>
  <c r="AP133" i="52"/>
  <c r="AR319" i="52"/>
  <c r="R319" i="52"/>
  <c r="AN318" i="52"/>
  <c r="P315" i="52"/>
  <c r="AL314" i="52"/>
  <c r="R314" i="52"/>
  <c r="BB276" i="52"/>
  <c r="AP257" i="52"/>
  <c r="AR243" i="52"/>
  <c r="BB241" i="52"/>
  <c r="AP220" i="52"/>
  <c r="T220" i="52"/>
  <c r="AR198" i="52"/>
  <c r="R191" i="52"/>
  <c r="AN184" i="52"/>
  <c r="N184" i="52"/>
  <c r="P180" i="52"/>
  <c r="P48" i="52"/>
  <c r="R134" i="52"/>
  <c r="N320" i="52"/>
  <c r="AL319" i="52"/>
  <c r="P319" i="52"/>
  <c r="BB302" i="52"/>
  <c r="N294" i="52"/>
  <c r="AR267" i="52"/>
  <c r="N267" i="52"/>
  <c r="N263" i="52"/>
  <c r="R258" i="52"/>
  <c r="N253" i="52"/>
  <c r="T244" i="52"/>
  <c r="BF238" i="52"/>
  <c r="AN220" i="52"/>
  <c r="BD208" i="52"/>
  <c r="BF204" i="52"/>
  <c r="AL191" i="52"/>
  <c r="P191" i="52"/>
  <c r="R185" i="52"/>
  <c r="BB169" i="52"/>
  <c r="BB46" i="52"/>
  <c r="BD36" i="52"/>
  <c r="AP289" i="52"/>
  <c r="AR258" i="52"/>
  <c r="AP253" i="52"/>
  <c r="AN215" i="52"/>
  <c r="BD204" i="52"/>
  <c r="AL185" i="52"/>
  <c r="AP138" i="52"/>
  <c r="AR80" i="52"/>
  <c r="N291" i="52"/>
  <c r="BB284" i="52"/>
  <c r="R275" i="52"/>
  <c r="T250" i="52"/>
  <c r="BD229" i="52"/>
  <c r="N217" i="52"/>
  <c r="BF213" i="52"/>
  <c r="BB201" i="52"/>
  <c r="AP181" i="52"/>
  <c r="AL172" i="52"/>
  <c r="AN151" i="52"/>
  <c r="AL146" i="52"/>
  <c r="AR127" i="52"/>
  <c r="AP120" i="52"/>
  <c r="R84" i="52"/>
  <c r="AR275" i="52"/>
  <c r="BB229" i="52"/>
  <c r="AL226" i="52"/>
  <c r="BB213" i="52"/>
  <c r="BF191" i="52"/>
  <c r="BD179" i="52"/>
  <c r="BD149" i="52"/>
  <c r="P33" i="52"/>
  <c r="T313" i="52"/>
  <c r="N256" i="52"/>
  <c r="BD199" i="52"/>
  <c r="AP169" i="52"/>
  <c r="N164" i="52"/>
  <c r="BF160" i="52"/>
  <c r="P128" i="52"/>
  <c r="AP127" i="52"/>
  <c r="BB108" i="52"/>
  <c r="AL84" i="52"/>
  <c r="T287" i="52"/>
  <c r="BF281" i="52"/>
  <c r="P276" i="52"/>
  <c r="T260" i="52"/>
  <c r="T251" i="52"/>
  <c r="N246" i="52"/>
  <c r="AL227" i="52"/>
  <c r="BF206" i="52"/>
  <c r="BD191" i="52"/>
  <c r="AP188" i="52"/>
  <c r="T188" i="52"/>
  <c r="AP187" i="52"/>
  <c r="BB179" i="52"/>
  <c r="BF175" i="52"/>
  <c r="R168" i="52"/>
  <c r="N153" i="52"/>
  <c r="BF44" i="52"/>
  <c r="AN128" i="52"/>
  <c r="AP110" i="52"/>
  <c r="T91" i="52"/>
  <c r="AL68" i="52"/>
  <c r="BF310" i="52"/>
  <c r="AN287" i="52"/>
  <c r="AL276" i="52"/>
  <c r="AR260" i="52"/>
  <c r="BD258" i="52"/>
  <c r="P247" i="52"/>
  <c r="AL246" i="52"/>
  <c r="R228" i="52"/>
  <c r="P223" i="52"/>
  <c r="AL222" i="52"/>
  <c r="T218" i="52"/>
  <c r="BB206" i="52"/>
  <c r="N204" i="52"/>
  <c r="N189" i="52"/>
  <c r="AN188" i="52"/>
  <c r="P188" i="52"/>
  <c r="AR168" i="52"/>
  <c r="AR162" i="52"/>
  <c r="T162" i="52"/>
  <c r="AR152" i="52"/>
  <c r="BF146" i="52"/>
  <c r="P40" i="52"/>
  <c r="AP124" i="52"/>
  <c r="BB112" i="52"/>
  <c r="BB105" i="52"/>
  <c r="AN91" i="52"/>
  <c r="N78" i="52"/>
  <c r="AN312" i="52"/>
  <c r="BB300" i="52"/>
  <c r="T261" i="52"/>
  <c r="P256" i="52"/>
  <c r="AR255" i="52"/>
  <c r="N247" i="52"/>
  <c r="AL228" i="52"/>
  <c r="N223" i="52"/>
  <c r="AN218" i="52"/>
  <c r="AR212" i="52"/>
  <c r="BF210" i="52"/>
  <c r="AR189" i="52"/>
  <c r="BF172" i="52"/>
  <c r="AR169" i="52"/>
  <c r="R169" i="52"/>
  <c r="AR164" i="52"/>
  <c r="T164" i="52"/>
  <c r="AP163" i="52"/>
  <c r="T163" i="52"/>
  <c r="AN162" i="52"/>
  <c r="P162" i="52"/>
  <c r="P157" i="52"/>
  <c r="BD146" i="52"/>
  <c r="AN34" i="53"/>
  <c r="T53" i="53"/>
  <c r="AN51" i="53"/>
  <c r="T50" i="53"/>
  <c r="AN48" i="53"/>
  <c r="T47" i="53"/>
  <c r="AN74" i="53"/>
  <c r="T73" i="53"/>
  <c r="AN71" i="53"/>
  <c r="T70" i="53"/>
  <c r="AN87" i="53"/>
  <c r="T86" i="53"/>
  <c r="AN84" i="53"/>
  <c r="T83" i="53"/>
  <c r="AN81" i="53"/>
  <c r="T80" i="53"/>
  <c r="AN78" i="53"/>
  <c r="T77" i="53"/>
  <c r="AN94" i="53"/>
  <c r="T93" i="53"/>
  <c r="AN102" i="53"/>
  <c r="T101" i="53"/>
  <c r="AN99" i="53"/>
  <c r="T98" i="53"/>
  <c r="AN113" i="53"/>
  <c r="T112" i="53"/>
  <c r="AN110" i="53"/>
  <c r="T109" i="53"/>
  <c r="AN107" i="53"/>
  <c r="T106" i="53"/>
  <c r="AN119" i="53"/>
  <c r="BF34" i="53"/>
  <c r="AL34" i="53"/>
  <c r="R53" i="53"/>
  <c r="BF51" i="53"/>
  <c r="AL51" i="53"/>
  <c r="R50" i="53"/>
  <c r="BF48" i="53"/>
  <c r="BD34" i="53"/>
  <c r="AR53" i="53"/>
  <c r="P53" i="53"/>
  <c r="BD51" i="53"/>
  <c r="AR50" i="53"/>
  <c r="P50" i="53"/>
  <c r="BD48" i="53"/>
  <c r="AR47" i="53"/>
  <c r="P47" i="53"/>
  <c r="BD74" i="53"/>
  <c r="AR73" i="53"/>
  <c r="P73" i="53"/>
  <c r="BD71" i="53"/>
  <c r="AR70" i="53"/>
  <c r="P70" i="53"/>
  <c r="BD87" i="53"/>
  <c r="AR86" i="53"/>
  <c r="P86" i="53"/>
  <c r="BD84" i="53"/>
  <c r="AR83" i="53"/>
  <c r="P83" i="53"/>
  <c r="BD81" i="53"/>
  <c r="AR80" i="53"/>
  <c r="P80" i="53"/>
  <c r="BD78" i="53"/>
  <c r="AR77" i="53"/>
  <c r="P77" i="53"/>
  <c r="BD94" i="53"/>
  <c r="AR93" i="53"/>
  <c r="P93" i="53"/>
  <c r="BD102" i="53"/>
  <c r="AR101" i="53"/>
  <c r="P101" i="53"/>
  <c r="BD99" i="53"/>
  <c r="AR98" i="53"/>
  <c r="P98" i="53"/>
  <c r="BD113" i="53"/>
  <c r="AR112" i="53"/>
  <c r="P112" i="53"/>
  <c r="BD110" i="53"/>
  <c r="AR109" i="53"/>
  <c r="P109" i="53"/>
  <c r="BD107" i="53"/>
  <c r="AR106" i="53"/>
  <c r="P106" i="53"/>
  <c r="BD119" i="53"/>
  <c r="BB34" i="53"/>
  <c r="AP53" i="53"/>
  <c r="N53" i="53"/>
  <c r="BB51" i="53"/>
  <c r="AP50" i="53"/>
  <c r="BF53" i="53"/>
  <c r="BB52" i="53"/>
  <c r="BF49" i="53"/>
  <c r="AL49" i="53"/>
  <c r="AP48" i="53"/>
  <c r="N47" i="53"/>
  <c r="BF73" i="53"/>
  <c r="AN72" i="53"/>
  <c r="P71" i="53"/>
  <c r="BF87" i="53"/>
  <c r="AN86" i="53"/>
  <c r="AR85" i="53"/>
  <c r="P85" i="53"/>
  <c r="T84" i="53"/>
  <c r="BB82" i="53"/>
  <c r="AL81" i="53"/>
  <c r="T79" i="53"/>
  <c r="BD77" i="53"/>
  <c r="BF90" i="53"/>
  <c r="AL90" i="53"/>
  <c r="AR94" i="53"/>
  <c r="N94" i="53"/>
  <c r="R93" i="53"/>
  <c r="BB102" i="53"/>
  <c r="AL101" i="53"/>
  <c r="AP100" i="53"/>
  <c r="N100" i="53"/>
  <c r="R99" i="53"/>
  <c r="AP112" i="53"/>
  <c r="R111" i="53"/>
  <c r="BB109" i="53"/>
  <c r="BD108" i="53"/>
  <c r="AP107" i="53"/>
  <c r="N106" i="53"/>
  <c r="BF118" i="53"/>
  <c r="AL118" i="53"/>
  <c r="R117" i="53"/>
  <c r="BF125" i="53"/>
  <c r="AL125" i="53"/>
  <c r="R124" i="53"/>
  <c r="BF128" i="53"/>
  <c r="AL128" i="53"/>
  <c r="R131" i="53"/>
  <c r="BF158" i="53"/>
  <c r="AL158" i="53"/>
  <c r="R158" i="53"/>
  <c r="BD53" i="53"/>
  <c r="BF50" i="53"/>
  <c r="BD49" i="53"/>
  <c r="AL48" i="53"/>
  <c r="T46" i="53"/>
  <c r="BD73" i="53"/>
  <c r="BF72" i="53"/>
  <c r="AL72" i="53"/>
  <c r="AR71" i="53"/>
  <c r="N71" i="53"/>
  <c r="R70" i="53"/>
  <c r="BB87" i="53"/>
  <c r="AL86" i="53"/>
  <c r="BB53" i="53"/>
  <c r="BD50" i="53"/>
  <c r="BB49" i="53"/>
  <c r="AP47" i="53"/>
  <c r="R46" i="53"/>
  <c r="BB73" i="53"/>
  <c r="BD72" i="53"/>
  <c r="AP71" i="53"/>
  <c r="N70" i="53"/>
  <c r="BF86" i="53"/>
  <c r="AN85" i="53"/>
  <c r="P84" i="53"/>
  <c r="BF81" i="53"/>
  <c r="AN80" i="53"/>
  <c r="AR79" i="53"/>
  <c r="P79" i="53"/>
  <c r="T78" i="53"/>
  <c r="BB90" i="53"/>
  <c r="AL94" i="53"/>
  <c r="T103" i="53"/>
  <c r="BD101" i="53"/>
  <c r="BF100" i="53"/>
  <c r="AL100" i="53"/>
  <c r="AR99" i="53"/>
  <c r="N99" i="53"/>
  <c r="R98" i="53"/>
  <c r="BB113" i="53"/>
  <c r="AL112" i="53"/>
  <c r="AP111" i="53"/>
  <c r="N111" i="53"/>
  <c r="R110" i="53"/>
  <c r="AP106" i="53"/>
  <c r="R120" i="53"/>
  <c r="BB118" i="53"/>
  <c r="AP117" i="53"/>
  <c r="N117" i="53"/>
  <c r="BB125" i="53"/>
  <c r="AP124" i="53"/>
  <c r="N124" i="53"/>
  <c r="BB128" i="53"/>
  <c r="AP131" i="53"/>
  <c r="N131" i="53"/>
  <c r="AP159" i="53"/>
  <c r="BB158" i="53"/>
  <c r="N158" i="53"/>
  <c r="AP156" i="53"/>
  <c r="BF35" i="53"/>
  <c r="AL35" i="53"/>
  <c r="BB50" i="53"/>
  <c r="T49" i="53"/>
  <c r="R48" i="53"/>
  <c r="T72" i="53"/>
  <c r="T71" i="53"/>
  <c r="AL79" i="53"/>
  <c r="AL78" i="53"/>
  <c r="AN77" i="53"/>
  <c r="AN90" i="53"/>
  <c r="AP94" i="53"/>
  <c r="AP93" i="53"/>
  <c r="AR103" i="53"/>
  <c r="N103" i="53"/>
  <c r="P102" i="53"/>
  <c r="N101" i="53"/>
  <c r="P100" i="53"/>
  <c r="T97" i="53"/>
  <c r="BB112" i="53"/>
  <c r="BD109" i="53"/>
  <c r="BB108" i="53"/>
  <c r="AN106" i="53"/>
  <c r="AP120" i="53"/>
  <c r="P119" i="53"/>
  <c r="R118" i="53"/>
  <c r="AN124" i="53"/>
  <c r="AR123" i="53"/>
  <c r="P123" i="53"/>
  <c r="R128" i="53"/>
  <c r="BD158" i="53"/>
  <c r="AR157" i="53"/>
  <c r="BD156" i="53"/>
  <c r="N156" i="53"/>
  <c r="BD35" i="53"/>
  <c r="R49" i="53"/>
  <c r="P48" i="53"/>
  <c r="R47" i="53"/>
  <c r="R72" i="53"/>
  <c r="R71" i="53"/>
  <c r="T69" i="53"/>
  <c r="T87" i="53"/>
  <c r="R86" i="53"/>
  <c r="T85" i="53"/>
  <c r="BB81" i="53"/>
  <c r="BF80" i="53"/>
  <c r="BF79" i="53"/>
  <c r="AL77" i="53"/>
  <c r="AN93" i="53"/>
  <c r="AP103" i="53"/>
  <c r="AR102" i="53"/>
  <c r="N102" i="53"/>
  <c r="R97" i="53"/>
  <c r="T113" i="53"/>
  <c r="AL106" i="53"/>
  <c r="AN120" i="53"/>
  <c r="AR119" i="53"/>
  <c r="N119" i="53"/>
  <c r="P118" i="53"/>
  <c r="BD125" i="53"/>
  <c r="AL124" i="53"/>
  <c r="AP123" i="53"/>
  <c r="N123" i="53"/>
  <c r="P128" i="53"/>
  <c r="AP157" i="53"/>
  <c r="BB156" i="53"/>
  <c r="BB35" i="53"/>
  <c r="P49" i="53"/>
  <c r="N48" i="53"/>
  <c r="P46" i="53"/>
  <c r="T74" i="53"/>
  <c r="R73" i="53"/>
  <c r="P72" i="53"/>
  <c r="R69" i="53"/>
  <c r="R87" i="53"/>
  <c r="N86" i="53"/>
  <c r="R85" i="53"/>
  <c r="R84" i="53"/>
  <c r="BD80" i="53"/>
  <c r="BD79" i="53"/>
  <c r="BF78" i="53"/>
  <c r="AL93" i="53"/>
  <c r="AN103" i="53"/>
  <c r="AP102" i="53"/>
  <c r="AR100" i="53"/>
  <c r="AP99" i="53"/>
  <c r="AP98" i="53"/>
  <c r="AR97" i="53"/>
  <c r="P97" i="53"/>
  <c r="R113" i="53"/>
  <c r="R112" i="53"/>
  <c r="BF107" i="53"/>
  <c r="BF120" i="53"/>
  <c r="AL120" i="53"/>
  <c r="AP119" i="53"/>
  <c r="AR118" i="53"/>
  <c r="N118" i="53"/>
  <c r="T117" i="53"/>
  <c r="BF124" i="53"/>
  <c r="AN123" i="53"/>
  <c r="AR128" i="53"/>
  <c r="N128" i="53"/>
  <c r="T131" i="53"/>
  <c r="AR159" i="53"/>
  <c r="AN157" i="53"/>
  <c r="T157" i="53"/>
  <c r="R35" i="53"/>
  <c r="P34" i="53"/>
  <c r="AN52" i="53"/>
  <c r="AP51" i="53"/>
  <c r="AL50" i="53"/>
  <c r="BF47" i="53"/>
  <c r="BD46" i="53"/>
  <c r="BD70" i="53"/>
  <c r="BB69" i="53"/>
  <c r="BF85" i="53"/>
  <c r="AL83" i="53"/>
  <c r="AN82" i="53"/>
  <c r="AR81" i="53"/>
  <c r="N79" i="53"/>
  <c r="P78" i="53"/>
  <c r="R77" i="53"/>
  <c r="R90" i="53"/>
  <c r="R94" i="53"/>
  <c r="BB101" i="53"/>
  <c r="AL111" i="53"/>
  <c r="AL110" i="53"/>
  <c r="AN109" i="53"/>
  <c r="AP108" i="53"/>
  <c r="N108" i="53"/>
  <c r="P107" i="53"/>
  <c r="R106" i="53"/>
  <c r="BF117" i="53"/>
  <c r="AN116" i="53"/>
  <c r="AR125" i="53"/>
  <c r="N125" i="53"/>
  <c r="T124" i="53"/>
  <c r="BF131" i="53"/>
  <c r="AN160" i="53"/>
  <c r="T160" i="53"/>
  <c r="AP158" i="53"/>
  <c r="T158" i="53"/>
  <c r="AR156" i="53"/>
  <c r="T52" i="53"/>
  <c r="P51" i="53"/>
  <c r="AR46" i="53"/>
  <c r="AR74" i="53"/>
  <c r="AN73" i="53"/>
  <c r="BB71" i="53"/>
  <c r="N69" i="53"/>
  <c r="AR87" i="53"/>
  <c r="AP86" i="53"/>
  <c r="BD85" i="53"/>
  <c r="T81" i="53"/>
  <c r="R80" i="53"/>
  <c r="AP78" i="53"/>
  <c r="T94" i="53"/>
  <c r="BF101" i="53"/>
  <c r="T100" i="53"/>
  <c r="AP113" i="53"/>
  <c r="BF111" i="53"/>
  <c r="BF110" i="53"/>
  <c r="BF109" i="53"/>
  <c r="AL119" i="53"/>
  <c r="BB117" i="53"/>
  <c r="BB116" i="53"/>
  <c r="BB124" i="53"/>
  <c r="T123" i="53"/>
  <c r="AR131" i="53"/>
  <c r="AR160" i="53"/>
  <c r="AL157" i="53"/>
  <c r="P157" i="53"/>
  <c r="R52" i="53"/>
  <c r="N51" i="53"/>
  <c r="AN50" i="53"/>
  <c r="T48" i="53"/>
  <c r="AP46" i="53"/>
  <c r="AP74" i="53"/>
  <c r="AL73" i="53"/>
  <c r="AR69" i="53"/>
  <c r="AP87" i="53"/>
  <c r="BB85" i="53"/>
  <c r="R81" i="53"/>
  <c r="N80" i="53"/>
  <c r="P94" i="53"/>
  <c r="AL103" i="53"/>
  <c r="R100" i="53"/>
  <c r="AP97" i="53"/>
  <c r="AL113" i="53"/>
  <c r="BD111" i="53"/>
  <c r="BB110" i="53"/>
  <c r="T107" i="53"/>
  <c r="AR120" i="53"/>
  <c r="R123" i="53"/>
  <c r="AN131" i="53"/>
  <c r="AP160" i="53"/>
  <c r="R160" i="53"/>
  <c r="N157" i="53"/>
  <c r="N35" i="53"/>
  <c r="AR34" i="53"/>
  <c r="BD52" i="53"/>
  <c r="N50" i="53"/>
  <c r="AR49" i="53"/>
  <c r="BB47" i="53"/>
  <c r="N73" i="53"/>
  <c r="BB70" i="53"/>
  <c r="AP85" i="53"/>
  <c r="AL84" i="53"/>
  <c r="N78" i="53"/>
  <c r="BD93" i="53"/>
  <c r="R103" i="53"/>
  <c r="AN101" i="53"/>
  <c r="BB99" i="53"/>
  <c r="P113" i="53"/>
  <c r="AR110" i="53"/>
  <c r="AL109" i="53"/>
  <c r="T120" i="53"/>
  <c r="R119" i="53"/>
  <c r="AN117" i="53"/>
  <c r="AP116" i="53"/>
  <c r="AN125" i="53"/>
  <c r="BF123" i="53"/>
  <c r="P159" i="53"/>
  <c r="AR35" i="53"/>
  <c r="AP34" i="53"/>
  <c r="AP49" i="53"/>
  <c r="R74" i="53"/>
  <c r="AR72" i="53"/>
  <c r="P87" i="53"/>
  <c r="AL85" i="53"/>
  <c r="AN35" i="53"/>
  <c r="AR52" i="53"/>
  <c r="BB48" i="53"/>
  <c r="AL46" i="53"/>
  <c r="AP72" i="53"/>
  <c r="BB86" i="53"/>
  <c r="BF84" i="53"/>
  <c r="BB83" i="53"/>
  <c r="AN79" i="53"/>
  <c r="N77" i="53"/>
  <c r="BF93" i="53"/>
  <c r="AL102" i="53"/>
  <c r="AL99" i="53"/>
  <c r="AL98" i="53"/>
  <c r="BF113" i="53"/>
  <c r="AR111" i="53"/>
  <c r="T108" i="53"/>
  <c r="N107" i="53"/>
  <c r="BB119" i="53"/>
  <c r="AL117" i="53"/>
  <c r="BD131" i="53"/>
  <c r="BF159" i="53"/>
  <c r="AN158" i="53"/>
  <c r="R157" i="53"/>
  <c r="AP52" i="53"/>
  <c r="BF74" i="53"/>
  <c r="BF71" i="53"/>
  <c r="AP69" i="53"/>
  <c r="BB84" i="53"/>
  <c r="P81" i="53"/>
  <c r="BB78" i="53"/>
  <c r="AR90" i="53"/>
  <c r="BB93" i="53"/>
  <c r="BF97" i="53"/>
  <c r="AN111" i="53"/>
  <c r="R109" i="53"/>
  <c r="R108" i="53"/>
  <c r="T119" i="53"/>
  <c r="BF116" i="53"/>
  <c r="P124" i="53"/>
  <c r="BB131" i="53"/>
  <c r="BD159" i="53"/>
  <c r="AN156" i="53"/>
  <c r="T156" i="53"/>
  <c r="T34" i="53"/>
  <c r="AL52" i="53"/>
  <c r="AN47" i="53"/>
  <c r="BB74" i="53"/>
  <c r="AN69" i="53"/>
  <c r="N81" i="53"/>
  <c r="AP90" i="53"/>
  <c r="N93" i="53"/>
  <c r="BF98" i="53"/>
  <c r="BD97" i="53"/>
  <c r="N113" i="53"/>
  <c r="N109" i="53"/>
  <c r="P108" i="53"/>
  <c r="BD120" i="53"/>
  <c r="AP118" i="53"/>
  <c r="BD116" i="53"/>
  <c r="BB159" i="53"/>
  <c r="AL156" i="53"/>
  <c r="R156" i="53"/>
  <c r="P35" i="53"/>
  <c r="AL71" i="53"/>
  <c r="BF70" i="53"/>
  <c r="AR84" i="53"/>
  <c r="AN83" i="53"/>
  <c r="AL82" i="53"/>
  <c r="BB80" i="53"/>
  <c r="AR78" i="53"/>
  <c r="BF103" i="53"/>
  <c r="R102" i="53"/>
  <c r="AP101" i="53"/>
  <c r="P99" i="53"/>
  <c r="BF112" i="53"/>
  <c r="T111" i="53"/>
  <c r="BF108" i="53"/>
  <c r="BB107" i="53"/>
  <c r="BB106" i="53"/>
  <c r="N116" i="53"/>
  <c r="AP125" i="53"/>
  <c r="BB123" i="53"/>
  <c r="AL131" i="53"/>
  <c r="N52" i="53"/>
  <c r="AR51" i="53"/>
  <c r="R83" i="53"/>
  <c r="R82" i="53"/>
  <c r="BB77" i="53"/>
  <c r="BF102" i="53"/>
  <c r="AN98" i="53"/>
  <c r="BB111" i="53"/>
  <c r="AR107" i="53"/>
  <c r="AL159" i="53"/>
  <c r="R159" i="53"/>
  <c r="P158" i="53"/>
  <c r="AN49" i="53"/>
  <c r="P74" i="53"/>
  <c r="P69" i="53"/>
  <c r="AL87" i="53"/>
  <c r="N83" i="53"/>
  <c r="P82" i="53"/>
  <c r="T102" i="53"/>
  <c r="BD100" i="53"/>
  <c r="BB97" i="53"/>
  <c r="P111" i="53"/>
  <c r="AP110" i="53"/>
  <c r="AL107" i="53"/>
  <c r="T118" i="53"/>
  <c r="T125" i="53"/>
  <c r="N159" i="53"/>
  <c r="AR158" i="53"/>
  <c r="AL47" i="53"/>
  <c r="BF46" i="53"/>
  <c r="N72" i="53"/>
  <c r="N84" i="53"/>
  <c r="AR82" i="53"/>
  <c r="BD106" i="53"/>
  <c r="P125" i="53"/>
  <c r="BD160" i="53"/>
  <c r="R34" i="53"/>
  <c r="R51" i="53"/>
  <c r="N49" i="53"/>
  <c r="AR48" i="53"/>
  <c r="BD47" i="53"/>
  <c r="AP70" i="53"/>
  <c r="N87" i="53"/>
  <c r="N85" i="53"/>
  <c r="AP84" i="53"/>
  <c r="BD82" i="53"/>
  <c r="AP80" i="53"/>
  <c r="T90" i="53"/>
  <c r="AN97" i="53"/>
  <c r="T110" i="53"/>
  <c r="R107" i="53"/>
  <c r="P131" i="53"/>
  <c r="BB157" i="53"/>
  <c r="AL53" i="53"/>
  <c r="BF52" i="53"/>
  <c r="AL70" i="53"/>
  <c r="BF69" i="53"/>
  <c r="R79" i="53"/>
  <c r="BF77" i="53"/>
  <c r="BD98" i="53"/>
  <c r="BF106" i="53"/>
  <c r="AP128" i="53"/>
  <c r="P52" i="53"/>
  <c r="BD69" i="53"/>
  <c r="BD86" i="53"/>
  <c r="AP83" i="53"/>
  <c r="BF82" i="53"/>
  <c r="BB98" i="53"/>
  <c r="T116" i="53"/>
  <c r="AN128" i="53"/>
  <c r="AL69" i="53"/>
  <c r="AP82" i="53"/>
  <c r="P90" i="53"/>
  <c r="N120" i="53"/>
  <c r="BD118" i="53"/>
  <c r="T128" i="53"/>
  <c r="BB160" i="53"/>
  <c r="BB46" i="53"/>
  <c r="N90" i="53"/>
  <c r="N97" i="53"/>
  <c r="AR113" i="53"/>
  <c r="BD112" i="53"/>
  <c r="R125" i="53"/>
  <c r="P156" i="53"/>
  <c r="T82" i="53"/>
  <c r="BF119" i="53"/>
  <c r="AN118" i="53"/>
  <c r="BD117" i="53"/>
  <c r="AL123" i="53"/>
  <c r="BD128" i="53"/>
  <c r="T51" i="53"/>
  <c r="N82" i="53"/>
  <c r="AP81" i="53"/>
  <c r="N34" i="53"/>
  <c r="AN53" i="53"/>
  <c r="BF94" i="53"/>
  <c r="BD103" i="53"/>
  <c r="BF157" i="53"/>
  <c r="AL160" i="53"/>
  <c r="N160" i="53"/>
  <c r="AN159" i="53"/>
  <c r="BF156" i="53"/>
  <c r="BD157" i="53"/>
  <c r="AP73" i="53"/>
  <c r="AP79" i="53"/>
  <c r="AP77" i="53"/>
  <c r="AN112" i="53"/>
  <c r="AN46" i="53"/>
  <c r="AR124" i="53"/>
  <c r="BD123" i="53"/>
  <c r="AP35" i="53"/>
  <c r="BB100" i="53"/>
  <c r="N74" i="53"/>
  <c r="BB72" i="53"/>
  <c r="R78" i="53"/>
  <c r="BD90" i="53"/>
  <c r="AR117" i="53"/>
  <c r="N46" i="53"/>
  <c r="AL74" i="53"/>
  <c r="AN70" i="53"/>
  <c r="AL80" i="53"/>
  <c r="BB79" i="53"/>
  <c r="BB103" i="53"/>
  <c r="R101" i="53"/>
  <c r="T35" i="53"/>
  <c r="BF83" i="53"/>
  <c r="BB94" i="53"/>
  <c r="P103" i="53"/>
  <c r="AN100" i="53"/>
  <c r="BF99" i="53"/>
  <c r="P110" i="53"/>
  <c r="BD83" i="53"/>
  <c r="T99" i="53"/>
  <c r="N112" i="53"/>
  <c r="N110" i="53"/>
  <c r="AP109" i="53"/>
  <c r="P117" i="53"/>
  <c r="AR116" i="53"/>
  <c r="BF160" i="53"/>
  <c r="R116" i="53"/>
  <c r="BD124" i="53"/>
  <c r="T159" i="53"/>
  <c r="AR108" i="53"/>
  <c r="BB120" i="53"/>
  <c r="P116" i="53"/>
  <c r="AN108" i="53"/>
  <c r="P120" i="53"/>
  <c r="P160" i="53"/>
  <c r="AL108" i="53"/>
  <c r="AL116" i="53"/>
  <c r="N98" i="53"/>
  <c r="AL97" i="53"/>
  <c r="BB209" i="54"/>
  <c r="BA20" i="53"/>
  <c r="AA200" i="54"/>
  <c r="AB200" i="54" s="1"/>
  <c r="AC200" i="54" s="1"/>
  <c r="AD200" i="54" s="1"/>
  <c r="AE200" i="54" s="1"/>
  <c r="AF200" i="54" s="1"/>
  <c r="AG200" i="54" s="1"/>
  <c r="AH200" i="54" s="1"/>
  <c r="AI200" i="54" s="1"/>
  <c r="AJ200" i="54" s="1"/>
  <c r="AK200" i="54" s="1"/>
  <c r="M200" i="54"/>
  <c r="N200" i="54" s="1"/>
  <c r="O200" i="54" s="1"/>
  <c r="P200" i="54" s="1"/>
  <c r="Q200" i="54" s="1"/>
  <c r="R200" i="54" s="1"/>
  <c r="S200" i="54" s="1"/>
  <c r="T200" i="54" s="1"/>
  <c r="U200" i="54" s="1"/>
  <c r="V200" i="54" s="1"/>
  <c r="W200" i="54" s="1"/>
  <c r="X200" i="54" s="1"/>
  <c r="BC200" i="54"/>
  <c r="BD200" i="54" s="1"/>
  <c r="BE200" i="54" s="1"/>
  <c r="BF200" i="54" s="1"/>
  <c r="BG200" i="54" s="1"/>
  <c r="BH200" i="54" s="1"/>
  <c r="BI200" i="54" s="1"/>
  <c r="BJ200" i="54" s="1"/>
  <c r="BK200" i="54" s="1"/>
  <c r="BL200" i="54" s="1"/>
  <c r="BM200" i="54" s="1"/>
  <c r="BN200" i="54" s="1"/>
  <c r="BQ200" i="54"/>
  <c r="BR200" i="54" s="1"/>
  <c r="BS200" i="54" s="1"/>
  <c r="BT200" i="54" s="1"/>
  <c r="BU200" i="54" s="1"/>
  <c r="BV200" i="54" s="1"/>
  <c r="BW200" i="54" s="1"/>
  <c r="BX200" i="54" s="1"/>
  <c r="BY200" i="54" s="1"/>
  <c r="BZ200" i="54" s="1"/>
  <c r="CA200" i="54" s="1"/>
  <c r="CB200" i="54" s="1"/>
  <c r="L209" i="54"/>
  <c r="AN209" i="54"/>
  <c r="BF180" i="53"/>
  <c r="R180" i="53"/>
  <c r="BD179" i="53"/>
  <c r="AR179" i="53"/>
  <c r="AN175" i="53"/>
  <c r="AL174" i="53"/>
  <c r="R174" i="53"/>
  <c r="AL165" i="53"/>
  <c r="P164" i="53"/>
  <c r="AN155" i="53"/>
  <c r="AL154" i="53"/>
  <c r="R154" i="53"/>
  <c r="N145" i="53"/>
  <c r="AN144" i="53"/>
  <c r="T144" i="53"/>
  <c r="BF143" i="53"/>
  <c r="P142" i="53"/>
  <c r="BB141" i="53"/>
  <c r="AP141" i="53"/>
  <c r="N141" i="53"/>
  <c r="AN140" i="53"/>
  <c r="T140" i="53"/>
  <c r="BD180" i="53"/>
  <c r="AR180" i="53"/>
  <c r="P180" i="53"/>
  <c r="BB179" i="53"/>
  <c r="AP179" i="53"/>
  <c r="AL175" i="53"/>
  <c r="P174" i="53"/>
  <c r="T170" i="53"/>
  <c r="BF169" i="53"/>
  <c r="N164" i="53"/>
  <c r="AL155" i="53"/>
  <c r="P154" i="53"/>
  <c r="T150" i="53"/>
  <c r="BF149" i="53"/>
  <c r="AL144" i="53"/>
  <c r="R144" i="53"/>
  <c r="BD143" i="53"/>
  <c r="AR143" i="53"/>
  <c r="N142" i="53"/>
  <c r="AN141" i="53"/>
  <c r="AL140" i="53"/>
  <c r="R140" i="53"/>
  <c r="BB180" i="53"/>
  <c r="AP180" i="53"/>
  <c r="N180" i="53"/>
  <c r="AN179" i="53"/>
  <c r="T179" i="53"/>
  <c r="AP176" i="53"/>
  <c r="N174" i="53"/>
  <c r="BF170" i="53"/>
  <c r="R170" i="53"/>
  <c r="BD169" i="53"/>
  <c r="AR169" i="53"/>
  <c r="N154" i="53"/>
  <c r="BF150" i="53"/>
  <c r="R150" i="53"/>
  <c r="BD149" i="53"/>
  <c r="AR149" i="53"/>
  <c r="BF145" i="53"/>
  <c r="P144" i="53"/>
  <c r="BB143" i="53"/>
  <c r="AP143" i="53"/>
  <c r="AL141" i="53"/>
  <c r="P140" i="53"/>
  <c r="AN180" i="53"/>
  <c r="AL179" i="53"/>
  <c r="R179" i="53"/>
  <c r="BD170" i="53"/>
  <c r="AR170" i="53"/>
  <c r="P170" i="53"/>
  <c r="BB169" i="53"/>
  <c r="AP169" i="53"/>
  <c r="T165" i="53"/>
  <c r="BF164" i="53"/>
  <c r="BD150" i="53"/>
  <c r="AR150" i="53"/>
  <c r="P150" i="53"/>
  <c r="BB149" i="53"/>
  <c r="AP149" i="53"/>
  <c r="BD145" i="53"/>
  <c r="AR145" i="53"/>
  <c r="N144" i="53"/>
  <c r="AN143" i="53"/>
  <c r="T143" i="53"/>
  <c r="BF142" i="53"/>
  <c r="N140" i="53"/>
  <c r="AL180" i="53"/>
  <c r="P179" i="53"/>
  <c r="T176" i="53"/>
  <c r="T175" i="53"/>
  <c r="BF174" i="53"/>
  <c r="AP171" i="53"/>
  <c r="BB170" i="53"/>
  <c r="AP170" i="53"/>
  <c r="N170" i="53"/>
  <c r="AN169" i="53"/>
  <c r="T169" i="53"/>
  <c r="BF165" i="53"/>
  <c r="R165" i="53"/>
  <c r="BD164" i="53"/>
  <c r="AR164" i="53"/>
  <c r="AL161" i="53"/>
  <c r="T161" i="53"/>
  <c r="T155" i="53"/>
  <c r="BF154" i="53"/>
  <c r="BB150" i="53"/>
  <c r="AP150" i="53"/>
  <c r="N150" i="53"/>
  <c r="AN149" i="53"/>
  <c r="T149" i="53"/>
  <c r="BB145" i="53"/>
  <c r="AP145" i="53"/>
  <c r="AL143" i="53"/>
  <c r="R143" i="53"/>
  <c r="BD142" i="53"/>
  <c r="AR142" i="53"/>
  <c r="AP181" i="53"/>
  <c r="N179" i="53"/>
  <c r="BF175" i="53"/>
  <c r="R175" i="53"/>
  <c r="BD174" i="53"/>
  <c r="AR174" i="53"/>
  <c r="AN170" i="53"/>
  <c r="AL169" i="53"/>
  <c r="R169" i="53"/>
  <c r="AP166" i="53"/>
  <c r="BD165" i="53"/>
  <c r="AR165" i="53"/>
  <c r="P165" i="53"/>
  <c r="BB164" i="53"/>
  <c r="AP164" i="53"/>
  <c r="BF155" i="53"/>
  <c r="R155" i="53"/>
  <c r="BD154" i="53"/>
  <c r="AR154" i="53"/>
  <c r="AN150" i="53"/>
  <c r="AL149" i="53"/>
  <c r="R149" i="53"/>
  <c r="AN145" i="53"/>
  <c r="T145" i="53"/>
  <c r="BF144" i="53"/>
  <c r="P143" i="53"/>
  <c r="BB142" i="53"/>
  <c r="AP142" i="53"/>
  <c r="T141" i="53"/>
  <c r="BF140" i="53"/>
  <c r="BD175" i="53"/>
  <c r="AR175" i="53"/>
  <c r="P175" i="53"/>
  <c r="BB174" i="53"/>
  <c r="AP174" i="53"/>
  <c r="AL170" i="53"/>
  <c r="P169" i="53"/>
  <c r="BB165" i="53"/>
  <c r="AP165" i="53"/>
  <c r="N165" i="53"/>
  <c r="AN164" i="53"/>
  <c r="T164" i="53"/>
  <c r="BD155" i="53"/>
  <c r="AR155" i="53"/>
  <c r="P155" i="53"/>
  <c r="BB154" i="53"/>
  <c r="AP154" i="53"/>
  <c r="AL150" i="53"/>
  <c r="P149" i="53"/>
  <c r="AP146" i="53"/>
  <c r="AL145" i="53"/>
  <c r="R145" i="53"/>
  <c r="BD144" i="53"/>
  <c r="AR144" i="53"/>
  <c r="N143" i="53"/>
  <c r="AN142" i="53"/>
  <c r="T142" i="53"/>
  <c r="BF141" i="53"/>
  <c r="R141" i="53"/>
  <c r="BD140" i="53"/>
  <c r="AR140" i="53"/>
  <c r="T180" i="53"/>
  <c r="BF179" i="53"/>
  <c r="BB175" i="53"/>
  <c r="AP175" i="53"/>
  <c r="N175" i="53"/>
  <c r="AN174" i="53"/>
  <c r="T174" i="53"/>
  <c r="N169" i="53"/>
  <c r="AN165" i="53"/>
  <c r="AL164" i="53"/>
  <c r="R164" i="53"/>
  <c r="BB155" i="53"/>
  <c r="AP155" i="53"/>
  <c r="N155" i="53"/>
  <c r="AN154" i="53"/>
  <c r="T154" i="53"/>
  <c r="N149" i="53"/>
  <c r="P145" i="53"/>
  <c r="BB144" i="53"/>
  <c r="AP144" i="53"/>
  <c r="AL142" i="53"/>
  <c r="R142" i="53"/>
  <c r="BD141" i="53"/>
  <c r="AR141" i="53"/>
  <c r="P141" i="53"/>
  <c r="BB140" i="53"/>
  <c r="AP140" i="53"/>
  <c r="BD181" i="53"/>
  <c r="BB151" i="53"/>
  <c r="AN166" i="53"/>
  <c r="BB181" i="53"/>
  <c r="BF151" i="53"/>
  <c r="AL146" i="53"/>
  <c r="AL181" i="53"/>
  <c r="AL171" i="53"/>
  <c r="AL176" i="53"/>
  <c r="BB146" i="53"/>
  <c r="BD171" i="53"/>
  <c r="AL151" i="53"/>
  <c r="AR161" i="53"/>
  <c r="BD161" i="53"/>
  <c r="T181" i="53"/>
  <c r="AR181" i="53"/>
  <c r="BD146" i="53"/>
  <c r="T146" i="53"/>
  <c r="AL166" i="53"/>
  <c r="AN151" i="53"/>
  <c r="BB171" i="53"/>
  <c r="BB161" i="53"/>
  <c r="BB166" i="53"/>
  <c r="AP161" i="53"/>
  <c r="BB176" i="53"/>
  <c r="T151" i="53"/>
  <c r="AN181" i="53"/>
  <c r="AN171" i="53"/>
  <c r="T166" i="53"/>
  <c r="AN146" i="53"/>
  <c r="BF161" i="53"/>
  <c r="AP151" i="53"/>
  <c r="AR171" i="53"/>
  <c r="AR166" i="53"/>
  <c r="AN161" i="53"/>
  <c r="BD176" i="53"/>
  <c r="BF166" i="53"/>
  <c r="BF176" i="53"/>
  <c r="T171" i="53"/>
  <c r="AR146" i="53"/>
  <c r="BF181" i="53"/>
  <c r="BF146" i="53"/>
  <c r="BD151" i="53"/>
  <c r="BF171" i="53"/>
  <c r="AN176" i="53"/>
  <c r="AR176" i="53"/>
  <c r="AR151" i="53"/>
  <c r="BD166" i="53"/>
  <c r="AO200" i="54"/>
  <c r="AP200" i="54" s="1"/>
  <c r="AQ200" i="54" s="1"/>
  <c r="AR200" i="54" s="1"/>
  <c r="AS200" i="54" s="1"/>
  <c r="AT200" i="54" s="1"/>
  <c r="AU200" i="54" s="1"/>
  <c r="AV200" i="54" s="1"/>
  <c r="AW200" i="54" s="1"/>
  <c r="AX200" i="54" s="1"/>
  <c r="AY200" i="54" s="1"/>
  <c r="AZ200" i="54" s="1"/>
  <c r="BQ209" i="54"/>
  <c r="BJ220" i="56"/>
  <c r="BB220" i="56"/>
  <c r="BI220" i="56"/>
  <c r="BG220" i="56"/>
  <c r="BH220" i="56"/>
  <c r="AE237" i="56"/>
  <c r="AI220" i="56"/>
  <c r="AH220" i="56"/>
  <c r="Z188" i="58"/>
  <c r="Y188" i="58"/>
  <c r="W188" i="58"/>
  <c r="X188" i="58"/>
  <c r="V188" i="58"/>
  <c r="U188" i="58"/>
  <c r="N188" i="58"/>
  <c r="AU220" i="56"/>
  <c r="AS220" i="56"/>
  <c r="AL220" i="56"/>
  <c r="AX220" i="56"/>
  <c r="AW220" i="56"/>
  <c r="AV220" i="56"/>
  <c r="AT220" i="56"/>
  <c r="AU188" i="58"/>
  <c r="AS188" i="58"/>
  <c r="AT188" i="58"/>
  <c r="AL188" i="58"/>
  <c r="AV188" i="58"/>
  <c r="BJ188" i="58"/>
  <c r="BB188" i="58"/>
  <c r="BH188" i="58"/>
  <c r="BI188" i="58"/>
  <c r="BG188" i="58"/>
  <c r="AG220" i="56"/>
  <c r="AF220" i="56"/>
  <c r="AD237" i="56"/>
  <c r="Z220" i="56"/>
  <c r="Y220" i="56"/>
  <c r="X220" i="56"/>
  <c r="U220" i="56"/>
  <c r="N220" i="56"/>
  <c r="V220" i="56"/>
  <c r="W220" i="56"/>
  <c r="AQ188" i="58"/>
  <c r="AR188" i="58" s="1"/>
  <c r="Z209" i="54"/>
  <c r="AB14" i="59"/>
  <c r="AB1" i="59"/>
  <c r="AQ4" i="59"/>
  <c r="AQ15" i="59" s="1"/>
  <c r="AD4" i="59"/>
  <c r="AC5" i="59"/>
  <c r="AC15" i="59"/>
  <c r="BE4" i="59"/>
  <c r="BE15" i="59" s="1"/>
  <c r="O4" i="59"/>
  <c r="O15" i="59" s="1"/>
  <c r="M205" i="58"/>
  <c r="AK205" i="58"/>
  <c r="Q4" i="57"/>
  <c r="Q15" i="57" s="1"/>
  <c r="AE15" i="57"/>
  <c r="BG4" i="57"/>
  <c r="BG15" i="57" s="1"/>
  <c r="AS4" i="57"/>
  <c r="AS15" i="57" s="1"/>
  <c r="AF4" i="57"/>
  <c r="AE5" i="57"/>
  <c r="AD14" i="57"/>
  <c r="AD1" i="57"/>
  <c r="M237" i="56"/>
  <c r="AK237" i="56"/>
  <c r="S241" i="56"/>
  <c r="S237" i="56"/>
  <c r="S20" i="53"/>
  <c r="AQ20" i="53"/>
  <c r="Q20" i="53"/>
  <c r="AO20" i="53"/>
  <c r="AK20" i="53"/>
  <c r="M20" i="53"/>
  <c r="AK19" i="53"/>
  <c r="M19" i="53"/>
  <c r="O20" i="53"/>
  <c r="AM20" i="53"/>
  <c r="BP209" i="54"/>
  <c r="AP4" i="54"/>
  <c r="AP15" i="54" s="1"/>
  <c r="N4" i="54"/>
  <c r="N15" i="54" s="1"/>
  <c r="AC4" i="54"/>
  <c r="AC5" i="54" s="1"/>
  <c r="BD4" i="54"/>
  <c r="BD15" i="54" s="1"/>
  <c r="AB15" i="54"/>
  <c r="A201" i="54"/>
  <c r="A200" i="54"/>
  <c r="BF134" i="53"/>
  <c r="AN61" i="53"/>
  <c r="BF133" i="53"/>
  <c r="BD132" i="53"/>
  <c r="BB130" i="53"/>
  <c r="BD122" i="53"/>
  <c r="BB121" i="53"/>
  <c r="BB105" i="53"/>
  <c r="BF95" i="53"/>
  <c r="BD89" i="53"/>
  <c r="BB88" i="53"/>
  <c r="BD76" i="53"/>
  <c r="BB75" i="53"/>
  <c r="AN130" i="53"/>
  <c r="AR129" i="53"/>
  <c r="AN126" i="53"/>
  <c r="AN121" i="53"/>
  <c r="AR115" i="53"/>
  <c r="AN105" i="53"/>
  <c r="AR104" i="53"/>
  <c r="AR96" i="53"/>
  <c r="AN92" i="53"/>
  <c r="AR91" i="53"/>
  <c r="AN88" i="53"/>
  <c r="AN75" i="53"/>
  <c r="AN68" i="53"/>
  <c r="AR67" i="53"/>
  <c r="BF60" i="53"/>
  <c r="BD59" i="53"/>
  <c r="BB58" i="53"/>
  <c r="BB45" i="53"/>
  <c r="AP60" i="53"/>
  <c r="AL57" i="53"/>
  <c r="AP56" i="53"/>
  <c r="AL54" i="53"/>
  <c r="BD133" i="53"/>
  <c r="BB132" i="53"/>
  <c r="BB122" i="53"/>
  <c r="BF96" i="53"/>
  <c r="BD95" i="53"/>
  <c r="BF91" i="53"/>
  <c r="BB89" i="53"/>
  <c r="BB76" i="53"/>
  <c r="BF67" i="53"/>
  <c r="AL130" i="53"/>
  <c r="AP129" i="53"/>
  <c r="AL126" i="53"/>
  <c r="AL121" i="53"/>
  <c r="AP115" i="53"/>
  <c r="AL105" i="53"/>
  <c r="AP104" i="53"/>
  <c r="AP96" i="53"/>
  <c r="AL92" i="53"/>
  <c r="AP91" i="53"/>
  <c r="AL88" i="53"/>
  <c r="AL75" i="53"/>
  <c r="AL68" i="53"/>
  <c r="AP67" i="53"/>
  <c r="BD60" i="53"/>
  <c r="BB59" i="53"/>
  <c r="BF54" i="53"/>
  <c r="AN60" i="53"/>
  <c r="AR59" i="53"/>
  <c r="AN56" i="53"/>
  <c r="AR55" i="53"/>
  <c r="AP45" i="53"/>
  <c r="BB133" i="53"/>
  <c r="BF126" i="53"/>
  <c r="BD96" i="53"/>
  <c r="BB95" i="53"/>
  <c r="BF92" i="53"/>
  <c r="BD91" i="53"/>
  <c r="BF68" i="53"/>
  <c r="BD67" i="53"/>
  <c r="AR133" i="53"/>
  <c r="AN129" i="53"/>
  <c r="AN115" i="53"/>
  <c r="AR114" i="53"/>
  <c r="AN104" i="53"/>
  <c r="AN96" i="53"/>
  <c r="AR95" i="53"/>
  <c r="AN91" i="53"/>
  <c r="AN67" i="53"/>
  <c r="BB60" i="53"/>
  <c r="BD54" i="53"/>
  <c r="AL60" i="53"/>
  <c r="AP59" i="53"/>
  <c r="AL56" i="53"/>
  <c r="AP55" i="53"/>
  <c r="BF127" i="53"/>
  <c r="BD126" i="53"/>
  <c r="BB96" i="53"/>
  <c r="BD92" i="53"/>
  <c r="BB91" i="53"/>
  <c r="BD68" i="53"/>
  <c r="BB67" i="53"/>
  <c r="AP133" i="53"/>
  <c r="AL129" i="53"/>
  <c r="AL115" i="53"/>
  <c r="AP114" i="53"/>
  <c r="AL104" i="53"/>
  <c r="AL96" i="53"/>
  <c r="AP95" i="53"/>
  <c r="AL91" i="53"/>
  <c r="AL67" i="53"/>
  <c r="BF55" i="53"/>
  <c r="BB54" i="53"/>
  <c r="AN59" i="53"/>
  <c r="AR58" i="53"/>
  <c r="AN55" i="53"/>
  <c r="AR45" i="53"/>
  <c r="BD127" i="53"/>
  <c r="BB126" i="53"/>
  <c r="BF114" i="53"/>
  <c r="BB92" i="53"/>
  <c r="BB68" i="53"/>
  <c r="AN133" i="53"/>
  <c r="AR132" i="53"/>
  <c r="AR127" i="53"/>
  <c r="AR122" i="53"/>
  <c r="AN114" i="53"/>
  <c r="AN95" i="53"/>
  <c r="AR89" i="53"/>
  <c r="AR76" i="53"/>
  <c r="BF56" i="53"/>
  <c r="BD55" i="53"/>
  <c r="AL59" i="53"/>
  <c r="AP58" i="53"/>
  <c r="AL55" i="53"/>
  <c r="BF129" i="53"/>
  <c r="BB127" i="53"/>
  <c r="BF115" i="53"/>
  <c r="BD114" i="53"/>
  <c r="BF104" i="53"/>
  <c r="AL133" i="53"/>
  <c r="AP132" i="53"/>
  <c r="AP127" i="53"/>
  <c r="AP122" i="53"/>
  <c r="AL114" i="53"/>
  <c r="AL95" i="53"/>
  <c r="AP89" i="53"/>
  <c r="AP76" i="53"/>
  <c r="BF57" i="53"/>
  <c r="BD56" i="53"/>
  <c r="BB55" i="53"/>
  <c r="AN58" i="53"/>
  <c r="AR57" i="53"/>
  <c r="AR54" i="53"/>
  <c r="AN45" i="53"/>
  <c r="BF130" i="53"/>
  <c r="BD129" i="53"/>
  <c r="BF121" i="53"/>
  <c r="BD115" i="53"/>
  <c r="BB114" i="53"/>
  <c r="BF105" i="53"/>
  <c r="BD104" i="53"/>
  <c r="BF88" i="53"/>
  <c r="BF75" i="53"/>
  <c r="AN132" i="53"/>
  <c r="AR130" i="53"/>
  <c r="AN127" i="53"/>
  <c r="AR126" i="53"/>
  <c r="AN122" i="53"/>
  <c r="AR121" i="53"/>
  <c r="AR105" i="53"/>
  <c r="AR92" i="53"/>
  <c r="AN89" i="53"/>
  <c r="AR88" i="53"/>
  <c r="AN76" i="53"/>
  <c r="AR75" i="53"/>
  <c r="AR68" i="53"/>
  <c r="BF58" i="53"/>
  <c r="BD57" i="53"/>
  <c r="BB56" i="53"/>
  <c r="BF45" i="53"/>
  <c r="AL58" i="53"/>
  <c r="AP57" i="53"/>
  <c r="AP54" i="53"/>
  <c r="AL45" i="53"/>
  <c r="BF132" i="53"/>
  <c r="BD130" i="53"/>
  <c r="BB129" i="53"/>
  <c r="BF122" i="53"/>
  <c r="BD121" i="53"/>
  <c r="BB115" i="53"/>
  <c r="BD105" i="53"/>
  <c r="BB104" i="53"/>
  <c r="BF89" i="53"/>
  <c r="BD88" i="53"/>
  <c r="BF76" i="53"/>
  <c r="BD75" i="53"/>
  <c r="AL132" i="53"/>
  <c r="AP130" i="53"/>
  <c r="AL127" i="53"/>
  <c r="AP126" i="53"/>
  <c r="AL122" i="53"/>
  <c r="AP121" i="53"/>
  <c r="AR60" i="53"/>
  <c r="AP105" i="53"/>
  <c r="AP75" i="53"/>
  <c r="AL76" i="53"/>
  <c r="BF59" i="53"/>
  <c r="BD45" i="53"/>
  <c r="AP92" i="53"/>
  <c r="AP68" i="53"/>
  <c r="AR56" i="53"/>
  <c r="BB57" i="53"/>
  <c r="AN57" i="53"/>
  <c r="AP88" i="53"/>
  <c r="AL89" i="53"/>
  <c r="AN54" i="53"/>
  <c r="BD58" i="53"/>
  <c r="N61" i="53"/>
  <c r="P133" i="53"/>
  <c r="T132" i="53"/>
  <c r="T127" i="53"/>
  <c r="T122" i="53"/>
  <c r="P114" i="53"/>
  <c r="P95" i="53"/>
  <c r="T89" i="53"/>
  <c r="T76" i="53"/>
  <c r="P60" i="53"/>
  <c r="T59" i="53"/>
  <c r="P56" i="53"/>
  <c r="T55" i="53"/>
  <c r="T60" i="53"/>
  <c r="P54" i="53"/>
  <c r="R114" i="53"/>
  <c r="N104" i="53"/>
  <c r="N96" i="53"/>
  <c r="N91" i="53"/>
  <c r="R60" i="53"/>
  <c r="N54" i="53"/>
  <c r="N133" i="53"/>
  <c r="R132" i="53"/>
  <c r="R127" i="53"/>
  <c r="R122" i="53"/>
  <c r="N114" i="53"/>
  <c r="N95" i="53"/>
  <c r="R89" i="53"/>
  <c r="R76" i="53"/>
  <c r="N60" i="53"/>
  <c r="R59" i="53"/>
  <c r="N56" i="53"/>
  <c r="R55" i="53"/>
  <c r="R75" i="53"/>
  <c r="N59" i="53"/>
  <c r="N55" i="53"/>
  <c r="P45" i="53"/>
  <c r="P91" i="53"/>
  <c r="P67" i="53"/>
  <c r="N115" i="53"/>
  <c r="R56" i="53"/>
  <c r="P132" i="53"/>
  <c r="T130" i="53"/>
  <c r="P127" i="53"/>
  <c r="T126" i="53"/>
  <c r="P122" i="53"/>
  <c r="T121" i="53"/>
  <c r="T105" i="53"/>
  <c r="T92" i="53"/>
  <c r="P89" i="53"/>
  <c r="T88" i="53"/>
  <c r="P76" i="53"/>
  <c r="T75" i="53"/>
  <c r="T68" i="53"/>
  <c r="P59" i="53"/>
  <c r="T58" i="53"/>
  <c r="P55" i="53"/>
  <c r="T45" i="53"/>
  <c r="R68" i="53"/>
  <c r="R58" i="53"/>
  <c r="T56" i="53"/>
  <c r="N57" i="53"/>
  <c r="N132" i="53"/>
  <c r="R130" i="53"/>
  <c r="N127" i="53"/>
  <c r="R126" i="53"/>
  <c r="N122" i="53"/>
  <c r="R121" i="53"/>
  <c r="R105" i="53"/>
  <c r="R92" i="53"/>
  <c r="N89" i="53"/>
  <c r="R88" i="53"/>
  <c r="N76" i="53"/>
  <c r="R45" i="53"/>
  <c r="R133" i="53"/>
  <c r="R95" i="53"/>
  <c r="P130" i="53"/>
  <c r="T129" i="53"/>
  <c r="P126" i="53"/>
  <c r="P121" i="53"/>
  <c r="T115" i="53"/>
  <c r="P105" i="53"/>
  <c r="T104" i="53"/>
  <c r="T96" i="53"/>
  <c r="P92" i="53"/>
  <c r="T91" i="53"/>
  <c r="P88" i="53"/>
  <c r="P75" i="53"/>
  <c r="P68" i="53"/>
  <c r="T67" i="53"/>
  <c r="P58" i="53"/>
  <c r="T57" i="53"/>
  <c r="T54" i="53"/>
  <c r="N129" i="53"/>
  <c r="N130" i="53"/>
  <c r="R129" i="53"/>
  <c r="N126" i="53"/>
  <c r="N121" i="53"/>
  <c r="R115" i="53"/>
  <c r="N105" i="53"/>
  <c r="R104" i="53"/>
  <c r="R96" i="53"/>
  <c r="N92" i="53"/>
  <c r="R91" i="53"/>
  <c r="N88" i="53"/>
  <c r="N75" i="53"/>
  <c r="N68" i="53"/>
  <c r="R67" i="53"/>
  <c r="N58" i="53"/>
  <c r="R57" i="53"/>
  <c r="R54" i="53"/>
  <c r="N45" i="53"/>
  <c r="T133" i="53"/>
  <c r="P129" i="53"/>
  <c r="P115" i="53"/>
  <c r="T114" i="53"/>
  <c r="P104" i="53"/>
  <c r="P96" i="53"/>
  <c r="T95" i="53"/>
  <c r="P57" i="53"/>
  <c r="N67" i="53"/>
  <c r="BD37" i="53"/>
  <c r="BB39" i="53"/>
  <c r="AR37" i="53"/>
  <c r="AP39" i="53"/>
  <c r="T37" i="53"/>
  <c r="R39" i="53"/>
  <c r="BD36" i="53"/>
  <c r="BB38" i="53"/>
  <c r="BB33" i="53"/>
  <c r="AR36" i="53"/>
  <c r="AP38" i="53"/>
  <c r="AP33" i="53"/>
  <c r="T36" i="53"/>
  <c r="R38" i="53"/>
  <c r="R33" i="53"/>
  <c r="T38" i="53"/>
  <c r="BB37" i="53"/>
  <c r="AP37" i="53"/>
  <c r="AN39" i="53"/>
  <c r="R37" i="53"/>
  <c r="P39" i="53"/>
  <c r="BD38" i="53"/>
  <c r="AL36" i="53"/>
  <c r="N36" i="53"/>
  <c r="BB36" i="53"/>
  <c r="AP36" i="53"/>
  <c r="AN38" i="53"/>
  <c r="AN33" i="53"/>
  <c r="R36" i="53"/>
  <c r="P38" i="53"/>
  <c r="P33" i="53"/>
  <c r="BF39" i="53"/>
  <c r="AN37" i="53"/>
  <c r="AL39" i="53"/>
  <c r="P37" i="53"/>
  <c r="N39" i="53"/>
  <c r="AR38" i="53"/>
  <c r="BF38" i="53"/>
  <c r="BF33" i="53"/>
  <c r="AN36" i="53"/>
  <c r="AL38" i="53"/>
  <c r="AL33" i="53"/>
  <c r="P36" i="53"/>
  <c r="N38" i="53"/>
  <c r="N33" i="53"/>
  <c r="BD33" i="53"/>
  <c r="AR33" i="53"/>
  <c r="BF37" i="53"/>
  <c r="BD39" i="53"/>
  <c r="AR39" i="53"/>
  <c r="AL37" i="53"/>
  <c r="T39" i="53"/>
  <c r="N37" i="53"/>
  <c r="BF36" i="53"/>
  <c r="T33" i="53"/>
  <c r="P61" i="53"/>
  <c r="AP61" i="53"/>
  <c r="R61" i="53"/>
  <c r="AR61" i="53"/>
  <c r="AL134" i="53"/>
  <c r="T61" i="53"/>
  <c r="BB61" i="53"/>
  <c r="N134" i="53"/>
  <c r="AN134" i="53"/>
  <c r="BD61" i="53"/>
  <c r="P134" i="53"/>
  <c r="AP134" i="53"/>
  <c r="BF61" i="53"/>
  <c r="R134" i="53"/>
  <c r="AR134" i="53"/>
  <c r="BB44" i="53"/>
  <c r="AL44" i="53"/>
  <c r="N44" i="53"/>
  <c r="BF66" i="53"/>
  <c r="BB32" i="53"/>
  <c r="AP66" i="53"/>
  <c r="AL32" i="53"/>
  <c r="R66" i="53"/>
  <c r="N32" i="53"/>
  <c r="BD44" i="53"/>
  <c r="AN44" i="53"/>
  <c r="P44" i="53"/>
  <c r="T40" i="53"/>
  <c r="BD32" i="53"/>
  <c r="AR66" i="53"/>
  <c r="AN32" i="53"/>
  <c r="T66" i="53"/>
  <c r="P32" i="53"/>
  <c r="BB66" i="53"/>
  <c r="AP32" i="53"/>
  <c r="R32" i="53"/>
  <c r="BB40" i="53"/>
  <c r="BF44" i="53"/>
  <c r="AP44" i="53"/>
  <c r="R44" i="53"/>
  <c r="BF32" i="53"/>
  <c r="AL66" i="53"/>
  <c r="N66" i="53"/>
  <c r="N40" i="53"/>
  <c r="AR44" i="53"/>
  <c r="T44" i="53"/>
  <c r="AR40" i="53"/>
  <c r="BD66" i="53"/>
  <c r="AR32" i="53"/>
  <c r="AN66" i="53"/>
  <c r="T32" i="53"/>
  <c r="P66" i="53"/>
  <c r="AL40" i="53"/>
  <c r="AN40" i="53"/>
  <c r="R40" i="53"/>
  <c r="P40" i="53"/>
  <c r="BD40" i="53"/>
  <c r="BF40" i="53"/>
  <c r="AP40" i="53"/>
  <c r="T134" i="53"/>
  <c r="BB134" i="53"/>
  <c r="AL61" i="53"/>
  <c r="BD134" i="53"/>
  <c r="AQ20" i="52"/>
  <c r="Z322" i="52"/>
  <c r="AW335" i="52"/>
  <c r="BG140" i="52"/>
  <c r="BH362" i="52"/>
  <c r="BI362" i="52"/>
  <c r="AT140" i="52"/>
  <c r="BH40" i="53"/>
  <c r="AU134" i="53"/>
  <c r="AI40" i="53"/>
  <c r="AH134" i="53"/>
  <c r="BJ134" i="53"/>
  <c r="BH134" i="53"/>
  <c r="AI61" i="53"/>
  <c r="AU61" i="53"/>
  <c r="AX40" i="53"/>
  <c r="AG61" i="53"/>
  <c r="AH61" i="53"/>
  <c r="U61" i="53"/>
  <c r="W21" i="53"/>
  <c r="W61" i="53"/>
  <c r="AV61" i="53"/>
  <c r="Z40" i="53"/>
  <c r="Y61" i="53"/>
  <c r="AH40" i="53"/>
  <c r="V40" i="53"/>
  <c r="BG40" i="53"/>
  <c r="I26" i="53"/>
  <c r="V21" i="53"/>
  <c r="U21" i="53"/>
  <c r="AU21" i="53"/>
  <c r="AF19" i="53"/>
  <c r="AC20" i="53" s="1"/>
  <c r="AE20" i="53" s="1"/>
  <c r="BG21" i="53"/>
  <c r="AD20" i="53"/>
  <c r="AS21" i="53"/>
  <c r="AD234" i="53"/>
  <c r="AD63" i="53"/>
  <c r="AD62" i="53"/>
  <c r="AD136" i="53" s="1"/>
  <c r="AM234" i="53"/>
  <c r="AM62" i="53"/>
  <c r="AN62" i="53" s="1"/>
  <c r="AM63" i="53"/>
  <c r="AU40" i="53"/>
  <c r="BE234" i="53"/>
  <c r="BE63" i="53"/>
  <c r="BE62" i="53"/>
  <c r="BF62" i="53" s="1"/>
  <c r="M234" i="53"/>
  <c r="M62" i="53"/>
  <c r="N62" i="53" s="1"/>
  <c r="M63" i="53"/>
  <c r="U40" i="53"/>
  <c r="AE234" i="53"/>
  <c r="AE63" i="53"/>
  <c r="AE62" i="53"/>
  <c r="AE136" i="53" s="1"/>
  <c r="AV40" i="53"/>
  <c r="AF40" i="53"/>
  <c r="AO234" i="53"/>
  <c r="AO63" i="53"/>
  <c r="AO62" i="53"/>
  <c r="AP62" i="53" s="1"/>
  <c r="AW40" i="53"/>
  <c r="O234" i="53"/>
  <c r="O62" i="53"/>
  <c r="P62" i="53" s="1"/>
  <c r="O63" i="53"/>
  <c r="W40" i="53"/>
  <c r="AG40" i="53"/>
  <c r="X40" i="53"/>
  <c r="AQ234" i="53"/>
  <c r="AQ63" i="53"/>
  <c r="AQ62" i="53"/>
  <c r="AR62" i="53" s="1"/>
  <c r="BA234" i="53"/>
  <c r="BA62" i="53"/>
  <c r="BB62" i="53" s="1"/>
  <c r="BA63" i="53"/>
  <c r="BI40" i="53"/>
  <c r="Q234" i="53"/>
  <c r="Q63" i="53"/>
  <c r="Q62" i="53"/>
  <c r="R62" i="53" s="1"/>
  <c r="Y40" i="53"/>
  <c r="BJ40" i="53"/>
  <c r="AK234" i="53"/>
  <c r="AK62" i="53"/>
  <c r="AL62" i="53" s="1"/>
  <c r="AK63" i="53"/>
  <c r="AS40" i="53"/>
  <c r="BC234" i="53"/>
  <c r="BC63" i="53"/>
  <c r="BC62" i="53"/>
  <c r="BD62" i="53" s="1"/>
  <c r="S234" i="53"/>
  <c r="S63" i="53"/>
  <c r="S62" i="53"/>
  <c r="T62" i="53" s="1"/>
  <c r="AC234" i="53"/>
  <c r="AC63" i="53"/>
  <c r="AC62" i="53"/>
  <c r="AC136" i="53" s="1"/>
  <c r="AT40" i="53"/>
  <c r="B63" i="53"/>
  <c r="B61" i="53"/>
  <c r="B62" i="53"/>
  <c r="V61" i="53"/>
  <c r="AF61" i="53"/>
  <c r="AW61" i="53"/>
  <c r="BG61" i="53"/>
  <c r="AX61" i="53"/>
  <c r="BH61" i="53"/>
  <c r="X61" i="53"/>
  <c r="BI61" i="53"/>
  <c r="BJ61" i="53"/>
  <c r="Z61" i="53"/>
  <c r="AS61" i="53"/>
  <c r="AT61" i="53"/>
  <c r="AG134" i="53"/>
  <c r="AF134" i="53"/>
  <c r="U134" i="53"/>
  <c r="V134" i="53"/>
  <c r="X134" i="53"/>
  <c r="AS134" i="53"/>
  <c r="AT134" i="53"/>
  <c r="Z134" i="53"/>
  <c r="W134" i="53"/>
  <c r="AV134" i="53"/>
  <c r="AW134" i="53"/>
  <c r="BG134" i="53"/>
  <c r="AX134" i="53"/>
  <c r="BI134" i="53"/>
  <c r="Y134" i="53"/>
  <c r="AI134" i="53"/>
  <c r="Y330" i="52"/>
  <c r="AW352" i="52"/>
  <c r="Q141" i="52"/>
  <c r="Q324" i="52" s="1"/>
  <c r="Q325" i="52" s="1"/>
  <c r="AF63" i="52"/>
  <c r="V330" i="52"/>
  <c r="AI347" i="52"/>
  <c r="BJ322" i="52"/>
  <c r="BH330" i="52"/>
  <c r="U335" i="52"/>
  <c r="V357" i="52"/>
  <c r="AX362" i="52"/>
  <c r="X357" i="52"/>
  <c r="AV352" i="52"/>
  <c r="BE142" i="52"/>
  <c r="Z342" i="52"/>
  <c r="S20" i="52"/>
  <c r="AH140" i="52"/>
  <c r="AI352" i="52"/>
  <c r="AM141" i="52"/>
  <c r="AN141" i="52" s="1"/>
  <c r="BJ342" i="52"/>
  <c r="Y347" i="52"/>
  <c r="AH335" i="52"/>
  <c r="AI342" i="52"/>
  <c r="AX330" i="52"/>
  <c r="W352" i="52"/>
  <c r="BH140" i="52"/>
  <c r="BJ335" i="52"/>
  <c r="AF347" i="52"/>
  <c r="AS347" i="52"/>
  <c r="V362" i="52"/>
  <c r="AT362" i="52"/>
  <c r="AM142" i="52"/>
  <c r="AO20" i="52"/>
  <c r="AX140" i="52"/>
  <c r="BJ330" i="52"/>
  <c r="BG335" i="52"/>
  <c r="AU347" i="52"/>
  <c r="Z357" i="52"/>
  <c r="AM20" i="52"/>
  <c r="AD142" i="52"/>
  <c r="X140" i="52"/>
  <c r="X21" i="52"/>
  <c r="W140" i="52"/>
  <c r="AW140" i="52"/>
  <c r="V322" i="52"/>
  <c r="AH330" i="52"/>
  <c r="AX335" i="52"/>
  <c r="BI322" i="52"/>
  <c r="W330" i="52"/>
  <c r="W335" i="52"/>
  <c r="AI357" i="52"/>
  <c r="BH322" i="52"/>
  <c r="X330" i="52"/>
  <c r="X335" i="52"/>
  <c r="AS352" i="52"/>
  <c r="AT352" i="52"/>
  <c r="W362" i="52"/>
  <c r="AS362" i="52"/>
  <c r="AV21" i="52"/>
  <c r="V63" i="52"/>
  <c r="AW330" i="52"/>
  <c r="BI330" i="52"/>
  <c r="BH335" i="52"/>
  <c r="X347" i="52"/>
  <c r="AX347" i="52"/>
  <c r="AX352" i="52"/>
  <c r="AX357" i="52"/>
  <c r="U362" i="52"/>
  <c r="O142" i="52"/>
  <c r="BI140" i="52"/>
  <c r="AT322" i="52"/>
  <c r="AI330" i="52"/>
  <c r="AS330" i="52"/>
  <c r="AI335" i="52"/>
  <c r="AS335" i="52"/>
  <c r="Z347" i="52"/>
  <c r="U352" i="52"/>
  <c r="BJ352" i="52"/>
  <c r="Y357" i="52"/>
  <c r="AW357" i="52"/>
  <c r="BJ362" i="52"/>
  <c r="Z330" i="52"/>
  <c r="AF330" i="52"/>
  <c r="AT330" i="52"/>
  <c r="Z335" i="52"/>
  <c r="AF335" i="52"/>
  <c r="AT335" i="52"/>
  <c r="U347" i="52"/>
  <c r="AS357" i="52"/>
  <c r="M20" i="52"/>
  <c r="BG21" i="52"/>
  <c r="X322" i="52"/>
  <c r="U330" i="52"/>
  <c r="AG330" i="52"/>
  <c r="AU330" i="52"/>
  <c r="AG335" i="52"/>
  <c r="AU335" i="52"/>
  <c r="V347" i="52"/>
  <c r="AW347" i="52"/>
  <c r="AU357" i="52"/>
  <c r="AC142" i="52"/>
  <c r="AS63" i="52"/>
  <c r="AV140" i="52"/>
  <c r="V335" i="52"/>
  <c r="Z362" i="52"/>
  <c r="BG362" i="52"/>
  <c r="I25" i="52"/>
  <c r="V21" i="52"/>
  <c r="U21" i="52"/>
  <c r="AT21" i="52"/>
  <c r="AS21" i="52"/>
  <c r="O20" i="52"/>
  <c r="N31" i="52"/>
  <c r="AP31" i="52"/>
  <c r="BF31" i="52"/>
  <c r="R62" i="52"/>
  <c r="AE371" i="52"/>
  <c r="AE384" i="52"/>
  <c r="AE141" i="52"/>
  <c r="AE324" i="52" s="1"/>
  <c r="AE325" i="52" s="1"/>
  <c r="AE142" i="52"/>
  <c r="AR140" i="52"/>
  <c r="Q20" i="52"/>
  <c r="P31" i="52"/>
  <c r="AL62" i="52"/>
  <c r="R63" i="52"/>
  <c r="BC384" i="52"/>
  <c r="BH63" i="52"/>
  <c r="BC141" i="52"/>
  <c r="BD63" i="52"/>
  <c r="BC142" i="52"/>
  <c r="AL66" i="52"/>
  <c r="BB322" i="52"/>
  <c r="AR322" i="52"/>
  <c r="P322" i="52"/>
  <c r="AR321" i="52"/>
  <c r="AP322" i="52"/>
  <c r="AP321" i="52"/>
  <c r="AN321" i="52"/>
  <c r="AL321" i="52"/>
  <c r="T321" i="52"/>
  <c r="R322" i="52"/>
  <c r="P321" i="52"/>
  <c r="BF145" i="52"/>
  <c r="R145" i="52"/>
  <c r="AR139" i="52"/>
  <c r="T66" i="52"/>
  <c r="AP62" i="52"/>
  <c r="BD322" i="52"/>
  <c r="N321" i="52"/>
  <c r="BD145" i="52"/>
  <c r="AR145" i="52"/>
  <c r="P145" i="52"/>
  <c r="AP140" i="52"/>
  <c r="AP139" i="52"/>
  <c r="BF66" i="52"/>
  <c r="BB145" i="52"/>
  <c r="AP145" i="52"/>
  <c r="N145" i="52"/>
  <c r="N140" i="52"/>
  <c r="AN139" i="52"/>
  <c r="BD66" i="52"/>
  <c r="AR66" i="52"/>
  <c r="P66" i="52"/>
  <c r="BF63" i="52"/>
  <c r="AN63" i="52"/>
  <c r="AN145" i="52"/>
  <c r="AL139" i="52"/>
  <c r="BB66" i="52"/>
  <c r="AP66" i="52"/>
  <c r="N66" i="52"/>
  <c r="T62" i="52"/>
  <c r="BF321" i="52"/>
  <c r="AL145" i="52"/>
  <c r="T139" i="52"/>
  <c r="AN66" i="52"/>
  <c r="BD321" i="52"/>
  <c r="BD140" i="52"/>
  <c r="AL140" i="52"/>
  <c r="BF139" i="52"/>
  <c r="R139" i="52"/>
  <c r="BB321" i="52"/>
  <c r="BD139" i="52"/>
  <c r="P139" i="52"/>
  <c r="BB62" i="52"/>
  <c r="N62" i="52"/>
  <c r="BD31" i="52"/>
  <c r="AR31" i="52"/>
  <c r="R321" i="52"/>
  <c r="T145" i="52"/>
  <c r="BB139" i="52"/>
  <c r="N139" i="52"/>
  <c r="AR62" i="52"/>
  <c r="AK20" i="52"/>
  <c r="R31" i="52"/>
  <c r="AN62" i="52"/>
  <c r="S384" i="52"/>
  <c r="S371" i="52"/>
  <c r="T63" i="52"/>
  <c r="S142" i="52"/>
  <c r="S141" i="52"/>
  <c r="AK384" i="52"/>
  <c r="AK371" i="52"/>
  <c r="AX63" i="52"/>
  <c r="AK142" i="52"/>
  <c r="AV63" i="52"/>
  <c r="AU63" i="52"/>
  <c r="AT63" i="52"/>
  <c r="AL63" i="52"/>
  <c r="AK141" i="52"/>
  <c r="M19" i="52"/>
  <c r="T31" i="52"/>
  <c r="BD62" i="52"/>
  <c r="U63" i="52"/>
  <c r="BG63" i="52"/>
  <c r="AF19" i="52"/>
  <c r="AC20" i="52" s="1"/>
  <c r="AE20" i="52" s="1"/>
  <c r="BF62" i="52"/>
  <c r="AO384" i="52"/>
  <c r="AO142" i="52"/>
  <c r="AP63" i="52"/>
  <c r="AO141" i="52"/>
  <c r="AK19" i="52"/>
  <c r="M371" i="52"/>
  <c r="M384" i="52"/>
  <c r="W63" i="52"/>
  <c r="M142" i="52"/>
  <c r="M141" i="52"/>
  <c r="Y63" i="52"/>
  <c r="X63" i="52"/>
  <c r="Z63" i="52"/>
  <c r="P140" i="52"/>
  <c r="AD20" i="52"/>
  <c r="AL31" i="52"/>
  <c r="N63" i="52"/>
  <c r="R66" i="52"/>
  <c r="R140" i="52"/>
  <c r="AN140" i="52"/>
  <c r="BF140" i="52"/>
  <c r="AN31" i="52"/>
  <c r="BB31" i="52"/>
  <c r="P62" i="52"/>
  <c r="AW63" i="52"/>
  <c r="T140" i="52"/>
  <c r="P63" i="52"/>
  <c r="AH63" i="52"/>
  <c r="AQ371" i="52"/>
  <c r="AQ384" i="52"/>
  <c r="BA384" i="52"/>
  <c r="BI63" i="52"/>
  <c r="Y140" i="52"/>
  <c r="AI140" i="52"/>
  <c r="BB140" i="52"/>
  <c r="BJ140" i="52"/>
  <c r="BE141" i="52"/>
  <c r="AQ142" i="52"/>
  <c r="S372" i="52"/>
  <c r="Y322" i="52"/>
  <c r="T322" i="52"/>
  <c r="AV322" i="52"/>
  <c r="Q384" i="52"/>
  <c r="AI63" i="52"/>
  <c r="AR63" i="52"/>
  <c r="BB63" i="52"/>
  <c r="BJ63" i="52"/>
  <c r="Z140" i="52"/>
  <c r="AS140" i="52"/>
  <c r="B141" i="52"/>
  <c r="BA142" i="52"/>
  <c r="AQ372" i="52"/>
  <c r="AI362" i="52"/>
  <c r="AI322" i="52"/>
  <c r="AH322" i="52"/>
  <c r="AC372" i="52"/>
  <c r="AS322" i="52"/>
  <c r="AX342" i="52"/>
  <c r="AC384" i="52"/>
  <c r="AC371" i="52"/>
  <c r="B140" i="52"/>
  <c r="AU140" i="52"/>
  <c r="AD372" i="52"/>
  <c r="AD384" i="52"/>
  <c r="AD371" i="52"/>
  <c r="AM384" i="52"/>
  <c r="BE384" i="52"/>
  <c r="U140" i="52"/>
  <c r="O141" i="52"/>
  <c r="BA141" i="52"/>
  <c r="M372" i="52"/>
  <c r="AE372" i="52"/>
  <c r="BJ357" i="52"/>
  <c r="V140" i="52"/>
  <c r="AF140" i="52"/>
  <c r="AC141" i="52"/>
  <c r="AC324" i="52" s="1"/>
  <c r="AK372" i="52"/>
  <c r="AU322" i="52"/>
  <c r="BJ347" i="52"/>
  <c r="AG140" i="52"/>
  <c r="AD141" i="52"/>
  <c r="AD324" i="52" s="1"/>
  <c r="AD325" i="52" s="1"/>
  <c r="AL322" i="52"/>
  <c r="O384" i="52"/>
  <c r="AG63" i="52"/>
  <c r="AQ141" i="52"/>
  <c r="Q142" i="52"/>
  <c r="AN322" i="52"/>
  <c r="BF322" i="52"/>
  <c r="AV330" i="52"/>
  <c r="Y335" i="52"/>
  <c r="AV335" i="52"/>
  <c r="BI335" i="52"/>
  <c r="AF342" i="52"/>
  <c r="AT342" i="52"/>
  <c r="BH342" i="52"/>
  <c r="W347" i="52"/>
  <c r="AG347" i="52"/>
  <c r="AT347" i="52"/>
  <c r="BG347" i="52"/>
  <c r="V352" i="52"/>
  <c r="AF352" i="52"/>
  <c r="U357" i="52"/>
  <c r="AT357" i="52"/>
  <c r="BG357" i="52"/>
  <c r="AF362" i="52"/>
  <c r="AU362" i="52"/>
  <c r="U322" i="52"/>
  <c r="W342" i="52"/>
  <c r="AG342" i="52"/>
  <c r="AU342" i="52"/>
  <c r="BI342" i="52"/>
  <c r="AH347" i="52"/>
  <c r="BH347" i="52"/>
  <c r="AG352" i="52"/>
  <c r="BG352" i="52"/>
  <c r="AF357" i="52"/>
  <c r="BH357" i="52"/>
  <c r="AG362" i="52"/>
  <c r="N322" i="52"/>
  <c r="AF322" i="52"/>
  <c r="AW322" i="52"/>
  <c r="BG322" i="52"/>
  <c r="X342" i="52"/>
  <c r="AH342" i="52"/>
  <c r="AV342" i="52"/>
  <c r="AV347" i="52"/>
  <c r="BI347" i="52"/>
  <c r="X352" i="52"/>
  <c r="AH352" i="52"/>
  <c r="AU352" i="52"/>
  <c r="BH352" i="52"/>
  <c r="W357" i="52"/>
  <c r="AG357" i="52"/>
  <c r="AV357" i="52"/>
  <c r="BI357" i="52"/>
  <c r="X362" i="52"/>
  <c r="AH362" i="52"/>
  <c r="AW362" i="52"/>
  <c r="W322" i="52"/>
  <c r="AG322" i="52"/>
  <c r="AX322" i="52"/>
  <c r="Y342" i="52"/>
  <c r="AW342" i="52"/>
  <c r="Y352" i="52"/>
  <c r="BI352" i="52"/>
  <c r="AH357" i="52"/>
  <c r="Y362" i="52"/>
  <c r="Z352" i="52"/>
  <c r="AX188" i="58" l="1"/>
  <c r="AD137" i="53"/>
  <c r="AD215" i="53" s="1"/>
  <c r="AD232" i="53" s="1"/>
  <c r="AQ205" i="58"/>
  <c r="AW188" i="58"/>
  <c r="AE137" i="53"/>
  <c r="AE215" i="53" s="1"/>
  <c r="AE232" i="53" s="1"/>
  <c r="AC14" i="59"/>
  <c r="AC1" i="59"/>
  <c r="AE4" i="59"/>
  <c r="AR4" i="59"/>
  <c r="AR15" i="59" s="1"/>
  <c r="AD5" i="59"/>
  <c r="AD15" i="59"/>
  <c r="BF4" i="59"/>
  <c r="BF15" i="59" s="1"/>
  <c r="P4" i="59"/>
  <c r="P15" i="59" s="1"/>
  <c r="AE14" i="57"/>
  <c r="AE1" i="57"/>
  <c r="AF15" i="57"/>
  <c r="BH4" i="57"/>
  <c r="BH15" i="57" s="1"/>
  <c r="AT4" i="57"/>
  <c r="AT15" i="57" s="1"/>
  <c r="AG4" i="57"/>
  <c r="R4" i="57"/>
  <c r="R15" i="57" s="1"/>
  <c r="AF5" i="57"/>
  <c r="AQ4" i="54"/>
  <c r="AQ15" i="54" s="1"/>
  <c r="O4" i="54"/>
  <c r="O15" i="54" s="1"/>
  <c r="AD4" i="54"/>
  <c r="AD5" i="54" s="1"/>
  <c r="BE4" i="54"/>
  <c r="BE15" i="54" s="1"/>
  <c r="AC15" i="54"/>
  <c r="AB1" i="54"/>
  <c r="AB14" i="54"/>
  <c r="R141" i="52"/>
  <c r="AF141" i="52"/>
  <c r="AM324" i="52"/>
  <c r="AM325" i="52" s="1"/>
  <c r="AM365" i="52" s="1"/>
  <c r="R324" i="52"/>
  <c r="AI234" i="53"/>
  <c r="AX234" i="53"/>
  <c r="BH234" i="53"/>
  <c r="BG234" i="53"/>
  <c r="Z234" i="53"/>
  <c r="AU234" i="53"/>
  <c r="AH234" i="53"/>
  <c r="V234" i="53"/>
  <c r="W234" i="53"/>
  <c r="M136" i="53"/>
  <c r="Z62" i="53"/>
  <c r="X62" i="53"/>
  <c r="V62" i="53"/>
  <c r="S136" i="53"/>
  <c r="AT234" i="53"/>
  <c r="AS234" i="53"/>
  <c r="BJ234" i="53"/>
  <c r="BI234" i="53"/>
  <c r="O136" i="53"/>
  <c r="AF234" i="53"/>
  <c r="AF63" i="53"/>
  <c r="AF62" i="53"/>
  <c r="AM136" i="53"/>
  <c r="AI136" i="53"/>
  <c r="AH136" i="53"/>
  <c r="AG136" i="53"/>
  <c r="AC137" i="53"/>
  <c r="AC215" i="53" s="1"/>
  <c r="AF136" i="53"/>
  <c r="AK136" i="53"/>
  <c r="AX62" i="53"/>
  <c r="AV62" i="53"/>
  <c r="AT62" i="53"/>
  <c r="BA136" i="53"/>
  <c r="BJ62" i="53"/>
  <c r="BH62" i="53"/>
  <c r="Y234" i="53"/>
  <c r="X234" i="53"/>
  <c r="BE136" i="53"/>
  <c r="BC136" i="53"/>
  <c r="Q136" i="53"/>
  <c r="AW234" i="53"/>
  <c r="U234" i="53"/>
  <c r="AQ136" i="53"/>
  <c r="AG234" i="53"/>
  <c r="AO136" i="53"/>
  <c r="AV234" i="53"/>
  <c r="AD365" i="52"/>
  <c r="AD382" i="52" s="1"/>
  <c r="Q365" i="52"/>
  <c r="V384" i="52"/>
  <c r="AS384" i="52"/>
  <c r="AI384" i="52"/>
  <c r="AF384" i="52"/>
  <c r="X384" i="52"/>
  <c r="AO324" i="52"/>
  <c r="AP141" i="52"/>
  <c r="AI324" i="52"/>
  <c r="AH324" i="52"/>
  <c r="AG324" i="52"/>
  <c r="AC325" i="52"/>
  <c r="AC365" i="52" s="1"/>
  <c r="AF324" i="52"/>
  <c r="BJ384" i="52"/>
  <c r="BI384" i="52"/>
  <c r="Y384" i="52"/>
  <c r="AX384" i="52"/>
  <c r="AF142" i="52"/>
  <c r="AE365" i="52"/>
  <c r="AE382" i="52" s="1"/>
  <c r="AF372" i="52"/>
  <c r="AH372" i="52"/>
  <c r="AW384" i="52"/>
  <c r="Z141" i="52"/>
  <c r="X141" i="52"/>
  <c r="N141" i="52"/>
  <c r="V141" i="52"/>
  <c r="M324" i="52"/>
  <c r="U384" i="52"/>
  <c r="AQ324" i="52"/>
  <c r="AR141" i="52"/>
  <c r="AH371" i="52"/>
  <c r="AF371" i="52"/>
  <c r="AK324" i="52"/>
  <c r="AX141" i="52"/>
  <c r="AV141" i="52"/>
  <c r="AL141" i="52"/>
  <c r="AT141" i="52"/>
  <c r="BE324" i="52"/>
  <c r="BF141" i="52"/>
  <c r="W384" i="52"/>
  <c r="BC324" i="52"/>
  <c r="BD141" i="52"/>
  <c r="O324" i="52"/>
  <c r="P141" i="52"/>
  <c r="AG384" i="52"/>
  <c r="AT384" i="52"/>
  <c r="S324" i="52"/>
  <c r="T141" i="52"/>
  <c r="BH384" i="52"/>
  <c r="AW372" i="52"/>
  <c r="AV372" i="52"/>
  <c r="AU372" i="52"/>
  <c r="Z372" i="52"/>
  <c r="AI372" i="52"/>
  <c r="Y372" i="52"/>
  <c r="X372" i="52"/>
  <c r="AX372" i="52"/>
  <c r="AG372" i="52"/>
  <c r="W372" i="52"/>
  <c r="AU384" i="52"/>
  <c r="BA324" i="52"/>
  <c r="BB141" i="52"/>
  <c r="BJ141" i="52"/>
  <c r="BH141" i="52"/>
  <c r="AH384" i="52"/>
  <c r="Z384" i="52"/>
  <c r="AV371" i="52"/>
  <c r="AU371" i="52"/>
  <c r="Z371" i="52"/>
  <c r="AI371" i="52"/>
  <c r="Y371" i="52"/>
  <c r="X371" i="52"/>
  <c r="AX371" i="52"/>
  <c r="AG371" i="52"/>
  <c r="W371" i="52"/>
  <c r="AW371" i="52"/>
  <c r="BG384" i="52"/>
  <c r="AV384" i="52"/>
  <c r="AH215" i="53" l="1"/>
  <c r="AG215" i="53"/>
  <c r="AF215" i="53"/>
  <c r="AI215" i="53"/>
  <c r="BB136" i="53"/>
  <c r="BD136" i="53"/>
  <c r="AR136" i="53"/>
  <c r="P136" i="53"/>
  <c r="R136" i="53"/>
  <c r="BF136" i="53"/>
  <c r="AN136" i="53"/>
  <c r="AP136" i="53"/>
  <c r="T136" i="53"/>
  <c r="N136" i="53"/>
  <c r="AL136" i="53"/>
  <c r="AD14" i="59"/>
  <c r="AD1" i="59"/>
  <c r="AE5" i="59"/>
  <c r="AS4" i="59"/>
  <c r="AS15" i="59" s="1"/>
  <c r="AF4" i="59"/>
  <c r="AE15" i="59"/>
  <c r="BG4" i="59"/>
  <c r="BG15" i="59" s="1"/>
  <c r="Q4" i="59"/>
  <c r="Q15" i="59" s="1"/>
  <c r="AG5" i="57"/>
  <c r="AU4" i="57"/>
  <c r="AU15" i="57" s="1"/>
  <c r="S4" i="57"/>
  <c r="S15" i="57" s="1"/>
  <c r="AG15" i="57"/>
  <c r="AH4" i="57"/>
  <c r="BI4" i="57"/>
  <c r="BI15" i="57" s="1"/>
  <c r="AF14" i="57"/>
  <c r="AF1" i="57"/>
  <c r="AE4" i="54"/>
  <c r="AE5" i="54" s="1"/>
  <c r="BF4" i="54"/>
  <c r="BF15" i="54" s="1"/>
  <c r="AR4" i="54"/>
  <c r="AR15" i="54" s="1"/>
  <c r="P4" i="54"/>
  <c r="P15" i="54" s="1"/>
  <c r="AD15" i="54"/>
  <c r="AC14" i="54"/>
  <c r="AC1" i="54"/>
  <c r="AN324" i="52"/>
  <c r="AC232" i="53"/>
  <c r="AO137" i="53"/>
  <c r="AO215" i="53" s="1"/>
  <c r="AP215" i="53" s="1"/>
  <c r="BE137" i="53"/>
  <c r="BE215" i="53" s="1"/>
  <c r="BF215" i="53" s="1"/>
  <c r="Q137" i="53"/>
  <c r="Q215" i="53" s="1"/>
  <c r="R215" i="53" s="1"/>
  <c r="BJ136" i="53"/>
  <c r="BI136" i="53"/>
  <c r="BH136" i="53"/>
  <c r="BG136" i="53"/>
  <c r="BA137" i="53"/>
  <c r="BA215" i="53" s="1"/>
  <c r="M137" i="53"/>
  <c r="M215" i="53" s="1"/>
  <c r="Z136" i="53"/>
  <c r="Y136" i="53"/>
  <c r="X136" i="53"/>
  <c r="W136" i="53"/>
  <c r="V136" i="53"/>
  <c r="U136" i="53"/>
  <c r="AQ137" i="53"/>
  <c r="BC137" i="53"/>
  <c r="BC215" i="53" s="1"/>
  <c r="BD215" i="53" s="1"/>
  <c r="AM137" i="53"/>
  <c r="AM215" i="53" s="1"/>
  <c r="AN215" i="53" s="1"/>
  <c r="S137" i="53"/>
  <c r="S215" i="53" s="1"/>
  <c r="T215" i="53" s="1"/>
  <c r="AU136" i="53"/>
  <c r="AT136" i="53"/>
  <c r="AS136" i="53"/>
  <c r="AK137" i="53"/>
  <c r="AK215" i="53" s="1"/>
  <c r="AX136" i="53"/>
  <c r="AW136" i="53"/>
  <c r="AV136" i="53"/>
  <c r="O137" i="53"/>
  <c r="O215" i="53" s="1"/>
  <c r="P215" i="53" s="1"/>
  <c r="AC382" i="52"/>
  <c r="AI365" i="52"/>
  <c r="AH365" i="52"/>
  <c r="AG365" i="52"/>
  <c r="AF365" i="52"/>
  <c r="BE325" i="52"/>
  <c r="BE365" i="52" s="1"/>
  <c r="BF324" i="52"/>
  <c r="BJ324" i="52"/>
  <c r="BB324" i="52"/>
  <c r="BI324" i="52"/>
  <c r="BH324" i="52"/>
  <c r="BG324" i="52"/>
  <c r="BA325" i="52"/>
  <c r="BA365" i="52" s="1"/>
  <c r="O325" i="52"/>
  <c r="O365" i="52" s="1"/>
  <c r="P324" i="52"/>
  <c r="AQ325" i="52"/>
  <c r="AQ365" i="52" s="1"/>
  <c r="AQ382" i="52" s="1"/>
  <c r="AR324" i="52"/>
  <c r="AO325" i="52"/>
  <c r="AO365" i="52" s="1"/>
  <c r="AP324" i="52"/>
  <c r="BD324" i="52"/>
  <c r="BC325" i="52"/>
  <c r="BC365" i="52" s="1"/>
  <c r="M325" i="52"/>
  <c r="Z324" i="52"/>
  <c r="Y324" i="52"/>
  <c r="X324" i="52"/>
  <c r="W324" i="52"/>
  <c r="V324" i="52"/>
  <c r="N324" i="52"/>
  <c r="U324" i="52"/>
  <c r="M365" i="52"/>
  <c r="T324" i="52"/>
  <c r="S325" i="52"/>
  <c r="S365" i="52" s="1"/>
  <c r="AU324" i="52"/>
  <c r="AT324" i="52"/>
  <c r="AL324" i="52"/>
  <c r="AS324" i="52"/>
  <c r="AK325" i="52"/>
  <c r="AK365" i="52" s="1"/>
  <c r="AX324" i="52"/>
  <c r="AW324" i="52"/>
  <c r="AV324" i="52"/>
  <c r="AV215" i="53" l="1"/>
  <c r="AU215" i="53"/>
  <c r="AT215" i="53"/>
  <c r="AS215" i="53"/>
  <c r="AL215" i="53"/>
  <c r="X215" i="53"/>
  <c r="W215" i="53"/>
  <c r="V215" i="53"/>
  <c r="N215" i="53"/>
  <c r="U215" i="53"/>
  <c r="Z215" i="53"/>
  <c r="Y215" i="53"/>
  <c r="BI215" i="53"/>
  <c r="BH215" i="53"/>
  <c r="BG215" i="53"/>
  <c r="BB215" i="53"/>
  <c r="BJ215" i="53"/>
  <c r="AQ215" i="53"/>
  <c r="AR215" i="53" s="1"/>
  <c r="AE14" i="59"/>
  <c r="AE1" i="59"/>
  <c r="AF5" i="59"/>
  <c r="AF15" i="59"/>
  <c r="BH4" i="59"/>
  <c r="BH15" i="59" s="1"/>
  <c r="R4" i="59"/>
  <c r="R15" i="59" s="1"/>
  <c r="AG4" i="59"/>
  <c r="AT4" i="59"/>
  <c r="AT15" i="59" s="1"/>
  <c r="AV4" i="57"/>
  <c r="AV15" i="57" s="1"/>
  <c r="AI4" i="57"/>
  <c r="AH5" i="57"/>
  <c r="AH15" i="57"/>
  <c r="BJ4" i="57"/>
  <c r="BJ15" i="57" s="1"/>
  <c r="T4" i="57"/>
  <c r="T15" i="57" s="1"/>
  <c r="AG14" i="57"/>
  <c r="AG1" i="57"/>
  <c r="AD14" i="54"/>
  <c r="AD1" i="54"/>
  <c r="AF4" i="54"/>
  <c r="AF5" i="54" s="1"/>
  <c r="BG4" i="54"/>
  <c r="BG15" i="54" s="1"/>
  <c r="AS4" i="54"/>
  <c r="AS15" i="54" s="1"/>
  <c r="Q4" i="54"/>
  <c r="Q15" i="54" s="1"/>
  <c r="AE15" i="54"/>
  <c r="M232" i="53"/>
  <c r="S236" i="53"/>
  <c r="S232" i="53"/>
  <c r="AK232" i="53"/>
  <c r="AW365" i="52"/>
  <c r="Z365" i="52"/>
  <c r="M382" i="52"/>
  <c r="Y365" i="52"/>
  <c r="AU365" i="52"/>
  <c r="X365" i="52"/>
  <c r="W365" i="52"/>
  <c r="S386" i="52"/>
  <c r="S382" i="52"/>
  <c r="AS365" i="52"/>
  <c r="V365" i="52"/>
  <c r="U365" i="52"/>
  <c r="AX365" i="52"/>
  <c r="AV365" i="52"/>
  <c r="AT365" i="52"/>
  <c r="AK382" i="52"/>
  <c r="BJ365" i="52"/>
  <c r="BI365" i="52"/>
  <c r="BH365" i="52"/>
  <c r="BG365" i="52"/>
  <c r="AQ232" i="53" l="1"/>
  <c r="AW215" i="53"/>
  <c r="AX215" i="53"/>
  <c r="AG5" i="59"/>
  <c r="AG15" i="59"/>
  <c r="BI4" i="59"/>
  <c r="BI15" i="59" s="1"/>
  <c r="S4" i="59"/>
  <c r="S15" i="59" s="1"/>
  <c r="AU4" i="59"/>
  <c r="AU15" i="59" s="1"/>
  <c r="AH4" i="59"/>
  <c r="AF1" i="59"/>
  <c r="AF14" i="59"/>
  <c r="AH1" i="57"/>
  <c r="AH14" i="57"/>
  <c r="AW4" i="57"/>
  <c r="AW15" i="57" s="1"/>
  <c r="AJ4" i="57"/>
  <c r="AI5" i="57"/>
  <c r="AI15" i="57"/>
  <c r="BK4" i="57"/>
  <c r="BK15" i="57" s="1"/>
  <c r="U4" i="57"/>
  <c r="U15" i="57" s="1"/>
  <c r="AE1" i="54"/>
  <c r="AE14" i="54"/>
  <c r="AG4" i="54"/>
  <c r="AG5" i="54" s="1"/>
  <c r="BH4" i="54"/>
  <c r="BH15" i="54" s="1"/>
  <c r="AT4" i="54"/>
  <c r="AT15" i="54" s="1"/>
  <c r="R4" i="54"/>
  <c r="R15" i="54" s="1"/>
  <c r="AF15" i="54"/>
  <c r="AH15" i="59" l="1"/>
  <c r="AI4" i="59"/>
  <c r="AH5" i="59"/>
  <c r="BJ4" i="59"/>
  <c r="BJ15" i="59" s="1"/>
  <c r="T4" i="59"/>
  <c r="T15" i="59" s="1"/>
  <c r="AV4" i="59"/>
  <c r="AV15" i="59" s="1"/>
  <c r="AG1" i="59"/>
  <c r="AG14" i="59"/>
  <c r="AI1" i="57"/>
  <c r="AI14" i="57"/>
  <c r="AJ15" i="57"/>
  <c r="AK4" i="57"/>
  <c r="AJ5" i="57"/>
  <c r="V4" i="57"/>
  <c r="V15" i="57" s="1"/>
  <c r="BL4" i="57"/>
  <c r="BL15" i="57" s="1"/>
  <c r="AX4" i="57"/>
  <c r="AX15" i="57" s="1"/>
  <c r="AF1" i="54"/>
  <c r="AF14" i="54"/>
  <c r="BI4" i="54"/>
  <c r="BI15" i="54" s="1"/>
  <c r="AU4" i="54"/>
  <c r="AU15" i="54" s="1"/>
  <c r="S4" i="54"/>
  <c r="S15" i="54" s="1"/>
  <c r="AH4" i="54"/>
  <c r="AH5" i="54" s="1"/>
  <c r="AG15" i="54"/>
  <c r="AH1" i="59" l="1"/>
  <c r="AH14" i="59"/>
  <c r="BK4" i="59"/>
  <c r="BK15" i="59" s="1"/>
  <c r="U4" i="59"/>
  <c r="U15" i="59" s="1"/>
  <c r="AI15" i="59"/>
  <c r="AW4" i="59"/>
  <c r="AW15" i="59" s="1"/>
  <c r="AJ4" i="59"/>
  <c r="AI5" i="59"/>
  <c r="AJ1" i="57"/>
  <c r="AJ14" i="57"/>
  <c r="BM4" i="57"/>
  <c r="BM15" i="57" s="1"/>
  <c r="AK5" i="57"/>
  <c r="AK15" i="57"/>
  <c r="W4" i="57"/>
  <c r="W15" i="57" s="1"/>
  <c r="AY4" i="57"/>
  <c r="AY15" i="57" s="1"/>
  <c r="AV4" i="54"/>
  <c r="AV15" i="54" s="1"/>
  <c r="T4" i="54"/>
  <c r="T15" i="54" s="1"/>
  <c r="AI4" i="54"/>
  <c r="AI5" i="54" s="1"/>
  <c r="BJ4" i="54"/>
  <c r="BJ15" i="54" s="1"/>
  <c r="AH15" i="54"/>
  <c r="AG1" i="54"/>
  <c r="AG14" i="54"/>
  <c r="AI1" i="59" l="1"/>
  <c r="AI14" i="59"/>
  <c r="AJ15" i="59"/>
  <c r="BL4" i="59"/>
  <c r="BL15" i="59" s="1"/>
  <c r="V4" i="59"/>
  <c r="V15" i="59" s="1"/>
  <c r="AX4" i="59"/>
  <c r="AX15" i="59" s="1"/>
  <c r="AK4" i="59"/>
  <c r="AJ5" i="59"/>
  <c r="AK1" i="57"/>
  <c r="AK14" i="57"/>
  <c r="AW4" i="54"/>
  <c r="AW15" i="54" s="1"/>
  <c r="U4" i="54"/>
  <c r="U15" i="54" s="1"/>
  <c r="AJ4" i="54"/>
  <c r="AJ5" i="54" s="1"/>
  <c r="BK4" i="54"/>
  <c r="BK15" i="54" s="1"/>
  <c r="AI15" i="54"/>
  <c r="AH1" i="54"/>
  <c r="AH14" i="54"/>
  <c r="AJ14" i="59" l="1"/>
  <c r="AJ1" i="59"/>
  <c r="BM4" i="59"/>
  <c r="BM15" i="59" s="1"/>
  <c r="AY4" i="59"/>
  <c r="AY15" i="59" s="1"/>
  <c r="AK5" i="59"/>
  <c r="AK15" i="59"/>
  <c r="W4" i="59"/>
  <c r="W15" i="59" s="1"/>
  <c r="AX4" i="54"/>
  <c r="AX15" i="54" s="1"/>
  <c r="V4" i="54"/>
  <c r="V15" i="54" s="1"/>
  <c r="AK4" i="54"/>
  <c r="AK5" i="54" s="1"/>
  <c r="BL4" i="54"/>
  <c r="BL15" i="54" s="1"/>
  <c r="AJ15" i="54"/>
  <c r="AI14" i="54"/>
  <c r="AI1" i="54"/>
  <c r="AK14" i="59" l="1"/>
  <c r="AK1" i="59"/>
  <c r="AY4" i="54"/>
  <c r="AY15" i="54" s="1"/>
  <c r="W4" i="54"/>
  <c r="W15" i="54" s="1"/>
  <c r="BM4" i="54"/>
  <c r="BM15" i="54" s="1"/>
  <c r="AK15" i="54"/>
  <c r="AJ14" i="54"/>
  <c r="AJ1" i="54"/>
  <c r="AK1" i="54" l="1"/>
  <c r="AK14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Axelle Cazalets</author>
    <author>tc={01078D05-312E-4B7E-BE02-29C2CB0828B3}</author>
  </authors>
  <commentList>
    <comment ref="Q4" authorId="0" shapeId="0" xr:uid="{3CE1E760-12D9-4F2E-8FB6-95FE07A69D5A}">
      <text>
        <r>
          <rPr>
            <b/>
            <sz val="9"/>
            <color indexed="81"/>
            <rFont val="Tahoma"/>
            <family val="2"/>
          </rPr>
          <t xml:space="preserve">Section: </t>
        </r>
        <r>
          <rPr>
            <sz val="9"/>
            <color indexed="81"/>
            <rFont val="Tahoma"/>
            <family val="2"/>
          </rPr>
          <t xml:space="preserve">Summary
</t>
        </r>
        <r>
          <rPr>
            <b/>
            <sz val="9"/>
            <color indexed="81"/>
            <rFont val="Tahoma"/>
            <family val="2"/>
          </rPr>
          <t>Block:</t>
        </r>
        <r>
          <rPr>
            <sz val="9"/>
            <color indexed="81"/>
            <rFont val="Tahoma"/>
            <family val="2"/>
          </rPr>
          <t xml:space="preserve"> B1</t>
        </r>
      </text>
    </comment>
    <comment ref="AC4" authorId="1" shapeId="0" xr:uid="{01078D05-312E-4B7E-BE02-29C2CB0828B3}">
      <text>
        <t>[Threaded comment]
Your version of Excel allows you to read this threaded comment; however, any edits to it will get removed if the file is opened in a newer version of Excel. Learn more: https://go.microsoft.com/fwlink/?linkid=870924
Comment:
    12.6.24 not adjutsted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Axelle Cazalets</author>
    <author>tc={9DB2DE76-6DA4-4279-9BF7-48FEE4DBB927}</author>
  </authors>
  <commentList>
    <comment ref="Q4" authorId="0" shapeId="0" xr:uid="{EAB358AF-885F-4A7E-BFC9-59C80A41E1BA}">
      <text>
        <r>
          <rPr>
            <b/>
            <sz val="9"/>
            <color indexed="81"/>
            <rFont val="Tahoma"/>
            <family val="2"/>
          </rPr>
          <t xml:space="preserve">Section: </t>
        </r>
        <r>
          <rPr>
            <sz val="9"/>
            <color indexed="81"/>
            <rFont val="Tahoma"/>
            <family val="2"/>
          </rPr>
          <t xml:space="preserve">Summary
</t>
        </r>
        <r>
          <rPr>
            <b/>
            <sz val="9"/>
            <color indexed="81"/>
            <rFont val="Tahoma"/>
            <family val="2"/>
          </rPr>
          <t>Block:</t>
        </r>
        <r>
          <rPr>
            <sz val="9"/>
            <color indexed="81"/>
            <rFont val="Tahoma"/>
            <family val="2"/>
          </rPr>
          <t xml:space="preserve"> B1</t>
        </r>
      </text>
    </comment>
    <comment ref="AC4" authorId="1" shapeId="0" xr:uid="{9DB2DE76-6DA4-4279-9BF7-48FEE4DBB927}">
      <text>
        <t>[Threaded comment]
Your version of Excel allows you to read this threaded comment; however, any edits to it will get removed if the file is opened in a newer version of Excel. Learn more: https://go.microsoft.com/fwlink/?linkid=870924
Comment:
    12.6.24 not adjutsted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Axelle Cazalets</author>
    <author>tc={FF58BB46-5194-4688-BC22-2C9CA0119566}</author>
  </authors>
  <commentList>
    <comment ref="Q4" authorId="0" shapeId="0" xr:uid="{B37DA113-C8F5-40E8-873B-D8A6C29A6977}">
      <text>
        <r>
          <rPr>
            <b/>
            <sz val="9"/>
            <color indexed="81"/>
            <rFont val="Tahoma"/>
            <family val="2"/>
          </rPr>
          <t xml:space="preserve">Section: </t>
        </r>
        <r>
          <rPr>
            <sz val="9"/>
            <color indexed="81"/>
            <rFont val="Tahoma"/>
            <family val="2"/>
          </rPr>
          <t xml:space="preserve">Summary
</t>
        </r>
        <r>
          <rPr>
            <b/>
            <sz val="9"/>
            <color indexed="81"/>
            <rFont val="Tahoma"/>
            <family val="2"/>
          </rPr>
          <t>Block:</t>
        </r>
        <r>
          <rPr>
            <sz val="9"/>
            <color indexed="81"/>
            <rFont val="Tahoma"/>
            <family val="2"/>
          </rPr>
          <t xml:space="preserve"> B1</t>
        </r>
      </text>
    </comment>
    <comment ref="AC4" authorId="1" shapeId="0" xr:uid="{FF58BB46-5194-4688-BC22-2C9CA0119566}">
      <text>
        <t>[Threaded comment]
Your version of Excel allows you to read this threaded comment; however, any edits to it will get removed if the file is opened in a newer version of Excel. Learn more: https://go.microsoft.com/fwlink/?linkid=870924
Comment:
    12.6.24 not adjutsted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Axelle Cazalets</author>
    <author>tc={64E9AD22-895F-4E42-9606-CCF46D79E3FB}</author>
  </authors>
  <commentList>
    <comment ref="Q4" authorId="0" shapeId="0" xr:uid="{CA3BCE93-C9F2-4A4E-8603-A167A27C1494}">
      <text>
        <r>
          <rPr>
            <b/>
            <sz val="9"/>
            <color indexed="81"/>
            <rFont val="Tahoma"/>
            <family val="2"/>
          </rPr>
          <t xml:space="preserve">Section: </t>
        </r>
        <r>
          <rPr>
            <sz val="9"/>
            <color indexed="81"/>
            <rFont val="Tahoma"/>
            <family val="2"/>
          </rPr>
          <t xml:space="preserve">Summary
</t>
        </r>
        <r>
          <rPr>
            <b/>
            <sz val="9"/>
            <color indexed="81"/>
            <rFont val="Tahoma"/>
            <family val="2"/>
          </rPr>
          <t>Block:</t>
        </r>
        <r>
          <rPr>
            <sz val="9"/>
            <color indexed="81"/>
            <rFont val="Tahoma"/>
            <family val="2"/>
          </rPr>
          <t xml:space="preserve"> B1</t>
        </r>
      </text>
    </comment>
    <comment ref="AC4" authorId="1" shapeId="0" xr:uid="{64E9AD22-895F-4E42-9606-CCF46D79E3FB}">
      <text>
        <t>[Threaded comment]
Your version of Excel allows you to read this threaded comment; however, any edits to it will get removed if the file is opened in a newer version of Excel. Learn more: https://go.microsoft.com/fwlink/?linkid=870924
Comment:
    12.6.24 not adjutsted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<sst xmlns="http://schemas.openxmlformats.org/spreadsheetml/2006/main" count="2397" uniqueCount="490">
  <si>
    <t>#hidecolumn</t>
  </si>
  <si>
    <t>#hiderow</t>
  </si>
  <si>
    <t>Operating Expenses</t>
  </si>
  <si>
    <t>Account</t>
  </si>
  <si>
    <t>Year</t>
  </si>
  <si>
    <t>Scenario</t>
  </si>
  <si>
    <t>MultiDynamic: Account</t>
  </si>
  <si>
    <t>Revenue</t>
  </si>
  <si>
    <t>Plan</t>
  </si>
  <si>
    <t>1 (Jan)</t>
  </si>
  <si>
    <t>Department</t>
  </si>
  <si>
    <t>Currency</t>
  </si>
  <si>
    <t>Local</t>
  </si>
  <si>
    <t>Page</t>
  </si>
  <si>
    <t>Period</t>
  </si>
  <si>
    <t>Measure</t>
  </si>
  <si>
    <t>KPIs</t>
  </si>
  <si>
    <t>Cost of Goods Sold</t>
  </si>
  <si>
    <t>Other Income/Expense</t>
  </si>
  <si>
    <t>Income Tax Expense/Benefit</t>
  </si>
  <si>
    <t>Net Income</t>
  </si>
  <si>
    <t>Gross Margin %</t>
  </si>
  <si>
    <t>Add Description</t>
  </si>
  <si>
    <t>Line-Item Detail</t>
  </si>
  <si>
    <t>% Var</t>
  </si>
  <si>
    <t>PY</t>
  </si>
  <si>
    <t>Income Statement Variance</t>
  </si>
  <si>
    <t>$ Var</t>
  </si>
  <si>
    <t>Depreciation &amp; Amortization</t>
  </si>
  <si>
    <t>6895 (Restructuring)</t>
  </si>
  <si>
    <t>Pension</t>
  </si>
  <si>
    <t>Gross Margin</t>
  </si>
  <si>
    <t>EBITDAP</t>
  </si>
  <si>
    <t>EBITDAP %</t>
  </si>
  <si>
    <t>12 YTD</t>
  </si>
  <si>
    <t>Value</t>
  </si>
  <si>
    <t>Prior Year</t>
  </si>
  <si>
    <t>Current Year</t>
  </si>
  <si>
    <t>Frederic Media</t>
  </si>
  <si>
    <t>954 (Frederic Media Business Development)</t>
  </si>
  <si>
    <t>Budget</t>
  </si>
  <si>
    <t>2 (Feb)</t>
  </si>
  <si>
    <t>All Years</t>
  </si>
  <si>
    <t>Actual</t>
  </si>
  <si>
    <t>MultiDynamic: Period</t>
  </si>
  <si>
    <t>Interest Expense</t>
  </si>
  <si>
    <t>3 (Mar)</t>
  </si>
  <si>
    <t>10 (Oct)</t>
  </si>
  <si>
    <t>11 (Nov)</t>
  </si>
  <si>
    <t>5 (May)</t>
  </si>
  <si>
    <t>4 (Apr)</t>
  </si>
  <si>
    <t>7 (Jul)</t>
  </si>
  <si>
    <t>6 (Jun)</t>
  </si>
  <si>
    <t>9 (Sep)</t>
  </si>
  <si>
    <t>12 (Dec)</t>
  </si>
  <si>
    <t>8 (Aug)</t>
  </si>
  <si>
    <t>Oct</t>
  </si>
  <si>
    <t>Nov</t>
  </si>
  <si>
    <t>May</t>
  </si>
  <si>
    <t>Apr</t>
  </si>
  <si>
    <t>Jul</t>
  </si>
  <si>
    <t>Jan</t>
  </si>
  <si>
    <t>Jun</t>
  </si>
  <si>
    <t>Sep</t>
  </si>
  <si>
    <t>Dec</t>
  </si>
  <si>
    <t>Aug</t>
  </si>
  <si>
    <t>Feb</t>
  </si>
  <si>
    <t>Mar</t>
  </si>
  <si>
    <t>Dimension</t>
  </si>
  <si>
    <t>Position</t>
  </si>
  <si>
    <t>Row</t>
  </si>
  <si>
    <t>Column</t>
  </si>
  <si>
    <t>Forecast</t>
  </si>
  <si>
    <t xml:space="preserve">% of </t>
  </si>
  <si>
    <t>Net Sales</t>
  </si>
  <si>
    <t>Commentary</t>
  </si>
  <si>
    <t>Current Month</t>
  </si>
  <si>
    <t>Current QTD</t>
  </si>
  <si>
    <t>Current YTD</t>
  </si>
  <si>
    <t>Total Revenue</t>
  </si>
  <si>
    <t>Total Cost of Goods Sold</t>
  </si>
  <si>
    <t>Total Operating Expenses</t>
  </si>
  <si>
    <t>Total Other Income/Expense</t>
  </si>
  <si>
    <t>Total Income Tax Expense/Benefit</t>
  </si>
  <si>
    <t>Total Depreciation &amp; Amortization</t>
  </si>
  <si>
    <t>Total 6895 (Restructuring)</t>
  </si>
  <si>
    <t>Total Pension</t>
  </si>
  <si>
    <t>Total Interest Expense</t>
  </si>
  <si>
    <t>Empty</t>
  </si>
  <si>
    <t>Total Empty</t>
  </si>
  <si>
    <t>#showrow</t>
  </si>
  <si>
    <t>Total Net Income</t>
  </si>
  <si>
    <t>Undefined (Not Entity Specific)</t>
  </si>
  <si>
    <t>Undefined (Not Placeholder 1 Specific)</t>
  </si>
  <si>
    <t>Undefined (Not Placeholder 2 Specific)</t>
  </si>
  <si>
    <t>Undefined (Not Placeholder 3 Specific)</t>
  </si>
  <si>
    <t>Undefined (Not Placeholder 4 Specific)</t>
  </si>
  <si>
    <t>Freight Revenue</t>
  </si>
  <si>
    <t>Other Revenue</t>
  </si>
  <si>
    <t>Material</t>
  </si>
  <si>
    <t>Freight</t>
  </si>
  <si>
    <t>Freight In</t>
  </si>
  <si>
    <t>Freight Out</t>
  </si>
  <si>
    <t>Other</t>
  </si>
  <si>
    <t>Salaries &amp; Fringes</t>
  </si>
  <si>
    <t>Travel &amp; Employee Related Expenses</t>
  </si>
  <si>
    <t>Capitalization</t>
  </si>
  <si>
    <t>Selling Expenses</t>
  </si>
  <si>
    <t>Distribution Expenses</t>
  </si>
  <si>
    <t>Office Equipment &amp; Supplies</t>
  </si>
  <si>
    <t>Occupancy Expenses</t>
  </si>
  <si>
    <t>Outside Services</t>
  </si>
  <si>
    <t>Other Admin Expense</t>
  </si>
  <si>
    <t>Design &amp; Development</t>
  </si>
  <si>
    <t>Sample Expense</t>
  </si>
  <si>
    <t>Other Income</t>
  </si>
  <si>
    <t>Other Expense</t>
  </si>
  <si>
    <t>Gain/Loss on Swap MTM</t>
  </si>
  <si>
    <t>Total Gain/Loss on Swap MTM</t>
  </si>
  <si>
    <t>Restructuring</t>
  </si>
  <si>
    <t>All Departments</t>
  </si>
  <si>
    <t>Selection</t>
  </si>
  <si>
    <t>Entity</t>
  </si>
  <si>
    <t>Income Statement</t>
  </si>
  <si>
    <t>Plan Year +1</t>
  </si>
  <si>
    <t>Current Yr</t>
  </si>
  <si>
    <t>Plan Yr +1</t>
  </si>
  <si>
    <t>Total</t>
  </si>
  <si>
    <t>% of Sales</t>
  </si>
  <si>
    <t>Cumulated Net Income</t>
  </si>
  <si>
    <t>#showcolumn</t>
  </si>
  <si>
    <t>609 (Brooklyn Navy Yard)</t>
  </si>
  <si>
    <t>610 (Paramount)</t>
  </si>
  <si>
    <t>612 (Paramount Prints Admin)</t>
  </si>
  <si>
    <t>3025 (Sales - Intercompany)</t>
  </si>
  <si>
    <t>4105 (COGS - Material Cost - Intercompany)</t>
  </si>
  <si>
    <t>4109 (COGS - Labor - Intercompany)</t>
  </si>
  <si>
    <t>4111 (COGS - WIP - Intercompany)</t>
  </si>
  <si>
    <t>4113 (COGS - Other - Intercompany)</t>
  </si>
  <si>
    <t>4114 (COGS - Other - 3rd Party)</t>
  </si>
  <si>
    <t>6116 (Capitalization)</t>
  </si>
  <si>
    <t>6815 (AR Adjustments)</t>
  </si>
  <si>
    <t>6710 (Building Repairs &amp; Maintenance)</t>
  </si>
  <si>
    <t>6730 (Remodeling &amp; Relocation)</t>
  </si>
  <si>
    <t>6715 (Utilities)</t>
  </si>
  <si>
    <t>6740 (Rent - Premises)</t>
  </si>
  <si>
    <t>6745 (Rent - Taxes &amp; Other)</t>
  </si>
  <si>
    <t>6312 (Printing &amp; Publishing)</t>
  </si>
  <si>
    <t>6350 (Gifts)</t>
  </si>
  <si>
    <t>4104 (COGS - Material Cost - 3rd Party)</t>
  </si>
  <si>
    <t>4108 (COGS - Labor - 3rd Party)</t>
  </si>
  <si>
    <t>4112 (COGS - WIP - 3rd Party)</t>
  </si>
  <si>
    <t>6510 (Office Equipment - Repairs &amp; Maint)</t>
  </si>
  <si>
    <t>6515 (Office Equipment - Rental)</t>
  </si>
  <si>
    <t>6540 (Other Supplies)</t>
  </si>
  <si>
    <t>6550 (EDP - Parts &amp; Accessories)</t>
  </si>
  <si>
    <t>6505 (Small Office Equipment)</t>
  </si>
  <si>
    <t>6520 (EDP Outside Service)</t>
  </si>
  <si>
    <t>6525 (EDP - Maintenance)</t>
  </si>
  <si>
    <t>6530 (General Stationary &amp; Supplies)</t>
  </si>
  <si>
    <t>6625 (Recruiting Expense)</t>
  </si>
  <si>
    <t>6630 (Consulting Fees)</t>
  </si>
  <si>
    <t>6640 (Other Services)</t>
  </si>
  <si>
    <t>3020 (Sales - 3rd Party)</t>
  </si>
  <si>
    <t>6210 (Hotel Expense)</t>
  </si>
  <si>
    <t>6221 (Travel - Parking &amp; Tolls)</t>
  </si>
  <si>
    <t>6230 (Meal Expense)</t>
  </si>
  <si>
    <t>6255 (Other Travel Expense)</t>
  </si>
  <si>
    <t>6260 (Subscriptions &amp; Publications)</t>
  </si>
  <si>
    <t>6265 (Dues and Memberships)</t>
  </si>
  <si>
    <t>6270 (Employee Activities)</t>
  </si>
  <si>
    <t>6271 (Entertainment - Companywide Events/Activities)</t>
  </si>
  <si>
    <t>6205 (Fare Expense)</t>
  </si>
  <si>
    <t>6240 (Auto Rental Expense)</t>
  </si>
  <si>
    <t>6220 (Auto Expense)</t>
  </si>
  <si>
    <t>6555 (Depreciation EDP Hardware)</t>
  </si>
  <si>
    <t>6560 (Depreciation Furniture &amp; Fixtures)</t>
  </si>
  <si>
    <t>6565 (Depreciation Machinery &amp; Equipment)</t>
  </si>
  <si>
    <t>6580 (Amortization Lease Expenses)</t>
  </si>
  <si>
    <t>6725 (Amortization Of LHI)</t>
  </si>
  <si>
    <t>4815 (Line Development Costs-Line Development Costs-)</t>
  </si>
  <si>
    <t>6115 (Salary Expense)</t>
  </si>
  <si>
    <t>6120 (Salaries - Overtime)</t>
  </si>
  <si>
    <t>6195 (Fringe Benefits Allocated)</t>
  </si>
  <si>
    <t>6125 (Temporary Personnel)</t>
  </si>
  <si>
    <t>6130 (Employee Bonus)</t>
  </si>
  <si>
    <t>6135 (Vacation Pay)</t>
  </si>
  <si>
    <t>6405 (Package &amp; Shipping Supplies)</t>
  </si>
  <si>
    <t>6410 (Handling &amp; Storage)</t>
  </si>
  <si>
    <t>6415 (Distribution Equipment - Supplies)</t>
  </si>
  <si>
    <t>6420 (Distribution Equipment - Repairs &amp; Maint)</t>
  </si>
  <si>
    <t>6435 (Freight Clearing)</t>
  </si>
  <si>
    <t>6430 (Postage &amp; Misc Freight)</t>
  </si>
  <si>
    <t>6440 (Messenger Service)</t>
  </si>
  <si>
    <t>[+] Depreciation &amp; Amortization</t>
  </si>
  <si>
    <t xml:space="preserve">     [*] 6555 (Depreciation EDP Hardware)</t>
  </si>
  <si>
    <t>[+] Operating Expenses</t>
  </si>
  <si>
    <t xml:space="preserve">     [+] Salaries &amp; Fringes</t>
  </si>
  <si>
    <t xml:space="preserve">          [*] 6105 (Statutory Commissions)</t>
  </si>
  <si>
    <t xml:space="preserve">          [*] 6110 (Commissions - Direct)</t>
  </si>
  <si>
    <t xml:space="preserve">          [*] 6115 (Salary Expense)</t>
  </si>
  <si>
    <t xml:space="preserve">          [*] 6120 (Salaries - Overtime)</t>
  </si>
  <si>
    <t xml:space="preserve">          [*] 6125 (Temporary Personnel)</t>
  </si>
  <si>
    <t xml:space="preserve">          [*] 6130 (Employee Bonus)</t>
  </si>
  <si>
    <t xml:space="preserve">          [*] 6135 (Vacation Pay)</t>
  </si>
  <si>
    <t xml:space="preserve">          [*] 6150 (Medical Benefits)</t>
  </si>
  <si>
    <t xml:space="preserve">          [*] 6155 (Group Insurance)</t>
  </si>
  <si>
    <t xml:space="preserve">          [*] 6160 (Group Ins - Employee Contribution)</t>
  </si>
  <si>
    <t xml:space="preserve">          [*] 6165 (Officer's Life Insurance)</t>
  </si>
  <si>
    <t xml:space="preserve">          [*] 6170 (Pension Expense)</t>
  </si>
  <si>
    <t xml:space="preserve">          [*] 6175 (401k Co Contribution)</t>
  </si>
  <si>
    <t xml:space="preserve">          [*] 6180 (FICA Expense)</t>
  </si>
  <si>
    <t xml:space="preserve">          [*] 6181 (FUT)</t>
  </si>
  <si>
    <t xml:space="preserve">          [*] 6182 (State Unemployment &amp; Health)</t>
  </si>
  <si>
    <t xml:space="preserve">          [*] 6183 (Worker's Comp Insurance)</t>
  </si>
  <si>
    <t xml:space="preserve">          [*] 6184 (State Family Leave Ins)</t>
  </si>
  <si>
    <t xml:space="preserve">          [*] 6195 (Fringe Benefits Allocated)</t>
  </si>
  <si>
    <t xml:space="preserve">     [+] Travel &amp; Employee Related Expenses</t>
  </si>
  <si>
    <t xml:space="preserve">          [*] 6205 (Fare Expense)</t>
  </si>
  <si>
    <t xml:space="preserve">          [*] 6206 (Travel - Overtime)</t>
  </si>
  <si>
    <t xml:space="preserve">          [*] 6210 (Hotel Expense)</t>
  </si>
  <si>
    <t xml:space="preserve">          [*] 6215 (Entertainment Expense)</t>
  </si>
  <si>
    <t xml:space="preserve">          [*] 6220 (Auto Expense)</t>
  </si>
  <si>
    <t xml:space="preserve">          [*] 6221 (Travel - Parking &amp; Tolls)</t>
  </si>
  <si>
    <t xml:space="preserve">          [*] 6225 (Reimbursed Expense)</t>
  </si>
  <si>
    <t xml:space="preserve">          [*] 6230 (Meal Expense)</t>
  </si>
  <si>
    <t xml:space="preserve">          [*] 6235 (Auto Runzheimer)</t>
  </si>
  <si>
    <t xml:space="preserve">          [*] 6240 (Auto Rental Expense)</t>
  </si>
  <si>
    <t xml:space="preserve">          [*] 6250 (Relocation Expense)</t>
  </si>
  <si>
    <t xml:space="preserve">          [*] 6255 (Other Travel Expense)</t>
  </si>
  <si>
    <t xml:space="preserve">          [*] 6260 (Subscriptions &amp; Publications)</t>
  </si>
  <si>
    <t xml:space="preserve">          [*] 6265 (Dues and Memberships)</t>
  </si>
  <si>
    <t xml:space="preserve">          [*] 6270 (Employee Activities)</t>
  </si>
  <si>
    <t xml:space="preserve">          [*] 6271 (Entertainment - Companywide Events/Activities)</t>
  </si>
  <si>
    <t xml:space="preserve">          [*] 6275 (Personal Phone Reimbursements)</t>
  </si>
  <si>
    <t xml:space="preserve">          [*] 6280 (Training Expense)</t>
  </si>
  <si>
    <t xml:space="preserve">     [+] Capitalization</t>
  </si>
  <si>
    <t xml:space="preserve">          [*] 6116 (Capitalization)</t>
  </si>
  <si>
    <t xml:space="preserve">     [+] Selling Expenses</t>
  </si>
  <si>
    <t xml:space="preserve">          [*] 6305 (Advertising Production)</t>
  </si>
  <si>
    <t xml:space="preserve">          [*] 6310 (Advertising Space)</t>
  </si>
  <si>
    <t xml:space="preserve">          [*] 6311 (Marketing Services)</t>
  </si>
  <si>
    <t xml:space="preserve">          [*] 6312 (Printing &amp; Publishing)</t>
  </si>
  <si>
    <t xml:space="preserve">          [*] 6315 (Promotional Material)</t>
  </si>
  <si>
    <t xml:space="preserve">          [*] 6317 (Sample Box Prototype)</t>
  </si>
  <si>
    <t xml:space="preserve">          [*] 6320 (Publicity)</t>
  </si>
  <si>
    <t xml:space="preserve">          [*] 6325 (SourceBook)</t>
  </si>
  <si>
    <t xml:space="preserve">          [*] 6330 (Display Services)</t>
  </si>
  <si>
    <t xml:space="preserve">          [*] 6335 (Display Fixtures)</t>
  </si>
  <si>
    <t xml:space="preserve">          [*] 6340 (Display Merchandise &amp; Accessories)</t>
  </si>
  <si>
    <t xml:space="preserve">          [*] 6345 (Sales Meeting Expense)</t>
  </si>
  <si>
    <t xml:space="preserve">          [*] 6347 (Donations)</t>
  </si>
  <si>
    <t xml:space="preserve">          [*] 6350 (Gifts)</t>
  </si>
  <si>
    <t xml:space="preserve">          [*] 6355 (Special Events)</t>
  </si>
  <si>
    <t xml:space="preserve">          [*] 6360 (Other Commissions)</t>
  </si>
  <si>
    <t xml:space="preserve">          [*] 6365 (Commission Income)</t>
  </si>
  <si>
    <t xml:space="preserve">          [*] 6370 (Internet Hosting &amp; Services)</t>
  </si>
  <si>
    <t xml:space="preserve">          [*] 6375 (Trade Show)</t>
  </si>
  <si>
    <t xml:space="preserve">          [*] 6377 (PFM Sales - Trade Show Other)</t>
  </si>
  <si>
    <t xml:space="preserve">          [*] 6380 (Industry Events)</t>
  </si>
  <si>
    <t xml:space="preserve">          [*] 6383 (Bulletins)</t>
  </si>
  <si>
    <t xml:space="preserve">          [*] 6385 (Video)</t>
  </si>
  <si>
    <t xml:space="preserve">          [*] 6387 (Photography)</t>
  </si>
  <si>
    <t xml:space="preserve">          [*] 6390 (Merchandise Requisition)</t>
  </si>
  <si>
    <t xml:space="preserve">          [*] 6391 (Photography)</t>
  </si>
  <si>
    <t xml:space="preserve">          [*] 6392 (Writer)</t>
  </si>
  <si>
    <t xml:space="preserve">          [*] 6393 (Sponsorships)</t>
  </si>
  <si>
    <t xml:space="preserve">          [*] 6395 (Merchandise Requisition)</t>
  </si>
  <si>
    <t xml:space="preserve">     [+] Distribution Expenses</t>
  </si>
  <si>
    <t xml:space="preserve">          [*] 6405 (Package &amp; Shipping Supplies)</t>
  </si>
  <si>
    <t xml:space="preserve">          [*] 6410 (Handling &amp; Storage)</t>
  </si>
  <si>
    <t xml:space="preserve">          [*] 6415 (Distribution Equipment - Supplies)</t>
  </si>
  <si>
    <t xml:space="preserve">          [*] 6420 (Distribution Equipment - Repairs &amp; Maint)</t>
  </si>
  <si>
    <t xml:space="preserve">          [*] 6422 (Small Distbn Tools &amp; Equipment)</t>
  </si>
  <si>
    <t xml:space="preserve">          [*] 6425 (Distribution Equipment - Rental)</t>
  </si>
  <si>
    <t xml:space="preserve">          [*] 6426 (Distribution Logistics)</t>
  </si>
  <si>
    <t xml:space="preserve">          [*] 6427 (Distribution: Subscription/Fulfillment Services)</t>
  </si>
  <si>
    <t xml:space="preserve">          [*] 6430 (Postage &amp; Misc Freight)</t>
  </si>
  <si>
    <t xml:space="preserve">          [*] 6431 (Freight Out - Product)</t>
  </si>
  <si>
    <t xml:space="preserve">          [*] 6432 (Freight In - Product)</t>
  </si>
  <si>
    <t xml:space="preserve">          [*] 6435 (Freight Clearing)</t>
  </si>
  <si>
    <t xml:space="preserve">          [*] 6440 (Messenger Service)</t>
  </si>
  <si>
    <t xml:space="preserve">          [*] 6445 (Shipping Supplies-Misc)</t>
  </si>
  <si>
    <t xml:space="preserve">     [+] Office Equipment &amp; Supplies</t>
  </si>
  <si>
    <t xml:space="preserve">          [*] 6450 (Office Showroom Flowers and Decor)</t>
  </si>
  <si>
    <t xml:space="preserve">          [*] 6505 (Small Office Equipment)</t>
  </si>
  <si>
    <t xml:space="preserve">          [*] 6510 (Office Equipment - Repairs &amp; Maint)</t>
  </si>
  <si>
    <t xml:space="preserve">          [*] 6515 (Office Equipment - Rental)</t>
  </si>
  <si>
    <t xml:space="preserve">          [*] 6520 (EDP Outside Service)</t>
  </si>
  <si>
    <t xml:space="preserve">          [*] 6525 (EDP - Maintenance)</t>
  </si>
  <si>
    <t xml:space="preserve">          [*] 6526 (Subscriptions &amp; Publications)</t>
  </si>
  <si>
    <t xml:space="preserve">          [*] 6530 (General Stationary &amp; Supplies)</t>
  </si>
  <si>
    <t xml:space="preserve">          [*] 6535 (EDP Supplies Consumable)</t>
  </si>
  <si>
    <t xml:space="preserve">          [*] 6540 (Other Supplies)</t>
  </si>
  <si>
    <t xml:space="preserve">          [*] 6550 (EDP - Parts &amp; Accessories)</t>
  </si>
  <si>
    <t xml:space="preserve">     [+] Occupancy Expenses</t>
  </si>
  <si>
    <t xml:space="preserve">          [*] 6705 (Building Supplies)</t>
  </si>
  <si>
    <t xml:space="preserve">          [*] 6710 (Building Repairs &amp; Maintenance)</t>
  </si>
  <si>
    <t xml:space="preserve">          [*] 6715 (Utilities)</t>
  </si>
  <si>
    <t xml:space="preserve">          [*] 6720 (Other Occupancy Expense)</t>
  </si>
  <si>
    <t xml:space="preserve">          [*] 6730 (Remodeling &amp; Relocation)</t>
  </si>
  <si>
    <t xml:space="preserve">          [*] 6731 (Rent)</t>
  </si>
  <si>
    <t xml:space="preserve">          [*] 6740 (Rent - Premises)</t>
  </si>
  <si>
    <t xml:space="preserve">          [*] 6745 (Rent - Taxes &amp; Other)</t>
  </si>
  <si>
    <t xml:space="preserve">          [*] 6750 (Real Estate Taxes)</t>
  </si>
  <si>
    <t xml:space="preserve">          [*] 6755 (Personal Property Tax)</t>
  </si>
  <si>
    <t xml:space="preserve">          [*] 6760 (Occupancy Alloc)</t>
  </si>
  <si>
    <t xml:space="preserve">          [*] 6775 (Rent - Taxes &amp; Other)</t>
  </si>
  <si>
    <t xml:space="preserve">     [+] Outside Services</t>
  </si>
  <si>
    <t xml:space="preserve">          [*] 6545 (Admin Outside Services)</t>
  </si>
  <si>
    <t xml:space="preserve">          [*] 6605 (Accounting Fees)</t>
  </si>
  <si>
    <t xml:space="preserve">          [*] 6610 (Payroll Services)</t>
  </si>
  <si>
    <t xml:space="preserve">          [*] 6615 (Employment Agency Fees)</t>
  </si>
  <si>
    <t xml:space="preserve">          [*] 6620 (Bank Charges)</t>
  </si>
  <si>
    <t xml:space="preserve">          [*] 6625 (Recruiting Expense)</t>
  </si>
  <si>
    <t xml:space="preserve">          [*] 6630 (Consulting Fees)</t>
  </si>
  <si>
    <t xml:space="preserve">          [*] 6635 (Legal Fees)</t>
  </si>
  <si>
    <t xml:space="preserve">          [*] 6640 (Other Services)</t>
  </si>
  <si>
    <t xml:space="preserve">          [*] 6645 (Intellectual Property Admin)</t>
  </si>
  <si>
    <t xml:space="preserve">          [*] 6650 (UK Website Development Cost)</t>
  </si>
  <si>
    <t xml:space="preserve">          [*] 6660 (401K Fees)</t>
  </si>
  <si>
    <t xml:space="preserve">     [+] Other Admin Expense</t>
  </si>
  <si>
    <t xml:space="preserve">          [*] 7010 (Allocation)</t>
  </si>
  <si>
    <t xml:space="preserve">          [*] 6765 (Telephone - Local)</t>
  </si>
  <si>
    <t xml:space="preserve">          [*] 6770 (Inbound "800" Calls)</t>
  </si>
  <si>
    <t xml:space="preserve">          [*] 6780 (IT Phone Line Use)</t>
  </si>
  <si>
    <t xml:space="preserve">          [*] 6437 (Donations)</t>
  </si>
  <si>
    <t xml:space="preserve">          [*] 6805 (Bad Debt Expense)</t>
  </si>
  <si>
    <t xml:space="preserve">          [*] 6810 (Bad Debt Recovery)</t>
  </si>
  <si>
    <t xml:space="preserve">          [*] 6815 (AR Adjustments)</t>
  </si>
  <si>
    <t xml:space="preserve">          [*] 6820 (General Insurance)</t>
  </si>
  <si>
    <t xml:space="preserve">          [*] 6825 (Directors' Fees)</t>
  </si>
  <si>
    <t xml:space="preserve">          [*] 6826 (NSF Fees)</t>
  </si>
  <si>
    <t xml:space="preserve">          [*] 6830 (Fees &amp; Licenses)</t>
  </si>
  <si>
    <t xml:space="preserve">          [*] 6835 (Other Taxes)</t>
  </si>
  <si>
    <t xml:space="preserve">          [*] 6840 (Sales &amp; Use Taxes)</t>
  </si>
  <si>
    <t xml:space="preserve">          [*] 6845 (Accounting Adjustments)</t>
  </si>
  <si>
    <t xml:space="preserve">          [*] 6850 (Loss on Sale of Assets)</t>
  </si>
  <si>
    <t xml:space="preserve">          [*] 6855 (Casualty Losses &amp; Insurance Claims)</t>
  </si>
  <si>
    <t xml:space="preserve">          [*] 7007 (Showrooms Allocation)</t>
  </si>
  <si>
    <t xml:space="preserve">          [*] 7009 (Corporate Admin Allocation)</t>
  </si>
  <si>
    <t xml:space="preserve">          [*] 4160 (Credit Card Fees)</t>
  </si>
  <si>
    <t xml:space="preserve">          [*] 4125 (Royalty)</t>
  </si>
  <si>
    <t xml:space="preserve">          [*] 9999 (Suspense)</t>
  </si>
  <si>
    <t xml:space="preserve">          [*] 9330 (Furniture &amp; Finished Goods)</t>
  </si>
  <si>
    <t xml:space="preserve">     [+] Design &amp; Development</t>
  </si>
  <si>
    <t xml:space="preserve">          [*] 4805 (Design - Outside Purchase)</t>
  </si>
  <si>
    <t xml:space="preserve">          [*] 4806 (Fabric-Design Separation-)</t>
  </si>
  <si>
    <t xml:space="preserve">          [*] 4807 (Design - Artwork)</t>
  </si>
  <si>
    <t xml:space="preserve">          [*] 4808 (Design Cuttings for Approval)</t>
  </si>
  <si>
    <t xml:space="preserve">          [*] 4809 (Design - Ground Sourcing)</t>
  </si>
  <si>
    <t xml:space="preserve">          [*] 4810 (Engraving Expense-Engraving Expense--)</t>
  </si>
  <si>
    <t xml:space="preserve">          [*] 4815 (Line Development Costs-Line Development Costs-)</t>
  </si>
  <si>
    <t xml:space="preserve">          [*] 4820 (Fabric Testing)</t>
  </si>
  <si>
    <t xml:space="preserve">     [+] Sample Expense</t>
  </si>
  <si>
    <t xml:space="preserve">          [*] 4910 (Sample Merchandise Direct)</t>
  </si>
  <si>
    <t xml:space="preserve">          [*] 4911 (Samples Broadloom New)</t>
  </si>
  <si>
    <t xml:space="preserve">          [*] 4912 (Samples Broadloom Replenish)</t>
  </si>
  <si>
    <t xml:space="preserve">          [*] 4913 (Samples Custom Replenish)</t>
  </si>
  <si>
    <t xml:space="preserve">          [*] 4914 (Samples Custom New)</t>
  </si>
  <si>
    <t xml:space="preserve">          [*] 4915 (Sample Workroom Supplies)</t>
  </si>
  <si>
    <t xml:space="preserve">          [*] 4920 (Sample Shipping Supplies)</t>
  </si>
  <si>
    <t xml:space="preserve">          [*] 4930 (Bindery Fee)</t>
  </si>
  <si>
    <t xml:space="preserve">          [*] 4945 (-Memo Samples--)</t>
  </si>
  <si>
    <t xml:space="preserve">          [*] 4946 (Merchandising Samples - Fabric)</t>
  </si>
  <si>
    <t xml:space="preserve">          [*] 4950 (Sample Cost Allocation)</t>
  </si>
  <si>
    <t xml:space="preserve">          [*] 4955 (Sample Postage)</t>
  </si>
  <si>
    <t xml:space="preserve">          [*] 4990 (Freight In - Samples)</t>
  </si>
  <si>
    <t xml:space="preserve">          [*] 4995 (Freight Out - Samples)</t>
  </si>
  <si>
    <t xml:space="preserve">          [*] 4918 (Samples Binderies New Goods)</t>
  </si>
  <si>
    <t xml:space="preserve">          [*] 7008 (Distribution Allocation)</t>
  </si>
  <si>
    <t>[+] Material</t>
  </si>
  <si>
    <t xml:space="preserve">     [*] 4100 (COGS)</t>
  </si>
  <si>
    <t xml:space="preserve">     [*] 4101 (COGS - Paint Product)</t>
  </si>
  <si>
    <t xml:space="preserve">     [*] 4102 (COGS - Sample Stickers)</t>
  </si>
  <si>
    <t xml:space="preserve">     [*] 4103 (COGS - Paint Supply Product)</t>
  </si>
  <si>
    <t xml:space="preserve">     [*] 4104 (COGS - Material Cost - 3rd Party)</t>
  </si>
  <si>
    <t xml:space="preserve">     [*] 4105 (COGS - Material Cost - Intercompany)</t>
  </si>
  <si>
    <t xml:space="preserve">     [*] 4106 (4106)</t>
  </si>
  <si>
    <t xml:space="preserve">     [*] 4107 (COGS - Wallcovering Textiles)</t>
  </si>
  <si>
    <t xml:space="preserve">     [*] 4108 (COGS - Labor - 3rd Party)</t>
  </si>
  <si>
    <t xml:space="preserve">     [*] 4109 (COGS - Labor - Intercompany)</t>
  </si>
  <si>
    <t xml:space="preserve">     [*] 4110 (Packaging &amp; Other)</t>
  </si>
  <si>
    <t xml:space="preserve">     [*] 4111 (COGS - WIP - Intercompany)</t>
  </si>
  <si>
    <t xml:space="preserve">     [*] 4112 (COGS - WIP - 3rd Party)</t>
  </si>
  <si>
    <t xml:space="preserve">     [*] 4113 (COGS - Other - Intercompany)</t>
  </si>
  <si>
    <t xml:space="preserve">     [*] 4114 (COGS - Other - 3rd Party)</t>
  </si>
  <si>
    <t xml:space="preserve">     [*] 4115 (Set-Up Charges)</t>
  </si>
  <si>
    <t xml:space="preserve">     [*] 4120 (Contract Fabrication Charges)</t>
  </si>
  <si>
    <t xml:space="preserve">     [*] 4130 (Resale - Reorder)</t>
  </si>
  <si>
    <t xml:space="preserve">     [*] 4135 (Return To Manufacturer)</t>
  </si>
  <si>
    <t xml:space="preserve">     [*] 4140 (Product Repairs)</t>
  </si>
  <si>
    <t xml:space="preserve">     [*] 4145 (Inventory Cost Adjustments)</t>
  </si>
  <si>
    <t xml:space="preserve">     [*] 4146 (Inventory Cost Adjustments - Manual)</t>
  </si>
  <si>
    <t xml:space="preserve">     [*] 4150 (Resale - Special)</t>
  </si>
  <si>
    <t xml:space="preserve">     [*] 4155 (FG - Storage &amp; Handling)</t>
  </si>
  <si>
    <t xml:space="preserve">     [*] 4165 (Foreign Exchange Gain/Loss)</t>
  </si>
  <si>
    <t xml:space="preserve">     [*] 4175 (Purchase Variance)</t>
  </si>
  <si>
    <t xml:space="preserve">     [*] 4185 (Ship Direct Merchandise)</t>
  </si>
  <si>
    <t xml:space="preserve">     [*] 4550 (Inventory Markdown Reserve)</t>
  </si>
  <si>
    <t xml:space="preserve">     [*] 4916 (Samples - Fabric Textiles)</t>
  </si>
  <si>
    <t xml:space="preserve">     [*] 4925 (Book Print Material)</t>
  </si>
  <si>
    <t xml:space="preserve">     [*] 4940 (Graphics Printing-Graphics Printing--)</t>
  </si>
  <si>
    <t>[+] Freight</t>
  </si>
  <si>
    <t xml:space="preserve">     [+] Freight In</t>
  </si>
  <si>
    <t xml:space="preserve">          [*] 4305 (Freight In Merchandise- Domestic)</t>
  </si>
  <si>
    <t xml:space="preserve">          [*] 4310 (Foreign Import Costs- Sea)</t>
  </si>
  <si>
    <t xml:space="preserve">          [*] 4311 (Foreign Import Costs - Air)</t>
  </si>
  <si>
    <t xml:space="preserve">          [*] 4312 (Foreign Import Costs - Ocean)</t>
  </si>
  <si>
    <t xml:space="preserve">          [*] 4313 (Foreign Import Costs - Customs Duty)</t>
  </si>
  <si>
    <t xml:space="preserve">          [*] 4319 (Foreign Import Costs - Misc Costs)</t>
  </si>
  <si>
    <t xml:space="preserve">          [*] 4375 (Landed Costs Absorbed)</t>
  </si>
  <si>
    <t xml:space="preserve">          [*] 4376 (Landed Costs Absorbed - Freight)</t>
  </si>
  <si>
    <t xml:space="preserve">     [+] Freight Out</t>
  </si>
  <si>
    <t xml:space="preserve">          [*] 4325 (Freight Out Merchandise- Domestic)</t>
  </si>
  <si>
    <t xml:space="preserve">          [*] 4327 (Freight Out Merchandise - Paid)</t>
  </si>
  <si>
    <t xml:space="preserve">          [*] 4330 (Foreign Export Costs)</t>
  </si>
  <si>
    <t xml:space="preserve">          [*] 4331 (Foreign Export Costs - Air)</t>
  </si>
  <si>
    <t xml:space="preserve">          [*] 4333 (Foreign Export Costs - Customs Duty)</t>
  </si>
  <si>
    <t xml:space="preserve">          [*] 4339 (Foreign Export Costs - Misc)</t>
  </si>
  <si>
    <t xml:space="preserve">          [*] 4390 (Freight Allocation)</t>
  </si>
  <si>
    <t>[+] Other</t>
  </si>
  <si>
    <t xml:space="preserve">     [*] 4505 (Change in Finished Goods)</t>
  </si>
  <si>
    <t xml:space="preserve">     [*] 4700 (Non Sales Use of Finished Goods-Non Sale Use of Fi)</t>
  </si>
  <si>
    <t xml:space="preserve">     [*] 4703 (Perpetual Adjustments)</t>
  </si>
  <si>
    <t xml:space="preserve">     [*] 4705 (End of Piece)</t>
  </si>
  <si>
    <t xml:space="preserve">     [*] 4706 (Physical Measurement)</t>
  </si>
  <si>
    <t xml:space="preserve">     [*] 4707 (Yard Out)</t>
  </si>
  <si>
    <t xml:space="preserve">     [*] 4708 (Scrap)</t>
  </si>
  <si>
    <t xml:space="preserve">     [*] 4709 (QA)</t>
  </si>
  <si>
    <t xml:space="preserve">     [*] 4710 (Customer Goodwill)</t>
  </si>
  <si>
    <t xml:space="preserve">     [*] 4711 (System Error)</t>
  </si>
  <si>
    <t xml:space="preserve">     [*] 4712 (Clerical Error)</t>
  </si>
  <si>
    <t xml:space="preserve">     [*] 4713 (Vendor Shortage)</t>
  </si>
  <si>
    <t xml:space="preserve">     [*] 4714 (Split)</t>
  </si>
  <si>
    <t xml:space="preserve">     [*] 4715 (Found Stock)</t>
  </si>
  <si>
    <t xml:space="preserve">     [*] 4716 (Lost Stock)</t>
  </si>
  <si>
    <t xml:space="preserve">     [*] 4718 (1/8 to 1/10)</t>
  </si>
  <si>
    <t xml:space="preserve">     [*] 4719 (Vendor Good Will)</t>
  </si>
  <si>
    <t xml:space="preserve">     [*] 4720 (Disposal)</t>
  </si>
  <si>
    <t xml:space="preserve">     [*] 4721 (Returns)</t>
  </si>
  <si>
    <t xml:space="preserve">     [*] 4725 (Physical Inventory)</t>
  </si>
  <si>
    <t xml:space="preserve">     [*] 4726 (Cycle Count)</t>
  </si>
  <si>
    <t>[+] Net Sales</t>
  </si>
  <si>
    <t xml:space="preserve">     [*] 3010 (Sales - Regular)</t>
  </si>
  <si>
    <t xml:space="preserve">     [*] 3011 (Sales - Paint)</t>
  </si>
  <si>
    <t xml:space="preserve">     [*] 3012 (Sales - Paint Samples)</t>
  </si>
  <si>
    <t xml:space="preserve">     [*] 3013 (Sales - Paint Supplies)</t>
  </si>
  <si>
    <t xml:space="preserve">     [*] 3014 (Sales - Wallcoverings)</t>
  </si>
  <si>
    <t xml:space="preserve">     [*] 3015 (Sales Adjustments)</t>
  </si>
  <si>
    <t xml:space="preserve">     [*] 3018 (Sales - Popup Showroom)</t>
  </si>
  <si>
    <t xml:space="preserve">     [*] 3020 (Sales - 3rd Party)</t>
  </si>
  <si>
    <t xml:space="preserve">     [*] 3021 (Sales - Subscriptions)</t>
  </si>
  <si>
    <t xml:space="preserve">     [*] 3022 (Sales - Advertising)</t>
  </si>
  <si>
    <t xml:space="preserve">     [*] 3023 (Sales - Media)</t>
  </si>
  <si>
    <t xml:space="preserve">     [*] 3025 (Sales - Intercompany)</t>
  </si>
  <si>
    <t xml:space="preserve">     [*] 3050 (Returns - Regular)</t>
  </si>
  <si>
    <t xml:space="preserve">     [*] 3051 (Returns - Trim)</t>
  </si>
  <si>
    <t xml:space="preserve">     [*] 3052 (Allowances)</t>
  </si>
  <si>
    <t xml:space="preserve">     [*] 3053 (Allowances - Trim)</t>
  </si>
  <si>
    <t xml:space="preserve">     [*] 3200 (Sales - Samples)</t>
  </si>
  <si>
    <t xml:space="preserve">     [*] 3250 (Returns &amp; Allowances - Samples)</t>
  </si>
  <si>
    <t xml:space="preserve">     [*] 3550 (Returns &amp; Allowances Reserve)</t>
  </si>
  <si>
    <t xml:space="preserve">     [*] 3610 (Discounts)</t>
  </si>
  <si>
    <t xml:space="preserve">     [*] 3611 (Discounts - Trim)</t>
  </si>
  <si>
    <t xml:space="preserve">     [*] 3640 (Special Charges)</t>
  </si>
  <si>
    <t xml:space="preserve">     [*] 3660 (Sales Restocking Charge)</t>
  </si>
  <si>
    <t>[+] Freight Revenue</t>
  </si>
  <si>
    <t xml:space="preserve">     [*] 4326 (Freight Out Merchandise - Billed- Revenue)</t>
  </si>
  <si>
    <t>[+] Other Revenue</t>
  </si>
  <si>
    <t xml:space="preserve">     [*] 3690 (Other Income - Royalty)</t>
  </si>
  <si>
    <t xml:space="preserve">     [*] 3695 (Other Income - Commission)</t>
  </si>
  <si>
    <t xml:space="preserve">     [*] 3650 (Other Revenue)</t>
  </si>
  <si>
    <t>6215 (Entertainment Expense)</t>
  </si>
  <si>
    <t>6445 (Shipping Supplies-Misc)</t>
  </si>
  <si>
    <t>4812 (Amortization of Artwork)</t>
  </si>
  <si>
    <t>9000 (Backdrop - Amortization of Goodwill)</t>
  </si>
  <si>
    <t>6805 (Bad Debt Expense)</t>
  </si>
  <si>
    <t>6835 (Other Taxes)</t>
  </si>
  <si>
    <t>6705 (Building Supplies)</t>
  </si>
  <si>
    <t>6305 (Advertising Production)</t>
  </si>
  <si>
    <t>6315 (Promotional Material)</t>
  </si>
  <si>
    <t>6355 (Special Events)</t>
  </si>
  <si>
    <t>6620 (Bank Charges)</t>
  </si>
  <si>
    <t>6860 (Foreign Exchange (Gain)/Loss)</t>
  </si>
  <si>
    <t>6765 (Telephone - Local)</t>
  </si>
  <si>
    <t>6380 (Industry Events)</t>
  </si>
  <si>
    <t>Two 4-day weeks. Also lower color count SKUs.</t>
  </si>
  <si>
    <t>Couldn't locate the invoices so had to expense</t>
  </si>
  <si>
    <t>Diving deep into ink cost with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</si>
</sst>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_);\ @\ "/>
    <numFmt numFmtId="165" formatCode="&quot;Total Rows:&quot;\ #;&quot;Total Rows:&quot;\ \-#;&quot;&quot;;@"/>
    <numFmt numFmtId="166" formatCode="\ &quot;Active&quot;\ 0;&quot;&quot;;\ &quot;None&quot;;@"/>
    <numFmt numFmtId="167" formatCode="\(0\)\ ;&quot;&quot;\ ;&quot;&quot;\ ;&quot;&quot;\ @"/>
    <numFmt numFmtId="168" formatCode="&quot;Opening Period: &quot;mmmm\,\ yyyy;@"/>
    <numFmt numFmtId="169" formatCode="&quot;$&quot;#,###;\(&quot;$&quot;#,###\)\ "/>
    <numFmt numFmtId="170" formatCode="[Color53]\(0\);[Color53]\(0\);&quot;&quot;;[Color53]@"/>
    <numFmt numFmtId="171" formatCode="_(* #,##0_);_(* \(#,##0\);_(* &quot;-&quot;_);@\ "/>
    <numFmt numFmtId="172" formatCode="_(* #,##0_);_(* \(#,##0\);_(* &quot;-&quot;_);@"/>
    <numFmt numFmtId="173" formatCode="\ #&quot;▾&quot;;\ \-#&quot;▾&quot;;\ &quot;▾&quot;;@&quot;▾&quot;"/>
    <numFmt numFmtId="174" formatCode="\ 0\ &quot;Days&quot;;[Color53]\ \-0\ &quot;Days&quot;;[Color53]\ &quot;Immediate&quot;;@"/>
    <numFmt numFmtId="175" formatCode="\ #&quot;▾&quot;;\ \-#&quot;▾&quot;;&quot;▾&quot;;@&quot;▾&quot;"/>
    <numFmt numFmtId="176" formatCode="[Color53]\✗;#;[Color15]\✓;@"/>
    <numFmt numFmtId="177" formatCode="&quot;$&quot;#,###,&quot;k&quot;;\(&quot;$&quot;#,###,&quot;k&quot;\)\ "/>
    <numFmt numFmtId="178" formatCode="&quot;$&quot;#,###,,&quot;m&quot;;\(&quot;$&quot;#,###,,&quot;m&quot;\)"/>
    <numFmt numFmtId="179" formatCode="[$-409]\ mmm\ yy;@"/>
    <numFmt numFmtId="180" formatCode="[$-409]\ mmm\ ;@"/>
    <numFmt numFmtId="181" formatCode="[Color53]&quot;▴&quot;&quot;$&quot;#,###,&quot;k&quot;;[Color10]&quot;▾&quot;&quot;$&quot;#,###,&quot;k&quot;;\ &quot;-&quot;\ ;@"/>
    <numFmt numFmtId="182" formatCode="[Color10]&quot;▴&quot;&quot;$&quot;#,###,&quot;k&quot;;[Color53]&quot;▾&quot;&quot;$&quot;#,###,&quot;k&quot;;\ &quot;-&quot;\ ;@"/>
    <numFmt numFmtId="183" formatCode="_(* #,##0.0%_);_(* \(#,##0.0%\);_(* &quot;-&quot;_);@"/>
    <numFmt numFmtId="184" formatCode="[$-409]mmm/d/yyyy;"/>
    <numFmt numFmtId="185" formatCode="_(* #,##0_);_(* \(#,##0\);_(* &quot;-&quot;_);\ &quot;•&quot;\ @"/>
    <numFmt numFmtId="186" formatCode="[Color53]&quot;▴&quot;#,###;[Color10]&quot;▾&quot;#,###;&quot;&quot;;@"/>
    <numFmt numFmtId="187" formatCode="[Color10]&quot;▴&quot;#,###;[Color53]&quot;▾&quot;#,###;&quot;&quot;;@"/>
    <numFmt numFmtId="188" formatCode="_(* #,##0_);_(* \(#,##0\);_(* &quot;-&quot;_);&quot;▸&quot;\ @"/>
    <numFmt numFmtId="189" formatCode="0.0%"/>
    <numFmt numFmtId="190" formatCode="[$-409]\ mmm\ &quot;QTD&quot;\ yy;@"/>
    <numFmt numFmtId="191" formatCode="[$-409]\ mmm\ &quot;YTD&quot;\ yy;@"/>
    <numFmt numFmtId="192" formatCode="###&quot;bps&quot;"/>
    <numFmt numFmtId="193" formatCode="_(* #,##0_);_(* \(#,##0\);_(* &quot;-&quot;??_);_(@_)"/>
    <numFmt numFmtId="194" formatCode="&quot;[+] &quot;@"/>
    <numFmt numFmtId="195" formatCode="&quot;     [*] &quot;@"/>
    <numFmt numFmtId="196" formatCode="&quot;          [*] &quot;@"/>
    <numFmt numFmtId="197" formatCode="&quot;     [+] &quot;@"/>
  </numFmts>
  <fonts count="76" x14ac:knownFonts="1">
    <font>
      <sz val="9"/>
      <color theme="1" tint="0.39994506668294322"/>
      <name val="Arial Nova"/>
      <family val="2"/>
      <scheme val="minor"/>
    </font>
    <font>
      <sz val="11"/>
      <color theme="1"/>
      <name val="Arial Nova"/>
      <family val="2"/>
      <scheme val="minor"/>
    </font>
    <font>
      <sz val="18"/>
      <color theme="3"/>
      <name val="Franklin Gothic Medium Cond"/>
      <family val="2"/>
      <scheme val="major"/>
    </font>
    <font>
      <b/>
      <sz val="16"/>
      <color theme="1"/>
      <name val="Arial Nova"/>
      <family val="2"/>
      <scheme val="minor"/>
    </font>
    <font>
      <sz val="10"/>
      <color theme="0"/>
      <name val="Franklin Gothic Medium Cond"/>
      <family val="2"/>
      <scheme val="major"/>
    </font>
    <font>
      <sz val="11"/>
      <color theme="0"/>
      <name val="Franklin Gothic Medium Cond"/>
      <family val="2"/>
      <scheme val="major"/>
    </font>
    <font>
      <sz val="9"/>
      <color theme="1"/>
      <name val="Arial Nova"/>
      <family val="2"/>
      <scheme val="minor"/>
    </font>
    <font>
      <sz val="9.5"/>
      <color theme="0"/>
      <name val="Franklin Gothic Medium Cond"/>
      <family val="2"/>
      <scheme val="major"/>
    </font>
    <font>
      <sz val="14"/>
      <color theme="0"/>
      <name val="Franklin Gothic Medium Cond"/>
      <family val="2"/>
      <scheme val="major"/>
    </font>
    <font>
      <sz val="10"/>
      <color theme="1" tint="0.39991454817346722"/>
      <name val="Franklin Gothic Medium Cond"/>
      <family val="2"/>
      <scheme val="major"/>
    </font>
    <font>
      <sz val="15"/>
      <color theme="1"/>
      <name val="Franklin Gothic Medium Cond"/>
      <family val="2"/>
      <scheme val="major"/>
    </font>
    <font>
      <b/>
      <sz val="9"/>
      <color theme="1"/>
      <name val="Arial Nova"/>
      <family val="2"/>
      <scheme val="minor"/>
    </font>
    <font>
      <b/>
      <sz val="9.5"/>
      <color theme="1"/>
      <name val="Arial Nova"/>
      <family val="2"/>
      <scheme val="minor"/>
    </font>
    <font>
      <sz val="9"/>
      <color theme="0" tint="-4.9989318521683403E-2"/>
      <name val="Arial Nova"/>
      <family val="2"/>
      <scheme val="minor"/>
    </font>
    <font>
      <sz val="9"/>
      <color theme="1" tint="0.39994506668294322"/>
      <name val="Arial Nova"/>
      <family val="2"/>
      <scheme val="minor"/>
    </font>
    <font>
      <sz val="14"/>
      <color theme="1"/>
      <name val="Franklin Gothic Medium Cond"/>
      <family val="2"/>
      <scheme val="major"/>
    </font>
    <font>
      <b/>
      <sz val="9.5"/>
      <color theme="0"/>
      <name val="Arial Nova"/>
      <family val="2"/>
      <scheme val="minor"/>
    </font>
    <font>
      <sz val="10"/>
      <color theme="1"/>
      <name val="Franklin Gothic Medium Cond"/>
      <family val="2"/>
      <scheme val="major"/>
    </font>
    <font>
      <sz val="11"/>
      <color theme="1" tint="0.39994506668294322"/>
      <name val="Franklin Gothic Medium Cond"/>
      <family val="2"/>
      <scheme val="major"/>
    </font>
    <font>
      <sz val="9"/>
      <color theme="1" tint="0.34998626667073579"/>
      <name val="Arial Nova"/>
      <family val="2"/>
      <scheme val="minor"/>
    </font>
    <font>
      <sz val="11"/>
      <color rgb="FF006100"/>
      <name val="Arial Nova"/>
      <family val="2"/>
      <scheme val="minor"/>
    </font>
    <font>
      <sz val="11"/>
      <color rgb="FF9C0006"/>
      <name val="Arial Nova"/>
      <family val="2"/>
      <scheme val="minor"/>
    </font>
    <font>
      <sz val="11"/>
      <color rgb="FF9C5700"/>
      <name val="Arial Nova"/>
      <family val="2"/>
      <scheme val="minor"/>
    </font>
    <font>
      <sz val="11"/>
      <color theme="0"/>
      <name val="Arial Nova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0"/>
      <name val="Franklin Gothic Medium Cond"/>
      <family val="2"/>
      <scheme val="major"/>
    </font>
    <font>
      <sz val="9"/>
      <color theme="1" tint="0.39994506668294322"/>
      <name val="Arial Nova"/>
      <family val="5"/>
      <scheme val="minor"/>
    </font>
    <font>
      <b/>
      <sz val="11"/>
      <color theme="1" tint="0.39994506668294322"/>
      <name val="Arial Nova"/>
      <family val="2"/>
      <scheme val="minor"/>
    </font>
    <font>
      <sz val="9"/>
      <color theme="0"/>
      <name val="Arial Nova"/>
      <family val="2"/>
      <scheme val="minor"/>
    </font>
    <font>
      <b/>
      <sz val="8"/>
      <color theme="1" tint="0.39994506668294322"/>
      <name val="Arial Nova"/>
      <family val="2"/>
      <scheme val="minor"/>
    </font>
    <font>
      <sz val="9"/>
      <color theme="4"/>
      <name val="Arial Nova"/>
      <family val="2"/>
      <scheme val="minor"/>
    </font>
    <font>
      <b/>
      <sz val="9"/>
      <color theme="3"/>
      <name val="Arial Nova"/>
      <family val="2"/>
      <scheme val="minor"/>
    </font>
    <font>
      <sz val="18"/>
      <color theme="4"/>
      <name val="Franklin Gothic Medium Cond"/>
      <family val="2"/>
      <scheme val="major"/>
    </font>
    <font>
      <b/>
      <sz val="24"/>
      <color theme="3"/>
      <name val="Franklin Gothic Medium Cond"/>
      <family val="2"/>
      <scheme val="major"/>
    </font>
    <font>
      <i/>
      <sz val="9"/>
      <color theme="1" tint="0.39994506668294322"/>
      <name val="Arial Nova"/>
      <family val="2"/>
      <scheme val="minor"/>
    </font>
    <font>
      <i/>
      <sz val="9"/>
      <color theme="1"/>
      <name val="Arial Nova"/>
      <family val="2"/>
      <scheme val="minor"/>
    </font>
    <font>
      <b/>
      <i/>
      <sz val="11"/>
      <color theme="1" tint="0.39994506668294322"/>
      <name val="Arial Nova"/>
      <family val="2"/>
      <scheme val="minor"/>
    </font>
    <font>
      <b/>
      <sz val="8"/>
      <color theme="1" tint="0.499984740745262"/>
      <name val="Arial"/>
      <family val="2"/>
    </font>
    <font>
      <b/>
      <sz val="12"/>
      <color theme="3"/>
      <name val="Franklin Gothic Medium Cond"/>
      <family val="2"/>
      <scheme val="major"/>
    </font>
    <font>
      <sz val="9"/>
      <color theme="1" tint="0.24994659260841701"/>
      <name val="Arial Nova"/>
      <family val="2"/>
    </font>
    <font>
      <b/>
      <i/>
      <sz val="9"/>
      <color theme="1"/>
      <name val="Arial Nova"/>
      <family val="2"/>
      <scheme val="minor"/>
    </font>
    <font>
      <b/>
      <sz val="9"/>
      <color theme="1" tint="0.39994506668294322"/>
      <name val="Arial Nova"/>
      <family val="2"/>
      <scheme val="minor"/>
    </font>
    <font>
      <b/>
      <sz val="9"/>
      <name val="Arial Nova"/>
      <family val="2"/>
      <scheme val="minor"/>
    </font>
    <font>
      <b/>
      <sz val="7"/>
      <color rgb="FF2D2A26"/>
      <name val="Open Sans"/>
      <family val="2"/>
    </font>
    <font>
      <sz val="10"/>
      <color rgb="FF00E0E0"/>
      <name val="Consolas"/>
      <family val="3"/>
    </font>
    <font>
      <sz val="9"/>
      <color rgb="FFFF0000"/>
      <name val="Arial Nova"/>
      <family val="2"/>
      <scheme val="minor"/>
    </font>
    <font>
      <sz val="7"/>
      <color rgb="FFFF0000"/>
      <name val="Open Sans"/>
      <family val="2"/>
    </font>
    <font>
      <sz val="7"/>
      <color rgb="FF2D2A26"/>
      <name val="Open Sans"/>
      <family val="2"/>
    </font>
    <font>
      <b/>
      <sz val="9"/>
      <color rgb="FFFF0000"/>
      <name val="Arial Nova"/>
      <family val="2"/>
      <scheme val="minor"/>
    </font>
    <font>
      <i/>
      <sz val="9"/>
      <color rgb="FFFF0000"/>
      <name val="Arial Nova"/>
      <family val="2"/>
      <scheme val="minor"/>
    </font>
    <font>
      <b/>
      <sz val="12"/>
      <color theme="2" tint="-0.499984740745262"/>
      <name val="Franklin Gothic Medium Cond"/>
      <family val="2"/>
      <scheme val="major"/>
    </font>
    <font>
      <b/>
      <i/>
      <sz val="12"/>
      <color theme="3"/>
      <name val="Franklin Gothic Medium Cond"/>
      <family val="2"/>
      <scheme val="major"/>
    </font>
    <font>
      <b/>
      <sz val="12"/>
      <color theme="4"/>
      <name val="Franklin Gothic Medium Cond"/>
      <family val="2"/>
      <scheme val="major"/>
    </font>
    <font>
      <i/>
      <sz val="11"/>
      <color theme="0"/>
      <name val="Franklin Gothic Medium Cond"/>
      <family val="2"/>
      <scheme val="major"/>
    </font>
    <font>
      <b/>
      <i/>
      <sz val="8"/>
      <color theme="1" tint="0.499984740745262"/>
      <name val="Arial"/>
      <family val="2"/>
    </font>
    <font>
      <sz val="9"/>
      <name val="Arial Nova"/>
      <family val="2"/>
      <scheme val="minor"/>
    </font>
    <font>
      <b/>
      <i/>
      <sz val="9"/>
      <name val="Arial Nova"/>
      <family val="2"/>
      <scheme val="minor"/>
    </font>
    <font>
      <b/>
      <i/>
      <sz val="9"/>
      <color theme="1" tint="0.39994506668294322"/>
      <name val="Arial Nova"/>
      <family val="2"/>
      <scheme val="minor"/>
    </font>
    <font>
      <b/>
      <i/>
      <sz val="8"/>
      <name val="Arial"/>
      <family val="2"/>
    </font>
    <font>
      <i/>
      <sz val="9"/>
      <name val="Arial Nova"/>
      <family val="2"/>
      <scheme val="minor"/>
    </font>
    <font>
      <i/>
      <sz val="18"/>
      <color theme="3"/>
      <name val="Franklin Gothic Medium Cond"/>
      <family val="2"/>
      <scheme val="major"/>
    </font>
    <font>
      <b/>
      <sz val="9.5"/>
      <color rgb="FFFF0000"/>
      <name val="Arial Nova"/>
      <family val="2"/>
      <scheme val="minor"/>
    </font>
    <font>
      <b/>
      <i/>
      <sz val="8"/>
      <color rgb="FFFF0000"/>
      <name val="Arial"/>
      <family val="2"/>
    </font>
    <font>
      <sz val="9"/>
      <color theme="5"/>
      <name val="Arial Nova"/>
      <family val="2"/>
      <scheme val="minor"/>
    </font>
    <font>
      <sz val="8"/>
      <color theme="0"/>
      <name val="Franklin Gothic Medium Cond"/>
      <family val="2"/>
      <scheme val="major"/>
    </font>
    <font>
      <sz val="9.5"/>
      <color theme="1"/>
      <name val="Arial Nova"/>
      <family val="2"/>
      <scheme val="minor"/>
    </font>
    <font>
      <b/>
      <sz val="9"/>
      <color theme="5"/>
      <name val="Arial Nova"/>
      <family val="2"/>
      <scheme val="minor"/>
    </font>
    <font>
      <sz val="10"/>
      <color rgb="FFFF0000"/>
      <name val="Franklin Gothic Medium Cond"/>
      <family val="2"/>
      <scheme val="major"/>
    </font>
    <font>
      <sz val="11"/>
      <color rgb="FFFF0000"/>
      <name val="Franklin Gothic Medium Cond"/>
      <family val="2"/>
      <scheme val="major"/>
    </font>
    <font>
      <b/>
      <i/>
      <sz val="9"/>
      <color rgb="FFFF0000"/>
      <name val="Arial Nova"/>
      <family val="2"/>
      <scheme val="minor"/>
    </font>
    <font>
      <sz val="18"/>
      <color rgb="FFFF0000"/>
      <name val="Franklin Gothic Medium Cond"/>
      <family val="2"/>
      <scheme val="major"/>
    </font>
    <font>
      <b/>
      <sz val="7"/>
      <color rgb="FFFF0000"/>
      <name val="Open Sans"/>
      <family val="2"/>
    </font>
    <font>
      <b/>
      <i/>
      <sz val="12"/>
      <color rgb="FFFF0000"/>
      <name val="Franklin Gothic Medium Cond"/>
      <family val="2"/>
      <scheme val="major"/>
    </font>
    <font>
      <i/>
      <sz val="11"/>
      <color rgb="FFFF0000"/>
      <name val="Franklin Gothic Medium Cond"/>
      <family val="2"/>
      <scheme val="major"/>
    </font>
    <font>
      <i/>
      <sz val="18"/>
      <color rgb="FFFF0000"/>
      <name val="Franklin Gothic Medium Cond"/>
      <family val="2"/>
      <scheme val="major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theme="3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0"/>
      </patternFill>
    </fill>
    <fill>
      <gradientFill degree="90">
        <stop position="0">
          <color theme="0"/>
        </stop>
        <stop position="1">
          <color theme="2" tint="0.80001220740379042"/>
        </stop>
      </gradientFill>
    </fill>
    <fill>
      <patternFill patternType="solid">
        <fgColor theme="0"/>
        <bgColor theme="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0.79998168889431442"/>
        <bgColor indexed="64"/>
      </patternFill>
    </fill>
    <fill>
      <gradientFill degree="90">
        <stop position="0">
          <color theme="0" tint="-5.0965910824915313E-2"/>
        </stop>
        <stop position="1">
          <color theme="2" tint="0.80001220740379042"/>
        </stop>
      </gradientFill>
    </fill>
    <fill>
      <patternFill patternType="solid">
        <fgColor theme="0" tint="-4.9989318521683403E-2"/>
        <bgColor theme="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-0.24994659260841701"/>
        <bgColor theme="3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2" tint="0.59996337778862885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theme="3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3"/>
      </left>
      <right style="medium">
        <color theme="3"/>
      </right>
      <top/>
      <bottom/>
      <diagonal/>
    </border>
    <border>
      <left/>
      <right/>
      <top/>
      <bottom style="thin">
        <color theme="0" tint="-0.1499069185460982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ck">
        <color theme="0" tint="-4.9989318521683403E-2"/>
      </right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 style="medium">
        <color theme="0" tint="-0.24994659260841701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ck">
        <color theme="3"/>
      </bottom>
      <diagonal/>
    </border>
    <border>
      <left/>
      <right/>
      <top style="medium">
        <color theme="1" tint="0.79998168889431442"/>
      </top>
      <bottom/>
      <diagonal/>
    </border>
    <border>
      <left/>
      <right style="thick">
        <color theme="0" tint="-4.9989318521683403E-2"/>
      </right>
      <top style="medium">
        <color theme="1" tint="0.79998168889431442"/>
      </top>
      <bottom/>
      <diagonal/>
    </border>
    <border>
      <left/>
      <right/>
      <top style="double">
        <color theme="1" tint="0.59996337778862885"/>
      </top>
      <bottom style="medium">
        <color theme="1" tint="0.59996337778862885"/>
      </bottom>
      <diagonal/>
    </border>
    <border>
      <left/>
      <right/>
      <top/>
      <bottom style="thick">
        <color theme="0" tint="-4.9989318521683403E-2"/>
      </bottom>
      <diagonal/>
    </border>
    <border>
      <left/>
      <right/>
      <top/>
      <bottom style="thick">
        <color theme="4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3" borderId="0">
      <alignment vertical="center"/>
    </xf>
    <xf numFmtId="0" fontId="34" fillId="3" borderId="0">
      <alignment horizontal="left"/>
    </xf>
    <xf numFmtId="41" fontId="29" fillId="10" borderId="6">
      <alignment horizontal="left" vertical="center"/>
    </xf>
    <xf numFmtId="41" fontId="6" fillId="14" borderId="6">
      <alignment horizontal="left" vertical="center"/>
    </xf>
    <xf numFmtId="41" fontId="6" fillId="3" borderId="12">
      <alignment horizontal="left" vertical="center" shrinkToFit="1"/>
    </xf>
    <xf numFmtId="41" fontId="29" fillId="10" borderId="13">
      <alignment horizontal="left" vertical="center"/>
    </xf>
    <xf numFmtId="41" fontId="6" fillId="11" borderId="1">
      <alignment horizontal="left" vertical="center" shrinkToFit="1"/>
      <protection locked="0"/>
    </xf>
    <xf numFmtId="41" fontId="6" fillId="2" borderId="1">
      <alignment horizontal="left" vertical="center" shrinkToFit="1"/>
    </xf>
    <xf numFmtId="41" fontId="6" fillId="3" borderId="5">
      <alignment horizontal="left" vertical="center" shrinkToFit="1"/>
    </xf>
    <xf numFmtId="41" fontId="31" fillId="2" borderId="1">
      <alignment horizontal="left" vertical="center" shrinkToFit="1"/>
    </xf>
    <xf numFmtId="170" fontId="14" fillId="14" borderId="6">
      <alignment horizontal="left" vertical="center"/>
    </xf>
    <xf numFmtId="167" fontId="19" fillId="14" borderId="19">
      <alignment horizontal="left" vertical="center"/>
    </xf>
    <xf numFmtId="0" fontId="32" fillId="3" borderId="0">
      <alignment horizontal="left"/>
    </xf>
    <xf numFmtId="0" fontId="6" fillId="3" borderId="7">
      <alignment horizontal="left" vertical="center"/>
    </xf>
    <xf numFmtId="41" fontId="11" fillId="3" borderId="18">
      <alignment horizontal="right" vertical="center" shrinkToFit="1"/>
    </xf>
    <xf numFmtId="177" fontId="3" fillId="2" borderId="1" applyFill="0" applyBorder="0" applyProtection="0">
      <alignment horizontal="right" vertical="center" shrinkToFit="1"/>
    </xf>
    <xf numFmtId="178" fontId="3" fillId="2" borderId="1" applyFill="0" applyBorder="0" applyProtection="0">
      <alignment horizontal="right" vertical="center" shrinkToFit="1"/>
    </xf>
    <xf numFmtId="0" fontId="14" fillId="3" borderId="2">
      <alignment horizontal="left" vertical="center"/>
    </xf>
    <xf numFmtId="0" fontId="14" fillId="4" borderId="2">
      <alignment horizontal="left" vertical="center"/>
    </xf>
    <xf numFmtId="0" fontId="14" fillId="42" borderId="2">
      <alignment horizontal="left" vertical="center"/>
    </xf>
    <xf numFmtId="0" fontId="4" fillId="43" borderId="3">
      <alignment horizontal="left" vertical="center"/>
    </xf>
    <xf numFmtId="0" fontId="5" fillId="44" borderId="4">
      <alignment horizontal="left" vertical="center" shrinkToFit="1"/>
    </xf>
    <xf numFmtId="0" fontId="5" fillId="5" borderId="0">
      <alignment horizontal="left" vertical="center" shrinkToFit="1"/>
    </xf>
    <xf numFmtId="179" fontId="5" fillId="6" borderId="0">
      <alignment horizontal="right" vertical="center" shrinkToFit="1"/>
    </xf>
    <xf numFmtId="0" fontId="4" fillId="7" borderId="0">
      <alignment horizontal="right" vertical="center"/>
    </xf>
    <xf numFmtId="0" fontId="5" fillId="6" borderId="0">
      <alignment horizontal="left" vertical="center"/>
    </xf>
    <xf numFmtId="180" fontId="7" fillId="45" borderId="4">
      <alignment horizontal="right" vertical="center" shrinkToFit="1"/>
    </xf>
    <xf numFmtId="0" fontId="26" fillId="6" borderId="0">
      <alignment horizontal="left" vertical="center"/>
    </xf>
    <xf numFmtId="0" fontId="8" fillId="6" borderId="0">
      <alignment horizontal="left" vertical="center"/>
    </xf>
    <xf numFmtId="171" fontId="27" fillId="2" borderId="0">
      <alignment horizontal="left" vertical="center"/>
    </xf>
    <xf numFmtId="171" fontId="14" fillId="2" borderId="1">
      <alignment horizontal="left" vertical="center" shrinkToFit="1"/>
    </xf>
    <xf numFmtId="172" fontId="27" fillId="2" borderId="8">
      <alignment horizontal="left" vertical="center"/>
    </xf>
    <xf numFmtId="173" fontId="6" fillId="8" borderId="9">
      <alignment horizontal="left" vertical="center"/>
      <protection locked="0"/>
    </xf>
    <xf numFmtId="180" fontId="9" fillId="2" borderId="10">
      <alignment horizontal="center" vertical="center" shrinkToFit="1"/>
    </xf>
    <xf numFmtId="0" fontId="10" fillId="9" borderId="0">
      <alignment horizontal="left" vertical="center"/>
    </xf>
    <xf numFmtId="172" fontId="11" fillId="2" borderId="11">
      <alignment horizontal="left" vertical="center" shrinkToFit="1"/>
    </xf>
    <xf numFmtId="165" fontId="12" fillId="3" borderId="12">
      <alignment horizontal="left" vertical="center" shrinkToFit="1"/>
    </xf>
    <xf numFmtId="166" fontId="6" fillId="3" borderId="12">
      <alignment horizontal="left" vertical="center"/>
    </xf>
    <xf numFmtId="183" fontId="6" fillId="11" borderId="1">
      <alignment horizontal="left" vertical="center" shrinkToFit="1"/>
      <protection locked="0"/>
    </xf>
    <xf numFmtId="184" fontId="6" fillId="11" borderId="1">
      <alignment horizontal="right" vertical="center" shrinkToFit="1"/>
      <protection locked="0"/>
    </xf>
    <xf numFmtId="174" fontId="6" fillId="11" borderId="1">
      <alignment horizontal="right" vertical="center"/>
      <protection locked="0"/>
    </xf>
    <xf numFmtId="175" fontId="6" fillId="12" borderId="1">
      <alignment horizontal="left" vertical="center" shrinkToFit="1"/>
      <protection locked="0"/>
    </xf>
    <xf numFmtId="172" fontId="6" fillId="46" borderId="1">
      <alignment horizontal="left" vertical="center" shrinkToFit="1"/>
      <protection locked="0"/>
    </xf>
    <xf numFmtId="0" fontId="6" fillId="46" borderId="1">
      <alignment horizontal="left" vertical="center"/>
      <protection locked="0"/>
    </xf>
    <xf numFmtId="0" fontId="6" fillId="11" borderId="1">
      <alignment horizontal="left" vertical="center"/>
      <protection locked="0"/>
    </xf>
    <xf numFmtId="183" fontId="6" fillId="3" borderId="14">
      <alignment horizontal="left" vertical="center" shrinkToFit="1"/>
    </xf>
    <xf numFmtId="185" fontId="6" fillId="3" borderId="14">
      <alignment horizontal="left" vertical="center"/>
    </xf>
    <xf numFmtId="184" fontId="6" fillId="3" borderId="14">
      <alignment horizontal="right" vertical="center" shrinkToFit="1"/>
    </xf>
    <xf numFmtId="164" fontId="14" fillId="3" borderId="14">
      <alignment horizontal="left" vertical="center"/>
    </xf>
    <xf numFmtId="183" fontId="6" fillId="2" borderId="1">
      <alignment horizontal="left" vertical="center" shrinkToFit="1"/>
    </xf>
    <xf numFmtId="0" fontId="6" fillId="2" borderId="1">
      <alignment horizontal="left" vertical="center"/>
    </xf>
    <xf numFmtId="0" fontId="2" fillId="13" borderId="15">
      <alignment horizontal="left"/>
    </xf>
    <xf numFmtId="0" fontId="33" fillId="3" borderId="20">
      <alignment horizontal="left"/>
    </xf>
    <xf numFmtId="0" fontId="15" fillId="13" borderId="0">
      <alignment horizontal="left" vertical="top"/>
    </xf>
    <xf numFmtId="0" fontId="10" fillId="9" borderId="0">
      <alignment horizontal="left" vertical="center"/>
    </xf>
    <xf numFmtId="0" fontId="16" fillId="10" borderId="6">
      <alignment horizontal="left" vertical="center"/>
    </xf>
    <xf numFmtId="0" fontId="12" fillId="14" borderId="6">
      <alignment horizontal="left" vertical="center"/>
    </xf>
    <xf numFmtId="188" fontId="12" fillId="14" borderId="6">
      <alignment horizontal="left" vertical="center"/>
    </xf>
    <xf numFmtId="0" fontId="12" fillId="3" borderId="12">
      <alignment horizontal="left" vertical="center"/>
    </xf>
    <xf numFmtId="0" fontId="17" fillId="3" borderId="16">
      <alignment horizontal="left" vertical="center"/>
    </xf>
    <xf numFmtId="0" fontId="18" fillId="14" borderId="17">
      <alignment horizontal="left" vertical="center"/>
    </xf>
    <xf numFmtId="0" fontId="20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3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3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176" fontId="28" fillId="3" borderId="14">
      <alignment horizontal="left" vertical="center"/>
    </xf>
    <xf numFmtId="169" fontId="3" fillId="2" borderId="1" applyFill="0" applyBorder="0" applyProtection="0">
      <alignment horizontal="right" vertical="center" shrinkToFit="1"/>
    </xf>
    <xf numFmtId="186" fontId="30" fillId="3" borderId="0">
      <alignment horizontal="right" vertical="center" shrinkToFit="1"/>
    </xf>
    <xf numFmtId="187" fontId="30" fillId="3" borderId="0">
      <alignment horizontal="right" vertical="center" shrinkToFit="1"/>
    </xf>
    <xf numFmtId="181" fontId="28" fillId="2" borderId="1" applyFill="0" applyBorder="0">
      <alignment horizontal="right" vertical="center" shrinkToFit="1"/>
    </xf>
    <xf numFmtId="182" fontId="28" fillId="2" borderId="1" applyFill="0" applyBorder="0">
      <alignment horizontal="right" vertical="center" shrinkToFit="1"/>
    </xf>
    <xf numFmtId="184" fontId="6" fillId="2" borderId="1">
      <alignment horizontal="right" vertical="center" shrinkToFit="1"/>
    </xf>
    <xf numFmtId="189" fontId="38" fillId="3" borderId="21">
      <alignment vertical="center"/>
    </xf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40" fillId="0" borderId="0" applyFont="0" applyFill="0" applyBorder="0" applyAlignment="0" applyProtection="0"/>
  </cellStyleXfs>
  <cellXfs count="262">
    <xf numFmtId="0" fontId="0" fillId="3" borderId="0" xfId="0">
      <alignment vertical="center"/>
    </xf>
    <xf numFmtId="0" fontId="14" fillId="3" borderId="2" xfId="17">
      <alignment horizontal="left" vertical="center"/>
    </xf>
    <xf numFmtId="0" fontId="2" fillId="13" borderId="15" xfId="51">
      <alignment horizontal="left"/>
    </xf>
    <xf numFmtId="0" fontId="6" fillId="3" borderId="7" xfId="13">
      <alignment horizontal="left" vertical="center"/>
    </xf>
    <xf numFmtId="0" fontId="12" fillId="14" borderId="6" xfId="56">
      <alignment horizontal="left" vertical="center"/>
    </xf>
    <xf numFmtId="41" fontId="6" fillId="14" borderId="6" xfId="3">
      <alignment horizontal="left" vertical="center"/>
    </xf>
    <xf numFmtId="0" fontId="0" fillId="3" borderId="0" xfId="0" applyAlignment="1">
      <alignment horizontal="right" vertical="center"/>
    </xf>
    <xf numFmtId="179" fontId="39" fillId="3" borderId="0" xfId="1" applyNumberFormat="1" applyFont="1" applyAlignment="1">
      <alignment horizontal="center"/>
    </xf>
    <xf numFmtId="9" fontId="0" fillId="3" borderId="0" xfId="96" applyFont="1" applyFill="1" applyAlignment="1">
      <alignment vertical="center"/>
    </xf>
    <xf numFmtId="0" fontId="34" fillId="3" borderId="0" xfId="1">
      <alignment horizontal="left"/>
    </xf>
    <xf numFmtId="0" fontId="15" fillId="13" borderId="0" xfId="53">
      <alignment horizontal="left" vertical="top"/>
    </xf>
    <xf numFmtId="168" fontId="5" fillId="7" borderId="0" xfId="53" applyNumberFormat="1" applyFont="1" applyFill="1">
      <alignment horizontal="left" vertical="top"/>
    </xf>
    <xf numFmtId="0" fontId="4" fillId="7" borderId="0" xfId="24">
      <alignment horizontal="right" vertical="center"/>
    </xf>
    <xf numFmtId="0" fontId="4" fillId="6" borderId="0" xfId="25" applyFont="1">
      <alignment horizontal="left" vertical="center"/>
    </xf>
    <xf numFmtId="0" fontId="0" fillId="47" borderId="0" xfId="0" applyFill="1">
      <alignment vertical="center"/>
    </xf>
    <xf numFmtId="0" fontId="35" fillId="3" borderId="0" xfId="0" applyFont="1">
      <alignment vertical="center"/>
    </xf>
    <xf numFmtId="164" fontId="35" fillId="3" borderId="14" xfId="48" applyFont="1">
      <alignment horizontal="left" vertical="center"/>
    </xf>
    <xf numFmtId="176" fontId="37" fillId="3" borderId="14" xfId="88" applyFont="1">
      <alignment horizontal="left" vertical="center"/>
    </xf>
    <xf numFmtId="164" fontId="14" fillId="3" borderId="14" xfId="48">
      <alignment horizontal="left" vertical="center"/>
    </xf>
    <xf numFmtId="0" fontId="12" fillId="3" borderId="12" xfId="58">
      <alignment horizontal="left" vertical="center"/>
    </xf>
    <xf numFmtId="189" fontId="0" fillId="3" borderId="0" xfId="0" applyNumberFormat="1">
      <alignment vertical="center"/>
    </xf>
    <xf numFmtId="164" fontId="13" fillId="3" borderId="14" xfId="48" applyFont="1">
      <alignment horizontal="left" vertical="center"/>
    </xf>
    <xf numFmtId="41" fontId="0" fillId="3" borderId="0" xfId="0" applyNumberFormat="1">
      <alignment vertical="center"/>
    </xf>
    <xf numFmtId="2" fontId="6" fillId="14" borderId="6" xfId="3" applyNumberFormat="1">
      <alignment horizontal="left" vertical="center"/>
    </xf>
    <xf numFmtId="0" fontId="43" fillId="3" borderId="0" xfId="0" applyFont="1">
      <alignment vertical="center"/>
    </xf>
    <xf numFmtId="0" fontId="43" fillId="3" borderId="0" xfId="13" applyFont="1" applyBorder="1">
      <alignment horizontal="left" vertical="center"/>
    </xf>
    <xf numFmtId="41" fontId="43" fillId="3" borderId="0" xfId="0" applyNumberFormat="1" applyFont="1">
      <alignment vertical="center"/>
    </xf>
    <xf numFmtId="0" fontId="6" fillId="3" borderId="0" xfId="13" applyBorder="1">
      <alignment horizontal="left" vertical="center"/>
    </xf>
    <xf numFmtId="0" fontId="42" fillId="3" borderId="0" xfId="0" applyFont="1">
      <alignment vertical="center"/>
    </xf>
    <xf numFmtId="189" fontId="0" fillId="3" borderId="0" xfId="96" applyNumberFormat="1" applyFont="1" applyFill="1" applyAlignment="1">
      <alignment vertical="center"/>
    </xf>
    <xf numFmtId="0" fontId="5" fillId="5" borderId="0" xfId="22" applyAlignment="1">
      <alignment horizontal="center" vertical="center" shrinkToFit="1"/>
    </xf>
    <xf numFmtId="0" fontId="42" fillId="48" borderId="0" xfId="0" applyFont="1" applyFill="1">
      <alignment vertical="center"/>
    </xf>
    <xf numFmtId="0" fontId="42" fillId="49" borderId="0" xfId="0" applyFont="1" applyFill="1">
      <alignment vertical="center"/>
    </xf>
    <xf numFmtId="0" fontId="45" fillId="3" borderId="0" xfId="0" applyFont="1" applyAlignment="1">
      <alignment horizontal="left" vertical="center" indent="1"/>
    </xf>
    <xf numFmtId="0" fontId="42" fillId="48" borderId="2" xfId="17" applyFont="1" applyFill="1">
      <alignment horizontal="left" vertical="center"/>
    </xf>
    <xf numFmtId="0" fontId="0" fillId="48" borderId="0" xfId="0" applyFill="1">
      <alignment vertical="center"/>
    </xf>
    <xf numFmtId="0" fontId="46" fillId="48" borderId="2" xfId="17" applyFont="1" applyFill="1">
      <alignment horizontal="left" vertical="center"/>
    </xf>
    <xf numFmtId="0" fontId="47" fillId="48" borderId="0" xfId="0" applyFont="1" applyFill="1">
      <alignment vertical="center"/>
    </xf>
    <xf numFmtId="179" fontId="5" fillId="6" borderId="0" xfId="23" applyAlignment="1">
      <alignment horizontal="center" vertical="center" shrinkToFit="1"/>
    </xf>
    <xf numFmtId="191" fontId="5" fillId="6" borderId="0" xfId="23" applyNumberFormat="1" applyAlignment="1">
      <alignment horizontal="center" vertical="center" shrinkToFit="1"/>
    </xf>
    <xf numFmtId="0" fontId="14" fillId="48" borderId="2" xfId="17" applyFill="1">
      <alignment horizontal="left" vertical="center"/>
    </xf>
    <xf numFmtId="0" fontId="35" fillId="48" borderId="0" xfId="0" applyFont="1" applyFill="1" applyAlignment="1">
      <alignment horizontal="left" vertical="center"/>
    </xf>
    <xf numFmtId="0" fontId="35" fillId="48" borderId="0" xfId="0" applyFont="1" applyFill="1">
      <alignment vertical="center"/>
    </xf>
    <xf numFmtId="0" fontId="48" fillId="48" borderId="0" xfId="0" applyFont="1" applyFill="1">
      <alignment vertical="center"/>
    </xf>
    <xf numFmtId="0" fontId="44" fillId="48" borderId="0" xfId="0" applyFont="1" applyFill="1">
      <alignment vertical="center"/>
    </xf>
    <xf numFmtId="179" fontId="5" fillId="6" borderId="0" xfId="23">
      <alignment horizontal="right" vertical="center" shrinkToFit="1"/>
    </xf>
    <xf numFmtId="0" fontId="49" fillId="3" borderId="0" xfId="0" applyFont="1">
      <alignment vertical="center"/>
    </xf>
    <xf numFmtId="0" fontId="46" fillId="3" borderId="0" xfId="0" applyFont="1">
      <alignment vertical="center"/>
    </xf>
    <xf numFmtId="0" fontId="35" fillId="3" borderId="0" xfId="0" applyFont="1" applyAlignment="1">
      <alignment horizontal="center" vertical="center"/>
    </xf>
    <xf numFmtId="0" fontId="50" fillId="3" borderId="0" xfId="0" applyFont="1">
      <alignment vertical="center"/>
    </xf>
    <xf numFmtId="0" fontId="0" fillId="48" borderId="0" xfId="0" applyFill="1" applyAlignment="1">
      <alignment horizontal="center" vertical="center"/>
    </xf>
    <xf numFmtId="0" fontId="46" fillId="48" borderId="2" xfId="17" applyFont="1" applyFill="1" applyAlignment="1">
      <alignment horizontal="center" vertical="center"/>
    </xf>
    <xf numFmtId="0" fontId="35" fillId="48" borderId="0" xfId="0" applyFont="1" applyFill="1" applyAlignment="1">
      <alignment horizontal="center" vertical="center"/>
    </xf>
    <xf numFmtId="0" fontId="42" fillId="48" borderId="2" xfId="17" applyFont="1" applyFill="1" applyAlignment="1">
      <alignment horizontal="center" vertical="center"/>
    </xf>
    <xf numFmtId="0" fontId="35" fillId="3" borderId="0" xfId="0" applyFont="1" applyAlignment="1">
      <alignment horizontal="left" vertical="center"/>
    </xf>
    <xf numFmtId="0" fontId="47" fillId="48" borderId="0" xfId="0" applyFont="1" applyFill="1" applyAlignment="1">
      <alignment horizontal="center" vertical="center"/>
    </xf>
    <xf numFmtId="0" fontId="14" fillId="48" borderId="2" xfId="17" applyFill="1" applyAlignment="1">
      <alignment horizontal="center" vertical="center"/>
    </xf>
    <xf numFmtId="0" fontId="46" fillId="3" borderId="2" xfId="17" applyFont="1">
      <alignment horizontal="left" vertical="center"/>
    </xf>
    <xf numFmtId="0" fontId="0" fillId="3" borderId="0" xfId="0" applyAlignment="1">
      <alignment horizontal="center" vertical="center"/>
    </xf>
    <xf numFmtId="179" fontId="51" fillId="3" borderId="0" xfId="1" applyNumberFormat="1" applyFont="1" applyAlignment="1">
      <alignment horizontal="center"/>
    </xf>
    <xf numFmtId="179" fontId="52" fillId="3" borderId="0" xfId="1" applyNumberFormat="1" applyFont="1" applyAlignment="1">
      <alignment horizontal="center"/>
    </xf>
    <xf numFmtId="179" fontId="53" fillId="3" borderId="0" xfId="1" applyNumberFormat="1" applyFont="1" applyAlignment="1">
      <alignment horizontal="center"/>
    </xf>
    <xf numFmtId="190" fontId="52" fillId="3" borderId="0" xfId="1" applyNumberFormat="1" applyFont="1" applyAlignment="1">
      <alignment horizontal="center"/>
    </xf>
    <xf numFmtId="191" fontId="52" fillId="3" borderId="0" xfId="1" applyNumberFormat="1" applyFont="1" applyAlignment="1">
      <alignment horizontal="center"/>
    </xf>
    <xf numFmtId="0" fontId="5" fillId="44" borderId="4" xfId="21">
      <alignment horizontal="left" vertical="center" shrinkToFit="1"/>
    </xf>
    <xf numFmtId="179" fontId="54" fillId="50" borderId="4" xfId="21" applyNumberFormat="1" applyFont="1" applyFill="1" applyAlignment="1">
      <alignment horizontal="center" vertical="center" shrinkToFit="1"/>
    </xf>
    <xf numFmtId="179" fontId="54" fillId="44" borderId="4" xfId="21" applyNumberFormat="1" applyFont="1" applyAlignment="1">
      <alignment horizontal="center" vertical="center" shrinkToFit="1"/>
    </xf>
    <xf numFmtId="190" fontId="5" fillId="6" borderId="0" xfId="23" applyNumberFormat="1" applyAlignment="1">
      <alignment horizontal="center" vertical="center" shrinkToFit="1"/>
    </xf>
    <xf numFmtId="0" fontId="54" fillId="50" borderId="4" xfId="21" applyFont="1" applyFill="1" applyAlignment="1">
      <alignment horizontal="center" vertical="center" shrinkToFit="1"/>
    </xf>
    <xf numFmtId="0" fontId="54" fillId="44" borderId="4" xfId="21" applyFont="1" applyAlignment="1">
      <alignment horizontal="center" vertical="center" shrinkToFit="1"/>
    </xf>
    <xf numFmtId="41" fontId="36" fillId="2" borderId="1" xfId="7" applyFont="1">
      <alignment horizontal="left" vertical="center" shrinkToFit="1"/>
    </xf>
    <xf numFmtId="41" fontId="36" fillId="3" borderId="5" xfId="8" applyFont="1">
      <alignment horizontal="left" vertical="center" shrinkToFit="1"/>
    </xf>
    <xf numFmtId="41" fontId="36" fillId="2" borderId="1" xfId="7" applyFont="1" applyAlignment="1">
      <alignment horizontal="center" vertical="center" shrinkToFit="1"/>
    </xf>
    <xf numFmtId="189" fontId="55" fillId="3" borderId="0" xfId="95" applyFont="1" applyBorder="1">
      <alignment vertical="center"/>
    </xf>
    <xf numFmtId="2" fontId="36" fillId="14" borderId="6" xfId="3" applyNumberFormat="1" applyFont="1" applyAlignment="1">
      <alignment horizontal="center" vertical="center"/>
    </xf>
    <xf numFmtId="2" fontId="36" fillId="14" borderId="6" xfId="3" applyNumberFormat="1" applyFont="1">
      <alignment horizontal="left" vertical="center"/>
    </xf>
    <xf numFmtId="2" fontId="36" fillId="14" borderId="0" xfId="3" applyNumberFormat="1" applyFont="1" applyBorder="1">
      <alignment horizontal="left" vertical="center"/>
    </xf>
    <xf numFmtId="41" fontId="36" fillId="14" borderId="6" xfId="3" applyFont="1">
      <alignment horizontal="left" vertical="center"/>
    </xf>
    <xf numFmtId="41" fontId="6" fillId="3" borderId="5" xfId="8">
      <alignment horizontal="left" vertical="center" shrinkToFit="1"/>
    </xf>
    <xf numFmtId="41" fontId="6" fillId="2" borderId="1" xfId="7">
      <alignment horizontal="left" vertical="center" shrinkToFit="1"/>
    </xf>
    <xf numFmtId="189" fontId="41" fillId="2" borderId="1" xfId="96" applyNumberFormat="1" applyFont="1" applyFill="1" applyBorder="1" applyAlignment="1">
      <alignment horizontal="center" vertical="center" shrinkToFit="1"/>
    </xf>
    <xf numFmtId="189" fontId="41" fillId="2" borderId="11" xfId="96" applyNumberFormat="1" applyFont="1" applyFill="1" applyBorder="1" applyAlignment="1">
      <alignment horizontal="center" vertical="center" shrinkToFit="1"/>
    </xf>
    <xf numFmtId="189" fontId="41" fillId="2" borderId="23" xfId="96" applyNumberFormat="1" applyFont="1" applyFill="1" applyBorder="1" applyAlignment="1">
      <alignment horizontal="left" vertical="center" shrinkToFit="1"/>
    </xf>
    <xf numFmtId="189" fontId="55" fillId="3" borderId="22" xfId="95" applyFont="1" applyBorder="1">
      <alignment vertical="center"/>
    </xf>
    <xf numFmtId="2" fontId="35" fillId="3" borderId="0" xfId="0" applyNumberFormat="1" applyFont="1">
      <alignment vertical="center"/>
    </xf>
    <xf numFmtId="41" fontId="6" fillId="3" borderId="12" xfId="4">
      <alignment horizontal="left" vertical="center" shrinkToFit="1"/>
    </xf>
    <xf numFmtId="189" fontId="36" fillId="3" borderId="12" xfId="96" applyNumberFormat="1" applyFont="1" applyFill="1" applyBorder="1" applyAlignment="1">
      <alignment horizontal="center" vertical="center" shrinkToFit="1"/>
    </xf>
    <xf numFmtId="41" fontId="36" fillId="3" borderId="12" xfId="4" applyFont="1">
      <alignment horizontal="left" vertical="center" shrinkToFit="1"/>
    </xf>
    <xf numFmtId="189" fontId="36" fillId="3" borderId="0" xfId="4" applyNumberFormat="1" applyFont="1" applyBorder="1">
      <alignment horizontal="left" vertical="center" shrinkToFit="1"/>
    </xf>
    <xf numFmtId="189" fontId="55" fillId="3" borderId="12" xfId="95" applyFont="1" applyBorder="1">
      <alignment vertical="center"/>
    </xf>
    <xf numFmtId="2" fontId="35" fillId="3" borderId="0" xfId="0" applyNumberFormat="1" applyFont="1" applyAlignment="1">
      <alignment horizontal="center" vertical="center"/>
    </xf>
    <xf numFmtId="189" fontId="56" fillId="3" borderId="0" xfId="0" applyNumberFormat="1" applyFont="1" applyAlignment="1">
      <alignment horizontal="center" vertical="center"/>
    </xf>
    <xf numFmtId="193" fontId="57" fillId="3" borderId="0" xfId="97" applyNumberFormat="1" applyFont="1" applyFill="1" applyAlignment="1">
      <alignment vertical="center"/>
    </xf>
    <xf numFmtId="41" fontId="57" fillId="3" borderId="0" xfId="0" applyNumberFormat="1" applyFont="1">
      <alignment vertical="center"/>
    </xf>
    <xf numFmtId="2" fontId="57" fillId="3" borderId="0" xfId="0" applyNumberFormat="1" applyFont="1">
      <alignment vertical="center"/>
    </xf>
    <xf numFmtId="0" fontId="57" fillId="3" borderId="0" xfId="0" applyFont="1">
      <alignment vertical="center"/>
    </xf>
    <xf numFmtId="189" fontId="42" fillId="3" borderId="0" xfId="96" applyNumberFormat="1" applyFont="1" applyFill="1" applyAlignment="1">
      <alignment vertical="center"/>
    </xf>
    <xf numFmtId="189" fontId="58" fillId="3" borderId="0" xfId="0" applyNumberFormat="1" applyFont="1" applyAlignment="1">
      <alignment horizontal="center" vertical="center"/>
    </xf>
    <xf numFmtId="189" fontId="58" fillId="3" borderId="0" xfId="0" applyNumberFormat="1" applyFont="1">
      <alignment vertical="center"/>
    </xf>
    <xf numFmtId="189" fontId="35" fillId="3" borderId="0" xfId="96" applyNumberFormat="1" applyFont="1" applyFill="1" applyAlignment="1">
      <alignment vertical="center"/>
    </xf>
    <xf numFmtId="189" fontId="35" fillId="3" borderId="0" xfId="0" applyNumberFormat="1" applyFont="1">
      <alignment vertical="center"/>
    </xf>
    <xf numFmtId="189" fontId="35" fillId="3" borderId="0" xfId="0" applyNumberFormat="1" applyFont="1" applyAlignment="1">
      <alignment horizontal="center" vertical="center"/>
    </xf>
    <xf numFmtId="41" fontId="36" fillId="3" borderId="0" xfId="4" applyFont="1" applyBorder="1">
      <alignment horizontal="left" vertical="center" shrinkToFit="1"/>
    </xf>
    <xf numFmtId="189" fontId="59" fillId="3" borderId="0" xfId="95" applyFont="1" applyBorder="1">
      <alignment vertical="center"/>
    </xf>
    <xf numFmtId="193" fontId="60" fillId="3" borderId="0" xfId="97" applyNumberFormat="1" applyFont="1" applyFill="1" applyAlignment="1">
      <alignment vertical="center"/>
    </xf>
    <xf numFmtId="189" fontId="58" fillId="3" borderId="0" xfId="96" applyNumberFormat="1" applyFont="1" applyFill="1" applyAlignment="1">
      <alignment horizontal="center" vertical="center"/>
    </xf>
    <xf numFmtId="189" fontId="58" fillId="3" borderId="0" xfId="96" applyNumberFormat="1" applyFont="1" applyFill="1" applyAlignment="1">
      <alignment vertical="center"/>
    </xf>
    <xf numFmtId="9" fontId="35" fillId="3" borderId="0" xfId="96" applyFont="1" applyFill="1" applyAlignment="1">
      <alignment vertical="center"/>
    </xf>
    <xf numFmtId="2" fontId="58" fillId="3" borderId="0" xfId="0" applyNumberFormat="1" applyFont="1" applyAlignment="1">
      <alignment horizontal="center" vertical="center"/>
    </xf>
    <xf numFmtId="2" fontId="58" fillId="3" borderId="0" xfId="0" applyNumberFormat="1" applyFont="1">
      <alignment vertical="center"/>
    </xf>
    <xf numFmtId="41" fontId="36" fillId="3" borderId="12" xfId="4" applyFont="1" applyAlignment="1">
      <alignment horizontal="center" vertical="center" shrinkToFit="1"/>
    </xf>
    <xf numFmtId="2" fontId="61" fillId="13" borderId="15" xfId="51" applyNumberFormat="1" applyFont="1" applyAlignment="1">
      <alignment horizontal="center"/>
    </xf>
    <xf numFmtId="2" fontId="61" fillId="13" borderId="15" xfId="51" applyNumberFormat="1" applyFont="1">
      <alignment horizontal="left"/>
    </xf>
    <xf numFmtId="0" fontId="61" fillId="13" borderId="15" xfId="51" applyFont="1">
      <alignment horizontal="left"/>
    </xf>
    <xf numFmtId="41" fontId="36" fillId="3" borderId="5" xfId="8" applyFont="1" applyAlignment="1">
      <alignment horizontal="center" vertical="center" shrinkToFit="1"/>
    </xf>
    <xf numFmtId="41" fontId="6" fillId="3" borderId="14" xfId="8" applyBorder="1">
      <alignment horizontal="left" vertical="center" shrinkToFit="1"/>
    </xf>
    <xf numFmtId="189" fontId="55" fillId="3" borderId="14" xfId="95" applyFont="1" applyBorder="1">
      <alignment vertical="center"/>
    </xf>
    <xf numFmtId="189" fontId="6" fillId="3" borderId="5" xfId="96" applyNumberFormat="1" applyFont="1" applyFill="1" applyBorder="1" applyAlignment="1">
      <alignment horizontal="right" vertical="center" shrinkToFit="1"/>
    </xf>
    <xf numFmtId="192" fontId="36" fillId="3" borderId="5" xfId="8" applyNumberFormat="1" applyFont="1" applyAlignment="1">
      <alignment horizontal="center" vertical="center" shrinkToFit="1"/>
    </xf>
    <xf numFmtId="192" fontId="36" fillId="3" borderId="5" xfId="8" applyNumberFormat="1" applyFont="1" applyAlignment="1">
      <alignment horizontal="right" vertical="center" shrinkToFit="1"/>
    </xf>
    <xf numFmtId="41" fontId="6" fillId="14" borderId="6" xfId="3" applyAlignment="1">
      <alignment horizontal="left" vertical="center" shrinkToFit="1"/>
    </xf>
    <xf numFmtId="2" fontId="41" fillId="14" borderId="6" xfId="3" applyNumberFormat="1" applyFont="1" applyAlignment="1">
      <alignment horizontal="center" vertical="center" shrinkToFit="1"/>
    </xf>
    <xf numFmtId="2" fontId="41" fillId="14" borderId="6" xfId="3" applyNumberFormat="1" applyFont="1" applyAlignment="1">
      <alignment horizontal="left" vertical="center" shrinkToFit="1"/>
    </xf>
    <xf numFmtId="41" fontId="41" fillId="14" borderId="6" xfId="3" applyFont="1" applyAlignment="1">
      <alignment horizontal="left" vertical="center" shrinkToFit="1"/>
    </xf>
    <xf numFmtId="41" fontId="0" fillId="3" borderId="0" xfId="0" applyNumberFormat="1" applyAlignment="1">
      <alignment vertical="center" shrinkToFit="1"/>
    </xf>
    <xf numFmtId="2" fontId="35" fillId="3" borderId="0" xfId="0" applyNumberFormat="1" applyFont="1" applyAlignment="1">
      <alignment horizontal="center" vertical="center" shrinkToFit="1"/>
    </xf>
    <xf numFmtId="2" fontId="35" fillId="3" borderId="0" xfId="0" applyNumberFormat="1" applyFont="1" applyAlignment="1">
      <alignment vertical="center" shrinkToFit="1"/>
    </xf>
    <xf numFmtId="41" fontId="35" fillId="3" borderId="0" xfId="0" applyNumberFormat="1" applyFont="1" applyAlignment="1">
      <alignment vertical="center" shrinkToFit="1"/>
    </xf>
    <xf numFmtId="41" fontId="35" fillId="3" borderId="0" xfId="0" applyNumberFormat="1" applyFont="1" applyAlignment="1">
      <alignment horizontal="center" vertical="center"/>
    </xf>
    <xf numFmtId="41" fontId="35" fillId="3" borderId="0" xfId="0" applyNumberFormat="1" applyFont="1">
      <alignment vertical="center"/>
    </xf>
    <xf numFmtId="0" fontId="11" fillId="6" borderId="0" xfId="0" applyFont="1" applyFill="1">
      <alignment vertical="center"/>
    </xf>
    <xf numFmtId="185" fontId="6" fillId="3" borderId="14" xfId="46">
      <alignment horizontal="left" vertical="center"/>
    </xf>
    <xf numFmtId="0" fontId="62" fillId="14" borderId="6" xfId="56" applyFont="1">
      <alignment horizontal="left" vertical="center"/>
    </xf>
    <xf numFmtId="41" fontId="46" fillId="14" borderId="6" xfId="3" applyFont="1">
      <alignment horizontal="left" vertical="center"/>
    </xf>
    <xf numFmtId="2" fontId="50" fillId="14" borderId="6" xfId="3" applyNumberFormat="1" applyFont="1">
      <alignment horizontal="left" vertical="center"/>
    </xf>
    <xf numFmtId="0" fontId="46" fillId="3" borderId="7" xfId="13" applyFont="1">
      <alignment horizontal="left" vertical="center"/>
    </xf>
    <xf numFmtId="164" fontId="46" fillId="3" borderId="14" xfId="48" applyFont="1">
      <alignment horizontal="left" vertical="center"/>
    </xf>
    <xf numFmtId="41" fontId="46" fillId="3" borderId="5" xfId="8" applyFont="1">
      <alignment horizontal="left" vertical="center" shrinkToFit="1"/>
    </xf>
    <xf numFmtId="41" fontId="46" fillId="2" borderId="1" xfId="7" applyFont="1">
      <alignment horizontal="left" vertical="center" shrinkToFit="1"/>
    </xf>
    <xf numFmtId="41" fontId="50" fillId="2" borderId="1" xfId="7" applyFont="1">
      <alignment horizontal="left" vertical="center" shrinkToFit="1"/>
    </xf>
    <xf numFmtId="2" fontId="50" fillId="3" borderId="0" xfId="0" applyNumberFormat="1" applyFont="1">
      <alignment vertical="center"/>
    </xf>
    <xf numFmtId="0" fontId="62" fillId="3" borderId="12" xfId="58" applyFont="1">
      <alignment horizontal="left" vertical="center"/>
    </xf>
    <xf numFmtId="41" fontId="46" fillId="3" borderId="12" xfId="4" applyFont="1">
      <alignment horizontal="left" vertical="center" shrinkToFit="1"/>
    </xf>
    <xf numFmtId="41" fontId="50" fillId="3" borderId="12" xfId="4" applyFont="1">
      <alignment horizontal="left" vertical="center" shrinkToFit="1"/>
    </xf>
    <xf numFmtId="41" fontId="64" fillId="3" borderId="12" xfId="4" applyFont="1">
      <alignment horizontal="left" vertical="center" shrinkToFit="1"/>
    </xf>
    <xf numFmtId="189" fontId="35" fillId="3" borderId="0" xfId="96" applyNumberFormat="1" applyFont="1" applyFill="1" applyAlignment="1">
      <alignment horizontal="center" vertical="center"/>
    </xf>
    <xf numFmtId="189" fontId="49" fillId="3" borderId="0" xfId="96" applyNumberFormat="1" applyFont="1" applyFill="1" applyAlignment="1">
      <alignment vertical="center"/>
    </xf>
    <xf numFmtId="189" fontId="46" fillId="48" borderId="2" xfId="96" applyNumberFormat="1" applyFont="1" applyFill="1" applyBorder="1" applyAlignment="1">
      <alignment horizontal="center" vertical="center"/>
    </xf>
    <xf numFmtId="189" fontId="0" fillId="3" borderId="0" xfId="96" applyNumberFormat="1" applyFont="1" applyFill="1" applyAlignment="1">
      <alignment horizontal="center" vertical="center"/>
    </xf>
    <xf numFmtId="189" fontId="51" fillId="3" borderId="0" xfId="96" applyNumberFormat="1" applyFont="1" applyFill="1" applyAlignment="1">
      <alignment horizontal="center"/>
    </xf>
    <xf numFmtId="189" fontId="54" fillId="50" borderId="4" xfId="96" applyNumberFormat="1" applyFont="1" applyFill="1" applyBorder="1" applyAlignment="1">
      <alignment horizontal="center" vertical="center" shrinkToFit="1"/>
    </xf>
    <xf numFmtId="189" fontId="36" fillId="2" borderId="1" xfId="96" applyNumberFormat="1" applyFont="1" applyFill="1" applyBorder="1" applyAlignment="1">
      <alignment horizontal="center" vertical="center" shrinkToFit="1"/>
    </xf>
    <xf numFmtId="189" fontId="36" fillId="14" borderId="6" xfId="96" applyNumberFormat="1" applyFont="1" applyFill="1" applyBorder="1" applyAlignment="1">
      <alignment horizontal="center" vertical="center"/>
    </xf>
    <xf numFmtId="189" fontId="56" fillId="3" borderId="0" xfId="96" applyNumberFormat="1" applyFont="1" applyFill="1" applyAlignment="1">
      <alignment horizontal="center" vertical="center"/>
    </xf>
    <xf numFmtId="189" fontId="50" fillId="14" borderId="6" xfId="96" applyNumberFormat="1" applyFont="1" applyFill="1" applyBorder="1" applyAlignment="1">
      <alignment horizontal="center" vertical="center"/>
    </xf>
    <xf numFmtId="189" fontId="50" fillId="2" borderId="1" xfId="96" applyNumberFormat="1" applyFont="1" applyFill="1" applyBorder="1" applyAlignment="1">
      <alignment horizontal="center" vertical="center" shrinkToFit="1"/>
    </xf>
    <xf numFmtId="189" fontId="50" fillId="3" borderId="0" xfId="96" applyNumberFormat="1" applyFont="1" applyFill="1" applyAlignment="1">
      <alignment horizontal="center" vertical="center"/>
    </xf>
    <xf numFmtId="189" fontId="50" fillId="3" borderId="12" xfId="96" applyNumberFormat="1" applyFont="1" applyFill="1" applyBorder="1" applyAlignment="1">
      <alignment horizontal="center" vertical="center" shrinkToFit="1"/>
    </xf>
    <xf numFmtId="189" fontId="61" fillId="13" borderId="15" xfId="96" applyNumberFormat="1" applyFont="1" applyFill="1" applyBorder="1" applyAlignment="1">
      <alignment horizontal="center"/>
    </xf>
    <xf numFmtId="189" fontId="36" fillId="3" borderId="5" xfId="96" applyNumberFormat="1" applyFont="1" applyFill="1" applyBorder="1" applyAlignment="1">
      <alignment horizontal="center" vertical="center" shrinkToFit="1"/>
    </xf>
    <xf numFmtId="189" fontId="41" fillId="14" borderId="6" xfId="96" applyNumberFormat="1" applyFont="1" applyFill="1" applyBorder="1" applyAlignment="1">
      <alignment horizontal="center" vertical="center" shrinkToFit="1"/>
    </xf>
    <xf numFmtId="189" fontId="35" fillId="3" borderId="0" xfId="96" applyNumberFormat="1" applyFont="1" applyFill="1" applyAlignment="1">
      <alignment horizontal="center" vertical="center" shrinkToFit="1"/>
    </xf>
    <xf numFmtId="189" fontId="35" fillId="48" borderId="0" xfId="96" applyNumberFormat="1" applyFont="1" applyFill="1" applyAlignment="1">
      <alignment horizontal="center" vertical="center"/>
    </xf>
    <xf numFmtId="189" fontId="54" fillId="44" borderId="4" xfId="96" applyNumberFormat="1" applyFont="1" applyFill="1" applyBorder="1" applyAlignment="1">
      <alignment horizontal="center" vertical="center" shrinkToFit="1"/>
    </xf>
    <xf numFmtId="189" fontId="0" fillId="48" borderId="0" xfId="96" applyNumberFormat="1" applyFont="1" applyFill="1" applyAlignment="1">
      <alignment horizontal="center" vertical="center"/>
    </xf>
    <xf numFmtId="189" fontId="47" fillId="48" borderId="0" xfId="96" applyNumberFormat="1" applyFont="1" applyFill="1" applyAlignment="1">
      <alignment horizontal="center" vertical="center"/>
    </xf>
    <xf numFmtId="189" fontId="52" fillId="3" borderId="0" xfId="96" applyNumberFormat="1" applyFont="1" applyFill="1" applyAlignment="1">
      <alignment horizontal="center"/>
    </xf>
    <xf numFmtId="189" fontId="42" fillId="48" borderId="2" xfId="96" applyNumberFormat="1" applyFont="1" applyFill="1" applyBorder="1" applyAlignment="1">
      <alignment horizontal="center" vertical="center"/>
    </xf>
    <xf numFmtId="189" fontId="14" fillId="48" borderId="2" xfId="96" applyNumberFormat="1" applyFill="1" applyBorder="1" applyAlignment="1">
      <alignment horizontal="center" vertical="center"/>
    </xf>
    <xf numFmtId="189" fontId="50" fillId="3" borderId="0" xfId="96" applyNumberFormat="1" applyFont="1" applyFill="1" applyAlignment="1">
      <alignment vertical="center"/>
    </xf>
    <xf numFmtId="189" fontId="46" fillId="3" borderId="0" xfId="96" applyNumberFormat="1" applyFont="1" applyFill="1" applyAlignment="1">
      <alignment vertical="center"/>
    </xf>
    <xf numFmtId="189" fontId="50" fillId="14" borderId="6" xfId="96" applyNumberFormat="1" applyFont="1" applyFill="1" applyBorder="1" applyAlignment="1">
      <alignment horizontal="left" vertical="center"/>
    </xf>
    <xf numFmtId="189" fontId="63" fillId="3" borderId="22" xfId="96" applyNumberFormat="1" applyFont="1" applyFill="1" applyBorder="1" applyAlignment="1">
      <alignment vertical="center"/>
    </xf>
    <xf numFmtId="189" fontId="63" fillId="3" borderId="12" xfId="96" applyNumberFormat="1" applyFont="1" applyFill="1" applyBorder="1" applyAlignment="1">
      <alignment vertical="center"/>
    </xf>
    <xf numFmtId="0" fontId="14" fillId="4" borderId="2" xfId="18">
      <alignment horizontal="left" vertical="center"/>
    </xf>
    <xf numFmtId="0" fontId="42" fillId="3" borderId="2" xfId="17" applyFont="1">
      <alignment horizontal="left" vertical="center"/>
    </xf>
    <xf numFmtId="0" fontId="0" fillId="3" borderId="0" xfId="0" applyAlignment="1">
      <alignment horizontal="left" vertical="center"/>
    </xf>
    <xf numFmtId="0" fontId="42" fillId="51" borderId="2" xfId="17" applyFont="1" applyFill="1">
      <alignment horizontal="left" vertical="center"/>
    </xf>
    <xf numFmtId="0" fontId="17" fillId="3" borderId="16" xfId="59">
      <alignment horizontal="left" vertical="center"/>
    </xf>
    <xf numFmtId="0" fontId="5" fillId="44" borderId="4" xfId="21" applyAlignment="1">
      <alignment horizontal="left" vertical="center"/>
    </xf>
    <xf numFmtId="0" fontId="65" fillId="7" borderId="0" xfId="24" applyFont="1">
      <alignment horizontal="right" vertical="center"/>
    </xf>
    <xf numFmtId="179" fontId="5" fillId="6" borderId="0" xfId="23" applyAlignment="1">
      <alignment horizontal="right" vertical="center"/>
    </xf>
    <xf numFmtId="41" fontId="36" fillId="2" borderId="1" xfId="7" applyFont="1" applyAlignment="1">
      <alignment horizontal="left" vertical="center"/>
    </xf>
    <xf numFmtId="41" fontId="36" fillId="3" borderId="5" xfId="8" applyFont="1" applyAlignment="1">
      <alignment horizontal="left" vertical="center"/>
    </xf>
    <xf numFmtId="41" fontId="41" fillId="3" borderId="5" xfId="8" applyFont="1" applyAlignment="1">
      <alignment horizontal="left" vertical="center"/>
    </xf>
    <xf numFmtId="41" fontId="6" fillId="3" borderId="5" xfId="8" applyAlignment="1">
      <alignment horizontal="left" vertical="center"/>
    </xf>
    <xf numFmtId="41" fontId="11" fillId="3" borderId="5" xfId="8" applyFont="1" applyAlignment="1">
      <alignment horizontal="left" vertical="center"/>
    </xf>
    <xf numFmtId="41" fontId="6" fillId="2" borderId="1" xfId="7" applyAlignment="1">
      <alignment horizontal="left" vertical="center"/>
    </xf>
    <xf numFmtId="41" fontId="6" fillId="3" borderId="12" xfId="4" applyAlignment="1">
      <alignment horizontal="left" vertical="center"/>
    </xf>
    <xf numFmtId="41" fontId="11" fillId="3" borderId="12" xfId="4" applyFont="1" applyAlignment="1">
      <alignment horizontal="left" vertical="center"/>
    </xf>
    <xf numFmtId="0" fontId="66" fillId="3" borderId="12" xfId="58" applyFont="1">
      <alignment horizontal="left" vertical="center"/>
    </xf>
    <xf numFmtId="189" fontId="12" fillId="3" borderId="12" xfId="58" applyNumberFormat="1">
      <alignment horizontal="left" vertical="center"/>
    </xf>
    <xf numFmtId="189" fontId="66" fillId="3" borderId="12" xfId="58" applyNumberFormat="1" applyFont="1">
      <alignment horizontal="left" vertical="center"/>
    </xf>
    <xf numFmtId="189" fontId="6" fillId="3" borderId="12" xfId="4" applyNumberFormat="1" applyAlignment="1">
      <alignment horizontal="left" vertical="center"/>
    </xf>
    <xf numFmtId="189" fontId="6" fillId="3" borderId="12" xfId="98" applyNumberFormat="1" applyFont="1" applyFill="1" applyBorder="1" applyAlignment="1">
      <alignment horizontal="center" vertical="center"/>
    </xf>
    <xf numFmtId="189" fontId="11" fillId="3" borderId="12" xfId="98" applyNumberFormat="1" applyFont="1" applyFill="1" applyBorder="1" applyAlignment="1">
      <alignment horizontal="center" vertical="center"/>
    </xf>
    <xf numFmtId="41" fontId="6" fillId="3" borderId="5" xfId="8" applyAlignment="1" applyProtection="1">
      <alignment horizontal="left" vertical="center"/>
      <protection locked="0"/>
    </xf>
    <xf numFmtId="41" fontId="6" fillId="2" borderId="1" xfId="7" applyAlignment="1" applyProtection="1">
      <alignment horizontal="left" vertical="center"/>
      <protection locked="0"/>
    </xf>
    <xf numFmtId="41" fontId="6" fillId="14" borderId="6" xfId="3" applyProtection="1">
      <alignment horizontal="left" vertical="center"/>
      <protection locked="0"/>
    </xf>
    <xf numFmtId="41" fontId="11" fillId="14" borderId="6" xfId="3" applyFont="1">
      <alignment horizontal="left" vertical="center"/>
    </xf>
    <xf numFmtId="41" fontId="46" fillId="3" borderId="5" xfId="8" applyFont="1" applyAlignment="1">
      <alignment horizontal="left" vertical="center"/>
    </xf>
    <xf numFmtId="41" fontId="49" fillId="3" borderId="5" xfId="8" applyFont="1" applyAlignment="1">
      <alignment horizontal="left" vertical="center"/>
    </xf>
    <xf numFmtId="41" fontId="46" fillId="2" borderId="1" xfId="7" applyFont="1" applyAlignment="1">
      <alignment horizontal="left" vertical="center"/>
    </xf>
    <xf numFmtId="41" fontId="46" fillId="3" borderId="12" xfId="4" applyFont="1" applyAlignment="1">
      <alignment horizontal="left" vertical="center"/>
    </xf>
    <xf numFmtId="41" fontId="49" fillId="3" borderId="12" xfId="4" applyFont="1" applyAlignment="1">
      <alignment horizontal="left" vertical="center"/>
    </xf>
    <xf numFmtId="0" fontId="67" fillId="3" borderId="2" xfId="17" applyFont="1">
      <alignment horizontal="left" vertical="center"/>
    </xf>
    <xf numFmtId="0" fontId="67" fillId="3" borderId="0" xfId="0" applyFont="1">
      <alignment vertical="center"/>
    </xf>
    <xf numFmtId="0" fontId="46" fillId="3" borderId="0" xfId="0" applyFont="1" applyAlignment="1">
      <alignment horizontal="left" vertical="center"/>
    </xf>
    <xf numFmtId="0" fontId="68" fillId="3" borderId="16" xfId="59" applyFont="1">
      <alignment horizontal="left" vertical="center"/>
    </xf>
    <xf numFmtId="0" fontId="68" fillId="7" borderId="0" xfId="24" applyFont="1">
      <alignment horizontal="right" vertical="center"/>
    </xf>
    <xf numFmtId="0" fontId="69" fillId="44" borderId="4" xfId="21" applyFont="1" applyAlignment="1">
      <alignment horizontal="left" vertical="center"/>
    </xf>
    <xf numFmtId="179" fontId="69" fillId="6" borderId="0" xfId="23" applyFont="1" applyAlignment="1">
      <alignment horizontal="right" vertical="center"/>
    </xf>
    <xf numFmtId="41" fontId="50" fillId="2" borderId="1" xfId="7" applyFont="1" applyAlignment="1">
      <alignment horizontal="left" vertical="center"/>
    </xf>
    <xf numFmtId="41" fontId="70" fillId="3" borderId="5" xfId="8" applyFont="1" applyAlignment="1">
      <alignment horizontal="left" vertical="center"/>
    </xf>
    <xf numFmtId="189" fontId="46" fillId="3" borderId="12" xfId="98" applyNumberFormat="1" applyFont="1" applyFill="1" applyBorder="1" applyAlignment="1">
      <alignment horizontal="center" vertical="center"/>
    </xf>
    <xf numFmtId="189" fontId="49" fillId="3" borderId="12" xfId="98" applyNumberFormat="1" applyFont="1" applyFill="1" applyBorder="1" applyAlignment="1">
      <alignment horizontal="center" vertical="center"/>
    </xf>
    <xf numFmtId="0" fontId="71" fillId="13" borderId="15" xfId="51" applyFont="1">
      <alignment horizontal="left"/>
    </xf>
    <xf numFmtId="41" fontId="49" fillId="14" borderId="6" xfId="3" applyFont="1">
      <alignment horizontal="left" vertical="center"/>
    </xf>
    <xf numFmtId="41" fontId="46" fillId="3" borderId="0" xfId="0" applyNumberFormat="1" applyFont="1">
      <alignment vertical="center"/>
    </xf>
    <xf numFmtId="189" fontId="41" fillId="3" borderId="1" xfId="96" applyNumberFormat="1" applyFont="1" applyFill="1" applyBorder="1" applyAlignment="1">
      <alignment horizontal="center" vertical="center" shrinkToFit="1"/>
    </xf>
    <xf numFmtId="189" fontId="36" fillId="3" borderId="1" xfId="96" applyNumberFormat="1" applyFont="1" applyFill="1" applyBorder="1" applyAlignment="1">
      <alignment horizontal="center" vertical="center" shrinkToFit="1"/>
    </xf>
    <xf numFmtId="41" fontId="6" fillId="3" borderId="1" xfId="7" applyFill="1">
      <alignment horizontal="left" vertical="center" shrinkToFit="1"/>
    </xf>
    <xf numFmtId="189" fontId="49" fillId="48" borderId="2" xfId="96" applyNumberFormat="1" applyFont="1" applyFill="1" applyBorder="1" applyAlignment="1">
      <alignment horizontal="left" vertical="center"/>
    </xf>
    <xf numFmtId="0" fontId="49" fillId="48" borderId="2" xfId="17" applyFont="1" applyFill="1">
      <alignment horizontal="left" vertical="center"/>
    </xf>
    <xf numFmtId="189" fontId="72" fillId="48" borderId="0" xfId="96" applyNumberFormat="1" applyFont="1" applyFill="1" applyAlignment="1">
      <alignment vertical="center"/>
    </xf>
    <xf numFmtId="189" fontId="73" fillId="3" borderId="0" xfId="96" applyNumberFormat="1" applyFont="1" applyFill="1" applyAlignment="1">
      <alignment horizontal="center"/>
    </xf>
    <xf numFmtId="190" fontId="73" fillId="3" borderId="0" xfId="1" applyNumberFormat="1" applyFont="1" applyAlignment="1">
      <alignment horizontal="center"/>
    </xf>
    <xf numFmtId="190" fontId="69" fillId="6" borderId="0" xfId="23" applyNumberFormat="1" applyFont="1" applyAlignment="1">
      <alignment horizontal="center" vertical="center" shrinkToFit="1"/>
    </xf>
    <xf numFmtId="189" fontId="74" fillId="44" borderId="4" xfId="96" applyNumberFormat="1" applyFont="1" applyFill="1" applyBorder="1" applyAlignment="1">
      <alignment horizontal="center" vertical="center" shrinkToFit="1"/>
    </xf>
    <xf numFmtId="179" fontId="74" fillId="44" borderId="4" xfId="21" applyNumberFormat="1" applyFont="1" applyAlignment="1">
      <alignment horizontal="center" vertical="center" shrinkToFit="1"/>
    </xf>
    <xf numFmtId="0" fontId="69" fillId="5" borderId="0" xfId="22" applyFont="1" applyAlignment="1">
      <alignment horizontal="center" vertical="center" shrinkToFit="1"/>
    </xf>
    <xf numFmtId="0" fontId="74" fillId="44" borderId="4" xfId="21" applyFont="1" applyAlignment="1">
      <alignment horizontal="center" vertical="center" shrinkToFit="1"/>
    </xf>
    <xf numFmtId="41" fontId="50" fillId="3" borderId="5" xfId="8" applyFont="1">
      <alignment horizontal="left" vertical="center" shrinkToFit="1"/>
    </xf>
    <xf numFmtId="189" fontId="63" fillId="3" borderId="0" xfId="96" applyNumberFormat="1" applyFont="1" applyFill="1" applyBorder="1" applyAlignment="1">
      <alignment vertical="center"/>
    </xf>
    <xf numFmtId="41" fontId="49" fillId="3" borderId="0" xfId="0" applyNumberFormat="1" applyFont="1">
      <alignment vertical="center"/>
    </xf>
    <xf numFmtId="189" fontId="70" fillId="3" borderId="0" xfId="96" applyNumberFormat="1" applyFont="1" applyFill="1" applyAlignment="1">
      <alignment vertical="center"/>
    </xf>
    <xf numFmtId="2" fontId="70" fillId="3" borderId="0" xfId="0" applyNumberFormat="1" applyFont="1">
      <alignment vertical="center"/>
    </xf>
    <xf numFmtId="189" fontId="50" fillId="3" borderId="0" xfId="0" applyNumberFormat="1" applyFont="1">
      <alignment vertical="center"/>
    </xf>
    <xf numFmtId="193" fontId="70" fillId="3" borderId="0" xfId="97" applyNumberFormat="1" applyFont="1" applyFill="1" applyAlignment="1">
      <alignment vertical="center"/>
    </xf>
    <xf numFmtId="9" fontId="46" fillId="3" borderId="0" xfId="96" applyFont="1" applyFill="1" applyAlignment="1">
      <alignment vertical="center"/>
    </xf>
    <xf numFmtId="41" fontId="46" fillId="3" borderId="14" xfId="8" applyFont="1" applyBorder="1">
      <alignment horizontal="left" vertical="center" shrinkToFit="1"/>
    </xf>
    <xf numFmtId="189" fontId="63" fillId="3" borderId="14" xfId="96" applyNumberFormat="1" applyFont="1" applyFill="1" applyBorder="1" applyAlignment="1">
      <alignment vertical="center"/>
    </xf>
    <xf numFmtId="189" fontId="75" fillId="13" borderId="15" xfId="96" applyNumberFormat="1" applyFont="1" applyFill="1" applyBorder="1" applyAlignment="1">
      <alignment horizontal="left"/>
    </xf>
    <xf numFmtId="2" fontId="75" fillId="13" borderId="15" xfId="51" applyNumberFormat="1" applyFont="1">
      <alignment horizontal="left"/>
    </xf>
    <xf numFmtId="189" fontId="46" fillId="3" borderId="5" xfId="96" applyNumberFormat="1" applyFont="1" applyFill="1" applyBorder="1" applyAlignment="1">
      <alignment horizontal="right" vertical="center" shrinkToFit="1"/>
    </xf>
    <xf numFmtId="192" fontId="50" fillId="3" borderId="5" xfId="8" applyNumberFormat="1" applyFont="1" applyAlignment="1">
      <alignment horizontal="right" vertical="center" shrinkToFit="1"/>
    </xf>
    <xf numFmtId="41" fontId="46" fillId="14" borderId="6" xfId="3" applyFont="1" applyAlignment="1">
      <alignment horizontal="left" vertical="center" shrinkToFit="1"/>
    </xf>
    <xf numFmtId="189" fontId="70" fillId="14" borderId="6" xfId="96" applyNumberFormat="1" applyFont="1" applyFill="1" applyBorder="1" applyAlignment="1">
      <alignment horizontal="left" vertical="center" shrinkToFit="1"/>
    </xf>
    <xf numFmtId="2" fontId="70" fillId="14" borderId="6" xfId="3" applyNumberFormat="1" applyFont="1" applyAlignment="1">
      <alignment horizontal="left" vertical="center" shrinkToFit="1"/>
    </xf>
    <xf numFmtId="41" fontId="46" fillId="3" borderId="0" xfId="0" applyNumberFormat="1" applyFont="1" applyAlignment="1">
      <alignment vertical="center" shrinkToFit="1"/>
    </xf>
    <xf numFmtId="189" fontId="50" fillId="3" borderId="0" xfId="96" applyNumberFormat="1" applyFont="1" applyFill="1" applyAlignment="1">
      <alignment vertical="center" shrinkToFit="1"/>
    </xf>
    <xf numFmtId="2" fontId="50" fillId="3" borderId="0" xfId="0" applyNumberFormat="1" applyFont="1" applyAlignment="1">
      <alignment vertical="center" shrinkToFit="1"/>
    </xf>
    <xf numFmtId="41" fontId="50" fillId="3" borderId="0" xfId="0" applyNumberFormat="1" applyFont="1">
      <alignment vertical="center"/>
    </xf>
    <xf numFmtId="194" fontId="6" fillId="3" borderId="7" xfId="13" applyNumberFormat="1">
      <alignment horizontal="left" vertical="center"/>
    </xf>
    <xf numFmtId="195" fontId="6" fillId="3" borderId="14" xfId="46" applyNumberFormat="1">
      <alignment horizontal="left" vertical="center"/>
    </xf>
    <xf numFmtId="196" fontId="6" fillId="3" borderId="7" xfId="13" applyNumberFormat="1">
      <alignment horizontal="left" vertical="center"/>
    </xf>
    <xf numFmtId="197" fontId="6" fillId="3" borderId="7" xfId="13" applyNumberFormat="1">
      <alignment horizontal="left" vertical="center"/>
    </xf>
    <xf numFmtId="195" fontId="6" fillId="3" borderId="7" xfId="13" applyNumberFormat="1">
      <alignment horizontal="left" vertical="center"/>
    </xf>
    <xf numFmtId="189" fontId="49" fillId="3" borderId="0" xfId="0" applyNumberFormat="1" applyFont="1">
      <alignment vertical="center"/>
    </xf>
    <xf numFmtId="41" fontId="36" fillId="52" borderId="1" xfId="7" applyFont="1" applyFill="1">
      <alignment horizontal="left" vertical="center" shrinkToFit="1"/>
    </xf>
    <xf numFmtId="41" fontId="36" fillId="53" borderId="1" xfId="7" applyFont="1" applyFill="1">
      <alignment horizontal="left" vertical="center" shrinkToFit="1"/>
    </xf>
    <xf numFmtId="41" fontId="36" fillId="53" borderId="12" xfId="4" applyFont="1" applyFill="1">
      <alignment horizontal="left" vertical="center" shrinkToFit="1"/>
    </xf>
  </cellXfs>
  <cellStyles count="99">
    <cellStyle name="$" xfId="89" xr:uid="{15646A92-D94F-46EB-8B73-E72BE871E136}"/>
    <cellStyle name="$k" xfId="15" xr:uid="{58F11323-9893-4FB9-828F-05F379D34CB2}"/>
    <cellStyle name="$m" xfId="16" xr:uid="{DEF59BCA-370D-4D09-A2A5-46E9D0F93123}"/>
    <cellStyle name="_Mapping" xfId="17" xr:uid="{418A44FB-AAE6-4A2A-A226-6C6F199CA1E0}"/>
    <cellStyle name="_Mapping 2" xfId="18" xr:uid="{C7F46CE0-141B-4817-8E75-078BC685F0F3}"/>
    <cellStyle name="_Mapping 3" xfId="19" xr:uid="{15405D2E-4B5E-483B-A89F-4735B712164D}"/>
    <cellStyle name="20% - Accent1" xfId="65" builtinId="30" hidden="1"/>
    <cellStyle name="20% - Accent2" xfId="69" builtinId="34" hidden="1"/>
    <cellStyle name="20% - Accent3" xfId="73" builtinId="38" hidden="1"/>
    <cellStyle name="20% - Accent4" xfId="77" builtinId="42" hidden="1"/>
    <cellStyle name="20% - Accent5" xfId="81" builtinId="46" hidden="1"/>
    <cellStyle name="20% - Accent6" xfId="85" builtinId="50" hidden="1"/>
    <cellStyle name="40% - Accent1" xfId="66" builtinId="31" hidden="1"/>
    <cellStyle name="40% - Accent2" xfId="70" builtinId="35" hidden="1"/>
    <cellStyle name="40% - Accent3" xfId="74" builtinId="39" hidden="1"/>
    <cellStyle name="40% - Accent4" xfId="78" builtinId="43" hidden="1"/>
    <cellStyle name="40% - Accent5" xfId="82" builtinId="47" hidden="1"/>
    <cellStyle name="40% - Accent6" xfId="86" builtinId="51" hidden="1"/>
    <cellStyle name="60% - Accent1" xfId="67" builtinId="32" hidden="1"/>
    <cellStyle name="60% - Accent2" xfId="71" builtinId="36" hidden="1"/>
    <cellStyle name="60% - Accent3" xfId="75" builtinId="40" hidden="1"/>
    <cellStyle name="60% - Accent4" xfId="79" builtinId="44" hidden="1"/>
    <cellStyle name="60% - Accent5" xfId="83" builtinId="48" hidden="1"/>
    <cellStyle name="60% - Accent6" xfId="87" builtinId="52" hidden="1"/>
    <cellStyle name="Accent1" xfId="64" builtinId="29" hidden="1"/>
    <cellStyle name="Accent2" xfId="68" builtinId="33" hidden="1"/>
    <cellStyle name="Accent3" xfId="72" builtinId="37" hidden="1"/>
    <cellStyle name="Accent4" xfId="76" builtinId="41" hidden="1"/>
    <cellStyle name="Accent5" xfId="80" builtinId="45" hidden="1"/>
    <cellStyle name="Accent6" xfId="84" builtinId="49" hidden="1"/>
    <cellStyle name="Action Button" xfId="20" xr:uid="{CEBF58C4-9506-47F3-8AC8-75432D4E50A0}"/>
    <cellStyle name="Bad" xfId="62" builtinId="27" hidden="1"/>
    <cellStyle name="Bar Driver1" xfId="21" xr:uid="{23912858-3D8F-4B61-8E9D-D9969438FBA8}"/>
    <cellStyle name="Bar Driver2" xfId="22" xr:uid="{DBCFCAAC-A151-4426-B8E2-4EC9703C4E2F}"/>
    <cellStyle name="Bar mmm/yy" xfId="23" xr:uid="{BFC2EF32-8D0E-4841-86A3-9B6DA4F996B8}"/>
    <cellStyle name="Bar Scenario" xfId="24" xr:uid="{B5C70ABD-BA7B-451C-8BEF-46C7D4C620DC}"/>
    <cellStyle name="Bar Title" xfId="25" xr:uid="{40001FF1-3CAC-4C03-92BF-90F4331677B5}"/>
    <cellStyle name="Calculation" xfId="8" builtinId="22" customBuiltin="1"/>
    <cellStyle name="Check Cell" xfId="10" builtinId="23" customBuiltin="1"/>
    <cellStyle name="Comma" xfId="97" builtinId="3"/>
    <cellStyle name="Dash mmm" xfId="26" xr:uid="{5852347D-805B-490B-B3BE-9184147BCEAF}"/>
    <cellStyle name="Explanatory Text" xfId="13" builtinId="53" customBuiltin="1"/>
    <cellStyle name="Good" xfId="61" builtinId="26" hidden="1"/>
    <cellStyle name="Gr Title1" xfId="27" xr:uid="{4DC2A963-31C1-4000-970A-A7B62EC27EF5}"/>
    <cellStyle name="Gr Title2" xfId="28" xr:uid="{65F95E5B-ACA5-4B11-BA4F-078ED8F475E4}"/>
    <cellStyle name="Graph" xfId="29" xr:uid="{B59416A5-DA5D-4672-9E85-A88BDD2A5585}"/>
    <cellStyle name="Graph Border" xfId="30" xr:uid="{8F1B2472-2192-462E-BB35-8B58A5621BA9}"/>
    <cellStyle name="Graph Divider" xfId="31" xr:uid="{A0D3935C-E827-4E4B-AF3A-FF7A078F3CD5}"/>
    <cellStyle name="Graph Drop" xfId="32" xr:uid="{89E9B56F-1E92-4322-9410-2C68C015AA05}"/>
    <cellStyle name="Graph mmm" xfId="33" xr:uid="{0DF0A2D0-A5E1-491D-974B-FC4CFB5BD720}"/>
    <cellStyle name="Graph Stat Cost ▴" xfId="92" xr:uid="{626970AC-BADB-442A-B425-7812C101B846}"/>
    <cellStyle name="Graph Stat Rev ▴" xfId="93" xr:uid="{441398DD-C0EB-4576-931C-7C7FE83B0C0D}"/>
    <cellStyle name="Graph Title" xfId="34" xr:uid="{44890C60-EBEF-4564-B8FC-5E4B7C603D47}"/>
    <cellStyle name="Graph Total" xfId="35" xr:uid="{0DC5ECC2-17AA-4BCE-9E5E-F7DB10F5672E}"/>
    <cellStyle name="H3 RowCount" xfId="36" xr:uid="{9DEF9CD8-2DD2-4F3E-876D-1204AEEC4328}"/>
    <cellStyle name="H3 Stat" xfId="37" xr:uid="{BBFCB15B-FE52-4B55-A899-2E2B0CBF46FF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6" builtinId="20" customBuiltin="1"/>
    <cellStyle name="Input .0%" xfId="38" xr:uid="{86AAA4EF-3AF6-4E11-82E9-B2662F579A8E}"/>
    <cellStyle name="Input Date" xfId="39" xr:uid="{8AD12408-ECA1-4D2E-853E-C8AA19FA8C01}"/>
    <cellStyle name="Input Day" xfId="40" xr:uid="{DD4D9BE3-4322-4FE2-9644-D6487625685D}"/>
    <cellStyle name="Input Drop" xfId="41" xr:uid="{81DA2929-72DD-4628-8B97-50F4DD64D86E}"/>
    <cellStyle name="Input LID" xfId="42" xr:uid="{AC15D3AE-980D-4776-808F-6856C8F97919}"/>
    <cellStyle name="Input LID Text" xfId="43" xr:uid="{2CCE475E-4E7A-4788-AEB1-06CB74C1216D}"/>
    <cellStyle name="Input Text" xfId="44" xr:uid="{8B5554E6-4989-439F-B6CB-193FB5EDD351}"/>
    <cellStyle name="Line %" xfId="95" xr:uid="{F2FEE383-49EF-4047-A83A-638FE001AD2B}"/>
    <cellStyle name="Line .0%" xfId="45" xr:uid="{E50C7C4A-E6C3-4996-959A-81013341F001}"/>
    <cellStyle name="Line ✓" xfId="88" xr:uid="{D8EDA99B-9C77-4923-B4AC-D6B129365278}"/>
    <cellStyle name="Line •" xfId="46" xr:uid="{F9E3DA70-644F-4D3C-B768-6F46DD6A9A98}"/>
    <cellStyle name="Line Date" xfId="47" xr:uid="{70F70D9D-72B5-4542-AEA3-546304857DB3}"/>
    <cellStyle name="Line Stat Cost ▴" xfId="90" xr:uid="{0A1ACC01-453B-43AA-AE5F-AD467A17DEF7}"/>
    <cellStyle name="Line Stat Rev ▴" xfId="91" xr:uid="{0569663D-D122-4A24-8F92-58ECC2B1F998}"/>
    <cellStyle name="Line Subtle" xfId="48" xr:uid="{1FBF7F14-3D3F-4679-98ED-05990AC076AC}"/>
    <cellStyle name="Linked Cell" xfId="9" builtinId="24" customBuiltin="1"/>
    <cellStyle name="Neutral" xfId="63" builtinId="28" hidden="1"/>
    <cellStyle name="Normal" xfId="0" builtinId="0" customBuiltin="1"/>
    <cellStyle name="Note" xfId="12" builtinId="10" customBuiltin="1"/>
    <cellStyle name="Output" xfId="7" builtinId="21" customBuiltin="1"/>
    <cellStyle name="Output .0%" xfId="49" xr:uid="{60970AA3-C681-4700-8E4A-071E8A70AD39}"/>
    <cellStyle name="Output Date" xfId="94" xr:uid="{95114B5F-C595-4A40-87B6-2AE490A94277}"/>
    <cellStyle name="Output Text" xfId="50" xr:uid="{07B5E97C-A178-4289-A175-723EBDDF41AA}"/>
    <cellStyle name="Percent" xfId="96" builtinId="5"/>
    <cellStyle name="Percent 2" xfId="98" xr:uid="{0A8A358C-2E31-411B-A94F-572F860498D3}"/>
    <cellStyle name="Subtitle1" xfId="51" xr:uid="{B0160365-A5C6-46D4-9C3F-47D3EAAB469F}"/>
    <cellStyle name="Subtitle2" xfId="52" xr:uid="{BC2E1BA9-2A4E-419D-97E3-1B728647098F}"/>
    <cellStyle name="Subtitle3" xfId="53" xr:uid="{F3BABB73-3DDE-4349-A6E0-7BD3FB9CF835}"/>
    <cellStyle name="Title" xfId="1" builtinId="15" customBuiltin="1"/>
    <cellStyle name="Title Graph" xfId="54" xr:uid="{C87763D5-6DFE-48D5-BC91-DEEF742125E4}"/>
    <cellStyle name="Title H1" xfId="55" xr:uid="{67E3748F-25A6-4823-9C1D-1751463A3F76}"/>
    <cellStyle name="Title H2" xfId="56" xr:uid="{1A065AFE-A004-4158-B3F5-F8F7CF1D5300}"/>
    <cellStyle name="Title H2 ▸" xfId="57" xr:uid="{8E6F2B76-06F5-4EC3-9E5C-550DCB240236}"/>
    <cellStyle name="Title H3" xfId="58" xr:uid="{C3082AC8-FA9E-4C80-B11A-909BB5180E9F}"/>
    <cellStyle name="Top Group" xfId="59" xr:uid="{4C39F92B-8207-44F7-B8F5-76385BC2FDDD}"/>
    <cellStyle name="Top Tab" xfId="60" xr:uid="{E45C4DF3-E751-49FA-962B-7471607A0382}"/>
    <cellStyle name="Total" xfId="14" builtinId="25" customBuiltin="1"/>
    <cellStyle name="Warning Text" xfId="11" builtinId="11" customBuiltin="1"/>
  </cellStyles>
  <dxfs count="2">
    <dxf>
      <font>
        <b/>
        <i val="0"/>
        <color theme="1"/>
        <name val="Arial Nova"/>
        <family val="2"/>
        <scheme val="minor"/>
      </font>
      <border>
        <bottom style="medium">
          <color theme="3"/>
        </bottom>
      </border>
    </dxf>
    <dxf>
      <font>
        <color theme="1"/>
        <name val="Arial Nova"/>
        <family val="2"/>
        <scheme val="minor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3" defaultPivotStyle="PivotStyleLight16">
    <tableStyle name="VenaSlicer" pivot="0" table="0" count="10" xr9:uid="{8548E6E4-38AC-4698-A543-3D21CC62A7C9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theme="0"/>
            <name val="Arial Nova"/>
            <family val="2"/>
            <scheme val="minor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Arial Nova"/>
            <family val="2"/>
            <scheme val="minor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Arial Nova"/>
            <family val="2"/>
            <scheme val="minor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Arial Nova"/>
            <family val="2"/>
            <scheme val="minor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 tint="0.39994506668294322"/>
            <name val="Arial Nova"/>
            <family val="2"/>
            <scheme val="minor"/>
          </font>
          <fill>
            <patternFill>
              <bgColor theme="2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  <name val="Arial Nova"/>
            <family val="2"/>
            <scheme val="minor"/>
          </font>
          <fill>
            <patternFill>
              <bgColor theme="2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 tint="0.39994506668294322"/>
            <name val="Arial Nova"/>
            <family val="2"/>
            <scheme val="minor"/>
          </font>
          <fill>
            <patternFill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  <name val="Arial Nova"/>
            <family val="2"/>
            <scheme val="minor"/>
          </font>
          <fill>
            <patternFill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VenaSlicer">
        <x14:slicerStyle name="Vena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17/10/relationships/person" Target="persons/person.xml"/><Relationship Id="rId25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284144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7E8B1-94E4-47A7-B025-6085FCF60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51955" y="2235912"/>
          <a:ext cx="813009" cy="240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95461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8DD068-E325-4EFD-9859-5662B514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11855" y="2235912"/>
          <a:ext cx="857461" cy="24058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0</xdr:rowOff>
    </xdr:from>
    <xdr:ext cx="809834" cy="237413"/>
    <xdr:pic>
      <xdr:nvPicPr>
        <xdr:cNvPr id="4" name="Picture 3">
          <a:extLst>
            <a:ext uri="{FF2B5EF4-FFF2-40B4-BE49-F238E27FC236}">
              <a16:creationId xmlns:a16="http://schemas.microsoft.com/office/drawing/2014/main" id="{0D6B9E07-5FF4-4694-8DFA-DD343B51F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9626" y="2235912"/>
          <a:ext cx="809834" cy="237413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95461</xdr:colOff>
      <xdr:row>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390C46-56D2-4BB5-96E8-9153BD0BA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7461" cy="57804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0</xdr:rowOff>
    </xdr:from>
    <xdr:ext cx="809834" cy="237413"/>
    <xdr:pic>
      <xdr:nvPicPr>
        <xdr:cNvPr id="6" name="Picture 5">
          <a:extLst>
            <a:ext uri="{FF2B5EF4-FFF2-40B4-BE49-F238E27FC236}">
              <a16:creationId xmlns:a16="http://schemas.microsoft.com/office/drawing/2014/main" id="{B4C38621-6B4F-44EA-AE58-56F82EFB9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7984" y="1778712"/>
          <a:ext cx="809834" cy="237413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286869</xdr:colOff>
      <xdr:row>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54E821-5A40-4BB6-932F-90C067FB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7461" cy="1002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286869</xdr:colOff>
      <xdr:row>208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9C6CA3-8A07-4C8E-B969-2F2F2919E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8384" y="140412"/>
          <a:ext cx="857461" cy="1438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286869</xdr:colOff>
      <xdr:row>208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4397A44-2219-4A4A-A6B7-9A85FCAB9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7461" cy="18734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286869</xdr:colOff>
      <xdr:row>208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179CC4-EB42-40D2-98EA-8579E35B0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7461" cy="23633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286869</xdr:colOff>
      <xdr:row>208</xdr:row>
      <xdr:rowOff>84569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1FEC3D-CDC0-4F3B-B31A-E09E77158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7461" cy="28694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286869</xdr:colOff>
      <xdr:row>210</xdr:row>
      <xdr:rowOff>90919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E457F7-01C1-4071-95DA-8BEE9FE63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7461" cy="33974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286869</xdr:colOff>
      <xdr:row>213</xdr:row>
      <xdr:rowOff>2016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6FCE89-4BB9-4E5E-881B-6B2B8505B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7461" cy="39635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286869</xdr:colOff>
      <xdr:row>214</xdr:row>
      <xdr:rowOff>71872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A553990-EB7E-4001-9F51-D69537EE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7461" cy="45458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286869</xdr:colOff>
      <xdr:row>218</xdr:row>
      <xdr:rowOff>113593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783D55-CB51-473B-927C-21572F0E9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7461" cy="51500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283241</xdr:colOff>
      <xdr:row>160</xdr:row>
      <xdr:rowOff>25400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059801F-3C4B-426B-A4A0-B8AD9EC09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2112" y="1778712"/>
          <a:ext cx="854740" cy="51527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283240</xdr:colOff>
      <xdr:row>160</xdr:row>
      <xdr:rowOff>25400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B45CD01-B50B-4E28-8DBE-7B170AEB6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4740" cy="57841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284147</xdr:colOff>
      <xdr:row>160</xdr:row>
      <xdr:rowOff>25400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76FD9CD-0C35-42E0-9294-BF1B925D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4740" cy="64372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283241</xdr:colOff>
      <xdr:row>160</xdr:row>
      <xdr:rowOff>25400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58B8E31-ED3D-406F-81EC-17B05F380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7127" y="1778712"/>
          <a:ext cx="854740" cy="71122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lee\Downloads\2895367e3f53445faf4e1b4e5f2fa227.WzEyMjI2NzQxMzEwMzQ0Mzk2ODAsMTA3ODQzODk5Mzg1MjYyODk5Mix0cnVlLCJ1czEudmVuYS5pbzo0NDMiXQ==.xlsx" TargetMode="External"/><Relationship Id="rId1" Type="http://schemas.openxmlformats.org/officeDocument/2006/relationships/externalLinkPath" Target="file:///C:\Users\slee\Downloads\2895367e3f53445faf4e1b4e5f2fa227.WzEyMjI2NzQxMzEwMzQ0Mzk2ODAsMTA3ODQzODk5Mzg1MjYyODk5Mix0cnVlLCJ1czEudmVuYS5pbzo0NDMiXQ==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lee\Downloads\78e4aee6e8ee4abc837f9459b7f1f42a.WzEyMjI2NzQxMzEwMzQ0Mzk2ODAsMTA3ODQzODk5Mzg1MjYyODk5Mix0cnVlLCJ1czEudmVuYS5pbzo0NDMiXQ==.xlsx" TargetMode="External"/><Relationship Id="rId1" Type="http://schemas.openxmlformats.org/officeDocument/2006/relationships/externalLinkPath" Target="file:///C:\Users\slee\Downloads\78e4aee6e8ee4abc837f9459b7f1f42a.WzEyMjI2NzQxMzEwMzQ0Mzk2ODAsMTA3ODQzODk5Mzg1MjYyODk5Mix0cnVlLCJ1czEudmVuYS5pbzo0NDMiXQ==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ummary"/>
      <sheetName val="Controls"/>
      <sheetName val="List"/>
      <sheetName val="Sheet1"/>
      <sheetName val="vena.tmp.7EC47338204F4F1F"/>
    </sheetNames>
    <sheetDataSet>
      <sheetData sheetId="0"/>
      <sheetData sheetId="1"/>
      <sheetData sheetId="2">
        <row r="11">
          <cell r="D11" t="b">
            <v>1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Name"/>
      <sheetName val="Scenario"/>
      <sheetName val="Sheet2"/>
      <sheetName val="Summary Draft "/>
      <sheetName val="IS Variance by Dept Draft "/>
      <sheetName val="Summary"/>
      <sheetName val="IS Variance by Dept"/>
      <sheetName val="EMEA Detail IS"/>
      <sheetName val="EMEA (Excl 807) IS Var"/>
      <sheetName val="EMEA (Excl 807) Detail IS"/>
      <sheetName val="802 USD"/>
      <sheetName val="802 Local"/>
      <sheetName val="802 IS Var USD"/>
      <sheetName val="802 Variance Local"/>
      <sheetName val="803 USD"/>
      <sheetName val="803 Local"/>
      <sheetName val="803 IS Var USD"/>
      <sheetName val="803 Variance Local"/>
      <sheetName val="805 USD"/>
      <sheetName val="805 Local"/>
      <sheetName val="805 IS Var USD"/>
      <sheetName val="805 Variance Local"/>
      <sheetName val="806 USD"/>
      <sheetName val="806 Local"/>
      <sheetName val="806 IS Var USD"/>
      <sheetName val="806 Variance Local"/>
      <sheetName val="807 USD"/>
      <sheetName val="807 Local"/>
      <sheetName val="807 IS Var USD"/>
      <sheetName val="807 Variance Local"/>
      <sheetName val="808 USD"/>
      <sheetName val="808 Local"/>
      <sheetName val="808 IS Var USD"/>
      <sheetName val="808 Variance Local"/>
      <sheetName val="809 USD"/>
      <sheetName val="809 Local"/>
      <sheetName val="809 IS Var USD"/>
      <sheetName val="809 Variance Local"/>
      <sheetName val="Controls"/>
      <sheetName val="Sheet1"/>
      <sheetName val="vena.tmp.7EC47338204F4F1F"/>
    </sheetNames>
    <sheetDataSet>
      <sheetData sheetId="0">
        <row r="4">
          <cell r="C4" t="e">
            <v>#VALUE!</v>
          </cell>
          <cell r="D4" t="e">
            <v>#VALUE!</v>
          </cell>
        </row>
        <row r="5">
          <cell r="C5" t="str">
            <v>Oct</v>
          </cell>
          <cell r="D5">
            <v>10</v>
          </cell>
        </row>
        <row r="6">
          <cell r="C6" t="str">
            <v>Nov</v>
          </cell>
          <cell r="D6">
            <v>11</v>
          </cell>
        </row>
        <row r="7">
          <cell r="C7" t="str">
            <v>May</v>
          </cell>
          <cell r="D7">
            <v>5</v>
          </cell>
        </row>
        <row r="8">
          <cell r="C8" t="str">
            <v>Apr</v>
          </cell>
          <cell r="D8">
            <v>4</v>
          </cell>
        </row>
        <row r="9">
          <cell r="C9" t="str">
            <v>Jul</v>
          </cell>
          <cell r="D9">
            <v>7</v>
          </cell>
        </row>
        <row r="10">
          <cell r="C10" t="str">
            <v>Jan</v>
          </cell>
          <cell r="D10">
            <v>1</v>
          </cell>
        </row>
        <row r="11">
          <cell r="C11" t="str">
            <v>Jun</v>
          </cell>
          <cell r="D11">
            <v>6</v>
          </cell>
        </row>
        <row r="12">
          <cell r="C12" t="str">
            <v>Sep</v>
          </cell>
          <cell r="D12">
            <v>9</v>
          </cell>
        </row>
        <row r="13">
          <cell r="C13" t="str">
            <v>Dec</v>
          </cell>
          <cell r="D13">
            <v>12</v>
          </cell>
        </row>
        <row r="14">
          <cell r="C14" t="str">
            <v>Aug</v>
          </cell>
          <cell r="D14">
            <v>8</v>
          </cell>
        </row>
        <row r="15">
          <cell r="C15" t="str">
            <v>Feb</v>
          </cell>
          <cell r="D15">
            <v>2</v>
          </cell>
        </row>
        <row r="16">
          <cell r="C16" t="str">
            <v>Mar</v>
          </cell>
          <cell r="D16">
            <v>3</v>
          </cell>
        </row>
        <row r="17">
          <cell r="C17" t="e">
            <v>#VALUE!</v>
          </cell>
          <cell r="D17" t="e">
            <v>#VALUE!</v>
          </cell>
        </row>
      </sheetData>
      <sheetData sheetId="1">
        <row r="2">
          <cell r="A2" t="str">
            <v>Forecast 3+9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ee, August" id="{E6F4FCA5-7CB8-4767-B8EF-9F78AEF09B3E}" userId="S::slee@fsco.com::7afdee49-6b9c-4a92-a303-757a325c9d36" providerId="AD"/>
</personList>
</file>

<file path=xl/theme/theme1.xml><?xml version="1.0" encoding="utf-8"?>
<a:theme xmlns:a="http://schemas.openxmlformats.org/drawingml/2006/main" name="Vena Theme">
  <a:themeElements>
    <a:clrScheme name="Vena Theme">
      <a:dk1>
        <a:srgbClr val="4B4844"/>
      </a:dk1>
      <a:lt1>
        <a:srgbClr val="FFFFFF"/>
      </a:lt1>
      <a:dk2>
        <a:srgbClr val="4A9462"/>
      </a:dk2>
      <a:lt2>
        <a:srgbClr val="0070C0"/>
      </a:lt2>
      <a:accent1>
        <a:srgbClr val="C34F2E"/>
      </a:accent1>
      <a:accent2>
        <a:srgbClr val="2B6554"/>
      </a:accent2>
      <a:accent3>
        <a:srgbClr val="46788F"/>
      </a:accent3>
      <a:accent4>
        <a:srgbClr val="664E5E"/>
      </a:accent4>
      <a:accent5>
        <a:srgbClr val="96B3D9"/>
      </a:accent5>
      <a:accent6>
        <a:srgbClr val="266DC9"/>
      </a:accent6>
      <a:hlink>
        <a:srgbClr val="0070C0"/>
      </a:hlink>
      <a:folHlink>
        <a:srgbClr val="26806C"/>
      </a:folHlink>
    </a:clrScheme>
    <a:fontScheme name="Vena Fonts">
      <a:majorFont>
        <a:latin typeface="Franklin Gothic Medium Cond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4" dT="2024-12-06T16:59:33.04" personId="{E6F4FCA5-7CB8-4767-B8EF-9F78AEF09B3E}" id="{01078D05-312E-4B7E-BE02-29C2CB0828B3}">
    <text>12.6.24 not adjutsted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4" dT="2024-12-06T16:59:33.04" personId="{E6F4FCA5-7CB8-4767-B8EF-9F78AEF09B3E}" id="{9DB2DE76-6DA4-4279-9BF7-48FEE4DBB927}">
    <text>12.6.24 not adjutsted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C4" dT="2024-12-06T16:59:33.04" personId="{E6F4FCA5-7CB8-4767-B8EF-9F78AEF09B3E}" id="{FF58BB46-5194-4688-BC22-2C9CA0119566}">
    <text>12.6.24 not adjutsted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C4" dT="2024-12-06T16:59:33.04" personId="{E6F4FCA5-7CB8-4767-B8EF-9F78AEF09B3E}" id="{64E9AD22-895F-4E42-9606-CCF46D79E3FB}">
    <text>12.6.24 not adjutsted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E379-634A-46F8-9D89-0DD12D588E8D}">
  <sheetPr codeName="Sheet1">
    <tabColor theme="7"/>
  </sheetPr>
  <dimension ref="A1:E17"/>
  <sheetViews>
    <sheetView workbookViewId="0">
      <selection activeCell="C7" sqref="C7"/>
    </sheetView>
  </sheetViews>
  <sheetFormatPr defaultRowHeight="11.4" x14ac:dyDescent="0.25"/>
  <sheetData>
    <row r="1" spans="1:5" x14ac:dyDescent="0.25">
      <c r="A1" s="31" t="s">
        <v>42</v>
      </c>
      <c r="B1" s="32" t="s">
        <v>42</v>
      </c>
      <c r="C1" s="32"/>
      <c r="E1" s="28" t="s">
        <v>43</v>
      </c>
    </row>
    <row r="2" spans="1:5" x14ac:dyDescent="0.25">
      <c r="A2" s="31" t="s">
        <v>38</v>
      </c>
    </row>
    <row r="4" spans="1:5" ht="12.95" x14ac:dyDescent="0.25">
      <c r="A4" s="28" t="s">
        <v>44</v>
      </c>
      <c r="B4" s="28"/>
      <c r="C4" s="33" t="e">
        <v>#VALUE!</v>
      </c>
      <c r="D4" t="e">
        <v>#VALUE!</v>
      </c>
    </row>
    <row r="5" spans="1:5" ht="12.95" x14ac:dyDescent="0.25">
      <c r="A5" t="s">
        <v>47</v>
      </c>
      <c r="C5" s="33" t="s">
        <v>56</v>
      </c>
      <c r="D5">
        <v>10</v>
      </c>
      <c r="E5">
        <v>-1784526.16</v>
      </c>
    </row>
    <row r="6" spans="1:5" x14ac:dyDescent="0.25">
      <c r="A6" t="s">
        <v>48</v>
      </c>
      <c r="C6" t="s">
        <v>57</v>
      </c>
      <c r="D6">
        <v>11</v>
      </c>
      <c r="E6">
        <v>-906306.35</v>
      </c>
    </row>
    <row r="7" spans="1:5" x14ac:dyDescent="0.25">
      <c r="A7" t="s">
        <v>49</v>
      </c>
      <c r="C7" t="s">
        <v>58</v>
      </c>
      <c r="D7">
        <v>5</v>
      </c>
      <c r="E7">
        <v>-685198.88</v>
      </c>
    </row>
    <row r="8" spans="1:5" x14ac:dyDescent="0.25">
      <c r="A8" t="s">
        <v>50</v>
      </c>
      <c r="C8" t="s">
        <v>59</v>
      </c>
      <c r="D8">
        <v>4</v>
      </c>
      <c r="E8">
        <v>-824143.47</v>
      </c>
    </row>
    <row r="9" spans="1:5" x14ac:dyDescent="0.25">
      <c r="A9" t="s">
        <v>51</v>
      </c>
      <c r="C9" t="s">
        <v>60</v>
      </c>
      <c r="D9">
        <v>7</v>
      </c>
      <c r="E9">
        <v>-782743.01</v>
      </c>
    </row>
    <row r="10" spans="1:5" x14ac:dyDescent="0.25">
      <c r="A10" t="s">
        <v>9</v>
      </c>
      <c r="C10" t="s">
        <v>61</v>
      </c>
      <c r="D10">
        <v>1</v>
      </c>
      <c r="E10">
        <v>-253866.64</v>
      </c>
    </row>
    <row r="11" spans="1:5" x14ac:dyDescent="0.25">
      <c r="A11" t="s">
        <v>52</v>
      </c>
      <c r="C11" t="s">
        <v>62</v>
      </c>
      <c r="D11">
        <v>6</v>
      </c>
      <c r="E11">
        <v>-97948.1</v>
      </c>
    </row>
    <row r="12" spans="1:5" x14ac:dyDescent="0.25">
      <c r="A12" t="s">
        <v>53</v>
      </c>
      <c r="C12" t="s">
        <v>63</v>
      </c>
      <c r="D12">
        <v>9</v>
      </c>
      <c r="E12">
        <v>-128603.02</v>
      </c>
    </row>
    <row r="13" spans="1:5" x14ac:dyDescent="0.25">
      <c r="A13" t="s">
        <v>54</v>
      </c>
      <c r="C13" t="s">
        <v>64</v>
      </c>
      <c r="D13">
        <v>12</v>
      </c>
      <c r="E13">
        <v>-1164650.8899999999</v>
      </c>
    </row>
    <row r="14" spans="1:5" x14ac:dyDescent="0.25">
      <c r="A14" t="s">
        <v>55</v>
      </c>
      <c r="C14" t="s">
        <v>65</v>
      </c>
      <c r="D14">
        <v>8</v>
      </c>
      <c r="E14">
        <v>-1098019.52</v>
      </c>
    </row>
    <row r="15" spans="1:5" x14ac:dyDescent="0.25">
      <c r="A15" t="s">
        <v>41</v>
      </c>
      <c r="C15" t="s">
        <v>66</v>
      </c>
      <c r="D15">
        <v>2</v>
      </c>
      <c r="E15">
        <v>-842818.59</v>
      </c>
    </row>
    <row r="16" spans="1:5" x14ac:dyDescent="0.25">
      <c r="A16" t="s">
        <v>46</v>
      </c>
      <c r="C16" t="s">
        <v>67</v>
      </c>
      <c r="D16">
        <v>3</v>
      </c>
      <c r="E16">
        <v>-769144.77</v>
      </c>
    </row>
    <row r="17" spans="3:4" x14ac:dyDescent="0.25">
      <c r="C17" t="e">
        <v>#VALUE!</v>
      </c>
      <c r="D17" t="e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823E-10AB-4D29-9435-362B8696E3CD}">
  <sheetPr codeName="Sheet7">
    <tabColor theme="7"/>
  </sheetPr>
  <dimension ref="A1:C12"/>
  <sheetViews>
    <sheetView workbookViewId="0">
      <selection activeCell="A3" sqref="A3"/>
    </sheetView>
  </sheetViews>
  <sheetFormatPr defaultRowHeight="11.4" x14ac:dyDescent="0.25"/>
  <cols>
    <col min="1" max="1" width="27.109375" bestFit="1" customWidth="1"/>
  </cols>
  <sheetData>
    <row r="1" spans="1:3" x14ac:dyDescent="0.25">
      <c r="A1" s="130">
        <v>2026</v>
      </c>
      <c r="C1" s="31" t="s">
        <v>12</v>
      </c>
    </row>
    <row r="2" spans="1:3" x14ac:dyDescent="0.25">
      <c r="A2" s="130" t="s">
        <v>8</v>
      </c>
      <c r="C2" t="s">
        <v>20</v>
      </c>
    </row>
    <row r="3" spans="1:3" x14ac:dyDescent="0.25">
      <c r="A3" s="130" t="s">
        <v>120</v>
      </c>
      <c r="C3" t="s">
        <v>93</v>
      </c>
    </row>
    <row r="4" spans="1:3" x14ac:dyDescent="0.25">
      <c r="A4" s="130" t="s">
        <v>9</v>
      </c>
      <c r="C4" t="s">
        <v>94</v>
      </c>
    </row>
    <row r="5" spans="1:3" x14ac:dyDescent="0.25">
      <c r="C5" t="s">
        <v>95</v>
      </c>
    </row>
    <row r="6" spans="1:3" x14ac:dyDescent="0.25">
      <c r="C6" t="s">
        <v>96</v>
      </c>
    </row>
    <row r="7" spans="1:3" x14ac:dyDescent="0.25">
      <c r="C7" t="s">
        <v>92</v>
      </c>
    </row>
    <row r="12" spans="1:3" x14ac:dyDescent="0.25">
      <c r="A12" s="31" t="s">
        <v>35</v>
      </c>
      <c r="C12">
        <v>-9768.2966303562098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6CCA-2007-4279-9507-3FC3499C2C9B}">
  <sheetPr codeName="Sheet2">
    <tabColor theme="3"/>
  </sheetPr>
  <dimension ref="A1:BK386"/>
  <sheetViews>
    <sheetView topLeftCell="A15" workbookViewId="0">
      <selection activeCell="I32" sqref="I32"/>
    </sheetView>
  </sheetViews>
  <sheetFormatPr defaultRowHeight="11.4" x14ac:dyDescent="0.25"/>
  <cols>
    <col min="2" max="7" width="8.77734375" hidden="1" customWidth="1"/>
    <col min="9" max="10" width="8.77734375" hidden="1" customWidth="1"/>
    <col min="12" max="12" width="8.77734375" hidden="1" customWidth="1"/>
    <col min="15" max="16" width="8.77734375" hidden="1" customWidth="1"/>
    <col min="17" max="18" width="8.77734375" customWidth="1"/>
    <col min="21" max="22" width="8.77734375" hidden="1" customWidth="1"/>
    <col min="23" max="24" width="8.77734375" customWidth="1"/>
    <col min="28" max="35" width="8.77734375" hidden="1" customWidth="1"/>
    <col min="39" max="40" width="8.77734375" hidden="1" customWidth="1"/>
    <col min="41" max="42" width="8.77734375" customWidth="1"/>
    <col min="45" max="46" width="8.77734375" hidden="1" customWidth="1"/>
    <col min="47" max="48" width="8.77734375" customWidth="1"/>
    <col min="55" max="56" width="8.77734375" customWidth="1"/>
    <col min="59" max="60" width="8.77734375" customWidth="1"/>
    <col min="63" max="63" width="8.77734375" hidden="1" customWidth="1"/>
  </cols>
  <sheetData>
    <row r="1" spans="2:63" x14ac:dyDescent="0.25">
      <c r="B1" t="s">
        <v>0</v>
      </c>
      <c r="N1" s="48"/>
      <c r="P1" s="48"/>
      <c r="R1" s="48"/>
      <c r="T1" s="48"/>
      <c r="U1" s="48"/>
      <c r="V1" s="15"/>
      <c r="W1" s="48"/>
      <c r="X1" s="15"/>
      <c r="Y1" s="48"/>
      <c r="Z1" s="15"/>
      <c r="AA1" s="15"/>
      <c r="AC1" s="47"/>
      <c r="AD1" s="47"/>
      <c r="AE1" s="47"/>
      <c r="AF1" s="49"/>
      <c r="AG1" s="49"/>
      <c r="AH1" s="49"/>
      <c r="AI1" s="49"/>
      <c r="AL1" s="48"/>
      <c r="AN1" s="48"/>
      <c r="AP1" s="48"/>
      <c r="AR1" s="48"/>
      <c r="AS1" s="48"/>
      <c r="AT1" s="15"/>
      <c r="AU1" s="48"/>
      <c r="AV1" s="15"/>
      <c r="AW1" s="48"/>
      <c r="AX1" s="15"/>
      <c r="AY1" s="15"/>
      <c r="BB1" s="48"/>
      <c r="BD1" s="48"/>
      <c r="BF1" s="48"/>
      <c r="BG1" s="48"/>
      <c r="BH1" s="15"/>
      <c r="BI1" s="48"/>
      <c r="BJ1" s="15"/>
      <c r="BK1" s="15"/>
    </row>
    <row r="2" spans="2:63" hidden="1" x14ac:dyDescent="0.25">
      <c r="B2" t="s">
        <v>1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I2" t="s">
        <v>0</v>
      </c>
      <c r="J2" t="s">
        <v>0</v>
      </c>
      <c r="L2" t="s">
        <v>0</v>
      </c>
      <c r="N2" s="28"/>
      <c r="O2" s="46" t="str">
        <f>IF(VALUE(TRIM(LEFT(Scenario!$A$4,2)))&lt;4, "#hidecolumn", "#showcolumn")</f>
        <v>#hidecolumn</v>
      </c>
      <c r="P2" s="46" t="str">
        <f>O2</f>
        <v>#hidecolumn</v>
      </c>
      <c r="Q2" s="46" t="str">
        <f>IF(VALUE(TRIM(LEFT(Scenario!$A$4,2)))&lt;4, "#showcolumn", "#hidecolumn")</f>
        <v>#showcolumn</v>
      </c>
      <c r="R2" s="46" t="str">
        <f>Q2</f>
        <v>#showcolumn</v>
      </c>
      <c r="U2" t="str">
        <f>V2</f>
        <v>#hidecolumn</v>
      </c>
      <c r="V2" s="46" t="str">
        <f>IF(VALUE(TRIM(LEFT(Scenario!$A$4,2)))&lt;4, "#hidecolumn", "#showcolumn")</f>
        <v>#hidecolumn</v>
      </c>
      <c r="W2" t="str">
        <f>X2</f>
        <v>#showcolumn</v>
      </c>
      <c r="X2" s="46" t="str">
        <f>IF(VALUE(TRIM(LEFT(Scenario!$A$4,2)))&lt;4, "#showcolumn", "#hidecolumn")</f>
        <v>#showcolumn</v>
      </c>
      <c r="AB2" s="47" t="s">
        <v>0</v>
      </c>
      <c r="AC2" s="47" t="s">
        <v>0</v>
      </c>
      <c r="AD2" s="47" t="s">
        <v>0</v>
      </c>
      <c r="AE2" s="47" t="s">
        <v>0</v>
      </c>
      <c r="AF2" s="47" t="s">
        <v>0</v>
      </c>
      <c r="AG2" s="47" t="s">
        <v>0</v>
      </c>
      <c r="AH2" s="47" t="s">
        <v>0</v>
      </c>
      <c r="AI2" s="47" t="s">
        <v>0</v>
      </c>
      <c r="AM2" s="46" t="str">
        <f>IF(VALUE(TRIM(LEFT(Scenario!$A$4,2)))&lt;4, "#hidecolumn", "#showcolumn")</f>
        <v>#hidecolumn</v>
      </c>
      <c r="AN2" s="46" t="str">
        <f>AM2</f>
        <v>#hidecolumn</v>
      </c>
      <c r="AO2" s="46" t="str">
        <f>IF(VALUE(TRIM(LEFT(Scenario!$A$4,2)))&lt;4, "#showcolumn", "#hidecolumn")</f>
        <v>#showcolumn</v>
      </c>
      <c r="AP2" s="46" t="str">
        <f>AO2</f>
        <v>#showcolumn</v>
      </c>
      <c r="AS2" t="str">
        <f>AT2</f>
        <v>#hidecolumn</v>
      </c>
      <c r="AT2" s="46" t="str">
        <f>IF(VALUE(TRIM(LEFT(Scenario!$A$4,2)))&lt;4, "#hidecolumn", "#showcolumn")</f>
        <v>#hidecolumn</v>
      </c>
      <c r="AU2" t="str">
        <f>AV2</f>
        <v>#showcolumn</v>
      </c>
      <c r="AV2" s="46" t="str">
        <f>IF(VALUE(TRIM(LEFT(Scenario!$A$4,2)))&lt;4, "#showcolumn", "#hidecolumn")</f>
        <v>#showcolumn</v>
      </c>
      <c r="BC2" s="46" t="str">
        <f>IF(VALUE(TRIM(LEFT(Scenario!$A$4,2)))&lt;4, "#showcolumn", "#hidecolumn")</f>
        <v>#showcolumn</v>
      </c>
      <c r="BD2" s="46" t="str">
        <f>BC2</f>
        <v>#showcolumn</v>
      </c>
      <c r="BG2" t="str">
        <f>BH2</f>
        <v>#showcolumn</v>
      </c>
      <c r="BH2" s="46" t="str">
        <f>IF(VALUE(TRIM(LEFT(Scenario!$A$4,2)))&lt;4, "#showcolumn", "#hidecolumn")</f>
        <v>#showcolumn</v>
      </c>
      <c r="BK2" s="15" t="s">
        <v>0</v>
      </c>
    </row>
    <row r="3" spans="2:63" hidden="1" x14ac:dyDescent="0.25">
      <c r="B3" t="s">
        <v>1</v>
      </c>
      <c r="C3" t="str">
        <f>_xlfn.CONCAT("Section: ", LEFT(E6,3))</f>
        <v>Section: 954</v>
      </c>
      <c r="N3" s="48"/>
      <c r="P3" s="48"/>
      <c r="R3" s="48"/>
      <c r="T3" s="48"/>
      <c r="U3" s="48"/>
      <c r="V3" s="15"/>
      <c r="W3" s="48"/>
      <c r="X3" s="15"/>
      <c r="Y3" s="48"/>
      <c r="Z3" s="15"/>
      <c r="AA3" s="15"/>
      <c r="AC3" s="47"/>
      <c r="AD3" s="47"/>
      <c r="AE3" s="47"/>
      <c r="AF3" s="49"/>
      <c r="AG3" s="49"/>
      <c r="AH3" s="49"/>
      <c r="AI3" s="49"/>
      <c r="AL3" s="48"/>
      <c r="AN3" s="48"/>
      <c r="AP3" s="48"/>
      <c r="AR3" s="48"/>
      <c r="AS3" s="48"/>
      <c r="AT3" s="15"/>
      <c r="AU3" s="48"/>
      <c r="AV3" s="15"/>
      <c r="AW3" s="48"/>
      <c r="AX3" s="15"/>
      <c r="AY3" s="15"/>
      <c r="BB3" s="48"/>
      <c r="BD3" s="48"/>
      <c r="BF3" s="48"/>
      <c r="BG3" s="48"/>
      <c r="BH3" s="15"/>
      <c r="BI3" s="48"/>
      <c r="BJ3" s="15"/>
      <c r="BK3" s="15"/>
    </row>
    <row r="4" spans="2:63" hidden="1" x14ac:dyDescent="0.25">
      <c r="B4" t="s">
        <v>1</v>
      </c>
      <c r="C4" t="s">
        <v>68</v>
      </c>
      <c r="D4" t="s">
        <v>69</v>
      </c>
      <c r="L4">
        <f>VALUE(TRIM(LEFT(Scenario!$A$4,2)))</f>
        <v>1</v>
      </c>
      <c r="M4" s="40">
        <f>Scenario!$A$1</f>
        <v>2026</v>
      </c>
      <c r="N4" s="50"/>
      <c r="O4" s="40">
        <f>Scenario!$A$1</f>
        <v>2026</v>
      </c>
      <c r="P4" s="51"/>
      <c r="Q4" s="40">
        <f>Scenario!$A$1</f>
        <v>2026</v>
      </c>
      <c r="R4" s="51"/>
      <c r="S4" s="40">
        <f>Scenario!$A$1-1</f>
        <v>2025</v>
      </c>
      <c r="T4" s="51"/>
      <c r="U4" s="52"/>
      <c r="V4" s="41"/>
      <c r="W4" s="52"/>
      <c r="X4" s="41"/>
      <c r="Y4" s="52"/>
      <c r="Z4" s="41"/>
      <c r="AA4" s="41"/>
      <c r="AB4" s="41"/>
      <c r="AC4" s="36">
        <f>Scenario!$A$1</f>
        <v>2026</v>
      </c>
      <c r="AD4" s="36">
        <f>Scenario!$A$1-1</f>
        <v>2025</v>
      </c>
      <c r="AE4" s="36">
        <f>Scenario!$A$1</f>
        <v>2026</v>
      </c>
      <c r="AF4" s="34"/>
      <c r="AG4" s="34"/>
      <c r="AH4" s="34"/>
      <c r="AI4" s="34"/>
      <c r="AJ4" s="41"/>
      <c r="AK4" s="34">
        <f>Scenario!$A$1</f>
        <v>2026</v>
      </c>
      <c r="AL4" s="48"/>
      <c r="AM4" s="34">
        <f>Scenario!$A$1</f>
        <v>2026</v>
      </c>
      <c r="AN4" s="48"/>
      <c r="AO4" s="34">
        <f>Scenario!$A$1</f>
        <v>2026</v>
      </c>
      <c r="AP4" s="48"/>
      <c r="AQ4" s="34">
        <f>Scenario!$A$1-1</f>
        <v>2025</v>
      </c>
      <c r="AR4" s="48"/>
      <c r="AS4" s="52"/>
      <c r="AT4" s="35"/>
      <c r="AU4" s="53"/>
      <c r="AV4" s="34"/>
      <c r="AW4" s="53"/>
      <c r="AX4" s="54"/>
      <c r="AY4" s="54"/>
      <c r="BA4" s="40">
        <v>2025</v>
      </c>
      <c r="BB4" s="48"/>
      <c r="BC4" s="40">
        <v>2025</v>
      </c>
      <c r="BD4" s="48"/>
      <c r="BE4" s="40">
        <f>BA4-1</f>
        <v>2024</v>
      </c>
      <c r="BF4" s="48"/>
      <c r="BG4" s="48"/>
      <c r="BH4" s="54"/>
      <c r="BI4" s="48"/>
      <c r="BJ4" s="54"/>
      <c r="BK4" s="54"/>
    </row>
    <row r="5" spans="2:63" hidden="1" x14ac:dyDescent="0.25">
      <c r="B5" t="s">
        <v>1</v>
      </c>
      <c r="C5" t="s">
        <v>3</v>
      </c>
      <c r="D5" t="s">
        <v>70</v>
      </c>
      <c r="M5" s="40">
        <f>VALUE(TRIM(LEFT(Scenario!$A$4,2)))</f>
        <v>1</v>
      </c>
      <c r="N5" s="50"/>
      <c r="O5" s="40">
        <f>VALUE(TRIM(LEFT(Scenario!$A$4,2)))</f>
        <v>1</v>
      </c>
      <c r="P5" s="51"/>
      <c r="Q5" s="40">
        <f>VALUE(TRIM(LEFT(Scenario!$A$4,2)))</f>
        <v>1</v>
      </c>
      <c r="R5" s="51"/>
      <c r="S5" s="40">
        <f>VALUE(TRIM(LEFT(Scenario!$A$4,2)))</f>
        <v>1</v>
      </c>
      <c r="T5" s="51"/>
      <c r="U5" s="52"/>
      <c r="V5" s="42"/>
      <c r="W5" s="52"/>
      <c r="X5" s="42"/>
      <c r="Y5" s="52"/>
      <c r="Z5" s="42"/>
      <c r="AA5" s="42"/>
      <c r="AB5" s="42"/>
      <c r="AC5" s="36" t="str">
        <f>VALUE(TRIM(LEFT(Scenario!$A$4,2)))&amp;" QTD"</f>
        <v>1 QTD</v>
      </c>
      <c r="AD5" s="36" t="str">
        <f>VALUE(TRIM(LEFT(Scenario!$A$4,2)))&amp;" QTD"</f>
        <v>1 QTD</v>
      </c>
      <c r="AE5" s="36" t="str">
        <f>VALUE(TRIM(LEFT(Scenario!$A$4,2)))&amp;" QTD"</f>
        <v>1 QTD</v>
      </c>
      <c r="AF5" s="34"/>
      <c r="AG5" s="34"/>
      <c r="AH5" s="34"/>
      <c r="AI5" s="34"/>
      <c r="AJ5" s="42"/>
      <c r="AK5" s="34" t="str">
        <f>VALUE(TRIM(LEFT(Scenario!$A$4,2)))&amp;" YTD"</f>
        <v>1 YTD</v>
      </c>
      <c r="AL5" s="48"/>
      <c r="AM5" s="34" t="str">
        <f>VALUE(TRIM(LEFT(Scenario!$A$4,2)))&amp;" YTD"</f>
        <v>1 YTD</v>
      </c>
      <c r="AN5" s="48"/>
      <c r="AO5" s="34" t="str">
        <f>VALUE(TRIM(LEFT(Scenario!$A$4,2)))&amp;" YTD"</f>
        <v>1 YTD</v>
      </c>
      <c r="AP5" s="48"/>
      <c r="AQ5" s="34" t="str">
        <f>VALUE(TRIM(LEFT(Scenario!$A$4,2)))&amp;" YTD"</f>
        <v>1 YTD</v>
      </c>
      <c r="AR5" s="48"/>
      <c r="AS5" s="52"/>
      <c r="AT5" s="35"/>
      <c r="AU5" s="53"/>
      <c r="AV5" s="34"/>
      <c r="AW5" s="53"/>
      <c r="AX5" s="15"/>
      <c r="AY5" s="15"/>
      <c r="BA5" s="40" t="s">
        <v>34</v>
      </c>
      <c r="BB5" s="48"/>
      <c r="BC5" s="40" t="s">
        <v>34</v>
      </c>
      <c r="BD5" s="48"/>
      <c r="BE5" s="40" t="s">
        <v>34</v>
      </c>
      <c r="BF5" s="48"/>
      <c r="BG5" s="48"/>
      <c r="BH5" s="15"/>
      <c r="BI5" s="48"/>
      <c r="BJ5" s="15"/>
      <c r="BK5" s="15"/>
    </row>
    <row r="6" spans="2:63" hidden="1" x14ac:dyDescent="0.25">
      <c r="B6" t="s">
        <v>1</v>
      </c>
      <c r="C6" t="s">
        <v>10</v>
      </c>
      <c r="D6" t="s">
        <v>13</v>
      </c>
      <c r="E6" t="s">
        <v>39</v>
      </c>
      <c r="M6" s="40" t="str">
        <f>"Actual"</f>
        <v>Actual</v>
      </c>
      <c r="N6" s="50"/>
      <c r="O6" s="40" t="str">
        <f>[2]Scenario!$A$2</f>
        <v>Forecast 3+9</v>
      </c>
      <c r="P6" s="51"/>
      <c r="Q6" s="43" t="s">
        <v>8</v>
      </c>
      <c r="R6" s="51"/>
      <c r="S6" s="40" t="str">
        <f>"Actual"</f>
        <v>Actual</v>
      </c>
      <c r="T6" s="55"/>
      <c r="U6" s="52"/>
      <c r="V6" s="42"/>
      <c r="W6" s="52"/>
      <c r="X6" s="42"/>
      <c r="Y6" s="52"/>
      <c r="Z6" s="42"/>
      <c r="AA6" s="42"/>
      <c r="AB6" s="42"/>
      <c r="AC6" s="36" t="str">
        <f>"Actual"</f>
        <v>Actual</v>
      </c>
      <c r="AD6" s="36" t="str">
        <f>"Actual"</f>
        <v>Actual</v>
      </c>
      <c r="AE6" s="37" t="s">
        <v>8</v>
      </c>
      <c r="AF6" s="34"/>
      <c r="AG6" s="40"/>
      <c r="AH6" s="44"/>
      <c r="AI6" s="34"/>
      <c r="AJ6" s="42"/>
      <c r="AK6" s="34" t="str">
        <f>"Actual"</f>
        <v>Actual</v>
      </c>
      <c r="AL6" s="48"/>
      <c r="AM6" s="40" t="str">
        <f>[2]Scenario!$A$2</f>
        <v>Forecast 3+9</v>
      </c>
      <c r="AN6" s="48"/>
      <c r="AO6" s="44" t="s">
        <v>8</v>
      </c>
      <c r="AP6" s="48"/>
      <c r="AQ6" s="34" t="str">
        <f>"Actual"</f>
        <v>Actual</v>
      </c>
      <c r="AR6" s="48"/>
      <c r="AS6" s="52"/>
      <c r="AT6" s="35"/>
      <c r="AU6" s="56"/>
      <c r="AV6" s="44"/>
      <c r="AW6" s="53"/>
      <c r="AX6" s="15"/>
      <c r="AY6" s="15"/>
      <c r="BA6" s="40" t="str">
        <f>IF(VALUE(TRIM(LEFT(Scenario!$A$4,2)))&lt;4, "Plan", [2]Scenario!$A$2)</f>
        <v>Plan</v>
      </c>
      <c r="BB6" s="48"/>
      <c r="BC6" s="43" t="s">
        <v>8</v>
      </c>
      <c r="BD6" s="48"/>
      <c r="BE6" s="40" t="str">
        <f>"Actual"</f>
        <v>Actual</v>
      </c>
      <c r="BF6" s="48"/>
      <c r="BG6" s="48"/>
      <c r="BH6" s="15"/>
      <c r="BI6" s="48"/>
      <c r="BJ6" s="15"/>
      <c r="BK6" s="15"/>
    </row>
    <row r="7" spans="2:63" hidden="1" x14ac:dyDescent="0.25">
      <c r="B7" t="s">
        <v>1</v>
      </c>
      <c r="C7" t="s">
        <v>4</v>
      </c>
      <c r="D7" t="s">
        <v>71</v>
      </c>
      <c r="M7" s="1"/>
      <c r="N7" s="48"/>
      <c r="O7" s="1"/>
      <c r="P7" s="48"/>
      <c r="Q7" s="1"/>
      <c r="R7" s="48"/>
      <c r="S7" s="1"/>
      <c r="T7" s="48"/>
      <c r="U7" s="48"/>
      <c r="V7" s="15"/>
      <c r="W7" s="48"/>
      <c r="X7" s="15"/>
      <c r="Y7" s="48"/>
      <c r="Z7" s="15"/>
      <c r="AA7" s="15"/>
      <c r="AC7" s="57"/>
      <c r="AD7" s="57"/>
      <c r="AE7" s="57"/>
      <c r="AF7" s="49"/>
      <c r="AG7" s="49"/>
      <c r="AH7" s="49"/>
      <c r="AI7" s="49"/>
      <c r="AK7" s="1"/>
      <c r="AL7" s="48"/>
      <c r="AM7" s="1"/>
      <c r="AN7" s="48"/>
      <c r="AO7" s="1"/>
      <c r="AP7" s="48"/>
      <c r="AQ7" s="1"/>
      <c r="AR7" s="48"/>
      <c r="AS7" s="48"/>
      <c r="AT7" s="15"/>
      <c r="AU7" s="48"/>
      <c r="AV7" s="15"/>
      <c r="AW7" s="48"/>
      <c r="AX7" s="15"/>
      <c r="AY7" s="15"/>
      <c r="BA7" s="1"/>
      <c r="BB7" s="48"/>
      <c r="BC7" s="1"/>
      <c r="BD7" s="48"/>
      <c r="BE7" s="1"/>
      <c r="BF7" s="48"/>
      <c r="BG7" s="48"/>
      <c r="BH7" s="15"/>
      <c r="BI7" s="48"/>
      <c r="BJ7" s="15"/>
      <c r="BK7" s="15"/>
    </row>
    <row r="8" spans="2:63" hidden="1" x14ac:dyDescent="0.25">
      <c r="B8" t="s">
        <v>1</v>
      </c>
      <c r="C8" t="s">
        <v>14</v>
      </c>
      <c r="D8" t="s">
        <v>71</v>
      </c>
      <c r="N8" s="48"/>
      <c r="P8" s="48"/>
      <c r="R8" s="48"/>
      <c r="T8" s="48"/>
      <c r="U8" s="48"/>
      <c r="V8" s="15"/>
      <c r="W8" s="48"/>
      <c r="X8" s="15"/>
      <c r="Y8" s="48"/>
      <c r="Z8" s="15"/>
      <c r="AA8" s="15"/>
      <c r="AC8" s="47"/>
      <c r="AD8" s="47"/>
      <c r="AE8" s="47"/>
      <c r="AF8" s="49"/>
      <c r="AG8" s="49"/>
      <c r="AH8" s="49"/>
      <c r="AI8" s="49"/>
      <c r="AL8" s="48"/>
      <c r="AN8" s="48"/>
      <c r="AP8" s="48"/>
      <c r="AR8" s="48"/>
      <c r="AS8" s="48"/>
      <c r="AT8" s="15"/>
      <c r="AU8" s="48"/>
      <c r="AV8" s="15"/>
      <c r="AW8" s="48"/>
      <c r="AX8" s="15"/>
      <c r="AY8" s="15"/>
      <c r="BB8" s="48"/>
      <c r="BD8" s="48"/>
      <c r="BF8" s="48"/>
      <c r="BG8" s="48"/>
      <c r="BH8" s="15"/>
      <c r="BI8" s="48"/>
      <c r="BJ8" s="15"/>
      <c r="BK8" s="15"/>
    </row>
    <row r="9" spans="2:63" hidden="1" x14ac:dyDescent="0.25">
      <c r="B9" t="s">
        <v>1</v>
      </c>
      <c r="C9" t="s">
        <v>5</v>
      </c>
      <c r="D9" t="s">
        <v>71</v>
      </c>
      <c r="N9" s="58"/>
      <c r="P9" s="58"/>
      <c r="R9" s="58"/>
      <c r="T9" s="58"/>
      <c r="U9" s="58"/>
      <c r="W9" s="58"/>
      <c r="Y9" s="58"/>
      <c r="AC9" s="47"/>
      <c r="AD9" s="47"/>
      <c r="AE9" s="47"/>
      <c r="AF9" s="47"/>
      <c r="AG9" s="47"/>
      <c r="AH9" s="47"/>
      <c r="AI9" s="47"/>
      <c r="AL9" s="58"/>
      <c r="AN9" s="58"/>
      <c r="AP9" s="58"/>
      <c r="AR9" s="58"/>
      <c r="AS9" s="58"/>
      <c r="AU9" s="58"/>
      <c r="AW9" s="58"/>
      <c r="BB9" s="58"/>
      <c r="BD9" s="58"/>
      <c r="BF9" s="58"/>
      <c r="BG9" s="58"/>
      <c r="BI9" s="58"/>
    </row>
    <row r="10" spans="2:63" hidden="1" x14ac:dyDescent="0.25">
      <c r="B10" t="s">
        <v>1</v>
      </c>
      <c r="C10" t="s">
        <v>11</v>
      </c>
      <c r="D10" t="s">
        <v>13</v>
      </c>
      <c r="E10" s="28" t="s">
        <v>12</v>
      </c>
      <c r="N10" s="58"/>
      <c r="P10" s="58"/>
      <c r="R10" s="58"/>
      <c r="T10" s="58"/>
      <c r="U10" s="58"/>
      <c r="W10" s="58"/>
      <c r="Y10" s="58"/>
      <c r="AC10" s="47"/>
      <c r="AD10" s="47"/>
      <c r="AE10" s="47"/>
      <c r="AF10" s="47"/>
      <c r="AG10" s="47"/>
      <c r="AH10" s="47"/>
      <c r="AI10" s="47"/>
      <c r="AL10" s="58"/>
      <c r="AN10" s="58"/>
      <c r="AP10" s="58"/>
      <c r="AR10" s="58"/>
      <c r="AS10" s="58"/>
      <c r="AU10" s="58"/>
      <c r="AW10" s="58"/>
      <c r="BB10" s="58"/>
      <c r="BD10" s="58"/>
      <c r="BF10" s="58"/>
      <c r="BG10" s="58"/>
      <c r="BI10" s="58"/>
    </row>
    <row r="11" spans="2:63" hidden="1" x14ac:dyDescent="0.25">
      <c r="B11" t="s">
        <v>1</v>
      </c>
      <c r="C11" t="s">
        <v>15</v>
      </c>
      <c r="D11" t="s">
        <v>13</v>
      </c>
      <c r="E11" s="28" t="s">
        <v>35</v>
      </c>
      <c r="N11" s="58"/>
      <c r="P11" s="58"/>
      <c r="R11" s="58"/>
      <c r="T11" s="58"/>
      <c r="U11" s="58"/>
      <c r="W11" s="58"/>
      <c r="Y11" s="58"/>
      <c r="AC11" s="47"/>
      <c r="AD11" s="47"/>
      <c r="AE11" s="47"/>
      <c r="AF11" s="47"/>
      <c r="AG11" s="47"/>
      <c r="AH11" s="47"/>
      <c r="AI11" s="47"/>
      <c r="AL11" s="58"/>
      <c r="AN11" s="58"/>
      <c r="AP11" s="58"/>
      <c r="AR11" s="58"/>
      <c r="AS11" s="58"/>
      <c r="AU11" s="58"/>
      <c r="AW11" s="58"/>
      <c r="BB11" s="58"/>
      <c r="BD11" s="58"/>
      <c r="BF11" s="58"/>
      <c r="BG11" s="58"/>
      <c r="BI11" s="58"/>
    </row>
    <row r="12" spans="2:63" x14ac:dyDescent="0.25">
      <c r="E12" s="28" t="s">
        <v>92</v>
      </c>
      <c r="N12" s="58"/>
      <c r="P12" s="58"/>
      <c r="R12" s="58"/>
      <c r="T12" s="58"/>
      <c r="U12" s="58"/>
      <c r="W12" s="58"/>
      <c r="Y12" s="58"/>
      <c r="AC12" s="47"/>
      <c r="AD12" s="47"/>
      <c r="AE12" s="47"/>
      <c r="AF12" s="47"/>
      <c r="AG12" s="47"/>
      <c r="AH12" s="47"/>
      <c r="AI12" s="47"/>
      <c r="AL12" s="58"/>
      <c r="AN12" s="58"/>
      <c r="AP12" s="58"/>
      <c r="AR12" s="58"/>
      <c r="AS12" s="58"/>
      <c r="AU12" s="58"/>
      <c r="AW12" s="58"/>
      <c r="BB12" s="58"/>
      <c r="BD12" s="58"/>
      <c r="BF12" s="58"/>
      <c r="BG12" s="58"/>
      <c r="BI12" s="58"/>
    </row>
    <row r="13" spans="2:63" x14ac:dyDescent="0.25">
      <c r="E13" s="28" t="s">
        <v>93</v>
      </c>
      <c r="N13" s="58"/>
      <c r="P13" s="58"/>
      <c r="R13" s="58"/>
      <c r="T13" s="58"/>
      <c r="U13" s="58"/>
      <c r="W13" s="58"/>
      <c r="Y13" s="58"/>
      <c r="AC13" s="47"/>
      <c r="AD13" s="47"/>
      <c r="AE13" s="47"/>
      <c r="AF13" s="47"/>
      <c r="AG13" s="47"/>
      <c r="AH13" s="47"/>
      <c r="AI13" s="47"/>
      <c r="AL13" s="58"/>
      <c r="AN13" s="58"/>
      <c r="AP13" s="58"/>
      <c r="AR13" s="58"/>
      <c r="AS13" s="58"/>
      <c r="AU13" s="58"/>
      <c r="AW13" s="58"/>
      <c r="BB13" s="58"/>
      <c r="BD13" s="58"/>
      <c r="BF13" s="58"/>
      <c r="BG13" s="58"/>
      <c r="BI13" s="58"/>
    </row>
    <row r="14" spans="2:63" x14ac:dyDescent="0.25">
      <c r="E14" s="28" t="s">
        <v>94</v>
      </c>
      <c r="N14" s="58"/>
      <c r="P14" s="58"/>
      <c r="R14" s="58"/>
      <c r="T14" s="58"/>
      <c r="U14" s="58"/>
      <c r="W14" s="58"/>
      <c r="Y14" s="58"/>
      <c r="AC14" s="47"/>
      <c r="AD14" s="47"/>
      <c r="AE14" s="47"/>
      <c r="AF14" s="47"/>
      <c r="AG14" s="47"/>
      <c r="AH14" s="47"/>
      <c r="AI14" s="47"/>
      <c r="AL14" s="58"/>
      <c r="AN14" s="58"/>
      <c r="AP14" s="58"/>
      <c r="AR14" s="58"/>
      <c r="AS14" s="58"/>
      <c r="AU14" s="58"/>
      <c r="AW14" s="58"/>
      <c r="BB14" s="58"/>
      <c r="BD14" s="58"/>
      <c r="BF14" s="58"/>
      <c r="BG14" s="58"/>
      <c r="BI14" s="58"/>
    </row>
    <row r="15" spans="2:63" x14ac:dyDescent="0.25">
      <c r="E15" s="28" t="s">
        <v>95</v>
      </c>
      <c r="N15" s="58"/>
      <c r="P15" s="58"/>
      <c r="R15" s="58"/>
      <c r="T15" s="58"/>
      <c r="U15" s="58"/>
      <c r="W15" s="58"/>
      <c r="Y15" s="58"/>
      <c r="AC15" s="47"/>
      <c r="AD15" s="47"/>
      <c r="AE15" s="47"/>
      <c r="AF15" s="47"/>
      <c r="AG15" s="47"/>
      <c r="AH15" s="47"/>
      <c r="AI15" s="47"/>
      <c r="AL15" s="58"/>
      <c r="AN15" s="58"/>
      <c r="AP15" s="58"/>
      <c r="AR15" s="58"/>
      <c r="AS15" s="58"/>
      <c r="AU15" s="58"/>
      <c r="AW15" s="58"/>
      <c r="BB15" s="58"/>
      <c r="BD15" s="58"/>
      <c r="BF15" s="58"/>
      <c r="BG15" s="58"/>
      <c r="BI15" s="58"/>
    </row>
    <row r="16" spans="2:63" x14ac:dyDescent="0.25">
      <c r="E16" s="28" t="s">
        <v>96</v>
      </c>
      <c r="N16" s="58"/>
      <c r="P16" s="58"/>
      <c r="R16" s="58"/>
      <c r="T16" s="58"/>
      <c r="U16" s="58"/>
      <c r="W16" s="58"/>
      <c r="Y16" s="58"/>
      <c r="AC16" s="47"/>
      <c r="AD16" s="47"/>
      <c r="AE16" s="47"/>
      <c r="AF16" s="47"/>
      <c r="AG16" s="47"/>
      <c r="AH16" s="47"/>
      <c r="AI16" s="47"/>
      <c r="AL16" s="58"/>
      <c r="AN16" s="58"/>
      <c r="AP16" s="58"/>
      <c r="AR16" s="58"/>
      <c r="AS16" s="58"/>
      <c r="AU16" s="58"/>
      <c r="AW16" s="58"/>
      <c r="BB16" s="58"/>
      <c r="BD16" s="58"/>
      <c r="BF16" s="58"/>
      <c r="BG16" s="58"/>
      <c r="BI16" s="58"/>
    </row>
    <row r="17" spans="1:63" hidden="1" x14ac:dyDescent="0.25">
      <c r="B17" t="s">
        <v>1</v>
      </c>
      <c r="N17" s="58"/>
      <c r="P17" s="58"/>
      <c r="R17" s="58"/>
      <c r="T17" s="58"/>
      <c r="U17" s="58"/>
      <c r="W17" s="58"/>
      <c r="Y17" s="58"/>
      <c r="AL17" s="58"/>
      <c r="AN17" s="58"/>
      <c r="AP17" s="58"/>
      <c r="AR17" s="58"/>
      <c r="AS17" s="58"/>
      <c r="AU17" s="58"/>
      <c r="AW17" s="58"/>
      <c r="BB17" s="58"/>
      <c r="BD17" s="58"/>
      <c r="BF17" s="58"/>
      <c r="BG17" s="58"/>
      <c r="BI17" s="58"/>
    </row>
    <row r="18" spans="1:63" ht="29.05" x14ac:dyDescent="0.5">
      <c r="E18" s="9"/>
      <c r="F18" s="9"/>
      <c r="G18" s="9"/>
      <c r="H18" s="9" t="s">
        <v>26</v>
      </c>
      <c r="N18" s="48"/>
      <c r="P18" s="48"/>
      <c r="R18" s="48"/>
      <c r="T18" s="48"/>
      <c r="U18" s="48"/>
      <c r="V18" s="15"/>
      <c r="W18" s="48"/>
      <c r="X18" s="15"/>
      <c r="Y18" s="48"/>
      <c r="Z18" s="15"/>
      <c r="AA18" s="15"/>
      <c r="AF18" s="15"/>
      <c r="AG18" s="15"/>
      <c r="AH18" s="15"/>
      <c r="AI18" s="15"/>
      <c r="AL18" s="48"/>
      <c r="AN18" s="48"/>
      <c r="AP18" s="48"/>
      <c r="AR18" s="48"/>
      <c r="AS18" s="48"/>
      <c r="AT18" s="15"/>
      <c r="AU18" s="48"/>
      <c r="AV18" s="15"/>
      <c r="AW18" s="48"/>
      <c r="AX18" s="15"/>
      <c r="AY18" s="15"/>
      <c r="BB18" s="48"/>
      <c r="BD18" s="48"/>
      <c r="BF18" s="48"/>
      <c r="BG18" s="48"/>
      <c r="BH18" s="15"/>
      <c r="BI18" s="48"/>
      <c r="BJ18" s="15"/>
      <c r="BK18" s="15"/>
    </row>
    <row r="19" spans="1:63" ht="18.649999999999999" x14ac:dyDescent="0.4">
      <c r="F19" s="10"/>
      <c r="G19" s="10"/>
      <c r="H19" s="10" t="str">
        <f>E6</f>
        <v>954 (Frederic Media Business Development)</v>
      </c>
      <c r="M19" s="7" t="str">
        <f>_xlfn.XLOOKUP(M$5,'[2]Month Name'!$D:$D, '[2]Month Name'!$C:$C)&amp;" "&amp;RIGHT(M4,2)</f>
        <v>Jan 26</v>
      </c>
      <c r="N19" s="59" t="s">
        <v>43</v>
      </c>
      <c r="P19" s="59" t="s">
        <v>72</v>
      </c>
      <c r="R19" s="59" t="s">
        <v>8</v>
      </c>
      <c r="T19" s="59" t="s">
        <v>36</v>
      </c>
      <c r="U19" s="48"/>
      <c r="V19" s="60"/>
      <c r="W19" s="48"/>
      <c r="X19" s="15"/>
      <c r="Y19" s="48"/>
      <c r="Z19" s="60"/>
      <c r="AA19" s="61"/>
      <c r="AF19" s="62" t="str">
        <f>_xlfn.CONCAT(TEXT((TRIM(MID(M5,4,3))),"mmm")," QTD ",RIGHT(M4,2))</f>
        <v xml:space="preserve"> QTD 26</v>
      </c>
      <c r="AG19" s="62"/>
      <c r="AH19" s="15"/>
      <c r="AI19" s="15"/>
      <c r="AK19" s="7" t="str">
        <f>_xlfn.XLOOKUP(M$5,'[2]Month Name'!$D:$D, '[2]Month Name'!$C:$C)&amp;" YTD "&amp;RIGHT(M4,2)</f>
        <v>Jan YTD 26</v>
      </c>
      <c r="AL19" s="59" t="s">
        <v>43</v>
      </c>
      <c r="AN19" s="59" t="s">
        <v>72</v>
      </c>
      <c r="AP19" s="59" t="s">
        <v>8</v>
      </c>
      <c r="AR19" s="59" t="s">
        <v>36</v>
      </c>
      <c r="AS19" s="60"/>
      <c r="AT19" s="60"/>
      <c r="AU19" s="48"/>
      <c r="AV19" s="15"/>
      <c r="AW19" s="48"/>
      <c r="AX19" s="63"/>
      <c r="AY19" s="61"/>
      <c r="BB19" s="59" t="s">
        <v>72</v>
      </c>
      <c r="BD19" s="59" t="s">
        <v>8</v>
      </c>
      <c r="BF19" s="59" t="s">
        <v>36</v>
      </c>
      <c r="BG19" s="48"/>
      <c r="BH19" s="15"/>
      <c r="BI19" s="48"/>
      <c r="BJ19" s="63"/>
      <c r="BK19" s="61"/>
    </row>
    <row r="20" spans="1:63" ht="14.5" x14ac:dyDescent="0.25">
      <c r="D20" s="11"/>
      <c r="E20" s="11"/>
      <c r="F20" s="11"/>
      <c r="G20" s="11" t="e">
        <f>IF(FlagShowCalendar,OpeningPeriod,"Opening Period: P"&amp;VALUE(TRIM(LEFT(Scenario!$A$4,2)))&amp;" FY"&amp;RIGHT(Scenario!$A$1,2))</f>
        <v>#NAME?</v>
      </c>
      <c r="H20" s="11"/>
      <c r="I20" s="64"/>
      <c r="J20" s="64"/>
      <c r="K20" s="12"/>
      <c r="L20" s="12"/>
      <c r="M20" s="38" t="str">
        <f>_xlfn.XLOOKUP(M$5,'[2]Month Name'!$D:$D, '[2]Month Name'!$C:$C)&amp;" "&amp;RIGHT(M4,2)</f>
        <v>Jan 26</v>
      </c>
      <c r="N20" s="65" t="s">
        <v>73</v>
      </c>
      <c r="O20" s="38" t="str">
        <f>_xlfn.XLOOKUP(O$5,'[2]Month Name'!$D:$D, '[2]Month Name'!$C:$C)&amp;" "&amp;RIGHT(O4,2)</f>
        <v>Jan 26</v>
      </c>
      <c r="P20" s="65" t="s">
        <v>73</v>
      </c>
      <c r="Q20" s="38" t="str">
        <f>_xlfn.XLOOKUP(Q$5,'[2]Month Name'!$D:$D, '[2]Month Name'!$C:$C)&amp;" "&amp;RIGHT(Q4,2)</f>
        <v>Jan 26</v>
      </c>
      <c r="R20" s="65" t="s">
        <v>73</v>
      </c>
      <c r="S20" s="38" t="str">
        <f>_xlfn.XLOOKUP(S$5,'[2]Month Name'!$D:$D, '[2]Month Name'!$C:$C)&amp;" "&amp;RIGHT(S4,2)</f>
        <v>Jan 25</v>
      </c>
      <c r="T20" s="65" t="s">
        <v>73</v>
      </c>
      <c r="U20" s="66" t="s">
        <v>24</v>
      </c>
      <c r="V20" s="66" t="s">
        <v>27</v>
      </c>
      <c r="W20" s="66" t="str">
        <f>Y20</f>
        <v>% Var</v>
      </c>
      <c r="X20" s="66" t="str">
        <f>Z20</f>
        <v>$ Var</v>
      </c>
      <c r="Y20" s="66" t="s">
        <v>24</v>
      </c>
      <c r="Z20" s="66" t="s">
        <v>27</v>
      </c>
      <c r="AA20" s="65"/>
      <c r="AC20" s="67" t="str">
        <f>AF19</f>
        <v xml:space="preserve"> QTD 26</v>
      </c>
      <c r="AD20" s="67" t="str">
        <f>_xlfn.CONCAT(TEXT((TRIM(MID(M5,4,3))),"mmm")," QTD ",RIGHT(S4,2))</f>
        <v xml:space="preserve"> QTD 25</v>
      </c>
      <c r="AE20" s="67" t="str">
        <f>AC20</f>
        <v xml:space="preserve"> QTD 26</v>
      </c>
      <c r="AF20" s="66" t="s">
        <v>24</v>
      </c>
      <c r="AG20" s="66" t="s">
        <v>27</v>
      </c>
      <c r="AH20" s="66" t="str">
        <f>AF20</f>
        <v>% Var</v>
      </c>
      <c r="AI20" s="66" t="str">
        <f>AG20</f>
        <v>$ Var</v>
      </c>
      <c r="AK20" s="38" t="str">
        <f>_xlfn.XLOOKUP(M$5,'[2]Month Name'!$D:$D, '[2]Month Name'!$C:$C)&amp;" YTD "&amp;RIGHT(M4,2)</f>
        <v>Jan YTD 26</v>
      </c>
      <c r="AL20" s="65" t="s">
        <v>73</v>
      </c>
      <c r="AM20" s="38" t="str">
        <f>_xlfn.XLOOKUP(O$5,'[2]Month Name'!$D:$D, '[2]Month Name'!$C:$C)&amp;" YTD "&amp;RIGHT(O4,2)</f>
        <v>Jan YTD 26</v>
      </c>
      <c r="AN20" s="65" t="s">
        <v>73</v>
      </c>
      <c r="AO20" s="38" t="str">
        <f>_xlfn.XLOOKUP(Q$5,'[2]Month Name'!$D:$D, '[2]Month Name'!$C:$C)&amp;" YTD "&amp;RIGHT(Q4,2)</f>
        <v>Jan YTD 26</v>
      </c>
      <c r="AP20" s="65" t="s">
        <v>73</v>
      </c>
      <c r="AQ20" s="38" t="str">
        <f>_xlfn.XLOOKUP(S$5,'[2]Month Name'!$D:$D, '[2]Month Name'!$C:$C)&amp;" YTD "&amp;RIGHT(S4,2)</f>
        <v>Jan YTD 25</v>
      </c>
      <c r="AR20" s="65" t="s">
        <v>73</v>
      </c>
      <c r="AS20" s="66" t="s">
        <v>24</v>
      </c>
      <c r="AT20" s="66" t="s">
        <v>27</v>
      </c>
      <c r="AU20" s="66" t="str">
        <f>AW20</f>
        <v>% Var</v>
      </c>
      <c r="AV20" s="66" t="str">
        <f>AX20</f>
        <v>$ Var</v>
      </c>
      <c r="AW20" s="66" t="s">
        <v>24</v>
      </c>
      <c r="AX20" s="66" t="s">
        <v>27</v>
      </c>
      <c r="AY20" s="65"/>
      <c r="BA20" s="39" t="str">
        <f>"Full Year "&amp;BA4</f>
        <v>Full Year 2025</v>
      </c>
      <c r="BB20" s="65" t="s">
        <v>73</v>
      </c>
      <c r="BC20" s="39" t="str">
        <f>"Full Year "&amp;BC4</f>
        <v>Full Year 2025</v>
      </c>
      <c r="BD20" s="65" t="s">
        <v>73</v>
      </c>
      <c r="BE20" s="39" t="str">
        <f>"Full Year "&amp;BE4</f>
        <v>Full Year 2024</v>
      </c>
      <c r="BF20" s="65" t="s">
        <v>73</v>
      </c>
      <c r="BG20" s="66" t="str">
        <f>BI20</f>
        <v>% Var</v>
      </c>
      <c r="BH20" s="66" t="str">
        <f>BJ20</f>
        <v>$ Var</v>
      </c>
      <c r="BI20" s="66" t="s">
        <v>24</v>
      </c>
      <c r="BJ20" s="66" t="s">
        <v>27</v>
      </c>
      <c r="BK20" s="65"/>
    </row>
    <row r="21" spans="1:63" ht="14.5" x14ac:dyDescent="0.25">
      <c r="D21" s="13"/>
      <c r="E21" s="13"/>
      <c r="F21" s="13"/>
      <c r="G21" s="13" t="str">
        <f>"in "&amp;$G$5&amp;" currency"</f>
        <v>in  currency</v>
      </c>
      <c r="H21" s="13"/>
      <c r="I21" s="64"/>
      <c r="J21" s="64"/>
      <c r="K21" s="45"/>
      <c r="L21" s="45"/>
      <c r="M21" s="30" t="str">
        <f>M6</f>
        <v>Actual</v>
      </c>
      <c r="N21" s="68" t="s">
        <v>74</v>
      </c>
      <c r="O21" s="30" t="str">
        <f>O6</f>
        <v>Forecast 3+9</v>
      </c>
      <c r="P21" s="68" t="s">
        <v>74</v>
      </c>
      <c r="Q21" s="30" t="str">
        <f>IF(Q6="Plan", "Budget", Q6)</f>
        <v>Budget</v>
      </c>
      <c r="R21" s="68" t="s">
        <v>74</v>
      </c>
      <c r="S21" s="30" t="str">
        <f>"PY "&amp;S6</f>
        <v>PY Actual</v>
      </c>
      <c r="T21" s="68" t="s">
        <v>74</v>
      </c>
      <c r="U21" s="69" t="str">
        <f>O21</f>
        <v>Forecast 3+9</v>
      </c>
      <c r="V21" s="69" t="str">
        <f>O21</f>
        <v>Forecast 3+9</v>
      </c>
      <c r="W21" s="69" t="str">
        <f>Q21</f>
        <v>Budget</v>
      </c>
      <c r="X21" s="69" t="str">
        <f>Q21</f>
        <v>Budget</v>
      </c>
      <c r="Y21" s="69" t="s">
        <v>25</v>
      </c>
      <c r="Z21" s="69" t="s">
        <v>25</v>
      </c>
      <c r="AA21" s="68" t="s">
        <v>75</v>
      </c>
      <c r="AC21" s="30" t="str">
        <f>AC6</f>
        <v>Actual</v>
      </c>
      <c r="AD21" s="30" t="str">
        <f>"PY "&amp;AD6</f>
        <v>PY Actual</v>
      </c>
      <c r="AE21" s="30" t="s">
        <v>40</v>
      </c>
      <c r="AF21" s="69" t="s">
        <v>25</v>
      </c>
      <c r="AG21" s="69" t="s">
        <v>25</v>
      </c>
      <c r="AH21" s="69" t="str">
        <f>AE21</f>
        <v>Budget</v>
      </c>
      <c r="AI21" s="69" t="str">
        <f>AH21</f>
        <v>Budget</v>
      </c>
      <c r="AK21" s="30" t="str">
        <f>AK6</f>
        <v>Actual</v>
      </c>
      <c r="AL21" s="68" t="s">
        <v>74</v>
      </c>
      <c r="AM21" s="30" t="str">
        <f>AM6</f>
        <v>Forecast 3+9</v>
      </c>
      <c r="AN21" s="68" t="s">
        <v>74</v>
      </c>
      <c r="AO21" s="30" t="str">
        <f>IF(AO6="Plan", "Budget", AO6)</f>
        <v>Budget</v>
      </c>
      <c r="AP21" s="68" t="s">
        <v>74</v>
      </c>
      <c r="AQ21" s="30" t="str">
        <f>"PY "&amp;AQ6</f>
        <v>PY Actual</v>
      </c>
      <c r="AR21" s="68" t="s">
        <v>74</v>
      </c>
      <c r="AS21" s="69" t="str">
        <f>AM21</f>
        <v>Forecast 3+9</v>
      </c>
      <c r="AT21" s="69" t="str">
        <f>AM21</f>
        <v>Forecast 3+9</v>
      </c>
      <c r="AU21" s="69" t="str">
        <f>AO21</f>
        <v>Budget</v>
      </c>
      <c r="AV21" s="69" t="str">
        <f>AO21</f>
        <v>Budget</v>
      </c>
      <c r="AW21" s="69" t="s">
        <v>25</v>
      </c>
      <c r="AX21" s="69" t="s">
        <v>25</v>
      </c>
      <c r="AY21" s="68" t="s">
        <v>75</v>
      </c>
      <c r="BA21" s="30" t="str">
        <f>IF(BA6="Plan", "Budget", BA6)</f>
        <v>Budget</v>
      </c>
      <c r="BB21" s="68" t="s">
        <v>74</v>
      </c>
      <c r="BC21" s="30" t="str">
        <f>IF(BC6="Plan", "Budget", BC6)</f>
        <v>Budget</v>
      </c>
      <c r="BD21" s="68" t="s">
        <v>74</v>
      </c>
      <c r="BE21" s="30" t="str">
        <f>BE6</f>
        <v>Actual</v>
      </c>
      <c r="BF21" s="68" t="s">
        <v>74</v>
      </c>
      <c r="BG21" s="69" t="str">
        <f>BC21</f>
        <v>Budget</v>
      </c>
      <c r="BH21" s="69" t="str">
        <f>BC21</f>
        <v>Budget</v>
      </c>
      <c r="BI21" s="69" t="s">
        <v>25</v>
      </c>
      <c r="BJ21" s="69" t="s">
        <v>25</v>
      </c>
      <c r="BK21" s="68" t="s">
        <v>75</v>
      </c>
    </row>
    <row r="22" spans="1:63" x14ac:dyDescent="0.25">
      <c r="N22" s="48"/>
      <c r="P22" s="48"/>
      <c r="R22" s="48"/>
      <c r="T22" s="48"/>
      <c r="U22" s="48"/>
      <c r="V22" s="15"/>
      <c r="W22" s="48"/>
      <c r="X22" s="15"/>
      <c r="Y22" s="48"/>
      <c r="Z22" s="15"/>
      <c r="AA22" s="15"/>
      <c r="AF22" s="15"/>
      <c r="AG22" s="15"/>
      <c r="AH22" s="15"/>
      <c r="AI22" s="15"/>
      <c r="AL22" s="48"/>
      <c r="AN22" s="48"/>
      <c r="AP22" s="48"/>
      <c r="AR22" s="48"/>
      <c r="AS22" s="48"/>
      <c r="AT22" s="15"/>
      <c r="AU22" s="48"/>
      <c r="AV22" s="15"/>
      <c r="AW22" s="48"/>
      <c r="AX22" s="15"/>
      <c r="AY22" s="15"/>
      <c r="BB22" s="48"/>
      <c r="BD22" s="48"/>
      <c r="BF22" s="48"/>
      <c r="BG22" s="48"/>
      <c r="BH22" s="15"/>
      <c r="BI22" s="48"/>
      <c r="BJ22" s="15"/>
      <c r="BK22" s="15"/>
    </row>
    <row r="23" spans="1:63" ht="12.45" hidden="1" thickBot="1" x14ac:dyDescent="0.3">
      <c r="B23" t="s">
        <v>1</v>
      </c>
      <c r="D23" s="4"/>
      <c r="E23" s="4"/>
      <c r="F23" s="4"/>
      <c r="G23" s="4"/>
      <c r="H23" s="4" t="s">
        <v>37</v>
      </c>
      <c r="I23" s="4">
        <f ca="1">YEAR(TODAY()-20)</f>
        <v>2026</v>
      </c>
      <c r="J23" s="5"/>
      <c r="N23" s="48"/>
      <c r="P23" s="48"/>
      <c r="R23" s="48"/>
      <c r="T23" s="48"/>
      <c r="U23" s="48"/>
      <c r="V23" s="15"/>
      <c r="W23" s="48"/>
      <c r="X23" s="15"/>
      <c r="Y23" s="48"/>
      <c r="Z23" s="15"/>
      <c r="AA23" s="15"/>
      <c r="AF23" s="15"/>
      <c r="AG23" s="15"/>
      <c r="AH23" s="15"/>
      <c r="AI23" s="15"/>
      <c r="AL23" s="48"/>
      <c r="AN23" s="48"/>
      <c r="AP23" s="48"/>
      <c r="AR23" s="48"/>
      <c r="AS23" s="48"/>
      <c r="AT23" s="15"/>
      <c r="AU23" s="48"/>
      <c r="AV23" s="15"/>
      <c r="AW23" s="48"/>
      <c r="AX23" s="15"/>
      <c r="AY23" s="15"/>
      <c r="BB23" s="48"/>
      <c r="BD23" s="48"/>
      <c r="BF23" s="48"/>
      <c r="BG23" s="48"/>
      <c r="BH23" s="15"/>
      <c r="BI23" s="48"/>
      <c r="BJ23" s="15"/>
      <c r="BK23" s="15"/>
    </row>
    <row r="24" spans="1:63" hidden="1" x14ac:dyDescent="0.25">
      <c r="B24" t="s">
        <v>1</v>
      </c>
      <c r="D24" s="3"/>
      <c r="E24" s="3"/>
      <c r="F24" s="3"/>
      <c r="G24" s="3"/>
      <c r="H24" s="3" t="s">
        <v>76</v>
      </c>
      <c r="I24" s="1">
        <f ca="1">MONTH(TODAY() - 20)</f>
        <v>2</v>
      </c>
      <c r="J24" s="6"/>
      <c r="N24" s="48"/>
      <c r="P24" s="48"/>
      <c r="R24" s="48"/>
      <c r="T24" s="48"/>
      <c r="U24" s="48"/>
      <c r="V24" s="15"/>
      <c r="W24" s="48"/>
      <c r="X24" s="15"/>
      <c r="Y24" s="48"/>
      <c r="Z24" s="15"/>
      <c r="AA24" s="15"/>
      <c r="AF24" s="15"/>
      <c r="AG24" s="15"/>
      <c r="AH24" s="15"/>
      <c r="AI24" s="15"/>
      <c r="AL24" s="48"/>
      <c r="AN24" s="48"/>
      <c r="AP24" s="48"/>
      <c r="AR24" s="48"/>
      <c r="AS24" s="48"/>
      <c r="AT24" s="15"/>
      <c r="AU24" s="48"/>
      <c r="AV24" s="15"/>
      <c r="AW24" s="48"/>
      <c r="AX24" s="15"/>
      <c r="AY24" s="15"/>
      <c r="BB24" s="48"/>
      <c r="BD24" s="48"/>
      <c r="BF24" s="48"/>
      <c r="BG24" s="48"/>
      <c r="BH24" s="15"/>
      <c r="BI24" s="48"/>
      <c r="BJ24" s="15"/>
      <c r="BK24" s="15"/>
    </row>
    <row r="25" spans="1:63" hidden="1" x14ac:dyDescent="0.25">
      <c r="B25" t="s">
        <v>1</v>
      </c>
      <c r="D25" s="3"/>
      <c r="E25" s="3"/>
      <c r="F25" s="3"/>
      <c r="G25" s="3"/>
      <c r="H25" s="3" t="s">
        <v>77</v>
      </c>
      <c r="I25" s="1" t="str">
        <f ca="1">_xlfn.CONCAT(I24," QTD")</f>
        <v>2 QTD</v>
      </c>
      <c r="J25" s="6"/>
      <c r="N25" s="48"/>
      <c r="P25" s="48"/>
      <c r="R25" s="48"/>
      <c r="T25" s="48"/>
      <c r="U25" s="48"/>
      <c r="V25" s="15"/>
      <c r="W25" s="48"/>
      <c r="X25" s="15"/>
      <c r="Y25" s="48"/>
      <c r="Z25" s="15"/>
      <c r="AA25" s="15"/>
      <c r="AF25" s="15"/>
      <c r="AG25" s="15"/>
      <c r="AH25" s="15"/>
      <c r="AI25" s="15"/>
      <c r="AL25" s="48"/>
      <c r="AN25" s="48"/>
      <c r="AP25" s="48"/>
      <c r="AR25" s="48"/>
      <c r="AS25" s="48"/>
      <c r="AT25" s="15"/>
      <c r="AU25" s="48"/>
      <c r="AV25" s="15"/>
      <c r="AW25" s="48"/>
      <c r="AX25" s="15"/>
      <c r="AY25" s="15"/>
      <c r="BB25" s="48"/>
      <c r="BD25" s="48"/>
      <c r="BF25" s="48"/>
      <c r="BG25" s="48"/>
      <c r="BH25" s="15"/>
      <c r="BI25" s="48"/>
      <c r="BJ25" s="15"/>
      <c r="BK25" s="15"/>
    </row>
    <row r="26" spans="1:63" hidden="1" x14ac:dyDescent="0.25">
      <c r="B26" t="s">
        <v>1</v>
      </c>
      <c r="D26" s="3"/>
      <c r="E26" s="3"/>
      <c r="F26" s="3"/>
      <c r="G26" s="3"/>
      <c r="H26" s="3" t="s">
        <v>78</v>
      </c>
      <c r="I26" s="1" t="str">
        <f ca="1">_xlfn.CONCAT(I24," YTD")</f>
        <v>2 YTD</v>
      </c>
      <c r="J26" s="6"/>
      <c r="N26" s="48"/>
      <c r="P26" s="48"/>
      <c r="R26" s="48"/>
      <c r="T26" s="48"/>
      <c r="U26" s="48"/>
      <c r="V26" s="15"/>
      <c r="W26" s="48"/>
      <c r="X26" s="15"/>
      <c r="Y26" s="48"/>
      <c r="Z26" s="15"/>
      <c r="AA26" s="15"/>
      <c r="AF26" s="15"/>
      <c r="AG26" s="15"/>
      <c r="AH26" s="15"/>
      <c r="AI26" s="15"/>
      <c r="AL26" s="48"/>
      <c r="AN26" s="48"/>
      <c r="AP26" s="48"/>
      <c r="AR26" s="48"/>
      <c r="AS26" s="48"/>
      <c r="AT26" s="15"/>
      <c r="AU26" s="48"/>
      <c r="AV26" s="15"/>
      <c r="AW26" s="48"/>
      <c r="AX26" s="15"/>
      <c r="AY26" s="15"/>
      <c r="BB26" s="48"/>
      <c r="BD26" s="48"/>
      <c r="BF26" s="48"/>
      <c r="BG26" s="48"/>
      <c r="BH26" s="15"/>
      <c r="BI26" s="48"/>
      <c r="BJ26" s="15"/>
      <c r="BK26" s="15"/>
    </row>
    <row r="27" spans="1:63" hidden="1" x14ac:dyDescent="0.25">
      <c r="B27" t="s">
        <v>1</v>
      </c>
      <c r="N27" s="48"/>
      <c r="P27" s="48"/>
      <c r="R27" s="48"/>
      <c r="T27" s="48"/>
      <c r="U27" s="48"/>
      <c r="V27" s="15"/>
      <c r="W27" s="48"/>
      <c r="X27" s="15"/>
      <c r="Y27" s="48"/>
      <c r="Z27" s="15"/>
      <c r="AA27" s="15"/>
      <c r="AF27" s="15"/>
      <c r="AG27" s="15"/>
      <c r="AH27" s="15"/>
      <c r="AI27" s="15"/>
      <c r="AL27" s="48"/>
      <c r="AN27" s="48"/>
      <c r="AP27" s="48"/>
      <c r="AR27" s="48"/>
      <c r="AS27" s="48"/>
      <c r="AT27" s="15"/>
      <c r="AU27" s="48"/>
      <c r="AV27" s="15"/>
      <c r="AW27" s="48"/>
      <c r="AX27" s="15"/>
      <c r="AY27" s="15"/>
      <c r="BB27" s="48"/>
      <c r="BD27" s="48"/>
      <c r="BF27" s="48"/>
      <c r="BG27" s="48"/>
      <c r="BH27" s="15"/>
      <c r="BI27" s="48"/>
      <c r="BJ27" s="15"/>
      <c r="BK27" s="15"/>
    </row>
    <row r="28" spans="1:63" ht="11.95" hidden="1" thickBot="1" x14ac:dyDescent="0.3">
      <c r="B28" t="s">
        <v>1</v>
      </c>
      <c r="N28" s="48"/>
      <c r="P28" s="48"/>
      <c r="R28" s="48"/>
      <c r="T28" s="48"/>
      <c r="U28" s="48"/>
      <c r="V28" s="15"/>
      <c r="W28" s="48"/>
      <c r="X28" s="15"/>
      <c r="Y28" s="48"/>
      <c r="Z28" s="15"/>
      <c r="AA28" s="15"/>
      <c r="AF28" s="15"/>
      <c r="AG28" s="15"/>
      <c r="AH28" s="15"/>
      <c r="AI28" s="15"/>
      <c r="AL28" s="48"/>
      <c r="AN28" s="48"/>
      <c r="AP28" s="48"/>
      <c r="AR28" s="48"/>
      <c r="AS28" s="48"/>
      <c r="AT28" s="15"/>
      <c r="AU28" s="48"/>
      <c r="AV28" s="15"/>
      <c r="AW28" s="48"/>
      <c r="AX28" s="15"/>
      <c r="AY28" s="15"/>
      <c r="BB28" s="48"/>
      <c r="BD28" s="48"/>
      <c r="BF28" s="48"/>
      <c r="BG28" s="48"/>
      <c r="BH28" s="15"/>
      <c r="BI28" s="48"/>
      <c r="BJ28" s="15"/>
      <c r="BK28" s="15"/>
    </row>
    <row r="29" spans="1:63" ht="14.5" hidden="1" thickBot="1" x14ac:dyDescent="0.3">
      <c r="A29" s="15"/>
      <c r="B29" s="14" t="s">
        <v>1</v>
      </c>
      <c r="C29" s="15"/>
      <c r="G29" s="70" t="s">
        <v>22</v>
      </c>
      <c r="H29" s="70" t="s">
        <v>22</v>
      </c>
      <c r="I29" s="16" t="s">
        <v>23</v>
      </c>
      <c r="J29" s="16"/>
      <c r="K29" s="71"/>
      <c r="L29" s="17"/>
      <c r="M29" s="71"/>
      <c r="N29" s="72"/>
      <c r="O29" s="71"/>
      <c r="P29" s="72"/>
      <c r="Q29" s="71"/>
      <c r="R29" s="72"/>
      <c r="S29" s="71"/>
      <c r="T29" s="72"/>
      <c r="U29" s="72">
        <f>IFERROR(($O29-M29)/ABS(M29),0)</f>
        <v>0</v>
      </c>
      <c r="V29" s="70">
        <f>($O29-M29)</f>
        <v>0</v>
      </c>
      <c r="W29" s="72">
        <f>IFERROR(($M29-Q29)/ABS(Q29),0)</f>
        <v>0</v>
      </c>
      <c r="X29" s="70">
        <f>($M29-Q29)</f>
        <v>0</v>
      </c>
      <c r="Y29" s="72">
        <f>IFERROR(($M29-S29)/ABS(S29),0)</f>
        <v>0</v>
      </c>
      <c r="Z29" s="70">
        <f>($M29-S29)</f>
        <v>0</v>
      </c>
      <c r="AA29" s="70"/>
      <c r="AC29" s="71"/>
      <c r="AD29" s="71"/>
      <c r="AE29" s="71"/>
      <c r="AF29" s="73">
        <f>IFERROR(($AC29-AD29)/ABS(AD29),0)</f>
        <v>0</v>
      </c>
      <c r="AG29" s="70">
        <f>($AC29-AD29)</f>
        <v>0</v>
      </c>
      <c r="AH29" s="73">
        <f>IFERROR(($AC29-AE29)/ABS(AE29),0)</f>
        <v>0</v>
      </c>
      <c r="AI29" s="70">
        <f>($AC29-AE29)</f>
        <v>0</v>
      </c>
      <c r="AJ29" s="15"/>
      <c r="AK29" s="71"/>
      <c r="AL29" s="72"/>
      <c r="AM29" s="71"/>
      <c r="AN29" s="72"/>
      <c r="AO29" s="71"/>
      <c r="AP29" s="72"/>
      <c r="AQ29" s="71"/>
      <c r="AR29" s="72"/>
      <c r="AS29" s="72">
        <f>IFERROR(($O29-AK29)/ABS(AK29),0)</f>
        <v>0</v>
      </c>
      <c r="AT29" s="70">
        <f>($O29-AK29)</f>
        <v>0</v>
      </c>
      <c r="AU29" s="72">
        <f>IFERROR(($M29-AO29)/ABS(AO29),0)</f>
        <v>0</v>
      </c>
      <c r="AV29" s="70">
        <f>($M29-AO29)</f>
        <v>0</v>
      </c>
      <c r="AW29" s="72">
        <f>IFERROR(($M29-AQ29)/ABS(AQ29),0)</f>
        <v>0</v>
      </c>
      <c r="AX29" s="70">
        <f>($M29-AQ29)</f>
        <v>0</v>
      </c>
      <c r="AY29" s="70"/>
      <c r="BA29" s="71"/>
      <c r="BB29" s="72"/>
      <c r="BC29" s="71"/>
      <c r="BD29" s="72"/>
      <c r="BE29" s="71"/>
      <c r="BF29" s="72"/>
      <c r="BG29" s="72">
        <f>IFERROR(($BA29-BC29)/ABS(BC29),0)</f>
        <v>0</v>
      </c>
      <c r="BH29" s="70">
        <f>($BA29-BC29)</f>
        <v>0</v>
      </c>
      <c r="BI29" s="72">
        <f>IFERROR(($BA29-BE29)/ABS(BE29),0)</f>
        <v>0</v>
      </c>
      <c r="BJ29" s="70">
        <f>($BA29-BE29)</f>
        <v>0</v>
      </c>
      <c r="BK29" s="70"/>
    </row>
    <row r="30" spans="1:63" ht="12.45" thickBot="1" x14ac:dyDescent="0.3">
      <c r="B30" t="str">
        <f>IF(COUNTBLANK(B31:B62)&gt;0,"#showrow","#hiderow")</f>
        <v>#showrow</v>
      </c>
      <c r="E30" s="4"/>
      <c r="F30" s="4"/>
      <c r="G30" s="4"/>
      <c r="H30" s="4" t="s">
        <v>7</v>
      </c>
      <c r="I30" s="4"/>
      <c r="J30" s="5"/>
      <c r="K30" s="5"/>
      <c r="L30" s="5"/>
      <c r="M30" s="5"/>
      <c r="N30" s="74"/>
      <c r="O30" s="5"/>
      <c r="P30" s="74"/>
      <c r="Q30" s="5"/>
      <c r="R30" s="74"/>
      <c r="S30" s="5"/>
      <c r="T30" s="74"/>
      <c r="U30" s="74"/>
      <c r="V30" s="75"/>
      <c r="W30" s="74"/>
      <c r="X30" s="75"/>
      <c r="Y30" s="74"/>
      <c r="Z30" s="75"/>
      <c r="AA30" s="76"/>
      <c r="AC30" s="5"/>
      <c r="AD30" s="5"/>
      <c r="AE30" s="5"/>
      <c r="AF30" s="77"/>
      <c r="AG30" s="75"/>
      <c r="AH30" s="77"/>
      <c r="AI30" s="75"/>
      <c r="AK30" s="5"/>
      <c r="AL30" s="74"/>
      <c r="AM30" s="5"/>
      <c r="AN30" s="74"/>
      <c r="AO30" s="5"/>
      <c r="AP30" s="74"/>
      <c r="AQ30" s="5"/>
      <c r="AR30" s="74"/>
      <c r="AS30" s="74"/>
      <c r="AT30" s="75"/>
      <c r="AU30" s="74"/>
      <c r="AV30" s="75"/>
      <c r="AW30" s="74"/>
      <c r="AX30" s="75"/>
      <c r="AY30" s="76"/>
      <c r="BA30" s="5"/>
      <c r="BB30" s="74"/>
      <c r="BC30" s="5"/>
      <c r="BD30" s="74"/>
      <c r="BE30" s="5"/>
      <c r="BF30" s="74"/>
      <c r="BG30" s="74"/>
      <c r="BH30" s="75"/>
      <c r="BI30" s="74"/>
      <c r="BJ30" s="75"/>
      <c r="BK30" s="76"/>
    </row>
    <row r="31" spans="1:63" ht="11.95" hidden="1" thickBot="1" x14ac:dyDescent="0.3">
      <c r="B31" t="s">
        <v>1</v>
      </c>
      <c r="E31" s="3"/>
      <c r="F31" s="3"/>
      <c r="G31" s="3"/>
      <c r="H31" s="3" t="s">
        <v>6</v>
      </c>
      <c r="I31" s="18"/>
      <c r="J31" s="18"/>
      <c r="K31" s="18"/>
      <c r="L31" s="78"/>
      <c r="M31" s="79"/>
      <c r="N31" s="80">
        <f>IFERROR(M31/SUMIFS(M:M, $H:$H, "[+] Net Sales"),0)</f>
        <v>0</v>
      </c>
      <c r="O31" s="79"/>
      <c r="P31" s="80">
        <f>IFERROR(O31/SUMIFS(O:O, $H:$H, "[+] Net Sales"),0)</f>
        <v>0</v>
      </c>
      <c r="Q31" s="79"/>
      <c r="R31" s="80">
        <f>IFERROR(Q31/SUMIFS(Q:Q, $H:$H, "[+] Net Sales"),0)</f>
        <v>0</v>
      </c>
      <c r="S31" s="79"/>
      <c r="T31" s="81">
        <f>IFERROR(S31/SUMIFS(S:S, $H:$H, "[+] Net Sales"),0)</f>
        <v>0</v>
      </c>
      <c r="U31" s="80">
        <f t="shared" ref="U31" si="0">IFERROR(($M31-O31)/ABS(O31),0)</f>
        <v>0</v>
      </c>
      <c r="V31" s="70">
        <f t="shared" ref="V31" si="1">IFERROR((M31-$O31), $M31-0)</f>
        <v>0</v>
      </c>
      <c r="W31" s="80">
        <f t="shared" ref="W31" si="2">IFERROR((M31-$Q31)/ABS($Q31),0)</f>
        <v>0</v>
      </c>
      <c r="X31" s="70">
        <f t="shared" ref="X31" si="3">IFERROR((M31-$Q31), $M31-0)</f>
        <v>0</v>
      </c>
      <c r="Y31" s="80">
        <f t="shared" ref="Y31" si="4">IFERROR((M31-$S31)/ABS($S31),0)</f>
        <v>0</v>
      </c>
      <c r="Z31" s="70">
        <f t="shared" ref="Z31" si="5">IFERROR((M31-$S31),$M31-0)</f>
        <v>0</v>
      </c>
      <c r="AA31" s="82"/>
      <c r="AC31" s="79"/>
      <c r="AD31" s="79"/>
      <c r="AE31" s="79"/>
      <c r="AF31" s="83">
        <f>IFERROR(($AC31-AD31)/ABS(AD31),0)</f>
        <v>0</v>
      </c>
      <c r="AG31" s="70">
        <f>($AC31-AD31)</f>
        <v>0</v>
      </c>
      <c r="AH31" s="83">
        <f>IFERROR(($AC31-AE31)/ABS(AE31),0)</f>
        <v>0</v>
      </c>
      <c r="AI31" s="70">
        <f>($AC31-AE31)</f>
        <v>0</v>
      </c>
      <c r="AK31" s="79"/>
      <c r="AL31" s="80">
        <f>IFERROR(AK31/SUMIFS(AK:AK, $H:$H, "[+] Net Sales"),0)</f>
        <v>0</v>
      </c>
      <c r="AM31" s="79"/>
      <c r="AN31" s="80">
        <f>IFERROR(AM31/SUMIFS(AM:AM, $H:$H, "[+] Net Sales"),0)</f>
        <v>0</v>
      </c>
      <c r="AO31" s="79"/>
      <c r="AP31" s="80">
        <f>IFERROR(AO31/SUMIFS(AO:AO, $H:$H, "[+] Net Sales"),0)</f>
        <v>0</v>
      </c>
      <c r="AQ31" s="79"/>
      <c r="AR31" s="81">
        <f>IFERROR(AQ31/SUMIFS(AQ:AQ, $H:$H, "[+] Net Sales"),0)</f>
        <v>0</v>
      </c>
      <c r="AS31" s="80">
        <f t="shared" ref="AS31" si="6">IFERROR((AK31-$AM31)/ABS($AM31),0)</f>
        <v>0</v>
      </c>
      <c r="AT31" s="70">
        <f t="shared" ref="AT31" si="7">(AK31-$AM31)</f>
        <v>0</v>
      </c>
      <c r="AU31" s="80">
        <f t="shared" ref="AU31" si="8">IFERROR((AK31-$AO31)/ABS($AO31),0)</f>
        <v>0</v>
      </c>
      <c r="AV31" s="70">
        <f t="shared" ref="AV31" si="9">(AK31-$AO31)</f>
        <v>0</v>
      </c>
      <c r="AW31" s="80">
        <f t="shared" ref="AW31" si="10">IFERROR((AK31-$AQ31)/ABS($AQ31),0)</f>
        <v>0</v>
      </c>
      <c r="AX31" s="70">
        <f t="shared" ref="AX31" si="11">(AK31-$AQ31)</f>
        <v>0</v>
      </c>
      <c r="AY31" s="82"/>
      <c r="BA31" s="79"/>
      <c r="BB31" s="80">
        <f>IFERROR(BA31/SUMIFS(BA:BA, $H:$H, "[+] Net Sales"),0)</f>
        <v>0</v>
      </c>
      <c r="BC31" s="79"/>
      <c r="BD31" s="80">
        <f>IFERROR(BC31/SUMIFS(BC:BC, $H:$H, "[+] Net Sales"),0)</f>
        <v>0</v>
      </c>
      <c r="BE31" s="79"/>
      <c r="BF31" s="81">
        <f>IFERROR(BE31/SUMIFS(BE:BE, $H:$H, "[+] Net Sales"),0)</f>
        <v>0</v>
      </c>
      <c r="BG31" s="80">
        <f t="shared" ref="BG31" si="12">IFERROR((BA31-$BC31)/ABS($BC31),0)</f>
        <v>0</v>
      </c>
      <c r="BH31" s="70">
        <f t="shared" ref="BH31" si="13">(BA31-$BC31)</f>
        <v>0</v>
      </c>
      <c r="BI31" s="80">
        <f t="shared" ref="BI31" si="14">IFERROR((BA31-$BE31)/ABS($BE31),0)</f>
        <v>0</v>
      </c>
      <c r="BJ31" s="70">
        <f t="shared" ref="BJ31" si="15">(BA31-$BE31)</f>
        <v>0</v>
      </c>
      <c r="BK31" s="82"/>
    </row>
    <row r="32" spans="1:63" ht="11.95" thickBot="1" x14ac:dyDescent="0.3">
      <c r="E32" s="3"/>
      <c r="F32" s="3"/>
      <c r="G32" s="3"/>
      <c r="H32" s="3" t="s">
        <v>443</v>
      </c>
      <c r="I32" s="18"/>
      <c r="J32" s="18"/>
      <c r="K32" s="18"/>
      <c r="L32" s="78"/>
      <c r="M32" s="79">
        <v>654439.77</v>
      </c>
      <c r="N32" s="80">
        <f t="shared" ref="N32:N61" si="16">IFERROR(M32/SUMIFS(M:M, $H:$H, "[+] Net Sales"),0)</f>
        <v>1</v>
      </c>
      <c r="O32" s="79">
        <v>0</v>
      </c>
      <c r="P32" s="80">
        <f t="shared" ref="P32:P61" si="17">IFERROR(O32/SUMIFS(O:O, $H:$H, "[+] Net Sales"),0)</f>
        <v>0</v>
      </c>
      <c r="Q32" s="79">
        <v>553920.44860746595</v>
      </c>
      <c r="R32" s="80">
        <f t="shared" ref="R32:R61" si="18">IFERROR(Q32/SUMIFS(Q:Q, $H:$H, "[+] Net Sales"),0)</f>
        <v>1</v>
      </c>
      <c r="S32" s="79">
        <v>509967.01</v>
      </c>
      <c r="T32" s="81">
        <f t="shared" ref="T32:T61" si="19">IFERROR(S32/SUMIFS(S:S, $H:$H, "[+] Net Sales"),0)</f>
        <v>1</v>
      </c>
      <c r="U32" s="80">
        <f t="shared" ref="U32:U61" si="20">IFERROR(($M32-O32)/ABS(O32),0)</f>
        <v>0</v>
      </c>
      <c r="V32" s="70">
        <f t="shared" ref="V32:V61" si="21">IFERROR((M32-$O32), $M32-0)</f>
        <v>654439.77</v>
      </c>
      <c r="W32" s="80">
        <f t="shared" ref="W32:W61" si="22">IFERROR((M32-$Q32)/ABS($Q32),0)</f>
        <v>0.18146887634358988</v>
      </c>
      <c r="X32" s="70">
        <f t="shared" ref="X32:X61" si="23">IFERROR((M32-$Q32), $M32-0)</f>
        <v>100519.32139253407</v>
      </c>
      <c r="Y32" s="80">
        <f t="shared" ref="Y32:Y61" si="24">IFERROR((M32-$S32)/ABS($S32),0)</f>
        <v>0.28329824707680601</v>
      </c>
      <c r="Z32" s="70">
        <f t="shared" ref="Z32:Z61" si="25">IFERROR((M32-$S32),$M32-0)</f>
        <v>144472.76</v>
      </c>
      <c r="AA32" s="82"/>
      <c r="AC32" s="79">
        <v>654439.77</v>
      </c>
      <c r="AD32" s="79">
        <v>509967.01</v>
      </c>
      <c r="AE32" s="79">
        <v>553920.44860746595</v>
      </c>
      <c r="AF32" s="83">
        <f t="shared" ref="AF32:AF61" si="26">IFERROR(($AC32-AD32)/ABS(AD32),0)</f>
        <v>0.28329824707680601</v>
      </c>
      <c r="AG32" s="70">
        <f t="shared" ref="AG32:AG61" si="27">($AC32-AD32)</f>
        <v>144472.76</v>
      </c>
      <c r="AH32" s="83">
        <f t="shared" ref="AH32:AH61" si="28">IFERROR(($AC32-AE32)/ABS(AE32),0)</f>
        <v>0.18146887634358988</v>
      </c>
      <c r="AI32" s="70">
        <f t="shared" ref="AI32:AI61" si="29">($AC32-AE32)</f>
        <v>100519.32139253407</v>
      </c>
      <c r="AK32" s="79">
        <v>654439.77</v>
      </c>
      <c r="AL32" s="80">
        <f t="shared" ref="AL32:AL61" si="30">IFERROR(AK32/SUMIFS(AK:AK, $H:$H, "[+] Net Sales"),0)</f>
        <v>1</v>
      </c>
      <c r="AM32" s="79">
        <v>0</v>
      </c>
      <c r="AN32" s="80">
        <f t="shared" ref="AN32:AN61" si="31">IFERROR(AM32/SUMIFS(AM:AM, $H:$H, "[+] Net Sales"),0)</f>
        <v>0</v>
      </c>
      <c r="AO32" s="79">
        <v>553920.44860746595</v>
      </c>
      <c r="AP32" s="80">
        <f t="shared" ref="AP32:AP61" si="32">IFERROR(AO32/SUMIFS(AO:AO, $H:$H, "[+] Net Sales"),0)</f>
        <v>1</v>
      </c>
      <c r="AQ32" s="79">
        <v>509967.01</v>
      </c>
      <c r="AR32" s="81">
        <f t="shared" ref="AR32:AR61" si="33">IFERROR(AQ32/SUMIFS(AQ:AQ, $H:$H, "[+] Net Sales"),0)</f>
        <v>1</v>
      </c>
      <c r="AS32" s="80">
        <f t="shared" ref="AS32:AS61" si="34">IFERROR((AK32-$AM32)/ABS($AM32),0)</f>
        <v>0</v>
      </c>
      <c r="AT32" s="70">
        <f t="shared" ref="AT32:AT61" si="35">(AK32-$AM32)</f>
        <v>654439.77</v>
      </c>
      <c r="AU32" s="80">
        <f t="shared" ref="AU32:AU61" si="36">IFERROR((AK32-$AO32)/ABS($AO32),0)</f>
        <v>0.18146887634358988</v>
      </c>
      <c r="AV32" s="70">
        <f t="shared" ref="AV32:AV61" si="37">(AK32-$AO32)</f>
        <v>100519.32139253407</v>
      </c>
      <c r="AW32" s="80">
        <f t="shared" ref="AW32:AW61" si="38">IFERROR((AK32-$AQ32)/ABS($AQ32),0)</f>
        <v>0.28329824707680601</v>
      </c>
      <c r="AX32" s="70">
        <f t="shared" ref="AX32:AX61" si="39">(AK32-$AQ32)</f>
        <v>144472.76</v>
      </c>
      <c r="AY32" s="82"/>
      <c r="BA32" s="79">
        <v>2231199</v>
      </c>
      <c r="BB32" s="80">
        <f t="shared" ref="BB32:BB61" si="40">IFERROR(BA32/SUMIFS(BA:BA, $H:$H, "[+] Net Sales"),0)</f>
        <v>1</v>
      </c>
      <c r="BC32" s="79">
        <v>2231199</v>
      </c>
      <c r="BD32" s="80">
        <f t="shared" ref="BD32:BD61" si="41">IFERROR(BC32/SUMIFS(BC:BC, $H:$H, "[+] Net Sales"),0)</f>
        <v>1</v>
      </c>
      <c r="BE32" s="79">
        <v>2008626.75</v>
      </c>
      <c r="BF32" s="81">
        <f t="shared" ref="BF32:BF61" si="42">IFERROR(BE32/SUMIFS(BE:BE, $H:$H, "[+] Net Sales"),0)</f>
        <v>1</v>
      </c>
      <c r="BG32" s="80">
        <f t="shared" ref="BG32:BG61" si="43">IFERROR((BA32-$BC32)/ABS($BC32),0)</f>
        <v>0</v>
      </c>
      <c r="BH32" s="70">
        <f t="shared" ref="BH32:BH61" si="44">(BA32-$BC32)</f>
        <v>0</v>
      </c>
      <c r="BI32" s="80">
        <f t="shared" ref="BI32:BI61" si="45">IFERROR((BA32-$BE32)/ABS($BE32),0)</f>
        <v>0.11080816781913315</v>
      </c>
      <c r="BJ32" s="70">
        <f t="shared" ref="BJ32:BJ61" si="46">(BA32-$BE32)</f>
        <v>222572.25</v>
      </c>
      <c r="BK32" s="82"/>
    </row>
    <row r="33" spans="5:63" ht="11.95" thickBot="1" x14ac:dyDescent="0.3">
      <c r="E33" s="3"/>
      <c r="F33" s="3"/>
      <c r="G33" s="3"/>
      <c r="H33" s="3" t="s">
        <v>444</v>
      </c>
      <c r="I33" s="18"/>
      <c r="J33" s="18"/>
      <c r="K33" s="18"/>
      <c r="L33" s="78"/>
      <c r="M33" s="79">
        <v>20</v>
      </c>
      <c r="N33" s="80">
        <f t="shared" si="16"/>
        <v>3.0560489928660662E-5</v>
      </c>
      <c r="O33" s="79"/>
      <c r="P33" s="80">
        <f t="shared" si="17"/>
        <v>0</v>
      </c>
      <c r="Q33" s="79"/>
      <c r="R33" s="80">
        <f t="shared" si="18"/>
        <v>0</v>
      </c>
      <c r="S33" s="79"/>
      <c r="T33" s="81">
        <f t="shared" si="19"/>
        <v>0</v>
      </c>
      <c r="U33" s="80">
        <f t="shared" si="20"/>
        <v>0</v>
      </c>
      <c r="V33" s="70">
        <f t="shared" si="21"/>
        <v>20</v>
      </c>
      <c r="W33" s="80">
        <f t="shared" si="22"/>
        <v>0</v>
      </c>
      <c r="X33" s="70">
        <f t="shared" si="23"/>
        <v>20</v>
      </c>
      <c r="Y33" s="80">
        <f t="shared" si="24"/>
        <v>0</v>
      </c>
      <c r="Z33" s="70">
        <f t="shared" si="25"/>
        <v>20</v>
      </c>
      <c r="AA33" s="82"/>
      <c r="AC33" s="79">
        <v>20</v>
      </c>
      <c r="AD33" s="79">
        <v>0</v>
      </c>
      <c r="AE33" s="79">
        <v>0</v>
      </c>
      <c r="AF33" s="83">
        <f t="shared" si="26"/>
        <v>0</v>
      </c>
      <c r="AG33" s="70">
        <f t="shared" si="27"/>
        <v>20</v>
      </c>
      <c r="AH33" s="83">
        <f t="shared" si="28"/>
        <v>0</v>
      </c>
      <c r="AI33" s="70">
        <f t="shared" si="29"/>
        <v>20</v>
      </c>
      <c r="AK33" s="79">
        <v>20</v>
      </c>
      <c r="AL33" s="80">
        <f t="shared" si="30"/>
        <v>3.0560489928660662E-5</v>
      </c>
      <c r="AM33" s="79">
        <v>0</v>
      </c>
      <c r="AN33" s="80">
        <f t="shared" si="31"/>
        <v>0</v>
      </c>
      <c r="AO33" s="79">
        <v>0</v>
      </c>
      <c r="AP33" s="80">
        <f t="shared" si="32"/>
        <v>0</v>
      </c>
      <c r="AQ33" s="79">
        <v>0</v>
      </c>
      <c r="AR33" s="81">
        <f t="shared" si="33"/>
        <v>0</v>
      </c>
      <c r="AS33" s="80">
        <f t="shared" si="34"/>
        <v>0</v>
      </c>
      <c r="AT33" s="70">
        <f t="shared" si="35"/>
        <v>20</v>
      </c>
      <c r="AU33" s="80">
        <f t="shared" si="36"/>
        <v>0</v>
      </c>
      <c r="AV33" s="70">
        <f t="shared" si="37"/>
        <v>20</v>
      </c>
      <c r="AW33" s="80">
        <f t="shared" si="38"/>
        <v>0</v>
      </c>
      <c r="AX33" s="70">
        <f t="shared" si="39"/>
        <v>20</v>
      </c>
      <c r="AY33" s="82"/>
      <c r="BA33" s="79">
        <v>0</v>
      </c>
      <c r="BB33" s="80">
        <f t="shared" si="40"/>
        <v>0</v>
      </c>
      <c r="BC33" s="79">
        <v>0</v>
      </c>
      <c r="BD33" s="80">
        <f t="shared" si="41"/>
        <v>0</v>
      </c>
      <c r="BE33" s="79">
        <v>2008647.75</v>
      </c>
      <c r="BF33" s="81">
        <f t="shared" si="42"/>
        <v>1.000010454904078</v>
      </c>
      <c r="BG33" s="80">
        <f t="shared" si="43"/>
        <v>0</v>
      </c>
      <c r="BH33" s="70">
        <f t="shared" si="44"/>
        <v>0</v>
      </c>
      <c r="BI33" s="80">
        <f t="shared" si="45"/>
        <v>-1</v>
      </c>
      <c r="BJ33" s="70">
        <f t="shared" si="46"/>
        <v>-2008647.75</v>
      </c>
      <c r="BK33" s="82"/>
    </row>
    <row r="34" spans="5:63" ht="11.95" thickBot="1" x14ac:dyDescent="0.3">
      <c r="E34" s="3"/>
      <c r="F34" s="3"/>
      <c r="G34" s="3"/>
      <c r="H34" s="3" t="s">
        <v>445</v>
      </c>
      <c r="I34" s="18"/>
      <c r="J34" s="18"/>
      <c r="K34" s="18"/>
      <c r="L34" s="78"/>
      <c r="M34" s="79"/>
      <c r="N34" s="80">
        <f t="shared" si="16"/>
        <v>0</v>
      </c>
      <c r="O34" s="79"/>
      <c r="P34" s="80">
        <f t="shared" si="17"/>
        <v>0</v>
      </c>
      <c r="Q34" s="79"/>
      <c r="R34" s="80">
        <f t="shared" si="18"/>
        <v>0</v>
      </c>
      <c r="S34" s="79"/>
      <c r="T34" s="81">
        <f t="shared" si="19"/>
        <v>0</v>
      </c>
      <c r="U34" s="80">
        <f t="shared" si="20"/>
        <v>0</v>
      </c>
      <c r="V34" s="70">
        <f t="shared" si="21"/>
        <v>0</v>
      </c>
      <c r="W34" s="80">
        <f t="shared" si="22"/>
        <v>0</v>
      </c>
      <c r="X34" s="70">
        <f t="shared" si="23"/>
        <v>0</v>
      </c>
      <c r="Y34" s="80">
        <f t="shared" si="24"/>
        <v>0</v>
      </c>
      <c r="Z34" s="70">
        <f t="shared" si="25"/>
        <v>0</v>
      </c>
      <c r="AA34" s="82"/>
      <c r="AC34" s="79">
        <v>0</v>
      </c>
      <c r="AD34" s="79">
        <v>0</v>
      </c>
      <c r="AE34" s="79">
        <v>0</v>
      </c>
      <c r="AF34" s="83">
        <f t="shared" si="26"/>
        <v>0</v>
      </c>
      <c r="AG34" s="70">
        <f t="shared" si="27"/>
        <v>0</v>
      </c>
      <c r="AH34" s="83">
        <f t="shared" si="28"/>
        <v>0</v>
      </c>
      <c r="AI34" s="70">
        <f t="shared" si="29"/>
        <v>0</v>
      </c>
      <c r="AK34" s="79">
        <v>0</v>
      </c>
      <c r="AL34" s="80">
        <f t="shared" si="30"/>
        <v>0</v>
      </c>
      <c r="AM34" s="79">
        <v>0</v>
      </c>
      <c r="AN34" s="80">
        <f t="shared" si="31"/>
        <v>0</v>
      </c>
      <c r="AO34" s="79">
        <v>0</v>
      </c>
      <c r="AP34" s="80">
        <f t="shared" si="32"/>
        <v>0</v>
      </c>
      <c r="AQ34" s="79">
        <v>0</v>
      </c>
      <c r="AR34" s="81">
        <f t="shared" si="33"/>
        <v>0</v>
      </c>
      <c r="AS34" s="80">
        <f t="shared" si="34"/>
        <v>0</v>
      </c>
      <c r="AT34" s="70">
        <f t="shared" si="35"/>
        <v>0</v>
      </c>
      <c r="AU34" s="80">
        <f t="shared" si="36"/>
        <v>0</v>
      </c>
      <c r="AV34" s="70">
        <f t="shared" si="37"/>
        <v>0</v>
      </c>
      <c r="AW34" s="80">
        <f t="shared" si="38"/>
        <v>0</v>
      </c>
      <c r="AX34" s="70">
        <f t="shared" si="39"/>
        <v>0</v>
      </c>
      <c r="AY34" s="82"/>
      <c r="BA34" s="79">
        <v>0</v>
      </c>
      <c r="BB34" s="80">
        <f t="shared" si="40"/>
        <v>0</v>
      </c>
      <c r="BC34" s="79">
        <v>0</v>
      </c>
      <c r="BD34" s="80">
        <f t="shared" si="41"/>
        <v>0</v>
      </c>
      <c r="BE34" s="79">
        <v>0</v>
      </c>
      <c r="BF34" s="81">
        <f t="shared" si="42"/>
        <v>0</v>
      </c>
      <c r="BG34" s="80">
        <f t="shared" si="43"/>
        <v>0</v>
      </c>
      <c r="BH34" s="70">
        <f t="shared" si="44"/>
        <v>0</v>
      </c>
      <c r="BI34" s="80">
        <f t="shared" si="45"/>
        <v>0</v>
      </c>
      <c r="BJ34" s="70">
        <f t="shared" si="46"/>
        <v>0</v>
      </c>
      <c r="BK34" s="82"/>
    </row>
    <row r="35" spans="5:63" ht="11.95" thickBot="1" x14ac:dyDescent="0.3">
      <c r="E35" s="3"/>
      <c r="F35" s="3"/>
      <c r="G35" s="3"/>
      <c r="H35" s="3" t="s">
        <v>446</v>
      </c>
      <c r="I35" s="18"/>
      <c r="J35" s="18"/>
      <c r="K35" s="18"/>
      <c r="L35" s="78"/>
      <c r="M35" s="79"/>
      <c r="N35" s="80">
        <f t="shared" si="16"/>
        <v>0</v>
      </c>
      <c r="O35" s="79"/>
      <c r="P35" s="80">
        <f t="shared" si="17"/>
        <v>0</v>
      </c>
      <c r="Q35" s="79"/>
      <c r="R35" s="80">
        <f t="shared" si="18"/>
        <v>0</v>
      </c>
      <c r="S35" s="79"/>
      <c r="T35" s="81">
        <f t="shared" si="19"/>
        <v>0</v>
      </c>
      <c r="U35" s="80">
        <f t="shared" si="20"/>
        <v>0</v>
      </c>
      <c r="V35" s="70">
        <f t="shared" si="21"/>
        <v>0</v>
      </c>
      <c r="W35" s="80">
        <f t="shared" si="22"/>
        <v>0</v>
      </c>
      <c r="X35" s="70">
        <f t="shared" si="23"/>
        <v>0</v>
      </c>
      <c r="Y35" s="80">
        <f t="shared" si="24"/>
        <v>0</v>
      </c>
      <c r="Z35" s="70">
        <f t="shared" si="25"/>
        <v>0</v>
      </c>
      <c r="AA35" s="82"/>
      <c r="AC35" s="79">
        <v>0</v>
      </c>
      <c r="AD35" s="79">
        <v>0</v>
      </c>
      <c r="AE35" s="79">
        <v>0</v>
      </c>
      <c r="AF35" s="83">
        <f t="shared" si="26"/>
        <v>0</v>
      </c>
      <c r="AG35" s="70">
        <f t="shared" si="27"/>
        <v>0</v>
      </c>
      <c r="AH35" s="83">
        <f t="shared" si="28"/>
        <v>0</v>
      </c>
      <c r="AI35" s="70">
        <f t="shared" si="29"/>
        <v>0</v>
      </c>
      <c r="AK35" s="79">
        <v>0</v>
      </c>
      <c r="AL35" s="80">
        <f t="shared" si="30"/>
        <v>0</v>
      </c>
      <c r="AM35" s="79">
        <v>0</v>
      </c>
      <c r="AN35" s="80">
        <f t="shared" si="31"/>
        <v>0</v>
      </c>
      <c r="AO35" s="79">
        <v>0</v>
      </c>
      <c r="AP35" s="80">
        <f t="shared" si="32"/>
        <v>0</v>
      </c>
      <c r="AQ35" s="79">
        <v>0</v>
      </c>
      <c r="AR35" s="81">
        <f t="shared" si="33"/>
        <v>0</v>
      </c>
      <c r="AS35" s="80">
        <f t="shared" si="34"/>
        <v>0</v>
      </c>
      <c r="AT35" s="70">
        <f t="shared" si="35"/>
        <v>0</v>
      </c>
      <c r="AU35" s="80">
        <f t="shared" si="36"/>
        <v>0</v>
      </c>
      <c r="AV35" s="70">
        <f t="shared" si="37"/>
        <v>0</v>
      </c>
      <c r="AW35" s="80">
        <f t="shared" si="38"/>
        <v>0</v>
      </c>
      <c r="AX35" s="70">
        <f t="shared" si="39"/>
        <v>0</v>
      </c>
      <c r="AY35" s="82"/>
      <c r="BA35" s="79">
        <v>0</v>
      </c>
      <c r="BB35" s="80">
        <f t="shared" si="40"/>
        <v>0</v>
      </c>
      <c r="BC35" s="79">
        <v>0</v>
      </c>
      <c r="BD35" s="80">
        <f t="shared" si="41"/>
        <v>0</v>
      </c>
      <c r="BE35" s="79">
        <v>0</v>
      </c>
      <c r="BF35" s="81">
        <f t="shared" si="42"/>
        <v>0</v>
      </c>
      <c r="BG35" s="80">
        <f t="shared" si="43"/>
        <v>0</v>
      </c>
      <c r="BH35" s="70">
        <f t="shared" si="44"/>
        <v>0</v>
      </c>
      <c r="BI35" s="80">
        <f t="shared" si="45"/>
        <v>0</v>
      </c>
      <c r="BJ35" s="70">
        <f t="shared" si="46"/>
        <v>0</v>
      </c>
      <c r="BK35" s="82"/>
    </row>
    <row r="36" spans="5:63" ht="11.95" thickBot="1" x14ac:dyDescent="0.3">
      <c r="E36" s="3"/>
      <c r="F36" s="3"/>
      <c r="G36" s="3"/>
      <c r="H36" s="3" t="s">
        <v>447</v>
      </c>
      <c r="I36" s="18"/>
      <c r="J36" s="18"/>
      <c r="K36" s="18"/>
      <c r="L36" s="78"/>
      <c r="M36" s="79"/>
      <c r="N36" s="80">
        <f t="shared" si="16"/>
        <v>0</v>
      </c>
      <c r="O36" s="79"/>
      <c r="P36" s="80">
        <f t="shared" si="17"/>
        <v>0</v>
      </c>
      <c r="Q36" s="79"/>
      <c r="R36" s="80">
        <f t="shared" si="18"/>
        <v>0</v>
      </c>
      <c r="S36" s="79"/>
      <c r="T36" s="81">
        <f t="shared" si="19"/>
        <v>0</v>
      </c>
      <c r="U36" s="80">
        <f t="shared" si="20"/>
        <v>0</v>
      </c>
      <c r="V36" s="70">
        <f t="shared" si="21"/>
        <v>0</v>
      </c>
      <c r="W36" s="80">
        <f t="shared" si="22"/>
        <v>0</v>
      </c>
      <c r="X36" s="70">
        <f t="shared" si="23"/>
        <v>0</v>
      </c>
      <c r="Y36" s="80">
        <f t="shared" si="24"/>
        <v>0</v>
      </c>
      <c r="Z36" s="70">
        <f t="shared" si="25"/>
        <v>0</v>
      </c>
      <c r="AA36" s="82"/>
      <c r="AC36" s="79">
        <v>0</v>
      </c>
      <c r="AD36" s="79">
        <v>0</v>
      </c>
      <c r="AE36" s="79">
        <v>0</v>
      </c>
      <c r="AF36" s="83">
        <f t="shared" si="26"/>
        <v>0</v>
      </c>
      <c r="AG36" s="70">
        <f t="shared" si="27"/>
        <v>0</v>
      </c>
      <c r="AH36" s="83">
        <f t="shared" si="28"/>
        <v>0</v>
      </c>
      <c r="AI36" s="70">
        <f t="shared" si="29"/>
        <v>0</v>
      </c>
      <c r="AK36" s="79">
        <v>0</v>
      </c>
      <c r="AL36" s="80">
        <f t="shared" si="30"/>
        <v>0</v>
      </c>
      <c r="AM36" s="79">
        <v>0</v>
      </c>
      <c r="AN36" s="80">
        <f t="shared" si="31"/>
        <v>0</v>
      </c>
      <c r="AO36" s="79">
        <v>0</v>
      </c>
      <c r="AP36" s="80">
        <f t="shared" si="32"/>
        <v>0</v>
      </c>
      <c r="AQ36" s="79">
        <v>0</v>
      </c>
      <c r="AR36" s="81">
        <f t="shared" si="33"/>
        <v>0</v>
      </c>
      <c r="AS36" s="80">
        <f t="shared" si="34"/>
        <v>0</v>
      </c>
      <c r="AT36" s="70">
        <f t="shared" si="35"/>
        <v>0</v>
      </c>
      <c r="AU36" s="80">
        <f t="shared" si="36"/>
        <v>0</v>
      </c>
      <c r="AV36" s="70">
        <f t="shared" si="37"/>
        <v>0</v>
      </c>
      <c r="AW36" s="80">
        <f t="shared" si="38"/>
        <v>0</v>
      </c>
      <c r="AX36" s="70">
        <f t="shared" si="39"/>
        <v>0</v>
      </c>
      <c r="AY36" s="82"/>
      <c r="BA36" s="79">
        <v>0</v>
      </c>
      <c r="BB36" s="80">
        <f t="shared" si="40"/>
        <v>0</v>
      </c>
      <c r="BC36" s="79">
        <v>0</v>
      </c>
      <c r="BD36" s="80">
        <f t="shared" si="41"/>
        <v>0</v>
      </c>
      <c r="BE36" s="79">
        <v>0</v>
      </c>
      <c r="BF36" s="81">
        <f t="shared" si="42"/>
        <v>0</v>
      </c>
      <c r="BG36" s="80">
        <f t="shared" si="43"/>
        <v>0</v>
      </c>
      <c r="BH36" s="70">
        <f t="shared" si="44"/>
        <v>0</v>
      </c>
      <c r="BI36" s="80">
        <f t="shared" si="45"/>
        <v>0</v>
      </c>
      <c r="BJ36" s="70">
        <f t="shared" si="46"/>
        <v>0</v>
      </c>
      <c r="BK36" s="82"/>
    </row>
    <row r="37" spans="5:63" ht="11.95" thickBot="1" x14ac:dyDescent="0.3">
      <c r="E37" s="3"/>
      <c r="F37" s="3"/>
      <c r="G37" s="3"/>
      <c r="H37" s="3" t="s">
        <v>448</v>
      </c>
      <c r="I37" s="18"/>
      <c r="J37" s="18"/>
      <c r="K37" s="18"/>
      <c r="L37" s="78"/>
      <c r="M37" s="79"/>
      <c r="N37" s="80">
        <f t="shared" si="16"/>
        <v>0</v>
      </c>
      <c r="O37" s="79"/>
      <c r="P37" s="80">
        <f t="shared" si="17"/>
        <v>0</v>
      </c>
      <c r="Q37" s="79"/>
      <c r="R37" s="80">
        <f t="shared" si="18"/>
        <v>0</v>
      </c>
      <c r="S37" s="79"/>
      <c r="T37" s="81">
        <f t="shared" si="19"/>
        <v>0</v>
      </c>
      <c r="U37" s="80">
        <f t="shared" si="20"/>
        <v>0</v>
      </c>
      <c r="V37" s="70">
        <f t="shared" si="21"/>
        <v>0</v>
      </c>
      <c r="W37" s="80">
        <f t="shared" si="22"/>
        <v>0</v>
      </c>
      <c r="X37" s="70">
        <f t="shared" si="23"/>
        <v>0</v>
      </c>
      <c r="Y37" s="80">
        <f t="shared" si="24"/>
        <v>0</v>
      </c>
      <c r="Z37" s="70">
        <f t="shared" si="25"/>
        <v>0</v>
      </c>
      <c r="AA37" s="82"/>
      <c r="AC37" s="79">
        <v>0</v>
      </c>
      <c r="AD37" s="79">
        <v>0</v>
      </c>
      <c r="AE37" s="79">
        <v>0</v>
      </c>
      <c r="AF37" s="83">
        <f t="shared" si="26"/>
        <v>0</v>
      </c>
      <c r="AG37" s="70">
        <f t="shared" si="27"/>
        <v>0</v>
      </c>
      <c r="AH37" s="83">
        <f t="shared" si="28"/>
        <v>0</v>
      </c>
      <c r="AI37" s="70">
        <f t="shared" si="29"/>
        <v>0</v>
      </c>
      <c r="AK37" s="79">
        <v>0</v>
      </c>
      <c r="AL37" s="80">
        <f t="shared" si="30"/>
        <v>0</v>
      </c>
      <c r="AM37" s="79">
        <v>0</v>
      </c>
      <c r="AN37" s="80">
        <f t="shared" si="31"/>
        <v>0</v>
      </c>
      <c r="AO37" s="79">
        <v>0</v>
      </c>
      <c r="AP37" s="80">
        <f t="shared" si="32"/>
        <v>0</v>
      </c>
      <c r="AQ37" s="79">
        <v>0</v>
      </c>
      <c r="AR37" s="81">
        <f t="shared" si="33"/>
        <v>0</v>
      </c>
      <c r="AS37" s="80">
        <f t="shared" si="34"/>
        <v>0</v>
      </c>
      <c r="AT37" s="70">
        <f t="shared" si="35"/>
        <v>0</v>
      </c>
      <c r="AU37" s="80">
        <f t="shared" si="36"/>
        <v>0</v>
      </c>
      <c r="AV37" s="70">
        <f t="shared" si="37"/>
        <v>0</v>
      </c>
      <c r="AW37" s="80">
        <f t="shared" si="38"/>
        <v>0</v>
      </c>
      <c r="AX37" s="70">
        <f t="shared" si="39"/>
        <v>0</v>
      </c>
      <c r="AY37" s="82"/>
      <c r="BA37" s="79">
        <v>0</v>
      </c>
      <c r="BB37" s="80">
        <f t="shared" si="40"/>
        <v>0</v>
      </c>
      <c r="BC37" s="79">
        <v>0</v>
      </c>
      <c r="BD37" s="80">
        <f t="shared" si="41"/>
        <v>0</v>
      </c>
      <c r="BE37" s="79">
        <v>0</v>
      </c>
      <c r="BF37" s="81">
        <f t="shared" si="42"/>
        <v>0</v>
      </c>
      <c r="BG37" s="80">
        <f t="shared" si="43"/>
        <v>0</v>
      </c>
      <c r="BH37" s="70">
        <f t="shared" si="44"/>
        <v>0</v>
      </c>
      <c r="BI37" s="80">
        <f t="shared" si="45"/>
        <v>0</v>
      </c>
      <c r="BJ37" s="70">
        <f t="shared" si="46"/>
        <v>0</v>
      </c>
      <c r="BK37" s="82"/>
    </row>
    <row r="38" spans="5:63" ht="11.95" thickBot="1" x14ac:dyDescent="0.3">
      <c r="E38" s="3"/>
      <c r="F38" s="3"/>
      <c r="G38" s="3"/>
      <c r="H38" s="3" t="s">
        <v>449</v>
      </c>
      <c r="I38" s="18"/>
      <c r="J38" s="18"/>
      <c r="K38" s="18"/>
      <c r="L38" s="78"/>
      <c r="M38" s="79"/>
      <c r="N38" s="80">
        <f t="shared" si="16"/>
        <v>0</v>
      </c>
      <c r="O38" s="79"/>
      <c r="P38" s="80">
        <f t="shared" si="17"/>
        <v>0</v>
      </c>
      <c r="Q38" s="79"/>
      <c r="R38" s="80">
        <f t="shared" si="18"/>
        <v>0</v>
      </c>
      <c r="S38" s="79"/>
      <c r="T38" s="81">
        <f t="shared" si="19"/>
        <v>0</v>
      </c>
      <c r="U38" s="80">
        <f t="shared" si="20"/>
        <v>0</v>
      </c>
      <c r="V38" s="70">
        <f t="shared" si="21"/>
        <v>0</v>
      </c>
      <c r="W38" s="80">
        <f t="shared" si="22"/>
        <v>0</v>
      </c>
      <c r="X38" s="70">
        <f t="shared" si="23"/>
        <v>0</v>
      </c>
      <c r="Y38" s="80">
        <f t="shared" si="24"/>
        <v>0</v>
      </c>
      <c r="Z38" s="70">
        <f t="shared" si="25"/>
        <v>0</v>
      </c>
      <c r="AA38" s="82"/>
      <c r="AC38" s="79">
        <v>0</v>
      </c>
      <c r="AD38" s="79">
        <v>0</v>
      </c>
      <c r="AE38" s="79">
        <v>0</v>
      </c>
      <c r="AF38" s="83">
        <f t="shared" si="26"/>
        <v>0</v>
      </c>
      <c r="AG38" s="70">
        <f t="shared" si="27"/>
        <v>0</v>
      </c>
      <c r="AH38" s="83">
        <f t="shared" si="28"/>
        <v>0</v>
      </c>
      <c r="AI38" s="70">
        <f t="shared" si="29"/>
        <v>0</v>
      </c>
      <c r="AK38" s="79">
        <v>0</v>
      </c>
      <c r="AL38" s="80">
        <f t="shared" si="30"/>
        <v>0</v>
      </c>
      <c r="AM38" s="79">
        <v>0</v>
      </c>
      <c r="AN38" s="80">
        <f t="shared" si="31"/>
        <v>0</v>
      </c>
      <c r="AO38" s="79">
        <v>0</v>
      </c>
      <c r="AP38" s="80">
        <f t="shared" si="32"/>
        <v>0</v>
      </c>
      <c r="AQ38" s="79">
        <v>0</v>
      </c>
      <c r="AR38" s="81">
        <f t="shared" si="33"/>
        <v>0</v>
      </c>
      <c r="AS38" s="80">
        <f t="shared" si="34"/>
        <v>0</v>
      </c>
      <c r="AT38" s="70">
        <f t="shared" si="35"/>
        <v>0</v>
      </c>
      <c r="AU38" s="80">
        <f t="shared" si="36"/>
        <v>0</v>
      </c>
      <c r="AV38" s="70">
        <f t="shared" si="37"/>
        <v>0</v>
      </c>
      <c r="AW38" s="80">
        <f t="shared" si="38"/>
        <v>0</v>
      </c>
      <c r="AX38" s="70">
        <f t="shared" si="39"/>
        <v>0</v>
      </c>
      <c r="AY38" s="82"/>
      <c r="BA38" s="79">
        <v>0</v>
      </c>
      <c r="BB38" s="80">
        <f t="shared" si="40"/>
        <v>0</v>
      </c>
      <c r="BC38" s="79">
        <v>0</v>
      </c>
      <c r="BD38" s="80">
        <f t="shared" si="41"/>
        <v>0</v>
      </c>
      <c r="BE38" s="79">
        <v>0</v>
      </c>
      <c r="BF38" s="81">
        <f t="shared" si="42"/>
        <v>0</v>
      </c>
      <c r="BG38" s="80">
        <f t="shared" si="43"/>
        <v>0</v>
      </c>
      <c r="BH38" s="70">
        <f t="shared" si="44"/>
        <v>0</v>
      </c>
      <c r="BI38" s="80">
        <f t="shared" si="45"/>
        <v>0</v>
      </c>
      <c r="BJ38" s="70">
        <f t="shared" si="46"/>
        <v>0</v>
      </c>
      <c r="BK38" s="82"/>
    </row>
    <row r="39" spans="5:63" ht="11.95" thickBot="1" x14ac:dyDescent="0.3">
      <c r="E39" s="3"/>
      <c r="F39" s="3"/>
      <c r="G39" s="3"/>
      <c r="H39" s="3" t="s">
        <v>450</v>
      </c>
      <c r="I39" s="18"/>
      <c r="J39" s="18"/>
      <c r="K39" s="18"/>
      <c r="L39" s="78"/>
      <c r="M39" s="79"/>
      <c r="N39" s="80">
        <f t="shared" si="16"/>
        <v>0</v>
      </c>
      <c r="O39" s="79"/>
      <c r="P39" s="80">
        <f t="shared" si="17"/>
        <v>0</v>
      </c>
      <c r="Q39" s="79"/>
      <c r="R39" s="80">
        <f t="shared" si="18"/>
        <v>0</v>
      </c>
      <c r="S39" s="79"/>
      <c r="T39" s="81">
        <f t="shared" si="19"/>
        <v>0</v>
      </c>
      <c r="U39" s="80">
        <f t="shared" si="20"/>
        <v>0</v>
      </c>
      <c r="V39" s="70">
        <f t="shared" si="21"/>
        <v>0</v>
      </c>
      <c r="W39" s="80">
        <f t="shared" si="22"/>
        <v>0</v>
      </c>
      <c r="X39" s="70">
        <f t="shared" si="23"/>
        <v>0</v>
      </c>
      <c r="Y39" s="80">
        <f t="shared" si="24"/>
        <v>0</v>
      </c>
      <c r="Z39" s="70">
        <f t="shared" si="25"/>
        <v>0</v>
      </c>
      <c r="AA39" s="82"/>
      <c r="AC39" s="79">
        <v>0</v>
      </c>
      <c r="AD39" s="79">
        <v>0</v>
      </c>
      <c r="AE39" s="79">
        <v>0</v>
      </c>
      <c r="AF39" s="83">
        <f t="shared" si="26"/>
        <v>0</v>
      </c>
      <c r="AG39" s="70">
        <f t="shared" si="27"/>
        <v>0</v>
      </c>
      <c r="AH39" s="83">
        <f t="shared" si="28"/>
        <v>0</v>
      </c>
      <c r="AI39" s="70">
        <f t="shared" si="29"/>
        <v>0</v>
      </c>
      <c r="AK39" s="79">
        <v>0</v>
      </c>
      <c r="AL39" s="80">
        <f t="shared" si="30"/>
        <v>0</v>
      </c>
      <c r="AM39" s="79">
        <v>0</v>
      </c>
      <c r="AN39" s="80">
        <f t="shared" si="31"/>
        <v>0</v>
      </c>
      <c r="AO39" s="79">
        <v>0</v>
      </c>
      <c r="AP39" s="80">
        <f t="shared" si="32"/>
        <v>0</v>
      </c>
      <c r="AQ39" s="79">
        <v>0</v>
      </c>
      <c r="AR39" s="81">
        <f t="shared" si="33"/>
        <v>0</v>
      </c>
      <c r="AS39" s="80">
        <f t="shared" si="34"/>
        <v>0</v>
      </c>
      <c r="AT39" s="70">
        <f t="shared" si="35"/>
        <v>0</v>
      </c>
      <c r="AU39" s="80">
        <f t="shared" si="36"/>
        <v>0</v>
      </c>
      <c r="AV39" s="70">
        <f t="shared" si="37"/>
        <v>0</v>
      </c>
      <c r="AW39" s="80">
        <f t="shared" si="38"/>
        <v>0</v>
      </c>
      <c r="AX39" s="70">
        <f t="shared" si="39"/>
        <v>0</v>
      </c>
      <c r="AY39" s="82"/>
      <c r="BA39" s="79">
        <v>0</v>
      </c>
      <c r="BB39" s="80">
        <f t="shared" si="40"/>
        <v>0</v>
      </c>
      <c r="BC39" s="79">
        <v>0</v>
      </c>
      <c r="BD39" s="80">
        <f t="shared" si="41"/>
        <v>0</v>
      </c>
      <c r="BE39" s="79">
        <v>0</v>
      </c>
      <c r="BF39" s="81">
        <f t="shared" si="42"/>
        <v>0</v>
      </c>
      <c r="BG39" s="80">
        <f t="shared" si="43"/>
        <v>0</v>
      </c>
      <c r="BH39" s="70">
        <f t="shared" si="44"/>
        <v>0</v>
      </c>
      <c r="BI39" s="80">
        <f t="shared" si="45"/>
        <v>0</v>
      </c>
      <c r="BJ39" s="70">
        <f t="shared" si="46"/>
        <v>0</v>
      </c>
      <c r="BK39" s="82"/>
    </row>
    <row r="40" spans="5:63" ht="11.95" thickBot="1" x14ac:dyDescent="0.3">
      <c r="E40" s="3"/>
      <c r="F40" s="3"/>
      <c r="G40" s="3"/>
      <c r="H40" s="3" t="s">
        <v>451</v>
      </c>
      <c r="I40" s="18"/>
      <c r="J40" s="18"/>
      <c r="K40" s="18"/>
      <c r="L40" s="78"/>
      <c r="M40" s="79"/>
      <c r="N40" s="80">
        <f t="shared" si="16"/>
        <v>0</v>
      </c>
      <c r="O40" s="79"/>
      <c r="P40" s="80">
        <f t="shared" si="17"/>
        <v>0</v>
      </c>
      <c r="Q40" s="79"/>
      <c r="R40" s="80">
        <f t="shared" si="18"/>
        <v>0</v>
      </c>
      <c r="S40" s="79"/>
      <c r="T40" s="81">
        <f t="shared" si="19"/>
        <v>0</v>
      </c>
      <c r="U40" s="80">
        <f t="shared" si="20"/>
        <v>0</v>
      </c>
      <c r="V40" s="70">
        <f t="shared" si="21"/>
        <v>0</v>
      </c>
      <c r="W40" s="80">
        <f t="shared" si="22"/>
        <v>0</v>
      </c>
      <c r="X40" s="70">
        <f t="shared" si="23"/>
        <v>0</v>
      </c>
      <c r="Y40" s="80">
        <f t="shared" si="24"/>
        <v>0</v>
      </c>
      <c r="Z40" s="70">
        <f t="shared" si="25"/>
        <v>0</v>
      </c>
      <c r="AA40" s="82"/>
      <c r="AC40" s="79">
        <v>0</v>
      </c>
      <c r="AD40" s="79">
        <v>0</v>
      </c>
      <c r="AE40" s="79">
        <v>0</v>
      </c>
      <c r="AF40" s="83">
        <f t="shared" si="26"/>
        <v>0</v>
      </c>
      <c r="AG40" s="70">
        <f t="shared" si="27"/>
        <v>0</v>
      </c>
      <c r="AH40" s="83">
        <f t="shared" si="28"/>
        <v>0</v>
      </c>
      <c r="AI40" s="70">
        <f t="shared" si="29"/>
        <v>0</v>
      </c>
      <c r="AK40" s="79">
        <v>0</v>
      </c>
      <c r="AL40" s="80">
        <f t="shared" si="30"/>
        <v>0</v>
      </c>
      <c r="AM40" s="79">
        <v>0</v>
      </c>
      <c r="AN40" s="80">
        <f t="shared" si="31"/>
        <v>0</v>
      </c>
      <c r="AO40" s="79">
        <v>0</v>
      </c>
      <c r="AP40" s="80">
        <f t="shared" si="32"/>
        <v>0</v>
      </c>
      <c r="AQ40" s="79">
        <v>0</v>
      </c>
      <c r="AR40" s="81">
        <f t="shared" si="33"/>
        <v>0</v>
      </c>
      <c r="AS40" s="80">
        <f t="shared" si="34"/>
        <v>0</v>
      </c>
      <c r="AT40" s="70">
        <f t="shared" si="35"/>
        <v>0</v>
      </c>
      <c r="AU40" s="80">
        <f t="shared" si="36"/>
        <v>0</v>
      </c>
      <c r="AV40" s="70">
        <f t="shared" si="37"/>
        <v>0</v>
      </c>
      <c r="AW40" s="80">
        <f t="shared" si="38"/>
        <v>0</v>
      </c>
      <c r="AX40" s="70">
        <f t="shared" si="39"/>
        <v>0</v>
      </c>
      <c r="AY40" s="82"/>
      <c r="BA40" s="79">
        <v>0</v>
      </c>
      <c r="BB40" s="80">
        <f t="shared" si="40"/>
        <v>0</v>
      </c>
      <c r="BC40" s="79">
        <v>0</v>
      </c>
      <c r="BD40" s="80">
        <f t="shared" si="41"/>
        <v>0</v>
      </c>
      <c r="BE40" s="79">
        <v>0</v>
      </c>
      <c r="BF40" s="81">
        <f t="shared" si="42"/>
        <v>0</v>
      </c>
      <c r="BG40" s="80">
        <f t="shared" si="43"/>
        <v>0</v>
      </c>
      <c r="BH40" s="70">
        <f t="shared" si="44"/>
        <v>0</v>
      </c>
      <c r="BI40" s="80">
        <f t="shared" si="45"/>
        <v>0</v>
      </c>
      <c r="BJ40" s="70">
        <f t="shared" si="46"/>
        <v>0</v>
      </c>
      <c r="BK40" s="82"/>
    </row>
    <row r="41" spans="5:63" ht="11.95" thickBot="1" x14ac:dyDescent="0.3">
      <c r="E41" s="3"/>
      <c r="F41" s="3"/>
      <c r="G41" s="3"/>
      <c r="H41" s="3" t="s">
        <v>452</v>
      </c>
      <c r="I41" s="18"/>
      <c r="J41" s="18"/>
      <c r="K41" s="18"/>
      <c r="L41" s="78"/>
      <c r="M41" s="79">
        <v>269359.77</v>
      </c>
      <c r="N41" s="80">
        <f t="shared" si="16"/>
        <v>0.41158832691356761</v>
      </c>
      <c r="O41" s="79"/>
      <c r="P41" s="80">
        <f t="shared" si="17"/>
        <v>0</v>
      </c>
      <c r="Q41" s="79">
        <v>189510.46194080001</v>
      </c>
      <c r="R41" s="80">
        <f t="shared" si="18"/>
        <v>0.34212577350632534</v>
      </c>
      <c r="S41" s="79">
        <v>158374.04999999999</v>
      </c>
      <c r="T41" s="81">
        <f t="shared" si="19"/>
        <v>0.31055744174510425</v>
      </c>
      <c r="U41" s="80">
        <f t="shared" si="20"/>
        <v>0</v>
      </c>
      <c r="V41" s="70">
        <f t="shared" si="21"/>
        <v>269359.77</v>
      </c>
      <c r="W41" s="80">
        <f t="shared" si="22"/>
        <v>0.42134511858318213</v>
      </c>
      <c r="X41" s="70">
        <f t="shared" si="23"/>
        <v>79849.308059200004</v>
      </c>
      <c r="Y41" s="80">
        <f t="shared" si="24"/>
        <v>0.70078223042221899</v>
      </c>
      <c r="Z41" s="70">
        <f t="shared" si="25"/>
        <v>110985.72000000003</v>
      </c>
      <c r="AA41" s="82"/>
      <c r="AC41" s="79">
        <v>269359.77</v>
      </c>
      <c r="AD41" s="79">
        <v>158374.04999999999</v>
      </c>
      <c r="AE41" s="79">
        <v>189510.46194080001</v>
      </c>
      <c r="AF41" s="83">
        <f t="shared" si="26"/>
        <v>0.70078223042221899</v>
      </c>
      <c r="AG41" s="70">
        <f t="shared" si="27"/>
        <v>110985.72000000003</v>
      </c>
      <c r="AH41" s="83">
        <f t="shared" si="28"/>
        <v>0.42134511858318213</v>
      </c>
      <c r="AI41" s="70">
        <f t="shared" si="29"/>
        <v>79849.308059200004</v>
      </c>
      <c r="AK41" s="79">
        <v>269359.77</v>
      </c>
      <c r="AL41" s="80">
        <f t="shared" si="30"/>
        <v>0.41158832691356761</v>
      </c>
      <c r="AM41" s="79">
        <v>0</v>
      </c>
      <c r="AN41" s="80">
        <f t="shared" si="31"/>
        <v>0</v>
      </c>
      <c r="AO41" s="79">
        <v>189510.46194080001</v>
      </c>
      <c r="AP41" s="80">
        <f t="shared" si="32"/>
        <v>0.34212577350632534</v>
      </c>
      <c r="AQ41" s="79">
        <v>158374.04999999999</v>
      </c>
      <c r="AR41" s="81">
        <f t="shared" si="33"/>
        <v>0.31055744174510425</v>
      </c>
      <c r="AS41" s="80">
        <f t="shared" si="34"/>
        <v>0</v>
      </c>
      <c r="AT41" s="70">
        <f t="shared" si="35"/>
        <v>269359.77</v>
      </c>
      <c r="AU41" s="80">
        <f t="shared" si="36"/>
        <v>0.42134511858318213</v>
      </c>
      <c r="AV41" s="70">
        <f t="shared" si="37"/>
        <v>79849.308059200004</v>
      </c>
      <c r="AW41" s="80">
        <f t="shared" si="38"/>
        <v>0.70078223042221899</v>
      </c>
      <c r="AX41" s="70">
        <f t="shared" si="39"/>
        <v>110985.72000000003</v>
      </c>
      <c r="AY41" s="82"/>
      <c r="BA41" s="79">
        <v>729224</v>
      </c>
      <c r="BB41" s="80">
        <f t="shared" si="40"/>
        <v>0.32683055164510205</v>
      </c>
      <c r="BC41" s="79">
        <v>729224</v>
      </c>
      <c r="BD41" s="80">
        <f t="shared" si="41"/>
        <v>0.32683055164510205</v>
      </c>
      <c r="BE41" s="79">
        <v>0</v>
      </c>
      <c r="BF41" s="81">
        <f t="shared" si="42"/>
        <v>0</v>
      </c>
      <c r="BG41" s="80">
        <f t="shared" si="43"/>
        <v>0</v>
      </c>
      <c r="BH41" s="70">
        <f t="shared" si="44"/>
        <v>0</v>
      </c>
      <c r="BI41" s="80">
        <f t="shared" si="45"/>
        <v>0</v>
      </c>
      <c r="BJ41" s="70">
        <f t="shared" si="46"/>
        <v>729224</v>
      </c>
      <c r="BK41" s="82"/>
    </row>
    <row r="42" spans="5:63" ht="11.95" thickBot="1" x14ac:dyDescent="0.3">
      <c r="E42" s="3"/>
      <c r="F42" s="3"/>
      <c r="G42" s="3"/>
      <c r="H42" s="3" t="s">
        <v>453</v>
      </c>
      <c r="I42" s="18"/>
      <c r="J42" s="18"/>
      <c r="K42" s="18"/>
      <c r="L42" s="78"/>
      <c r="M42" s="79">
        <v>384340</v>
      </c>
      <c r="N42" s="80">
        <f t="shared" si="16"/>
        <v>0.58728093495907197</v>
      </c>
      <c r="O42" s="79"/>
      <c r="P42" s="80">
        <f t="shared" si="17"/>
        <v>0</v>
      </c>
      <c r="Q42" s="79">
        <v>342772.32</v>
      </c>
      <c r="R42" s="80">
        <f t="shared" si="18"/>
        <v>0.6188114572439346</v>
      </c>
      <c r="S42" s="79">
        <v>339190</v>
      </c>
      <c r="T42" s="81">
        <f t="shared" si="19"/>
        <v>0.6651214556016084</v>
      </c>
      <c r="U42" s="80">
        <f t="shared" si="20"/>
        <v>0</v>
      </c>
      <c r="V42" s="70">
        <f t="shared" si="21"/>
        <v>384340</v>
      </c>
      <c r="W42" s="80">
        <f t="shared" si="22"/>
        <v>0.12126906863424676</v>
      </c>
      <c r="X42" s="70">
        <f t="shared" si="23"/>
        <v>41567.679999999993</v>
      </c>
      <c r="Y42" s="80">
        <f t="shared" si="24"/>
        <v>0.13311123559067189</v>
      </c>
      <c r="Z42" s="70">
        <f t="shared" si="25"/>
        <v>45150</v>
      </c>
      <c r="AA42" s="82"/>
      <c r="AC42" s="79">
        <v>384340</v>
      </c>
      <c r="AD42" s="79">
        <v>339190</v>
      </c>
      <c r="AE42" s="79">
        <v>342772.32</v>
      </c>
      <c r="AF42" s="83">
        <f t="shared" si="26"/>
        <v>0.13311123559067189</v>
      </c>
      <c r="AG42" s="70">
        <f t="shared" si="27"/>
        <v>45150</v>
      </c>
      <c r="AH42" s="83">
        <f t="shared" si="28"/>
        <v>0.12126906863424676</v>
      </c>
      <c r="AI42" s="70">
        <f t="shared" si="29"/>
        <v>41567.679999999993</v>
      </c>
      <c r="AK42" s="79">
        <v>384340</v>
      </c>
      <c r="AL42" s="80">
        <f t="shared" si="30"/>
        <v>0.58728093495907197</v>
      </c>
      <c r="AM42" s="79">
        <v>0</v>
      </c>
      <c r="AN42" s="80">
        <f t="shared" si="31"/>
        <v>0</v>
      </c>
      <c r="AO42" s="79">
        <v>342772.32</v>
      </c>
      <c r="AP42" s="80">
        <f t="shared" si="32"/>
        <v>0.6188114572439346</v>
      </c>
      <c r="AQ42" s="79">
        <v>339190</v>
      </c>
      <c r="AR42" s="81">
        <f t="shared" si="33"/>
        <v>0.6651214556016084</v>
      </c>
      <c r="AS42" s="80">
        <f t="shared" si="34"/>
        <v>0</v>
      </c>
      <c r="AT42" s="70">
        <f t="shared" si="35"/>
        <v>384340</v>
      </c>
      <c r="AU42" s="80">
        <f t="shared" si="36"/>
        <v>0.12126906863424676</v>
      </c>
      <c r="AV42" s="70">
        <f t="shared" si="37"/>
        <v>41567.679999999993</v>
      </c>
      <c r="AW42" s="80">
        <f t="shared" si="38"/>
        <v>0.13311123559067189</v>
      </c>
      <c r="AX42" s="70">
        <f t="shared" si="39"/>
        <v>45150</v>
      </c>
      <c r="AY42" s="82"/>
      <c r="BA42" s="79">
        <v>1415475</v>
      </c>
      <c r="BB42" s="80">
        <f t="shared" si="40"/>
        <v>0.63440105521739654</v>
      </c>
      <c r="BC42" s="79">
        <v>1415475</v>
      </c>
      <c r="BD42" s="80">
        <f t="shared" si="41"/>
        <v>0.63440105521739654</v>
      </c>
      <c r="BE42" s="79">
        <v>0</v>
      </c>
      <c r="BF42" s="81">
        <f t="shared" si="42"/>
        <v>0</v>
      </c>
      <c r="BG42" s="80">
        <f t="shared" si="43"/>
        <v>0</v>
      </c>
      <c r="BH42" s="70">
        <f t="shared" si="44"/>
        <v>0</v>
      </c>
      <c r="BI42" s="80">
        <f t="shared" si="45"/>
        <v>0</v>
      </c>
      <c r="BJ42" s="70">
        <f t="shared" si="46"/>
        <v>1415475</v>
      </c>
      <c r="BK42" s="82"/>
    </row>
    <row r="43" spans="5:63" ht="11.95" thickBot="1" x14ac:dyDescent="0.3">
      <c r="E43" s="3"/>
      <c r="F43" s="3"/>
      <c r="G43" s="3"/>
      <c r="H43" s="3" t="s">
        <v>454</v>
      </c>
      <c r="I43" s="18"/>
      <c r="J43" s="18"/>
      <c r="K43" s="18"/>
      <c r="L43" s="78"/>
      <c r="M43" s="79">
        <v>720</v>
      </c>
      <c r="N43" s="80">
        <f t="shared" si="16"/>
        <v>1.1001776374317837E-3</v>
      </c>
      <c r="O43" s="79"/>
      <c r="P43" s="80">
        <f t="shared" si="17"/>
        <v>0</v>
      </c>
      <c r="Q43" s="79">
        <v>21637.666666666701</v>
      </c>
      <c r="R43" s="80">
        <f t="shared" si="18"/>
        <v>3.9062769249741433E-2</v>
      </c>
      <c r="S43" s="79">
        <v>12402.96</v>
      </c>
      <c r="T43" s="81">
        <f t="shared" si="19"/>
        <v>2.4321102653287314E-2</v>
      </c>
      <c r="U43" s="80">
        <f t="shared" si="20"/>
        <v>0</v>
      </c>
      <c r="V43" s="70">
        <f t="shared" si="21"/>
        <v>720</v>
      </c>
      <c r="W43" s="80">
        <f t="shared" si="22"/>
        <v>-0.96672469305069864</v>
      </c>
      <c r="X43" s="70">
        <f t="shared" si="23"/>
        <v>-20917.666666666701</v>
      </c>
      <c r="Y43" s="80">
        <f t="shared" si="24"/>
        <v>-0.94194934112502171</v>
      </c>
      <c r="Z43" s="70">
        <f t="shared" si="25"/>
        <v>-11682.96</v>
      </c>
      <c r="AA43" s="82"/>
      <c r="AC43" s="79">
        <v>720</v>
      </c>
      <c r="AD43" s="79">
        <v>12402.96</v>
      </c>
      <c r="AE43" s="79">
        <v>21637.666666666701</v>
      </c>
      <c r="AF43" s="83">
        <f t="shared" si="26"/>
        <v>-0.94194934112502171</v>
      </c>
      <c r="AG43" s="70">
        <f t="shared" si="27"/>
        <v>-11682.96</v>
      </c>
      <c r="AH43" s="83">
        <f t="shared" si="28"/>
        <v>-0.96672469305069864</v>
      </c>
      <c r="AI43" s="70">
        <f t="shared" si="29"/>
        <v>-20917.666666666701</v>
      </c>
      <c r="AK43" s="79">
        <v>720</v>
      </c>
      <c r="AL43" s="80">
        <f t="shared" si="30"/>
        <v>1.1001776374317837E-3</v>
      </c>
      <c r="AM43" s="79">
        <v>0</v>
      </c>
      <c r="AN43" s="80">
        <f t="shared" si="31"/>
        <v>0</v>
      </c>
      <c r="AO43" s="79">
        <v>21637.666666666701</v>
      </c>
      <c r="AP43" s="80">
        <f t="shared" si="32"/>
        <v>3.9062769249741433E-2</v>
      </c>
      <c r="AQ43" s="79">
        <v>12402.96</v>
      </c>
      <c r="AR43" s="81">
        <f t="shared" si="33"/>
        <v>2.4321102653287314E-2</v>
      </c>
      <c r="AS43" s="80">
        <f t="shared" si="34"/>
        <v>0</v>
      </c>
      <c r="AT43" s="70">
        <f t="shared" si="35"/>
        <v>720</v>
      </c>
      <c r="AU43" s="80">
        <f t="shared" si="36"/>
        <v>-0.96672469305069864</v>
      </c>
      <c r="AV43" s="70">
        <f t="shared" si="37"/>
        <v>-20917.666666666701</v>
      </c>
      <c r="AW43" s="80">
        <f t="shared" si="38"/>
        <v>-0.94194934112502171</v>
      </c>
      <c r="AX43" s="70">
        <f t="shared" si="39"/>
        <v>-11682.96</v>
      </c>
      <c r="AY43" s="82"/>
      <c r="BA43" s="79">
        <v>86500.000000000102</v>
      </c>
      <c r="BB43" s="80">
        <f t="shared" si="40"/>
        <v>3.8768393137501453E-2</v>
      </c>
      <c r="BC43" s="79">
        <v>86500.000000000102</v>
      </c>
      <c r="BD43" s="80">
        <f t="shared" si="41"/>
        <v>3.8768393137501453E-2</v>
      </c>
      <c r="BE43" s="79">
        <v>0</v>
      </c>
      <c r="BF43" s="81">
        <f t="shared" si="42"/>
        <v>0</v>
      </c>
      <c r="BG43" s="80">
        <f t="shared" si="43"/>
        <v>0</v>
      </c>
      <c r="BH43" s="70">
        <f t="shared" si="44"/>
        <v>0</v>
      </c>
      <c r="BI43" s="80">
        <f t="shared" si="45"/>
        <v>0</v>
      </c>
      <c r="BJ43" s="70">
        <f t="shared" si="46"/>
        <v>86500.000000000102</v>
      </c>
      <c r="BK43" s="82"/>
    </row>
    <row r="44" spans="5:63" ht="11.95" thickBot="1" x14ac:dyDescent="0.3">
      <c r="E44" s="3"/>
      <c r="F44" s="3"/>
      <c r="G44" s="3"/>
      <c r="H44" s="3" t="s">
        <v>455</v>
      </c>
      <c r="I44" s="18"/>
      <c r="J44" s="18"/>
      <c r="K44" s="18"/>
      <c r="L44" s="78"/>
      <c r="M44" s="79"/>
      <c r="N44" s="80">
        <f t="shared" si="16"/>
        <v>0</v>
      </c>
      <c r="O44" s="79"/>
      <c r="P44" s="80">
        <f t="shared" si="17"/>
        <v>0</v>
      </c>
      <c r="Q44" s="79"/>
      <c r="R44" s="80">
        <f t="shared" si="18"/>
        <v>0</v>
      </c>
      <c r="S44" s="79"/>
      <c r="T44" s="81">
        <f t="shared" si="19"/>
        <v>0</v>
      </c>
      <c r="U44" s="80">
        <f t="shared" si="20"/>
        <v>0</v>
      </c>
      <c r="V44" s="70">
        <f t="shared" si="21"/>
        <v>0</v>
      </c>
      <c r="W44" s="80">
        <f t="shared" si="22"/>
        <v>0</v>
      </c>
      <c r="X44" s="70">
        <f t="shared" si="23"/>
        <v>0</v>
      </c>
      <c r="Y44" s="80">
        <f t="shared" si="24"/>
        <v>0</v>
      </c>
      <c r="Z44" s="70">
        <f t="shared" si="25"/>
        <v>0</v>
      </c>
      <c r="AA44" s="82"/>
      <c r="AC44" s="79">
        <v>0</v>
      </c>
      <c r="AD44" s="79">
        <v>0</v>
      </c>
      <c r="AE44" s="79">
        <v>0</v>
      </c>
      <c r="AF44" s="83">
        <f t="shared" si="26"/>
        <v>0</v>
      </c>
      <c r="AG44" s="70">
        <f t="shared" si="27"/>
        <v>0</v>
      </c>
      <c r="AH44" s="83">
        <f t="shared" si="28"/>
        <v>0</v>
      </c>
      <c r="AI44" s="70">
        <f t="shared" si="29"/>
        <v>0</v>
      </c>
      <c r="AK44" s="79">
        <v>0</v>
      </c>
      <c r="AL44" s="80">
        <f t="shared" si="30"/>
        <v>0</v>
      </c>
      <c r="AM44" s="79">
        <v>0</v>
      </c>
      <c r="AN44" s="80">
        <f t="shared" si="31"/>
        <v>0</v>
      </c>
      <c r="AO44" s="79">
        <v>0</v>
      </c>
      <c r="AP44" s="80">
        <f t="shared" si="32"/>
        <v>0</v>
      </c>
      <c r="AQ44" s="79">
        <v>0</v>
      </c>
      <c r="AR44" s="81">
        <f t="shared" si="33"/>
        <v>0</v>
      </c>
      <c r="AS44" s="80">
        <f t="shared" si="34"/>
        <v>0</v>
      </c>
      <c r="AT44" s="70">
        <f t="shared" si="35"/>
        <v>0</v>
      </c>
      <c r="AU44" s="80">
        <f t="shared" si="36"/>
        <v>0</v>
      </c>
      <c r="AV44" s="70">
        <f t="shared" si="37"/>
        <v>0</v>
      </c>
      <c r="AW44" s="80">
        <f t="shared" si="38"/>
        <v>0</v>
      </c>
      <c r="AX44" s="70">
        <f t="shared" si="39"/>
        <v>0</v>
      </c>
      <c r="AY44" s="82"/>
      <c r="BA44" s="79">
        <v>0</v>
      </c>
      <c r="BB44" s="80">
        <f t="shared" si="40"/>
        <v>0</v>
      </c>
      <c r="BC44" s="79">
        <v>0</v>
      </c>
      <c r="BD44" s="80">
        <f t="shared" si="41"/>
        <v>0</v>
      </c>
      <c r="BE44" s="79">
        <v>0</v>
      </c>
      <c r="BF44" s="81">
        <f t="shared" si="42"/>
        <v>0</v>
      </c>
      <c r="BG44" s="80">
        <f t="shared" si="43"/>
        <v>0</v>
      </c>
      <c r="BH44" s="70">
        <f t="shared" si="44"/>
        <v>0</v>
      </c>
      <c r="BI44" s="80">
        <f t="shared" si="45"/>
        <v>0</v>
      </c>
      <c r="BJ44" s="70">
        <f t="shared" si="46"/>
        <v>0</v>
      </c>
      <c r="BK44" s="82"/>
    </row>
    <row r="45" spans="5:63" ht="11.95" thickBot="1" x14ac:dyDescent="0.3">
      <c r="E45" s="3"/>
      <c r="F45" s="3"/>
      <c r="G45" s="3"/>
      <c r="H45" s="3" t="s">
        <v>456</v>
      </c>
      <c r="I45" s="18"/>
      <c r="J45" s="18"/>
      <c r="K45" s="18"/>
      <c r="L45" s="78"/>
      <c r="M45" s="79"/>
      <c r="N45" s="80">
        <f t="shared" si="16"/>
        <v>0</v>
      </c>
      <c r="O45" s="79"/>
      <c r="P45" s="80">
        <f t="shared" si="17"/>
        <v>0</v>
      </c>
      <c r="Q45" s="79"/>
      <c r="R45" s="80">
        <f t="shared" si="18"/>
        <v>0</v>
      </c>
      <c r="S45" s="79"/>
      <c r="T45" s="81">
        <f t="shared" si="19"/>
        <v>0</v>
      </c>
      <c r="U45" s="80">
        <f t="shared" si="20"/>
        <v>0</v>
      </c>
      <c r="V45" s="70">
        <f t="shared" si="21"/>
        <v>0</v>
      </c>
      <c r="W45" s="80">
        <f t="shared" si="22"/>
        <v>0</v>
      </c>
      <c r="X45" s="70">
        <f t="shared" si="23"/>
        <v>0</v>
      </c>
      <c r="Y45" s="80">
        <f t="shared" si="24"/>
        <v>0</v>
      </c>
      <c r="Z45" s="70">
        <f t="shared" si="25"/>
        <v>0</v>
      </c>
      <c r="AA45" s="82"/>
      <c r="AC45" s="79">
        <v>0</v>
      </c>
      <c r="AD45" s="79">
        <v>0</v>
      </c>
      <c r="AE45" s="79">
        <v>0</v>
      </c>
      <c r="AF45" s="83">
        <f t="shared" si="26"/>
        <v>0</v>
      </c>
      <c r="AG45" s="70">
        <f t="shared" si="27"/>
        <v>0</v>
      </c>
      <c r="AH45" s="83">
        <f t="shared" si="28"/>
        <v>0</v>
      </c>
      <c r="AI45" s="70">
        <f t="shared" si="29"/>
        <v>0</v>
      </c>
      <c r="AK45" s="79">
        <v>0</v>
      </c>
      <c r="AL45" s="80">
        <f t="shared" si="30"/>
        <v>0</v>
      </c>
      <c r="AM45" s="79">
        <v>0</v>
      </c>
      <c r="AN45" s="80">
        <f t="shared" si="31"/>
        <v>0</v>
      </c>
      <c r="AO45" s="79">
        <v>0</v>
      </c>
      <c r="AP45" s="80">
        <f t="shared" si="32"/>
        <v>0</v>
      </c>
      <c r="AQ45" s="79">
        <v>0</v>
      </c>
      <c r="AR45" s="81">
        <f t="shared" si="33"/>
        <v>0</v>
      </c>
      <c r="AS45" s="80">
        <f t="shared" si="34"/>
        <v>0</v>
      </c>
      <c r="AT45" s="70">
        <f t="shared" si="35"/>
        <v>0</v>
      </c>
      <c r="AU45" s="80">
        <f t="shared" si="36"/>
        <v>0</v>
      </c>
      <c r="AV45" s="70">
        <f t="shared" si="37"/>
        <v>0</v>
      </c>
      <c r="AW45" s="80">
        <f t="shared" si="38"/>
        <v>0</v>
      </c>
      <c r="AX45" s="70">
        <f t="shared" si="39"/>
        <v>0</v>
      </c>
      <c r="AY45" s="82"/>
      <c r="BA45" s="79">
        <v>0</v>
      </c>
      <c r="BB45" s="80">
        <f t="shared" si="40"/>
        <v>0</v>
      </c>
      <c r="BC45" s="79">
        <v>0</v>
      </c>
      <c r="BD45" s="80">
        <f t="shared" si="41"/>
        <v>0</v>
      </c>
      <c r="BE45" s="79">
        <v>-21</v>
      </c>
      <c r="BF45" s="81">
        <f t="shared" si="42"/>
        <v>-1.045490407812203E-5</v>
      </c>
      <c r="BG45" s="80">
        <f t="shared" si="43"/>
        <v>0</v>
      </c>
      <c r="BH45" s="70">
        <f t="shared" si="44"/>
        <v>0</v>
      </c>
      <c r="BI45" s="80">
        <f t="shared" si="45"/>
        <v>1</v>
      </c>
      <c r="BJ45" s="70">
        <f t="shared" si="46"/>
        <v>21</v>
      </c>
      <c r="BK45" s="82"/>
    </row>
    <row r="46" spans="5:63" ht="11.95" thickBot="1" x14ac:dyDescent="0.3">
      <c r="E46" s="3"/>
      <c r="F46" s="3"/>
      <c r="G46" s="3"/>
      <c r="H46" s="3" t="s">
        <v>457</v>
      </c>
      <c r="I46" s="18"/>
      <c r="J46" s="18"/>
      <c r="K46" s="18"/>
      <c r="L46" s="78"/>
      <c r="M46" s="79"/>
      <c r="N46" s="80">
        <f t="shared" si="16"/>
        <v>0</v>
      </c>
      <c r="O46" s="79"/>
      <c r="P46" s="80">
        <f t="shared" si="17"/>
        <v>0</v>
      </c>
      <c r="Q46" s="79"/>
      <c r="R46" s="80">
        <f t="shared" si="18"/>
        <v>0</v>
      </c>
      <c r="S46" s="79"/>
      <c r="T46" s="81">
        <f t="shared" si="19"/>
        <v>0</v>
      </c>
      <c r="U46" s="80">
        <f t="shared" si="20"/>
        <v>0</v>
      </c>
      <c r="V46" s="70">
        <f t="shared" si="21"/>
        <v>0</v>
      </c>
      <c r="W46" s="80">
        <f t="shared" si="22"/>
        <v>0</v>
      </c>
      <c r="X46" s="70">
        <f t="shared" si="23"/>
        <v>0</v>
      </c>
      <c r="Y46" s="80">
        <f t="shared" si="24"/>
        <v>0</v>
      </c>
      <c r="Z46" s="70">
        <f t="shared" si="25"/>
        <v>0</v>
      </c>
      <c r="AA46" s="82"/>
      <c r="AC46" s="79">
        <v>0</v>
      </c>
      <c r="AD46" s="79">
        <v>0</v>
      </c>
      <c r="AE46" s="79">
        <v>0</v>
      </c>
      <c r="AF46" s="83">
        <f t="shared" si="26"/>
        <v>0</v>
      </c>
      <c r="AG46" s="70">
        <f t="shared" si="27"/>
        <v>0</v>
      </c>
      <c r="AH46" s="83">
        <f t="shared" si="28"/>
        <v>0</v>
      </c>
      <c r="AI46" s="70">
        <f t="shared" si="29"/>
        <v>0</v>
      </c>
      <c r="AK46" s="79">
        <v>0</v>
      </c>
      <c r="AL46" s="80">
        <f t="shared" si="30"/>
        <v>0</v>
      </c>
      <c r="AM46" s="79">
        <v>0</v>
      </c>
      <c r="AN46" s="80">
        <f t="shared" si="31"/>
        <v>0</v>
      </c>
      <c r="AO46" s="79">
        <v>0</v>
      </c>
      <c r="AP46" s="80">
        <f t="shared" si="32"/>
        <v>0</v>
      </c>
      <c r="AQ46" s="79">
        <v>0</v>
      </c>
      <c r="AR46" s="81">
        <f t="shared" si="33"/>
        <v>0</v>
      </c>
      <c r="AS46" s="80">
        <f t="shared" si="34"/>
        <v>0</v>
      </c>
      <c r="AT46" s="70">
        <f t="shared" si="35"/>
        <v>0</v>
      </c>
      <c r="AU46" s="80">
        <f t="shared" si="36"/>
        <v>0</v>
      </c>
      <c r="AV46" s="70">
        <f t="shared" si="37"/>
        <v>0</v>
      </c>
      <c r="AW46" s="80">
        <f t="shared" si="38"/>
        <v>0</v>
      </c>
      <c r="AX46" s="70">
        <f t="shared" si="39"/>
        <v>0</v>
      </c>
      <c r="AY46" s="82"/>
      <c r="BA46" s="79">
        <v>0</v>
      </c>
      <c r="BB46" s="80">
        <f t="shared" si="40"/>
        <v>0</v>
      </c>
      <c r="BC46" s="79">
        <v>0</v>
      </c>
      <c r="BD46" s="80">
        <f t="shared" si="41"/>
        <v>0</v>
      </c>
      <c r="BE46" s="79">
        <v>0</v>
      </c>
      <c r="BF46" s="81">
        <f t="shared" si="42"/>
        <v>0</v>
      </c>
      <c r="BG46" s="80">
        <f t="shared" si="43"/>
        <v>0</v>
      </c>
      <c r="BH46" s="70">
        <f t="shared" si="44"/>
        <v>0</v>
      </c>
      <c r="BI46" s="80">
        <f t="shared" si="45"/>
        <v>0</v>
      </c>
      <c r="BJ46" s="70">
        <f t="shared" si="46"/>
        <v>0</v>
      </c>
      <c r="BK46" s="82"/>
    </row>
    <row r="47" spans="5:63" ht="11.95" thickBot="1" x14ac:dyDescent="0.3">
      <c r="E47" s="3"/>
      <c r="F47" s="3"/>
      <c r="G47" s="3"/>
      <c r="H47" s="3" t="s">
        <v>458</v>
      </c>
      <c r="I47" s="18"/>
      <c r="J47" s="18"/>
      <c r="K47" s="18"/>
      <c r="L47" s="78"/>
      <c r="M47" s="79"/>
      <c r="N47" s="80">
        <f t="shared" si="16"/>
        <v>0</v>
      </c>
      <c r="O47" s="79"/>
      <c r="P47" s="80">
        <f t="shared" si="17"/>
        <v>0</v>
      </c>
      <c r="Q47" s="79"/>
      <c r="R47" s="80">
        <f t="shared" si="18"/>
        <v>0</v>
      </c>
      <c r="S47" s="79"/>
      <c r="T47" s="81">
        <f t="shared" si="19"/>
        <v>0</v>
      </c>
      <c r="U47" s="80">
        <f t="shared" si="20"/>
        <v>0</v>
      </c>
      <c r="V47" s="70">
        <f t="shared" si="21"/>
        <v>0</v>
      </c>
      <c r="W47" s="80">
        <f t="shared" si="22"/>
        <v>0</v>
      </c>
      <c r="X47" s="70">
        <f t="shared" si="23"/>
        <v>0</v>
      </c>
      <c r="Y47" s="80">
        <f t="shared" si="24"/>
        <v>0</v>
      </c>
      <c r="Z47" s="70">
        <f t="shared" si="25"/>
        <v>0</v>
      </c>
      <c r="AA47" s="82"/>
      <c r="AC47" s="79">
        <v>0</v>
      </c>
      <c r="AD47" s="79">
        <v>0</v>
      </c>
      <c r="AE47" s="79">
        <v>0</v>
      </c>
      <c r="AF47" s="83">
        <f t="shared" si="26"/>
        <v>0</v>
      </c>
      <c r="AG47" s="70">
        <f t="shared" si="27"/>
        <v>0</v>
      </c>
      <c r="AH47" s="83">
        <f t="shared" si="28"/>
        <v>0</v>
      </c>
      <c r="AI47" s="70">
        <f t="shared" si="29"/>
        <v>0</v>
      </c>
      <c r="AK47" s="79">
        <v>0</v>
      </c>
      <c r="AL47" s="80">
        <f t="shared" si="30"/>
        <v>0</v>
      </c>
      <c r="AM47" s="79">
        <v>0</v>
      </c>
      <c r="AN47" s="80">
        <f t="shared" si="31"/>
        <v>0</v>
      </c>
      <c r="AO47" s="79">
        <v>0</v>
      </c>
      <c r="AP47" s="80">
        <f t="shared" si="32"/>
        <v>0</v>
      </c>
      <c r="AQ47" s="79">
        <v>0</v>
      </c>
      <c r="AR47" s="81">
        <f t="shared" si="33"/>
        <v>0</v>
      </c>
      <c r="AS47" s="80">
        <f t="shared" si="34"/>
        <v>0</v>
      </c>
      <c r="AT47" s="70">
        <f t="shared" si="35"/>
        <v>0</v>
      </c>
      <c r="AU47" s="80">
        <f t="shared" si="36"/>
        <v>0</v>
      </c>
      <c r="AV47" s="70">
        <f t="shared" si="37"/>
        <v>0</v>
      </c>
      <c r="AW47" s="80">
        <f t="shared" si="38"/>
        <v>0</v>
      </c>
      <c r="AX47" s="70">
        <f t="shared" si="39"/>
        <v>0</v>
      </c>
      <c r="AY47" s="82"/>
      <c r="BA47" s="79">
        <v>0</v>
      </c>
      <c r="BB47" s="80">
        <f t="shared" si="40"/>
        <v>0</v>
      </c>
      <c r="BC47" s="79">
        <v>0</v>
      </c>
      <c r="BD47" s="80">
        <f t="shared" si="41"/>
        <v>0</v>
      </c>
      <c r="BE47" s="79">
        <v>0</v>
      </c>
      <c r="BF47" s="81">
        <f t="shared" si="42"/>
        <v>0</v>
      </c>
      <c r="BG47" s="80">
        <f t="shared" si="43"/>
        <v>0</v>
      </c>
      <c r="BH47" s="70">
        <f t="shared" si="44"/>
        <v>0</v>
      </c>
      <c r="BI47" s="80">
        <f t="shared" si="45"/>
        <v>0</v>
      </c>
      <c r="BJ47" s="70">
        <f t="shared" si="46"/>
        <v>0</v>
      </c>
      <c r="BK47" s="82"/>
    </row>
    <row r="48" spans="5:63" ht="11.95" thickBot="1" x14ac:dyDescent="0.3">
      <c r="E48" s="3"/>
      <c r="F48" s="3"/>
      <c r="G48" s="3"/>
      <c r="H48" s="3" t="s">
        <v>459</v>
      </c>
      <c r="I48" s="18"/>
      <c r="J48" s="18"/>
      <c r="K48" s="18"/>
      <c r="L48" s="78"/>
      <c r="M48" s="79"/>
      <c r="N48" s="80">
        <f t="shared" si="16"/>
        <v>0</v>
      </c>
      <c r="O48" s="79"/>
      <c r="P48" s="80">
        <f t="shared" si="17"/>
        <v>0</v>
      </c>
      <c r="Q48" s="79"/>
      <c r="R48" s="80">
        <f t="shared" si="18"/>
        <v>0</v>
      </c>
      <c r="S48" s="79"/>
      <c r="T48" s="81">
        <f t="shared" si="19"/>
        <v>0</v>
      </c>
      <c r="U48" s="80">
        <f t="shared" si="20"/>
        <v>0</v>
      </c>
      <c r="V48" s="70">
        <f t="shared" si="21"/>
        <v>0</v>
      </c>
      <c r="W48" s="80">
        <f t="shared" si="22"/>
        <v>0</v>
      </c>
      <c r="X48" s="70">
        <f t="shared" si="23"/>
        <v>0</v>
      </c>
      <c r="Y48" s="80">
        <f t="shared" si="24"/>
        <v>0</v>
      </c>
      <c r="Z48" s="70">
        <f t="shared" si="25"/>
        <v>0</v>
      </c>
      <c r="AA48" s="82"/>
      <c r="AC48" s="79">
        <v>0</v>
      </c>
      <c r="AD48" s="79">
        <v>0</v>
      </c>
      <c r="AE48" s="79">
        <v>0</v>
      </c>
      <c r="AF48" s="83">
        <f t="shared" si="26"/>
        <v>0</v>
      </c>
      <c r="AG48" s="70">
        <f t="shared" si="27"/>
        <v>0</v>
      </c>
      <c r="AH48" s="83">
        <f t="shared" si="28"/>
        <v>0</v>
      </c>
      <c r="AI48" s="70">
        <f t="shared" si="29"/>
        <v>0</v>
      </c>
      <c r="AK48" s="79">
        <v>0</v>
      </c>
      <c r="AL48" s="80">
        <f t="shared" si="30"/>
        <v>0</v>
      </c>
      <c r="AM48" s="79">
        <v>0</v>
      </c>
      <c r="AN48" s="80">
        <f t="shared" si="31"/>
        <v>0</v>
      </c>
      <c r="AO48" s="79">
        <v>0</v>
      </c>
      <c r="AP48" s="80">
        <f t="shared" si="32"/>
        <v>0</v>
      </c>
      <c r="AQ48" s="79">
        <v>0</v>
      </c>
      <c r="AR48" s="81">
        <f t="shared" si="33"/>
        <v>0</v>
      </c>
      <c r="AS48" s="80">
        <f t="shared" si="34"/>
        <v>0</v>
      </c>
      <c r="AT48" s="70">
        <f t="shared" si="35"/>
        <v>0</v>
      </c>
      <c r="AU48" s="80">
        <f t="shared" si="36"/>
        <v>0</v>
      </c>
      <c r="AV48" s="70">
        <f t="shared" si="37"/>
        <v>0</v>
      </c>
      <c r="AW48" s="80">
        <f t="shared" si="38"/>
        <v>0</v>
      </c>
      <c r="AX48" s="70">
        <f t="shared" si="39"/>
        <v>0</v>
      </c>
      <c r="AY48" s="82"/>
      <c r="BA48" s="79">
        <v>0</v>
      </c>
      <c r="BB48" s="80">
        <f t="shared" si="40"/>
        <v>0</v>
      </c>
      <c r="BC48" s="79">
        <v>0</v>
      </c>
      <c r="BD48" s="80">
        <f t="shared" si="41"/>
        <v>0</v>
      </c>
      <c r="BE48" s="79">
        <v>0</v>
      </c>
      <c r="BF48" s="81">
        <f t="shared" si="42"/>
        <v>0</v>
      </c>
      <c r="BG48" s="80">
        <f t="shared" si="43"/>
        <v>0</v>
      </c>
      <c r="BH48" s="70">
        <f t="shared" si="44"/>
        <v>0</v>
      </c>
      <c r="BI48" s="80">
        <f t="shared" si="45"/>
        <v>0</v>
      </c>
      <c r="BJ48" s="70">
        <f t="shared" si="46"/>
        <v>0</v>
      </c>
      <c r="BK48" s="82"/>
    </row>
    <row r="49" spans="2:63" ht="11.95" thickBot="1" x14ac:dyDescent="0.3">
      <c r="E49" s="3"/>
      <c r="F49" s="3"/>
      <c r="G49" s="3"/>
      <c r="H49" s="3" t="s">
        <v>460</v>
      </c>
      <c r="I49" s="18"/>
      <c r="J49" s="18"/>
      <c r="K49" s="18"/>
      <c r="L49" s="78"/>
      <c r="M49" s="79"/>
      <c r="N49" s="80">
        <f t="shared" si="16"/>
        <v>0</v>
      </c>
      <c r="O49" s="79"/>
      <c r="P49" s="80">
        <f t="shared" si="17"/>
        <v>0</v>
      </c>
      <c r="Q49" s="79"/>
      <c r="R49" s="80">
        <f t="shared" si="18"/>
        <v>0</v>
      </c>
      <c r="S49" s="79"/>
      <c r="T49" s="81">
        <f t="shared" si="19"/>
        <v>0</v>
      </c>
      <c r="U49" s="80">
        <f t="shared" si="20"/>
        <v>0</v>
      </c>
      <c r="V49" s="70">
        <f t="shared" si="21"/>
        <v>0</v>
      </c>
      <c r="W49" s="80">
        <f t="shared" si="22"/>
        <v>0</v>
      </c>
      <c r="X49" s="70">
        <f t="shared" si="23"/>
        <v>0</v>
      </c>
      <c r="Y49" s="80">
        <f t="shared" si="24"/>
        <v>0</v>
      </c>
      <c r="Z49" s="70">
        <f t="shared" si="25"/>
        <v>0</v>
      </c>
      <c r="AA49" s="82"/>
      <c r="AC49" s="79">
        <v>0</v>
      </c>
      <c r="AD49" s="79">
        <v>0</v>
      </c>
      <c r="AE49" s="79">
        <v>0</v>
      </c>
      <c r="AF49" s="83">
        <f t="shared" si="26"/>
        <v>0</v>
      </c>
      <c r="AG49" s="70">
        <f t="shared" si="27"/>
        <v>0</v>
      </c>
      <c r="AH49" s="83">
        <f t="shared" si="28"/>
        <v>0</v>
      </c>
      <c r="AI49" s="70">
        <f t="shared" si="29"/>
        <v>0</v>
      </c>
      <c r="AK49" s="79">
        <v>0</v>
      </c>
      <c r="AL49" s="80">
        <f t="shared" si="30"/>
        <v>0</v>
      </c>
      <c r="AM49" s="79">
        <v>0</v>
      </c>
      <c r="AN49" s="80">
        <f t="shared" si="31"/>
        <v>0</v>
      </c>
      <c r="AO49" s="79">
        <v>0</v>
      </c>
      <c r="AP49" s="80">
        <f t="shared" si="32"/>
        <v>0</v>
      </c>
      <c r="AQ49" s="79">
        <v>0</v>
      </c>
      <c r="AR49" s="81">
        <f t="shared" si="33"/>
        <v>0</v>
      </c>
      <c r="AS49" s="80">
        <f t="shared" si="34"/>
        <v>0</v>
      </c>
      <c r="AT49" s="70">
        <f t="shared" si="35"/>
        <v>0</v>
      </c>
      <c r="AU49" s="80">
        <f t="shared" si="36"/>
        <v>0</v>
      </c>
      <c r="AV49" s="70">
        <f t="shared" si="37"/>
        <v>0</v>
      </c>
      <c r="AW49" s="80">
        <f t="shared" si="38"/>
        <v>0</v>
      </c>
      <c r="AX49" s="70">
        <f t="shared" si="39"/>
        <v>0</v>
      </c>
      <c r="AY49" s="82"/>
      <c r="BA49" s="79">
        <v>0</v>
      </c>
      <c r="BB49" s="80">
        <f t="shared" si="40"/>
        <v>0</v>
      </c>
      <c r="BC49" s="79">
        <v>0</v>
      </c>
      <c r="BD49" s="80">
        <f t="shared" si="41"/>
        <v>0</v>
      </c>
      <c r="BE49" s="79">
        <v>0</v>
      </c>
      <c r="BF49" s="81">
        <f t="shared" si="42"/>
        <v>0</v>
      </c>
      <c r="BG49" s="80">
        <f t="shared" si="43"/>
        <v>0</v>
      </c>
      <c r="BH49" s="70">
        <f t="shared" si="44"/>
        <v>0</v>
      </c>
      <c r="BI49" s="80">
        <f t="shared" si="45"/>
        <v>0</v>
      </c>
      <c r="BJ49" s="70">
        <f t="shared" si="46"/>
        <v>0</v>
      </c>
      <c r="BK49" s="82"/>
    </row>
    <row r="50" spans="2:63" ht="11.95" thickBot="1" x14ac:dyDescent="0.3">
      <c r="E50" s="3"/>
      <c r="F50" s="3"/>
      <c r="G50" s="3"/>
      <c r="H50" s="3" t="s">
        <v>461</v>
      </c>
      <c r="I50" s="18"/>
      <c r="J50" s="18"/>
      <c r="K50" s="18"/>
      <c r="L50" s="78"/>
      <c r="M50" s="79"/>
      <c r="N50" s="80">
        <f t="shared" si="16"/>
        <v>0</v>
      </c>
      <c r="O50" s="79"/>
      <c r="P50" s="80">
        <f t="shared" si="17"/>
        <v>0</v>
      </c>
      <c r="Q50" s="79"/>
      <c r="R50" s="80">
        <f t="shared" si="18"/>
        <v>0</v>
      </c>
      <c r="S50" s="79"/>
      <c r="T50" s="81">
        <f t="shared" si="19"/>
        <v>0</v>
      </c>
      <c r="U50" s="80">
        <f t="shared" si="20"/>
        <v>0</v>
      </c>
      <c r="V50" s="70">
        <f t="shared" si="21"/>
        <v>0</v>
      </c>
      <c r="W50" s="80">
        <f t="shared" si="22"/>
        <v>0</v>
      </c>
      <c r="X50" s="70">
        <f t="shared" si="23"/>
        <v>0</v>
      </c>
      <c r="Y50" s="80">
        <f t="shared" si="24"/>
        <v>0</v>
      </c>
      <c r="Z50" s="70">
        <f t="shared" si="25"/>
        <v>0</v>
      </c>
      <c r="AA50" s="82"/>
      <c r="AC50" s="79">
        <v>0</v>
      </c>
      <c r="AD50" s="79">
        <v>0</v>
      </c>
      <c r="AE50" s="79">
        <v>0</v>
      </c>
      <c r="AF50" s="83">
        <f t="shared" si="26"/>
        <v>0</v>
      </c>
      <c r="AG50" s="70">
        <f t="shared" si="27"/>
        <v>0</v>
      </c>
      <c r="AH50" s="83">
        <f t="shared" si="28"/>
        <v>0</v>
      </c>
      <c r="AI50" s="70">
        <f t="shared" si="29"/>
        <v>0</v>
      </c>
      <c r="AK50" s="79">
        <v>0</v>
      </c>
      <c r="AL50" s="80">
        <f t="shared" si="30"/>
        <v>0</v>
      </c>
      <c r="AM50" s="79">
        <v>0</v>
      </c>
      <c r="AN50" s="80">
        <f t="shared" si="31"/>
        <v>0</v>
      </c>
      <c r="AO50" s="79">
        <v>0</v>
      </c>
      <c r="AP50" s="80">
        <f t="shared" si="32"/>
        <v>0</v>
      </c>
      <c r="AQ50" s="79">
        <v>0</v>
      </c>
      <c r="AR50" s="81">
        <f t="shared" si="33"/>
        <v>0</v>
      </c>
      <c r="AS50" s="80">
        <f t="shared" si="34"/>
        <v>0</v>
      </c>
      <c r="AT50" s="70">
        <f t="shared" si="35"/>
        <v>0</v>
      </c>
      <c r="AU50" s="80">
        <f t="shared" si="36"/>
        <v>0</v>
      </c>
      <c r="AV50" s="70">
        <f t="shared" si="37"/>
        <v>0</v>
      </c>
      <c r="AW50" s="80">
        <f t="shared" si="38"/>
        <v>0</v>
      </c>
      <c r="AX50" s="70">
        <f t="shared" si="39"/>
        <v>0</v>
      </c>
      <c r="AY50" s="82"/>
      <c r="BA50" s="79">
        <v>0</v>
      </c>
      <c r="BB50" s="80">
        <f t="shared" si="40"/>
        <v>0</v>
      </c>
      <c r="BC50" s="79">
        <v>0</v>
      </c>
      <c r="BD50" s="80">
        <f t="shared" si="41"/>
        <v>0</v>
      </c>
      <c r="BE50" s="79">
        <v>0</v>
      </c>
      <c r="BF50" s="81">
        <f t="shared" si="42"/>
        <v>0</v>
      </c>
      <c r="BG50" s="80">
        <f t="shared" si="43"/>
        <v>0</v>
      </c>
      <c r="BH50" s="70">
        <f t="shared" si="44"/>
        <v>0</v>
      </c>
      <c r="BI50" s="80">
        <f t="shared" si="45"/>
        <v>0</v>
      </c>
      <c r="BJ50" s="70">
        <f t="shared" si="46"/>
        <v>0</v>
      </c>
      <c r="BK50" s="82"/>
    </row>
    <row r="51" spans="2:63" ht="11.95" thickBot="1" x14ac:dyDescent="0.3">
      <c r="E51" s="3"/>
      <c r="F51" s="3"/>
      <c r="G51" s="3"/>
      <c r="H51" s="3" t="s">
        <v>462</v>
      </c>
      <c r="I51" s="18"/>
      <c r="J51" s="18"/>
      <c r="K51" s="18"/>
      <c r="L51" s="78"/>
      <c r="M51" s="79"/>
      <c r="N51" s="80">
        <f t="shared" si="16"/>
        <v>0</v>
      </c>
      <c r="O51" s="79"/>
      <c r="P51" s="80">
        <f t="shared" si="17"/>
        <v>0</v>
      </c>
      <c r="Q51" s="79"/>
      <c r="R51" s="80">
        <f t="shared" si="18"/>
        <v>0</v>
      </c>
      <c r="S51" s="79"/>
      <c r="T51" s="81">
        <f t="shared" si="19"/>
        <v>0</v>
      </c>
      <c r="U51" s="80">
        <f t="shared" si="20"/>
        <v>0</v>
      </c>
      <c r="V51" s="70">
        <f t="shared" si="21"/>
        <v>0</v>
      </c>
      <c r="W51" s="80">
        <f t="shared" si="22"/>
        <v>0</v>
      </c>
      <c r="X51" s="70">
        <f t="shared" si="23"/>
        <v>0</v>
      </c>
      <c r="Y51" s="80">
        <f t="shared" si="24"/>
        <v>0</v>
      </c>
      <c r="Z51" s="70">
        <f t="shared" si="25"/>
        <v>0</v>
      </c>
      <c r="AA51" s="82"/>
      <c r="AC51" s="79">
        <v>0</v>
      </c>
      <c r="AD51" s="79">
        <v>0</v>
      </c>
      <c r="AE51" s="79">
        <v>0</v>
      </c>
      <c r="AF51" s="83">
        <f t="shared" si="26"/>
        <v>0</v>
      </c>
      <c r="AG51" s="70">
        <f t="shared" si="27"/>
        <v>0</v>
      </c>
      <c r="AH51" s="83">
        <f t="shared" si="28"/>
        <v>0</v>
      </c>
      <c r="AI51" s="70">
        <f t="shared" si="29"/>
        <v>0</v>
      </c>
      <c r="AK51" s="79">
        <v>0</v>
      </c>
      <c r="AL51" s="80">
        <f t="shared" si="30"/>
        <v>0</v>
      </c>
      <c r="AM51" s="79">
        <v>0</v>
      </c>
      <c r="AN51" s="80">
        <f t="shared" si="31"/>
        <v>0</v>
      </c>
      <c r="AO51" s="79">
        <v>0</v>
      </c>
      <c r="AP51" s="80">
        <f t="shared" si="32"/>
        <v>0</v>
      </c>
      <c r="AQ51" s="79">
        <v>0</v>
      </c>
      <c r="AR51" s="81">
        <f t="shared" si="33"/>
        <v>0</v>
      </c>
      <c r="AS51" s="80">
        <f t="shared" si="34"/>
        <v>0</v>
      </c>
      <c r="AT51" s="70">
        <f t="shared" si="35"/>
        <v>0</v>
      </c>
      <c r="AU51" s="80">
        <f t="shared" si="36"/>
        <v>0</v>
      </c>
      <c r="AV51" s="70">
        <f t="shared" si="37"/>
        <v>0</v>
      </c>
      <c r="AW51" s="80">
        <f t="shared" si="38"/>
        <v>0</v>
      </c>
      <c r="AX51" s="70">
        <f t="shared" si="39"/>
        <v>0</v>
      </c>
      <c r="AY51" s="82"/>
      <c r="BA51" s="79">
        <v>0</v>
      </c>
      <c r="BB51" s="80">
        <f t="shared" si="40"/>
        <v>0</v>
      </c>
      <c r="BC51" s="79">
        <v>0</v>
      </c>
      <c r="BD51" s="80">
        <f t="shared" si="41"/>
        <v>0</v>
      </c>
      <c r="BE51" s="79">
        <v>0</v>
      </c>
      <c r="BF51" s="81">
        <f t="shared" si="42"/>
        <v>0</v>
      </c>
      <c r="BG51" s="80">
        <f t="shared" si="43"/>
        <v>0</v>
      </c>
      <c r="BH51" s="70">
        <f t="shared" si="44"/>
        <v>0</v>
      </c>
      <c r="BI51" s="80">
        <f t="shared" si="45"/>
        <v>0</v>
      </c>
      <c r="BJ51" s="70">
        <f t="shared" si="46"/>
        <v>0</v>
      </c>
      <c r="BK51" s="82"/>
    </row>
    <row r="52" spans="2:63" ht="11.95" thickBot="1" x14ac:dyDescent="0.3">
      <c r="E52" s="3"/>
      <c r="F52" s="3"/>
      <c r="G52" s="3"/>
      <c r="H52" s="3" t="s">
        <v>463</v>
      </c>
      <c r="I52" s="18"/>
      <c r="J52" s="18"/>
      <c r="K52" s="18"/>
      <c r="L52" s="78"/>
      <c r="M52" s="79"/>
      <c r="N52" s="80">
        <f t="shared" si="16"/>
        <v>0</v>
      </c>
      <c r="O52" s="79"/>
      <c r="P52" s="80">
        <f t="shared" si="17"/>
        <v>0</v>
      </c>
      <c r="Q52" s="79"/>
      <c r="R52" s="80">
        <f t="shared" si="18"/>
        <v>0</v>
      </c>
      <c r="S52" s="79"/>
      <c r="T52" s="81">
        <f t="shared" si="19"/>
        <v>0</v>
      </c>
      <c r="U52" s="80">
        <f t="shared" si="20"/>
        <v>0</v>
      </c>
      <c r="V52" s="70">
        <f t="shared" si="21"/>
        <v>0</v>
      </c>
      <c r="W52" s="80">
        <f t="shared" si="22"/>
        <v>0</v>
      </c>
      <c r="X52" s="70">
        <f t="shared" si="23"/>
        <v>0</v>
      </c>
      <c r="Y52" s="80">
        <f t="shared" si="24"/>
        <v>0</v>
      </c>
      <c r="Z52" s="70">
        <f t="shared" si="25"/>
        <v>0</v>
      </c>
      <c r="AA52" s="82"/>
      <c r="AC52" s="79">
        <v>0</v>
      </c>
      <c r="AD52" s="79">
        <v>0</v>
      </c>
      <c r="AE52" s="79">
        <v>0</v>
      </c>
      <c r="AF52" s="83">
        <f t="shared" si="26"/>
        <v>0</v>
      </c>
      <c r="AG52" s="70">
        <f t="shared" si="27"/>
        <v>0</v>
      </c>
      <c r="AH52" s="83">
        <f t="shared" si="28"/>
        <v>0</v>
      </c>
      <c r="AI52" s="70">
        <f t="shared" si="29"/>
        <v>0</v>
      </c>
      <c r="AK52" s="79">
        <v>0</v>
      </c>
      <c r="AL52" s="80">
        <f t="shared" si="30"/>
        <v>0</v>
      </c>
      <c r="AM52" s="79">
        <v>0</v>
      </c>
      <c r="AN52" s="80">
        <f t="shared" si="31"/>
        <v>0</v>
      </c>
      <c r="AO52" s="79">
        <v>0</v>
      </c>
      <c r="AP52" s="80">
        <f t="shared" si="32"/>
        <v>0</v>
      </c>
      <c r="AQ52" s="79">
        <v>0</v>
      </c>
      <c r="AR52" s="81">
        <f t="shared" si="33"/>
        <v>0</v>
      </c>
      <c r="AS52" s="80">
        <f t="shared" si="34"/>
        <v>0</v>
      </c>
      <c r="AT52" s="70">
        <f t="shared" si="35"/>
        <v>0</v>
      </c>
      <c r="AU52" s="80">
        <f t="shared" si="36"/>
        <v>0</v>
      </c>
      <c r="AV52" s="70">
        <f t="shared" si="37"/>
        <v>0</v>
      </c>
      <c r="AW52" s="80">
        <f t="shared" si="38"/>
        <v>0</v>
      </c>
      <c r="AX52" s="70">
        <f t="shared" si="39"/>
        <v>0</v>
      </c>
      <c r="AY52" s="82"/>
      <c r="BA52" s="79">
        <v>0</v>
      </c>
      <c r="BB52" s="80">
        <f t="shared" si="40"/>
        <v>0</v>
      </c>
      <c r="BC52" s="79">
        <v>0</v>
      </c>
      <c r="BD52" s="80">
        <f t="shared" si="41"/>
        <v>0</v>
      </c>
      <c r="BE52" s="79">
        <v>0</v>
      </c>
      <c r="BF52" s="81">
        <f t="shared" si="42"/>
        <v>0</v>
      </c>
      <c r="BG52" s="80">
        <f t="shared" si="43"/>
        <v>0</v>
      </c>
      <c r="BH52" s="70">
        <f t="shared" si="44"/>
        <v>0</v>
      </c>
      <c r="BI52" s="80">
        <f t="shared" si="45"/>
        <v>0</v>
      </c>
      <c r="BJ52" s="70">
        <f t="shared" si="46"/>
        <v>0</v>
      </c>
      <c r="BK52" s="82"/>
    </row>
    <row r="53" spans="2:63" ht="11.95" thickBot="1" x14ac:dyDescent="0.3">
      <c r="E53" s="3"/>
      <c r="F53" s="3"/>
      <c r="G53" s="3"/>
      <c r="H53" s="3" t="s">
        <v>464</v>
      </c>
      <c r="I53" s="18"/>
      <c r="J53" s="18"/>
      <c r="K53" s="18"/>
      <c r="L53" s="78"/>
      <c r="M53" s="79"/>
      <c r="N53" s="80">
        <f t="shared" si="16"/>
        <v>0</v>
      </c>
      <c r="O53" s="79"/>
      <c r="P53" s="80">
        <f t="shared" si="17"/>
        <v>0</v>
      </c>
      <c r="Q53" s="79"/>
      <c r="R53" s="80">
        <f t="shared" si="18"/>
        <v>0</v>
      </c>
      <c r="S53" s="79"/>
      <c r="T53" s="81">
        <f t="shared" si="19"/>
        <v>0</v>
      </c>
      <c r="U53" s="80">
        <f t="shared" si="20"/>
        <v>0</v>
      </c>
      <c r="V53" s="70">
        <f t="shared" si="21"/>
        <v>0</v>
      </c>
      <c r="W53" s="80">
        <f t="shared" si="22"/>
        <v>0</v>
      </c>
      <c r="X53" s="70">
        <f t="shared" si="23"/>
        <v>0</v>
      </c>
      <c r="Y53" s="80">
        <f t="shared" si="24"/>
        <v>0</v>
      </c>
      <c r="Z53" s="70">
        <f t="shared" si="25"/>
        <v>0</v>
      </c>
      <c r="AA53" s="82"/>
      <c r="AC53" s="79">
        <v>0</v>
      </c>
      <c r="AD53" s="79">
        <v>0</v>
      </c>
      <c r="AE53" s="79">
        <v>0</v>
      </c>
      <c r="AF53" s="83">
        <f t="shared" si="26"/>
        <v>0</v>
      </c>
      <c r="AG53" s="70">
        <f t="shared" si="27"/>
        <v>0</v>
      </c>
      <c r="AH53" s="83">
        <f t="shared" si="28"/>
        <v>0</v>
      </c>
      <c r="AI53" s="70">
        <f t="shared" si="29"/>
        <v>0</v>
      </c>
      <c r="AK53" s="79">
        <v>0</v>
      </c>
      <c r="AL53" s="80">
        <f t="shared" si="30"/>
        <v>0</v>
      </c>
      <c r="AM53" s="79">
        <v>0</v>
      </c>
      <c r="AN53" s="80">
        <f t="shared" si="31"/>
        <v>0</v>
      </c>
      <c r="AO53" s="79">
        <v>0</v>
      </c>
      <c r="AP53" s="80">
        <f t="shared" si="32"/>
        <v>0</v>
      </c>
      <c r="AQ53" s="79">
        <v>0</v>
      </c>
      <c r="AR53" s="81">
        <f t="shared" si="33"/>
        <v>0</v>
      </c>
      <c r="AS53" s="80">
        <f t="shared" si="34"/>
        <v>0</v>
      </c>
      <c r="AT53" s="70">
        <f t="shared" si="35"/>
        <v>0</v>
      </c>
      <c r="AU53" s="80">
        <f t="shared" si="36"/>
        <v>0</v>
      </c>
      <c r="AV53" s="70">
        <f t="shared" si="37"/>
        <v>0</v>
      </c>
      <c r="AW53" s="80">
        <f t="shared" si="38"/>
        <v>0</v>
      </c>
      <c r="AX53" s="70">
        <f t="shared" si="39"/>
        <v>0</v>
      </c>
      <c r="AY53" s="82"/>
      <c r="BA53" s="79">
        <v>0</v>
      </c>
      <c r="BB53" s="80">
        <f t="shared" si="40"/>
        <v>0</v>
      </c>
      <c r="BC53" s="79">
        <v>0</v>
      </c>
      <c r="BD53" s="80">
        <f t="shared" si="41"/>
        <v>0</v>
      </c>
      <c r="BE53" s="79">
        <v>0</v>
      </c>
      <c r="BF53" s="81">
        <f t="shared" si="42"/>
        <v>0</v>
      </c>
      <c r="BG53" s="80">
        <f t="shared" si="43"/>
        <v>0</v>
      </c>
      <c r="BH53" s="70">
        <f t="shared" si="44"/>
        <v>0</v>
      </c>
      <c r="BI53" s="80">
        <f t="shared" si="45"/>
        <v>0</v>
      </c>
      <c r="BJ53" s="70">
        <f t="shared" si="46"/>
        <v>0</v>
      </c>
      <c r="BK53" s="82"/>
    </row>
    <row r="54" spans="2:63" ht="11.95" thickBot="1" x14ac:dyDescent="0.3">
      <c r="E54" s="3"/>
      <c r="F54" s="3"/>
      <c r="G54" s="3"/>
      <c r="H54" s="3" t="s">
        <v>465</v>
      </c>
      <c r="I54" s="18"/>
      <c r="J54" s="18"/>
      <c r="K54" s="18"/>
      <c r="L54" s="78"/>
      <c r="M54" s="79"/>
      <c r="N54" s="80">
        <f t="shared" si="16"/>
        <v>0</v>
      </c>
      <c r="O54" s="79"/>
      <c r="P54" s="80">
        <f t="shared" si="17"/>
        <v>0</v>
      </c>
      <c r="Q54" s="79"/>
      <c r="R54" s="80">
        <f t="shared" si="18"/>
        <v>0</v>
      </c>
      <c r="S54" s="79"/>
      <c r="T54" s="81">
        <f t="shared" si="19"/>
        <v>0</v>
      </c>
      <c r="U54" s="80">
        <f t="shared" si="20"/>
        <v>0</v>
      </c>
      <c r="V54" s="70">
        <f t="shared" si="21"/>
        <v>0</v>
      </c>
      <c r="W54" s="80">
        <f t="shared" si="22"/>
        <v>0</v>
      </c>
      <c r="X54" s="70">
        <f t="shared" si="23"/>
        <v>0</v>
      </c>
      <c r="Y54" s="80">
        <f t="shared" si="24"/>
        <v>0</v>
      </c>
      <c r="Z54" s="70">
        <f t="shared" si="25"/>
        <v>0</v>
      </c>
      <c r="AA54" s="82"/>
      <c r="AC54" s="79">
        <v>0</v>
      </c>
      <c r="AD54" s="79">
        <v>0</v>
      </c>
      <c r="AE54" s="79">
        <v>0</v>
      </c>
      <c r="AF54" s="83">
        <f t="shared" si="26"/>
        <v>0</v>
      </c>
      <c r="AG54" s="70">
        <f t="shared" si="27"/>
        <v>0</v>
      </c>
      <c r="AH54" s="83">
        <f t="shared" si="28"/>
        <v>0</v>
      </c>
      <c r="AI54" s="70">
        <f t="shared" si="29"/>
        <v>0</v>
      </c>
      <c r="AK54" s="79">
        <v>0</v>
      </c>
      <c r="AL54" s="80">
        <f t="shared" si="30"/>
        <v>0</v>
      </c>
      <c r="AM54" s="79">
        <v>0</v>
      </c>
      <c r="AN54" s="80">
        <f t="shared" si="31"/>
        <v>0</v>
      </c>
      <c r="AO54" s="79">
        <v>0</v>
      </c>
      <c r="AP54" s="80">
        <f t="shared" si="32"/>
        <v>0</v>
      </c>
      <c r="AQ54" s="79">
        <v>0</v>
      </c>
      <c r="AR54" s="81">
        <f t="shared" si="33"/>
        <v>0</v>
      </c>
      <c r="AS54" s="80">
        <f t="shared" si="34"/>
        <v>0</v>
      </c>
      <c r="AT54" s="70">
        <f t="shared" si="35"/>
        <v>0</v>
      </c>
      <c r="AU54" s="80">
        <f t="shared" si="36"/>
        <v>0</v>
      </c>
      <c r="AV54" s="70">
        <f t="shared" si="37"/>
        <v>0</v>
      </c>
      <c r="AW54" s="80">
        <f t="shared" si="38"/>
        <v>0</v>
      </c>
      <c r="AX54" s="70">
        <f t="shared" si="39"/>
        <v>0</v>
      </c>
      <c r="AY54" s="82"/>
      <c r="BA54" s="79">
        <v>0</v>
      </c>
      <c r="BB54" s="80">
        <f t="shared" si="40"/>
        <v>0</v>
      </c>
      <c r="BC54" s="79">
        <v>0</v>
      </c>
      <c r="BD54" s="80">
        <f t="shared" si="41"/>
        <v>0</v>
      </c>
      <c r="BE54" s="79">
        <v>0</v>
      </c>
      <c r="BF54" s="81">
        <f t="shared" si="42"/>
        <v>0</v>
      </c>
      <c r="BG54" s="80">
        <f t="shared" si="43"/>
        <v>0</v>
      </c>
      <c r="BH54" s="70">
        <f t="shared" si="44"/>
        <v>0</v>
      </c>
      <c r="BI54" s="80">
        <f t="shared" si="45"/>
        <v>0</v>
      </c>
      <c r="BJ54" s="70">
        <f t="shared" si="46"/>
        <v>0</v>
      </c>
      <c r="BK54" s="82"/>
    </row>
    <row r="55" spans="2:63" ht="11.95" thickBot="1" x14ac:dyDescent="0.3">
      <c r="E55" s="3"/>
      <c r="F55" s="3"/>
      <c r="G55" s="3"/>
      <c r="H55" s="3" t="s">
        <v>466</v>
      </c>
      <c r="I55" s="18"/>
      <c r="J55" s="18"/>
      <c r="K55" s="18"/>
      <c r="L55" s="78"/>
      <c r="M55" s="79"/>
      <c r="N55" s="80">
        <f t="shared" si="16"/>
        <v>0</v>
      </c>
      <c r="O55" s="79"/>
      <c r="P55" s="80">
        <f t="shared" si="17"/>
        <v>0</v>
      </c>
      <c r="Q55" s="79"/>
      <c r="R55" s="80">
        <f t="shared" si="18"/>
        <v>0</v>
      </c>
      <c r="S55" s="79"/>
      <c r="T55" s="81">
        <f t="shared" si="19"/>
        <v>0</v>
      </c>
      <c r="U55" s="80">
        <f t="shared" si="20"/>
        <v>0</v>
      </c>
      <c r="V55" s="70">
        <f t="shared" si="21"/>
        <v>0</v>
      </c>
      <c r="W55" s="80">
        <f t="shared" si="22"/>
        <v>0</v>
      </c>
      <c r="X55" s="70">
        <f t="shared" si="23"/>
        <v>0</v>
      </c>
      <c r="Y55" s="80">
        <f t="shared" si="24"/>
        <v>0</v>
      </c>
      <c r="Z55" s="70">
        <f t="shared" si="25"/>
        <v>0</v>
      </c>
      <c r="AA55" s="82"/>
      <c r="AC55" s="79">
        <v>0</v>
      </c>
      <c r="AD55" s="79">
        <v>0</v>
      </c>
      <c r="AE55" s="79">
        <v>0</v>
      </c>
      <c r="AF55" s="83">
        <f t="shared" si="26"/>
        <v>0</v>
      </c>
      <c r="AG55" s="70">
        <f t="shared" si="27"/>
        <v>0</v>
      </c>
      <c r="AH55" s="83">
        <f t="shared" si="28"/>
        <v>0</v>
      </c>
      <c r="AI55" s="70">
        <f t="shared" si="29"/>
        <v>0</v>
      </c>
      <c r="AK55" s="79">
        <v>0</v>
      </c>
      <c r="AL55" s="80">
        <f t="shared" si="30"/>
        <v>0</v>
      </c>
      <c r="AM55" s="79">
        <v>0</v>
      </c>
      <c r="AN55" s="80">
        <f t="shared" si="31"/>
        <v>0</v>
      </c>
      <c r="AO55" s="79">
        <v>0</v>
      </c>
      <c r="AP55" s="80">
        <f t="shared" si="32"/>
        <v>0</v>
      </c>
      <c r="AQ55" s="79">
        <v>0</v>
      </c>
      <c r="AR55" s="81">
        <f t="shared" si="33"/>
        <v>0</v>
      </c>
      <c r="AS55" s="80">
        <f t="shared" si="34"/>
        <v>0</v>
      </c>
      <c r="AT55" s="70">
        <f t="shared" si="35"/>
        <v>0</v>
      </c>
      <c r="AU55" s="80">
        <f t="shared" si="36"/>
        <v>0</v>
      </c>
      <c r="AV55" s="70">
        <f t="shared" si="37"/>
        <v>0</v>
      </c>
      <c r="AW55" s="80">
        <f t="shared" si="38"/>
        <v>0</v>
      </c>
      <c r="AX55" s="70">
        <f t="shared" si="39"/>
        <v>0</v>
      </c>
      <c r="AY55" s="82"/>
      <c r="BA55" s="79">
        <v>0</v>
      </c>
      <c r="BB55" s="80">
        <f t="shared" si="40"/>
        <v>0</v>
      </c>
      <c r="BC55" s="79">
        <v>0</v>
      </c>
      <c r="BD55" s="80">
        <f t="shared" si="41"/>
        <v>0</v>
      </c>
      <c r="BE55" s="79">
        <v>0</v>
      </c>
      <c r="BF55" s="81">
        <f t="shared" si="42"/>
        <v>0</v>
      </c>
      <c r="BG55" s="80">
        <f t="shared" si="43"/>
        <v>0</v>
      </c>
      <c r="BH55" s="70">
        <f t="shared" si="44"/>
        <v>0</v>
      </c>
      <c r="BI55" s="80">
        <f t="shared" si="45"/>
        <v>0</v>
      </c>
      <c r="BJ55" s="70">
        <f t="shared" si="46"/>
        <v>0</v>
      </c>
      <c r="BK55" s="82"/>
    </row>
    <row r="56" spans="2:63" ht="11.95" thickBot="1" x14ac:dyDescent="0.3">
      <c r="E56" s="3"/>
      <c r="F56" s="3"/>
      <c r="G56" s="3"/>
      <c r="H56" s="3" t="s">
        <v>467</v>
      </c>
      <c r="I56" s="18"/>
      <c r="J56" s="18"/>
      <c r="K56" s="18"/>
      <c r="L56" s="78"/>
      <c r="M56" s="79">
        <v>0</v>
      </c>
      <c r="N56" s="80">
        <f t="shared" si="16"/>
        <v>0</v>
      </c>
      <c r="O56" s="79">
        <v>0</v>
      </c>
      <c r="P56" s="80">
        <f t="shared" si="17"/>
        <v>0</v>
      </c>
      <c r="Q56" s="79">
        <v>0</v>
      </c>
      <c r="R56" s="80">
        <f t="shared" si="18"/>
        <v>0</v>
      </c>
      <c r="S56" s="79">
        <v>0</v>
      </c>
      <c r="T56" s="81">
        <f t="shared" si="19"/>
        <v>0</v>
      </c>
      <c r="U56" s="80">
        <f t="shared" si="20"/>
        <v>0</v>
      </c>
      <c r="V56" s="70">
        <f t="shared" si="21"/>
        <v>0</v>
      </c>
      <c r="W56" s="80">
        <f t="shared" si="22"/>
        <v>0</v>
      </c>
      <c r="X56" s="70">
        <f t="shared" si="23"/>
        <v>0</v>
      </c>
      <c r="Y56" s="80">
        <f t="shared" si="24"/>
        <v>0</v>
      </c>
      <c r="Z56" s="70">
        <f t="shared" si="25"/>
        <v>0</v>
      </c>
      <c r="AA56" s="82"/>
      <c r="AC56" s="79">
        <v>0</v>
      </c>
      <c r="AD56" s="79">
        <v>0</v>
      </c>
      <c r="AE56" s="79">
        <v>0</v>
      </c>
      <c r="AF56" s="83">
        <f t="shared" si="26"/>
        <v>0</v>
      </c>
      <c r="AG56" s="70">
        <f t="shared" si="27"/>
        <v>0</v>
      </c>
      <c r="AH56" s="83">
        <f t="shared" si="28"/>
        <v>0</v>
      </c>
      <c r="AI56" s="70">
        <f t="shared" si="29"/>
        <v>0</v>
      </c>
      <c r="AK56" s="79">
        <v>0</v>
      </c>
      <c r="AL56" s="80">
        <f t="shared" si="30"/>
        <v>0</v>
      </c>
      <c r="AM56" s="79">
        <v>0</v>
      </c>
      <c r="AN56" s="80">
        <f t="shared" si="31"/>
        <v>0</v>
      </c>
      <c r="AO56" s="79">
        <v>0</v>
      </c>
      <c r="AP56" s="80">
        <f t="shared" si="32"/>
        <v>0</v>
      </c>
      <c r="AQ56" s="79">
        <v>0</v>
      </c>
      <c r="AR56" s="81">
        <f t="shared" si="33"/>
        <v>0</v>
      </c>
      <c r="AS56" s="80">
        <f t="shared" si="34"/>
        <v>0</v>
      </c>
      <c r="AT56" s="70">
        <f t="shared" si="35"/>
        <v>0</v>
      </c>
      <c r="AU56" s="80">
        <f t="shared" si="36"/>
        <v>0</v>
      </c>
      <c r="AV56" s="70">
        <f t="shared" si="37"/>
        <v>0</v>
      </c>
      <c r="AW56" s="80">
        <f t="shared" si="38"/>
        <v>0</v>
      </c>
      <c r="AX56" s="70">
        <f t="shared" si="39"/>
        <v>0</v>
      </c>
      <c r="AY56" s="82"/>
      <c r="BA56" s="79">
        <v>0</v>
      </c>
      <c r="BB56" s="80">
        <f t="shared" si="40"/>
        <v>0</v>
      </c>
      <c r="BC56" s="79">
        <v>0</v>
      </c>
      <c r="BD56" s="80">
        <f t="shared" si="41"/>
        <v>0</v>
      </c>
      <c r="BE56" s="79">
        <v>0</v>
      </c>
      <c r="BF56" s="81">
        <f t="shared" si="42"/>
        <v>0</v>
      </c>
      <c r="BG56" s="80">
        <f t="shared" si="43"/>
        <v>0</v>
      </c>
      <c r="BH56" s="70">
        <f t="shared" si="44"/>
        <v>0</v>
      </c>
      <c r="BI56" s="80">
        <f t="shared" si="45"/>
        <v>0</v>
      </c>
      <c r="BJ56" s="70">
        <f t="shared" si="46"/>
        <v>0</v>
      </c>
      <c r="BK56" s="82"/>
    </row>
    <row r="57" spans="2:63" ht="11.95" thickBot="1" x14ac:dyDescent="0.3">
      <c r="E57" s="3"/>
      <c r="F57" s="3"/>
      <c r="G57" s="3"/>
      <c r="H57" s="3" t="s">
        <v>468</v>
      </c>
      <c r="I57" s="18"/>
      <c r="J57" s="18"/>
      <c r="K57" s="18"/>
      <c r="L57" s="78"/>
      <c r="M57" s="79"/>
      <c r="N57" s="80">
        <f t="shared" si="16"/>
        <v>0</v>
      </c>
      <c r="O57" s="79"/>
      <c r="P57" s="80">
        <f t="shared" si="17"/>
        <v>0</v>
      </c>
      <c r="Q57" s="79"/>
      <c r="R57" s="80">
        <f t="shared" si="18"/>
        <v>0</v>
      </c>
      <c r="S57" s="79"/>
      <c r="T57" s="81">
        <f t="shared" si="19"/>
        <v>0</v>
      </c>
      <c r="U57" s="80">
        <f t="shared" si="20"/>
        <v>0</v>
      </c>
      <c r="V57" s="70">
        <f t="shared" si="21"/>
        <v>0</v>
      </c>
      <c r="W57" s="80">
        <f t="shared" si="22"/>
        <v>0</v>
      </c>
      <c r="X57" s="70">
        <f t="shared" si="23"/>
        <v>0</v>
      </c>
      <c r="Y57" s="80">
        <f t="shared" si="24"/>
        <v>0</v>
      </c>
      <c r="Z57" s="70">
        <f t="shared" si="25"/>
        <v>0</v>
      </c>
      <c r="AA57" s="82"/>
      <c r="AC57" s="79">
        <v>0</v>
      </c>
      <c r="AD57" s="79">
        <v>0</v>
      </c>
      <c r="AE57" s="79">
        <v>0</v>
      </c>
      <c r="AF57" s="83">
        <f t="shared" si="26"/>
        <v>0</v>
      </c>
      <c r="AG57" s="70">
        <f t="shared" si="27"/>
        <v>0</v>
      </c>
      <c r="AH57" s="83">
        <f t="shared" si="28"/>
        <v>0</v>
      </c>
      <c r="AI57" s="70">
        <f t="shared" si="29"/>
        <v>0</v>
      </c>
      <c r="AK57" s="79">
        <v>0</v>
      </c>
      <c r="AL57" s="80">
        <f t="shared" si="30"/>
        <v>0</v>
      </c>
      <c r="AM57" s="79">
        <v>0</v>
      </c>
      <c r="AN57" s="80">
        <f t="shared" si="31"/>
        <v>0</v>
      </c>
      <c r="AO57" s="79">
        <v>0</v>
      </c>
      <c r="AP57" s="80">
        <f t="shared" si="32"/>
        <v>0</v>
      </c>
      <c r="AQ57" s="79">
        <v>0</v>
      </c>
      <c r="AR57" s="81">
        <f t="shared" si="33"/>
        <v>0</v>
      </c>
      <c r="AS57" s="80">
        <f t="shared" si="34"/>
        <v>0</v>
      </c>
      <c r="AT57" s="70">
        <f t="shared" si="35"/>
        <v>0</v>
      </c>
      <c r="AU57" s="80">
        <f t="shared" si="36"/>
        <v>0</v>
      </c>
      <c r="AV57" s="70">
        <f t="shared" si="37"/>
        <v>0</v>
      </c>
      <c r="AW57" s="80">
        <f t="shared" si="38"/>
        <v>0</v>
      </c>
      <c r="AX57" s="70">
        <f t="shared" si="39"/>
        <v>0</v>
      </c>
      <c r="AY57" s="82"/>
      <c r="BA57" s="79">
        <v>0</v>
      </c>
      <c r="BB57" s="80">
        <f t="shared" si="40"/>
        <v>0</v>
      </c>
      <c r="BC57" s="79">
        <v>0</v>
      </c>
      <c r="BD57" s="80">
        <f t="shared" si="41"/>
        <v>0</v>
      </c>
      <c r="BE57" s="79">
        <v>0</v>
      </c>
      <c r="BF57" s="81">
        <f t="shared" si="42"/>
        <v>0</v>
      </c>
      <c r="BG57" s="80">
        <f t="shared" si="43"/>
        <v>0</v>
      </c>
      <c r="BH57" s="70">
        <f t="shared" si="44"/>
        <v>0</v>
      </c>
      <c r="BI57" s="80">
        <f t="shared" si="45"/>
        <v>0</v>
      </c>
      <c r="BJ57" s="70">
        <f t="shared" si="46"/>
        <v>0</v>
      </c>
      <c r="BK57" s="82"/>
    </row>
    <row r="58" spans="2:63" ht="11.95" thickBot="1" x14ac:dyDescent="0.3">
      <c r="E58" s="3"/>
      <c r="F58" s="3"/>
      <c r="G58" s="3"/>
      <c r="H58" s="3" t="s">
        <v>469</v>
      </c>
      <c r="I58" s="18"/>
      <c r="J58" s="18"/>
      <c r="K58" s="18"/>
      <c r="L58" s="78"/>
      <c r="M58" s="79">
        <v>0</v>
      </c>
      <c r="N58" s="80">
        <f t="shared" si="16"/>
        <v>0</v>
      </c>
      <c r="O58" s="79">
        <v>0</v>
      </c>
      <c r="P58" s="80">
        <f t="shared" si="17"/>
        <v>0</v>
      </c>
      <c r="Q58" s="79">
        <v>0</v>
      </c>
      <c r="R58" s="80">
        <f t="shared" si="18"/>
        <v>0</v>
      </c>
      <c r="S58" s="79">
        <v>0</v>
      </c>
      <c r="T58" s="81">
        <f t="shared" si="19"/>
        <v>0</v>
      </c>
      <c r="U58" s="80">
        <f t="shared" si="20"/>
        <v>0</v>
      </c>
      <c r="V58" s="70">
        <f t="shared" si="21"/>
        <v>0</v>
      </c>
      <c r="W58" s="80">
        <f t="shared" si="22"/>
        <v>0</v>
      </c>
      <c r="X58" s="70">
        <f t="shared" si="23"/>
        <v>0</v>
      </c>
      <c r="Y58" s="80">
        <f t="shared" si="24"/>
        <v>0</v>
      </c>
      <c r="Z58" s="70">
        <f t="shared" si="25"/>
        <v>0</v>
      </c>
      <c r="AA58" s="82"/>
      <c r="AC58" s="79">
        <v>0</v>
      </c>
      <c r="AD58" s="79">
        <v>0</v>
      </c>
      <c r="AE58" s="79">
        <v>0</v>
      </c>
      <c r="AF58" s="83">
        <f t="shared" si="26"/>
        <v>0</v>
      </c>
      <c r="AG58" s="70">
        <f t="shared" si="27"/>
        <v>0</v>
      </c>
      <c r="AH58" s="83">
        <f t="shared" si="28"/>
        <v>0</v>
      </c>
      <c r="AI58" s="70">
        <f t="shared" si="29"/>
        <v>0</v>
      </c>
      <c r="AK58" s="79">
        <v>0</v>
      </c>
      <c r="AL58" s="80">
        <f t="shared" si="30"/>
        <v>0</v>
      </c>
      <c r="AM58" s="79">
        <v>0</v>
      </c>
      <c r="AN58" s="80">
        <f t="shared" si="31"/>
        <v>0</v>
      </c>
      <c r="AO58" s="79">
        <v>0</v>
      </c>
      <c r="AP58" s="80">
        <f t="shared" si="32"/>
        <v>0</v>
      </c>
      <c r="AQ58" s="79">
        <v>0</v>
      </c>
      <c r="AR58" s="81">
        <f t="shared" si="33"/>
        <v>0</v>
      </c>
      <c r="AS58" s="80">
        <f t="shared" si="34"/>
        <v>0</v>
      </c>
      <c r="AT58" s="70">
        <f t="shared" si="35"/>
        <v>0</v>
      </c>
      <c r="AU58" s="80">
        <f t="shared" si="36"/>
        <v>0</v>
      </c>
      <c r="AV58" s="70">
        <f t="shared" si="37"/>
        <v>0</v>
      </c>
      <c r="AW58" s="80">
        <f t="shared" si="38"/>
        <v>0</v>
      </c>
      <c r="AX58" s="70">
        <f t="shared" si="39"/>
        <v>0</v>
      </c>
      <c r="AY58" s="82"/>
      <c r="BA58" s="79">
        <v>0</v>
      </c>
      <c r="BB58" s="80">
        <f t="shared" si="40"/>
        <v>0</v>
      </c>
      <c r="BC58" s="79">
        <v>0</v>
      </c>
      <c r="BD58" s="80">
        <f t="shared" si="41"/>
        <v>0</v>
      </c>
      <c r="BE58" s="79">
        <v>0</v>
      </c>
      <c r="BF58" s="81">
        <f t="shared" si="42"/>
        <v>0</v>
      </c>
      <c r="BG58" s="80">
        <f t="shared" si="43"/>
        <v>0</v>
      </c>
      <c r="BH58" s="70">
        <f t="shared" si="44"/>
        <v>0</v>
      </c>
      <c r="BI58" s="80">
        <f t="shared" si="45"/>
        <v>0</v>
      </c>
      <c r="BJ58" s="70">
        <f t="shared" si="46"/>
        <v>0</v>
      </c>
      <c r="BK58" s="82"/>
    </row>
    <row r="59" spans="2:63" ht="11.95" thickBot="1" x14ac:dyDescent="0.3">
      <c r="E59" s="3"/>
      <c r="F59" s="3"/>
      <c r="G59" s="3"/>
      <c r="H59" s="3" t="s">
        <v>470</v>
      </c>
      <c r="I59" s="18"/>
      <c r="J59" s="18"/>
      <c r="K59" s="18"/>
      <c r="L59" s="78"/>
      <c r="M59" s="79"/>
      <c r="N59" s="80">
        <f t="shared" si="16"/>
        <v>0</v>
      </c>
      <c r="O59" s="79"/>
      <c r="P59" s="80">
        <f t="shared" si="17"/>
        <v>0</v>
      </c>
      <c r="Q59" s="79"/>
      <c r="R59" s="80">
        <f t="shared" si="18"/>
        <v>0</v>
      </c>
      <c r="S59" s="79"/>
      <c r="T59" s="81">
        <f t="shared" si="19"/>
        <v>0</v>
      </c>
      <c r="U59" s="80">
        <f t="shared" si="20"/>
        <v>0</v>
      </c>
      <c r="V59" s="70">
        <f t="shared" si="21"/>
        <v>0</v>
      </c>
      <c r="W59" s="80">
        <f t="shared" si="22"/>
        <v>0</v>
      </c>
      <c r="X59" s="70">
        <f t="shared" si="23"/>
        <v>0</v>
      </c>
      <c r="Y59" s="80">
        <f t="shared" si="24"/>
        <v>0</v>
      </c>
      <c r="Z59" s="70">
        <f t="shared" si="25"/>
        <v>0</v>
      </c>
      <c r="AA59" s="82"/>
      <c r="AC59" s="79">
        <v>0</v>
      </c>
      <c r="AD59" s="79">
        <v>0</v>
      </c>
      <c r="AE59" s="79">
        <v>0</v>
      </c>
      <c r="AF59" s="83">
        <f t="shared" si="26"/>
        <v>0</v>
      </c>
      <c r="AG59" s="70">
        <f t="shared" si="27"/>
        <v>0</v>
      </c>
      <c r="AH59" s="83">
        <f t="shared" si="28"/>
        <v>0</v>
      </c>
      <c r="AI59" s="70">
        <f t="shared" si="29"/>
        <v>0</v>
      </c>
      <c r="AK59" s="79">
        <v>0</v>
      </c>
      <c r="AL59" s="80">
        <f t="shared" si="30"/>
        <v>0</v>
      </c>
      <c r="AM59" s="79">
        <v>0</v>
      </c>
      <c r="AN59" s="80">
        <f t="shared" si="31"/>
        <v>0</v>
      </c>
      <c r="AO59" s="79">
        <v>0</v>
      </c>
      <c r="AP59" s="80">
        <f t="shared" si="32"/>
        <v>0</v>
      </c>
      <c r="AQ59" s="79">
        <v>0</v>
      </c>
      <c r="AR59" s="81">
        <f t="shared" si="33"/>
        <v>0</v>
      </c>
      <c r="AS59" s="80">
        <f t="shared" si="34"/>
        <v>0</v>
      </c>
      <c r="AT59" s="70">
        <f t="shared" si="35"/>
        <v>0</v>
      </c>
      <c r="AU59" s="80">
        <f t="shared" si="36"/>
        <v>0</v>
      </c>
      <c r="AV59" s="70">
        <f t="shared" si="37"/>
        <v>0</v>
      </c>
      <c r="AW59" s="80">
        <f t="shared" si="38"/>
        <v>0</v>
      </c>
      <c r="AX59" s="70">
        <f t="shared" si="39"/>
        <v>0</v>
      </c>
      <c r="AY59" s="82"/>
      <c r="BA59" s="79">
        <v>0</v>
      </c>
      <c r="BB59" s="80">
        <f t="shared" si="40"/>
        <v>0</v>
      </c>
      <c r="BC59" s="79">
        <v>0</v>
      </c>
      <c r="BD59" s="80">
        <f t="shared" si="41"/>
        <v>0</v>
      </c>
      <c r="BE59" s="79">
        <v>0</v>
      </c>
      <c r="BF59" s="81">
        <f t="shared" si="42"/>
        <v>0</v>
      </c>
      <c r="BG59" s="80">
        <f t="shared" si="43"/>
        <v>0</v>
      </c>
      <c r="BH59" s="70">
        <f t="shared" si="44"/>
        <v>0</v>
      </c>
      <c r="BI59" s="80">
        <f t="shared" si="45"/>
        <v>0</v>
      </c>
      <c r="BJ59" s="70">
        <f t="shared" si="46"/>
        <v>0</v>
      </c>
      <c r="BK59" s="82"/>
    </row>
    <row r="60" spans="2:63" ht="11.95" thickBot="1" x14ac:dyDescent="0.3">
      <c r="E60" s="3"/>
      <c r="F60" s="3"/>
      <c r="G60" s="3"/>
      <c r="H60" s="3" t="s">
        <v>471</v>
      </c>
      <c r="I60" s="18"/>
      <c r="J60" s="18"/>
      <c r="K60" s="18"/>
      <c r="L60" s="78"/>
      <c r="M60" s="79"/>
      <c r="N60" s="80">
        <f t="shared" si="16"/>
        <v>0</v>
      </c>
      <c r="O60" s="79"/>
      <c r="P60" s="80">
        <f t="shared" si="17"/>
        <v>0</v>
      </c>
      <c r="Q60" s="79"/>
      <c r="R60" s="80">
        <f t="shared" si="18"/>
        <v>0</v>
      </c>
      <c r="S60" s="79"/>
      <c r="T60" s="81">
        <f t="shared" si="19"/>
        <v>0</v>
      </c>
      <c r="U60" s="80">
        <f t="shared" si="20"/>
        <v>0</v>
      </c>
      <c r="V60" s="70">
        <f t="shared" si="21"/>
        <v>0</v>
      </c>
      <c r="W60" s="80">
        <f t="shared" si="22"/>
        <v>0</v>
      </c>
      <c r="X60" s="70">
        <f t="shared" si="23"/>
        <v>0</v>
      </c>
      <c r="Y60" s="80">
        <f t="shared" si="24"/>
        <v>0</v>
      </c>
      <c r="Z60" s="70">
        <f t="shared" si="25"/>
        <v>0</v>
      </c>
      <c r="AA60" s="82"/>
      <c r="AC60" s="79">
        <v>0</v>
      </c>
      <c r="AD60" s="79">
        <v>0</v>
      </c>
      <c r="AE60" s="79">
        <v>0</v>
      </c>
      <c r="AF60" s="83">
        <f t="shared" si="26"/>
        <v>0</v>
      </c>
      <c r="AG60" s="70">
        <f t="shared" si="27"/>
        <v>0</v>
      </c>
      <c r="AH60" s="83">
        <f t="shared" si="28"/>
        <v>0</v>
      </c>
      <c r="AI60" s="70">
        <f t="shared" si="29"/>
        <v>0</v>
      </c>
      <c r="AK60" s="79">
        <v>0</v>
      </c>
      <c r="AL60" s="80">
        <f t="shared" si="30"/>
        <v>0</v>
      </c>
      <c r="AM60" s="79">
        <v>0</v>
      </c>
      <c r="AN60" s="80">
        <f t="shared" si="31"/>
        <v>0</v>
      </c>
      <c r="AO60" s="79">
        <v>0</v>
      </c>
      <c r="AP60" s="80">
        <f t="shared" si="32"/>
        <v>0</v>
      </c>
      <c r="AQ60" s="79">
        <v>0</v>
      </c>
      <c r="AR60" s="81">
        <f t="shared" si="33"/>
        <v>0</v>
      </c>
      <c r="AS60" s="80">
        <f t="shared" si="34"/>
        <v>0</v>
      </c>
      <c r="AT60" s="70">
        <f t="shared" si="35"/>
        <v>0</v>
      </c>
      <c r="AU60" s="80">
        <f t="shared" si="36"/>
        <v>0</v>
      </c>
      <c r="AV60" s="70">
        <f t="shared" si="37"/>
        <v>0</v>
      </c>
      <c r="AW60" s="80">
        <f t="shared" si="38"/>
        <v>0</v>
      </c>
      <c r="AX60" s="70">
        <f t="shared" si="39"/>
        <v>0</v>
      </c>
      <c r="AY60" s="82"/>
      <c r="BA60" s="79">
        <v>0</v>
      </c>
      <c r="BB60" s="80">
        <f t="shared" si="40"/>
        <v>0</v>
      </c>
      <c r="BC60" s="79">
        <v>0</v>
      </c>
      <c r="BD60" s="80">
        <f t="shared" si="41"/>
        <v>0</v>
      </c>
      <c r="BE60" s="79">
        <v>0</v>
      </c>
      <c r="BF60" s="81">
        <f t="shared" si="42"/>
        <v>0</v>
      </c>
      <c r="BG60" s="80">
        <f t="shared" si="43"/>
        <v>0</v>
      </c>
      <c r="BH60" s="70">
        <f t="shared" si="44"/>
        <v>0</v>
      </c>
      <c r="BI60" s="80">
        <f t="shared" si="45"/>
        <v>0</v>
      </c>
      <c r="BJ60" s="70">
        <f t="shared" si="46"/>
        <v>0</v>
      </c>
      <c r="BK60" s="82"/>
    </row>
    <row r="61" spans="2:63" ht="11.95" thickBot="1" x14ac:dyDescent="0.3">
      <c r="E61" s="3"/>
      <c r="F61" s="3"/>
      <c r="G61" s="3"/>
      <c r="H61" s="3" t="s">
        <v>472</v>
      </c>
      <c r="I61" s="18"/>
      <c r="J61" s="18"/>
      <c r="K61" s="18"/>
      <c r="L61" s="78"/>
      <c r="M61" s="79"/>
      <c r="N61" s="80">
        <f t="shared" si="16"/>
        <v>0</v>
      </c>
      <c r="O61" s="79"/>
      <c r="P61" s="80">
        <f t="shared" si="17"/>
        <v>0</v>
      </c>
      <c r="Q61" s="79"/>
      <c r="R61" s="80">
        <f t="shared" si="18"/>
        <v>0</v>
      </c>
      <c r="S61" s="79"/>
      <c r="T61" s="81">
        <f t="shared" si="19"/>
        <v>0</v>
      </c>
      <c r="U61" s="80">
        <f t="shared" si="20"/>
        <v>0</v>
      </c>
      <c r="V61" s="70">
        <f t="shared" si="21"/>
        <v>0</v>
      </c>
      <c r="W61" s="80">
        <f t="shared" si="22"/>
        <v>0</v>
      </c>
      <c r="X61" s="70">
        <f t="shared" si="23"/>
        <v>0</v>
      </c>
      <c r="Y61" s="80">
        <f t="shared" si="24"/>
        <v>0</v>
      </c>
      <c r="Z61" s="70">
        <f t="shared" si="25"/>
        <v>0</v>
      </c>
      <c r="AA61" s="82"/>
      <c r="AC61" s="79">
        <v>0</v>
      </c>
      <c r="AD61" s="79">
        <v>0</v>
      </c>
      <c r="AE61" s="79">
        <v>0</v>
      </c>
      <c r="AF61" s="83">
        <f t="shared" si="26"/>
        <v>0</v>
      </c>
      <c r="AG61" s="70">
        <f t="shared" si="27"/>
        <v>0</v>
      </c>
      <c r="AH61" s="83">
        <f t="shared" si="28"/>
        <v>0</v>
      </c>
      <c r="AI61" s="70">
        <f t="shared" si="29"/>
        <v>0</v>
      </c>
      <c r="AK61" s="79">
        <v>0</v>
      </c>
      <c r="AL61" s="80">
        <f t="shared" si="30"/>
        <v>0</v>
      </c>
      <c r="AM61" s="79">
        <v>0</v>
      </c>
      <c r="AN61" s="80">
        <f t="shared" si="31"/>
        <v>0</v>
      </c>
      <c r="AO61" s="79">
        <v>0</v>
      </c>
      <c r="AP61" s="80">
        <f t="shared" si="32"/>
        <v>0</v>
      </c>
      <c r="AQ61" s="79">
        <v>0</v>
      </c>
      <c r="AR61" s="81">
        <f t="shared" si="33"/>
        <v>0</v>
      </c>
      <c r="AS61" s="80">
        <f t="shared" si="34"/>
        <v>0</v>
      </c>
      <c r="AT61" s="70">
        <f t="shared" si="35"/>
        <v>0</v>
      </c>
      <c r="AU61" s="80">
        <f t="shared" si="36"/>
        <v>0</v>
      </c>
      <c r="AV61" s="70">
        <f t="shared" si="37"/>
        <v>0</v>
      </c>
      <c r="AW61" s="80">
        <f t="shared" si="38"/>
        <v>0</v>
      </c>
      <c r="AX61" s="70">
        <f t="shared" si="39"/>
        <v>0</v>
      </c>
      <c r="AY61" s="82"/>
      <c r="BA61" s="79">
        <v>0</v>
      </c>
      <c r="BB61" s="80">
        <f t="shared" si="40"/>
        <v>0</v>
      </c>
      <c r="BC61" s="79">
        <v>0</v>
      </c>
      <c r="BD61" s="80">
        <f t="shared" si="41"/>
        <v>0</v>
      </c>
      <c r="BE61" s="79">
        <v>0</v>
      </c>
      <c r="BF61" s="81">
        <f t="shared" si="42"/>
        <v>0</v>
      </c>
      <c r="BG61" s="80">
        <f t="shared" si="43"/>
        <v>0</v>
      </c>
      <c r="BH61" s="70">
        <f t="shared" si="44"/>
        <v>0</v>
      </c>
      <c r="BI61" s="80">
        <f t="shared" si="45"/>
        <v>0</v>
      </c>
      <c r="BJ61" s="70">
        <f t="shared" si="46"/>
        <v>0</v>
      </c>
      <c r="BK61" s="82"/>
    </row>
    <row r="62" spans="2:63" ht="11.95" hidden="1" thickBot="1" x14ac:dyDescent="0.3">
      <c r="B62" t="s">
        <v>1</v>
      </c>
      <c r="N62" s="80">
        <f>IFERROR(M62/SUMIFS(M:M, $H:$H, "[+] Net Sales"),0)</f>
        <v>0</v>
      </c>
      <c r="P62" s="80">
        <f>IFERROR(O62/SUMIFS(O:O, $H:$H, "[+] Net Sales"),0)</f>
        <v>0</v>
      </c>
      <c r="R62" s="80">
        <f>IFERROR(Q62/SUMIFS(Q:Q, $H:$H, "[+] Net Sales"),0)</f>
        <v>0</v>
      </c>
      <c r="T62" s="81">
        <f>IFERROR(S62/SUMIFS(S:S, $H:$H, "[+] Net Sales"),0)</f>
        <v>0</v>
      </c>
      <c r="U62" s="80"/>
      <c r="V62" s="84"/>
      <c r="W62" s="80"/>
      <c r="X62" s="84"/>
      <c r="Y62" s="80"/>
      <c r="Z62" s="84"/>
      <c r="AA62" s="82"/>
      <c r="AF62" s="15"/>
      <c r="AG62" s="84"/>
      <c r="AH62" s="15"/>
      <c r="AI62" s="84"/>
      <c r="AL62" s="80">
        <f>IFERROR(AK62/SUMIFS(AK:AK, $H:$H, "[+] Net Sales"),0)</f>
        <v>0</v>
      </c>
      <c r="AN62" s="80">
        <f>IFERROR(AM62/SUMIFS(AM:AM, $H:$H, "[+] Net Sales"),0)</f>
        <v>0</v>
      </c>
      <c r="AP62" s="80">
        <f>IFERROR(AO62/SUMIFS(AO:AO, $H:$H, "[+] Net Sales"),0)</f>
        <v>0</v>
      </c>
      <c r="AR62" s="81">
        <f>IFERROR(AQ62/SUMIFS(AQ:AQ, $H:$H, "[+] Net Sales"),0)</f>
        <v>0</v>
      </c>
      <c r="AS62" s="80"/>
      <c r="AT62" s="84"/>
      <c r="AU62" s="80"/>
      <c r="AV62" s="84"/>
      <c r="AW62" s="80"/>
      <c r="AX62" s="84"/>
      <c r="AY62" s="82"/>
      <c r="BB62" s="80">
        <f>IFERROR(BA62/SUMIFS(BA:BA, $H:$H, "[+] Net Sales"),0)</f>
        <v>0</v>
      </c>
      <c r="BD62" s="80">
        <f>IFERROR(BC62/SUMIFS(BC:BC, $H:$H, "[+] Net Sales"),0)</f>
        <v>0</v>
      </c>
      <c r="BF62" s="81">
        <f>IFERROR(BE62/SUMIFS(BE:BE, $H:$H, "[+] Net Sales"),0)</f>
        <v>0</v>
      </c>
      <c r="BG62" s="80"/>
      <c r="BH62" s="84"/>
      <c r="BI62" s="80"/>
      <c r="BJ62" s="84"/>
      <c r="BK62" s="82"/>
    </row>
    <row r="63" spans="2:63" ht="11.95" x14ac:dyDescent="0.25">
      <c r="B63" t="str">
        <f>B30</f>
        <v>#showrow</v>
      </c>
      <c r="E63" s="19"/>
      <c r="F63" s="19"/>
      <c r="G63" s="19"/>
      <c r="H63" s="19" t="s">
        <v>79</v>
      </c>
      <c r="I63" s="85"/>
      <c r="J63" s="85"/>
      <c r="K63" s="85"/>
      <c r="L63" s="85">
        <v>1</v>
      </c>
      <c r="M63" s="85">
        <f>SUMIFS(M31:M62,$I31:$I62,"&lt;&gt;"&amp;$I$29,$E31:$E62,"&lt;&gt;*[-]*",$F31:$F62,"&lt;&gt;*[-]*",$G31:$G62,"&lt;&gt;*[-]*",$H31:$H62,"*[+]*")</f>
        <v>654439.77</v>
      </c>
      <c r="N63" s="86">
        <f>IFERROR(M63/SUMIFS(M:M, $H:$H, "[+] Net Sales"),0)</f>
        <v>1</v>
      </c>
      <c r="O63" s="85">
        <f>SUMIFS(O31:O62,$I31:$I62,"&lt;&gt;"&amp;$I$29,$E31:$E62,"&lt;&gt;*[-]*",$F31:$F62,"&lt;&gt;*[-]*",$G31:$G62,"&lt;&gt;*[-]*",$H31:$H62,"*[+]*")</f>
        <v>0</v>
      </c>
      <c r="P63" s="86">
        <f>IFERROR(O63/SUMIFS(O:O, $H:$H, "[+] Net Sales"),0)</f>
        <v>0</v>
      </c>
      <c r="Q63" s="85">
        <f>SUMIFS(Q31:Q62,$I31:$I62,"&lt;&gt;"&amp;$I$29,$E31:$E62,"&lt;&gt;*[-]*",$F31:$F62,"&lt;&gt;*[-]*",$G31:$G62,"&lt;&gt;*[-]*",$H31:$H62,"*[+]*")</f>
        <v>553920.44860746595</v>
      </c>
      <c r="R63" s="86">
        <f>IFERROR(Q63/SUMIFS(Q:Q, $H:$H, "[+] Net Sales"),0)</f>
        <v>1</v>
      </c>
      <c r="S63" s="85">
        <f>SUMIFS(S31:S62,$I31:$I62,"&lt;&gt;"&amp;$I$29,$E31:$E62,"&lt;&gt;*[-]*",$F31:$F62,"&lt;&gt;*[-]*",$G31:$G62,"&lt;&gt;*[-]*",$H31:$H62,"*[+]*")</f>
        <v>509967.01</v>
      </c>
      <c r="T63" s="86">
        <f>IFERROR(S63/SUMIFS(S:S, $H:$H, "[+] Net Sales"),0)</f>
        <v>1</v>
      </c>
      <c r="U63" s="86">
        <f>IFERROR(($M63-O63)/ABS(O63),0)</f>
        <v>0</v>
      </c>
      <c r="V63" s="87">
        <f>IFERROR((M63-$O63), $M63-0)</f>
        <v>654439.77</v>
      </c>
      <c r="W63" s="86">
        <f>IFERROR((M63-$Q63)/ABS($Q63),0)</f>
        <v>0.18146887634358988</v>
      </c>
      <c r="X63" s="87">
        <f>IFERROR((M63-$Q63), $M63-0)</f>
        <v>100519.32139253407</v>
      </c>
      <c r="Y63" s="86">
        <f>IFERROR((M63-$S63)/ABS($S63),0)</f>
        <v>0.28329824707680601</v>
      </c>
      <c r="Z63" s="87">
        <f>IFERROR((M63-$S63),$M63-0)</f>
        <v>144472.76</v>
      </c>
      <c r="AA63" s="88"/>
      <c r="AC63" s="85">
        <f>SUMIFS(AC31:AC62,$I31:$I62,"&lt;&gt;"&amp;$I$29,$E31:$E62,"&lt;&gt;*[-]*",$F31:$F62,"&lt;&gt;*[-]*",$G31:$G62,"&lt;&gt;*[-]*",$H31:$H62,"*[+]*")</f>
        <v>654439.77</v>
      </c>
      <c r="AD63" s="85">
        <f>SUMIFS(AD31:AD62,$I31:$I62,"&lt;&gt;"&amp;$I$29,$E31:$E62,"&lt;&gt;*[-]*",$F31:$F62,"&lt;&gt;*[-]*",$G31:$G62,"&lt;&gt;*[-]*",$H31:$H62,"*[+]*")</f>
        <v>509967.01</v>
      </c>
      <c r="AE63" s="85">
        <f>SUMIFS(AE31:AE62,$I31:$I62,"&lt;&gt;"&amp;$I$29,$E31:$E62,"&lt;&gt;*[-]*",$F31:$F62,"&lt;&gt;*[-]*",$G31:$G62,"&lt;&gt;*[-]*",$H31:$H62,"*[+]*")</f>
        <v>553920.44860746595</v>
      </c>
      <c r="AF63" s="89">
        <f>IFERROR((AC63-$AD63)/ABS($AD63),0)</f>
        <v>0.28329824707680601</v>
      </c>
      <c r="AG63" s="87">
        <f>(AC63-$AD63)</f>
        <v>144472.76</v>
      </c>
      <c r="AH63" s="89">
        <f>IFERROR((AC63-$AE63)/ABS($AE63),0)</f>
        <v>0.18146887634358988</v>
      </c>
      <c r="AI63" s="87">
        <f>(AC63-$AE63)</f>
        <v>100519.32139253407</v>
      </c>
      <c r="AK63" s="85">
        <f>SUMIFS(AK31:AK62,$I31:$I62,"&lt;&gt;"&amp;$I$29,$E31:$E62,"&lt;&gt;*[-]*",$F31:$F62,"&lt;&gt;*[-]*",$G31:$G62,"&lt;&gt;*[-]*",$H31:$H62,"*[+]*")</f>
        <v>654439.77</v>
      </c>
      <c r="AL63" s="86">
        <f>IFERROR(AK63/SUMIFS(AK:AK, $H:$H, "[+] Net Sales"),0)</f>
        <v>1</v>
      </c>
      <c r="AM63" s="85">
        <f>SUMIFS(AM31:AM62,$I31:$I62,"&lt;&gt;"&amp;$I$29,$E31:$E62,"&lt;&gt;*[-]*",$F31:$F62,"&lt;&gt;*[-]*",$G31:$G62,"&lt;&gt;*[-]*",$H31:$H62,"*[+]*")</f>
        <v>0</v>
      </c>
      <c r="AN63" s="86">
        <f>IFERROR(AM63/SUMIFS(AM:AM, $H:$H, "[+] Net Sales"),0)</f>
        <v>0</v>
      </c>
      <c r="AO63" s="85">
        <f>SUMIFS(AO31:AO62,$I31:$I62,"&lt;&gt;"&amp;$I$29,$E31:$E62,"&lt;&gt;*[-]*",$F31:$F62,"&lt;&gt;*[-]*",$G31:$G62,"&lt;&gt;*[-]*",$H31:$H62,"*[+]*")</f>
        <v>553920.44860746595</v>
      </c>
      <c r="AP63" s="86">
        <f>IFERROR(AO63/SUMIFS(AO:AO, $H:$H, "[+] Net Sales"),0)</f>
        <v>1</v>
      </c>
      <c r="AQ63" s="85">
        <f>SUMIFS(AQ31:AQ62,$I31:$I62,"&lt;&gt;"&amp;$I$29,$E31:$E62,"&lt;&gt;*[-]*",$F31:$F62,"&lt;&gt;*[-]*",$G31:$G62,"&lt;&gt;*[-]*",$H31:$H62,"*[+]*")</f>
        <v>509967.01</v>
      </c>
      <c r="AR63" s="86">
        <f>IFERROR(AQ63/SUMIFS(AQ:AQ, $H:$H, "[+] Net Sales"),0)</f>
        <v>1</v>
      </c>
      <c r="AS63" s="86">
        <f>IFERROR((AK63-$AM63)/ABS($AM63),0)</f>
        <v>0</v>
      </c>
      <c r="AT63" s="87">
        <f>(AK63-$AM63)</f>
        <v>654439.77</v>
      </c>
      <c r="AU63" s="86">
        <f>IFERROR((AK63-$AO63)/ABS($AO63),0)</f>
        <v>0.18146887634358988</v>
      </c>
      <c r="AV63" s="87">
        <f>(AK63-$AO63)</f>
        <v>100519.32139253407</v>
      </c>
      <c r="AW63" s="86">
        <f>IFERROR((AK63-$AQ63)/ABS($AQ63),0)</f>
        <v>0.28329824707680601</v>
      </c>
      <c r="AX63" s="87">
        <f>(AK63-$AQ63)</f>
        <v>144472.76</v>
      </c>
      <c r="AY63" s="88"/>
      <c r="BA63" s="85">
        <f>SUMIFS(BA31:BA62,$I31:$I62,"&lt;&gt;"&amp;$I$29,$E31:$E62,"&lt;&gt;*[-]*",$F31:$F62,"&lt;&gt;*[-]*",$G31:$G62,"&lt;&gt;*[-]*",$H31:$H62,"*[+]*")</f>
        <v>2231199</v>
      </c>
      <c r="BB63" s="86">
        <f>IFERROR(BA63/SUMIFS(BA:BA, $H:$H, "[+] Net Sales"),0)</f>
        <v>1</v>
      </c>
      <c r="BC63" s="85">
        <f>SUMIFS(BC31:BC62,$I31:$I62,"&lt;&gt;"&amp;$I$29,$E31:$E62,"&lt;&gt;*[-]*",$F31:$F62,"&lt;&gt;*[-]*",$G31:$G62,"&lt;&gt;*[-]*",$H31:$H62,"*[+]*")</f>
        <v>2231199</v>
      </c>
      <c r="BD63" s="86">
        <f>IFERROR(BC63/SUMIFS(BC:BC, $H:$H, "[+] Net Sales"),0)</f>
        <v>1</v>
      </c>
      <c r="BE63" s="85">
        <f>SUMIFS(BE31:BE62,$I31:$I62,"&lt;&gt;"&amp;$I$29,$E31:$E62,"&lt;&gt;*[-]*",$F31:$F62,"&lt;&gt;*[-]*",$G31:$G62,"&lt;&gt;*[-]*",$H31:$H62,"*[+]*")</f>
        <v>2008626.75</v>
      </c>
      <c r="BF63" s="86">
        <f>IFERROR(BE63/SUMIFS(BE:BE, $H:$H, "[+] Net Sales"),0)</f>
        <v>1</v>
      </c>
      <c r="BG63" s="86">
        <f>IFERROR((BA63-$BC63)/ABS($BC63),0)</f>
        <v>0</v>
      </c>
      <c r="BH63" s="87">
        <f>(BA63-$BC63)</f>
        <v>0</v>
      </c>
      <c r="BI63" s="86">
        <f>IFERROR((BA63-$BE63)/ABS($BE63),0)</f>
        <v>0.11080816781913315</v>
      </c>
      <c r="BJ63" s="87">
        <f>(BA63-$BE63)</f>
        <v>222572.25</v>
      </c>
      <c r="BK63" s="88"/>
    </row>
    <row r="64" spans="2:63" x14ac:dyDescent="0.25">
      <c r="B64" t="str">
        <f>B63</f>
        <v>#showrow</v>
      </c>
      <c r="N64" s="90"/>
      <c r="P64" s="90"/>
      <c r="R64" s="90"/>
      <c r="T64" s="90"/>
      <c r="U64" s="90"/>
      <c r="V64" s="84"/>
      <c r="W64" s="90"/>
      <c r="X64" s="84"/>
      <c r="Y64" s="90"/>
      <c r="Z64" s="84"/>
      <c r="AA64" s="84"/>
      <c r="AF64" s="15"/>
      <c r="AG64" s="84"/>
      <c r="AH64" s="15"/>
      <c r="AI64" s="84"/>
      <c r="AL64" s="90"/>
      <c r="AN64" s="90"/>
      <c r="AP64" s="90"/>
      <c r="AR64" s="90"/>
      <c r="AS64" s="90"/>
      <c r="AT64" s="84"/>
      <c r="AU64" s="90"/>
      <c r="AV64" s="84"/>
      <c r="AW64" s="90"/>
      <c r="AX64" s="84"/>
      <c r="AY64" s="84"/>
      <c r="BB64" s="90"/>
      <c r="BD64" s="90"/>
      <c r="BF64" s="90"/>
      <c r="BG64" s="90"/>
      <c r="BH64" s="84"/>
      <c r="BI64" s="90"/>
      <c r="BJ64" s="84"/>
      <c r="BK64" s="84"/>
    </row>
    <row r="65" spans="2:63" ht="12.45" thickBot="1" x14ac:dyDescent="0.3">
      <c r="B65" t="str">
        <f>IF(COUNTBLANK(B66:B139)&gt;0,"#showrow","#hiderow")</f>
        <v>#showrow</v>
      </c>
      <c r="E65" s="4"/>
      <c r="F65" s="4"/>
      <c r="G65" s="4"/>
      <c r="H65" s="4" t="s">
        <v>17</v>
      </c>
      <c r="I65" s="4"/>
      <c r="J65" s="5"/>
      <c r="K65" s="5"/>
      <c r="L65" s="5"/>
      <c r="M65" s="5"/>
      <c r="N65" s="74"/>
      <c r="O65" s="5"/>
      <c r="P65" s="74"/>
      <c r="Q65" s="5"/>
      <c r="R65" s="74"/>
      <c r="S65" s="5"/>
      <c r="T65" s="74"/>
      <c r="U65" s="74"/>
      <c r="V65" s="75"/>
      <c r="W65" s="74"/>
      <c r="X65" s="75"/>
      <c r="Y65" s="74"/>
      <c r="Z65" s="75"/>
      <c r="AA65" s="76"/>
      <c r="AC65" s="5"/>
      <c r="AD65" s="5"/>
      <c r="AE65" s="5"/>
      <c r="AF65" s="77"/>
      <c r="AG65" s="75"/>
      <c r="AH65" s="77"/>
      <c r="AI65" s="75"/>
      <c r="AK65" s="5"/>
      <c r="AL65" s="74"/>
      <c r="AM65" s="5"/>
      <c r="AN65" s="74"/>
      <c r="AO65" s="5"/>
      <c r="AP65" s="74"/>
      <c r="AQ65" s="5"/>
      <c r="AR65" s="74"/>
      <c r="AS65" s="74"/>
      <c r="AT65" s="75"/>
      <c r="AU65" s="74"/>
      <c r="AV65" s="75"/>
      <c r="AW65" s="74"/>
      <c r="AX65" s="75"/>
      <c r="AY65" s="76"/>
      <c r="BA65" s="5"/>
      <c r="BB65" s="74"/>
      <c r="BC65" s="5"/>
      <c r="BD65" s="74"/>
      <c r="BE65" s="5"/>
      <c r="BF65" s="74"/>
      <c r="BG65" s="74"/>
      <c r="BH65" s="75"/>
      <c r="BI65" s="74"/>
      <c r="BJ65" s="75"/>
      <c r="BK65" s="76"/>
    </row>
    <row r="66" spans="2:63" ht="11.95" hidden="1" thickBot="1" x14ac:dyDescent="0.3">
      <c r="B66" t="s">
        <v>1</v>
      </c>
      <c r="E66" s="3"/>
      <c r="F66" s="3"/>
      <c r="G66" s="3"/>
      <c r="H66" s="3" t="s">
        <v>6</v>
      </c>
      <c r="I66" s="18"/>
      <c r="J66" s="18"/>
      <c r="K66" s="18"/>
      <c r="L66" s="78"/>
      <c r="M66" s="79"/>
      <c r="N66" s="80">
        <f t="shared" ref="N66:N97" si="47">IFERROR(M66/SUMIFS(M:M, $H:$H, "[+] Net Sales"),0)</f>
        <v>0</v>
      </c>
      <c r="O66" s="79"/>
      <c r="P66" s="80">
        <f t="shared" ref="P66:P97" si="48">IFERROR(O66/SUMIFS(O:O, $H:$H, "[+] Net Sales"),0)</f>
        <v>0</v>
      </c>
      <c r="Q66" s="79"/>
      <c r="R66" s="80">
        <f t="shared" ref="R66:R97" si="49">IFERROR(Q66/SUMIFS(Q:Q, $H:$H, "[+] Net Sales"),0)</f>
        <v>0</v>
      </c>
      <c r="S66" s="79"/>
      <c r="T66" s="81">
        <f t="shared" ref="T66:T97" si="50">IFERROR(S66/SUMIFS(S:S, $H:$H, "[+] Net Sales"),0)</f>
        <v>0</v>
      </c>
      <c r="U66" s="80">
        <f>IFERROR(($O66-M66)/ABS(M66),0)</f>
        <v>0</v>
      </c>
      <c r="V66" s="70">
        <f>IFERROR((O66-$M66), 0-$M66)</f>
        <v>0</v>
      </c>
      <c r="W66" s="80">
        <f>IFERROR((Q66-$M66)/ABS($M66),0)</f>
        <v>0</v>
      </c>
      <c r="X66" s="70">
        <f>IFERROR((Q66-$M66), 0 -$M66)</f>
        <v>0</v>
      </c>
      <c r="Y66" s="80">
        <f>IFERROR((S66-$M66)/ABS($M66),0)</f>
        <v>0</v>
      </c>
      <c r="Z66" s="70">
        <f>IFERROR((S66-$M66),0-$M66)</f>
        <v>0</v>
      </c>
      <c r="AA66" s="82"/>
      <c r="AC66" s="79"/>
      <c r="AD66" s="79"/>
      <c r="AE66" s="79"/>
      <c r="AF66" s="83">
        <f>IFERROR((AD66-$AC66)/ABS($AC66),0)</f>
        <v>0</v>
      </c>
      <c r="AG66" s="70">
        <f>(AD66-$AC66)</f>
        <v>0</v>
      </c>
      <c r="AH66" s="83">
        <f>IFERROR((AE66-$AC66)/ABS($AC66),0)</f>
        <v>0</v>
      </c>
      <c r="AI66" s="70">
        <f>(AE66-$AC66)</f>
        <v>0</v>
      </c>
      <c r="AK66" s="79"/>
      <c r="AL66" s="80">
        <f t="shared" ref="AL66:AL97" si="51">IFERROR(AK66/SUMIFS(AK:AK, $H:$H, "[+] Net Sales"),0)</f>
        <v>0</v>
      </c>
      <c r="AM66" s="79"/>
      <c r="AN66" s="80">
        <f t="shared" ref="AN66:AN97" si="52">IFERROR(AM66/SUMIFS(AM:AM, $H:$H, "[+] Net Sales"),0)</f>
        <v>0</v>
      </c>
      <c r="AO66" s="79"/>
      <c r="AP66" s="80">
        <f t="shared" ref="AP66:AP97" si="53">IFERROR(AO66/SUMIFS(AO:AO, $H:$H, "[+] Net Sales"),0)</f>
        <v>0</v>
      </c>
      <c r="AQ66" s="79"/>
      <c r="AR66" s="81">
        <f t="shared" ref="AR66:AR97" si="54">IFERROR(AQ66/SUMIFS(AQ:AQ, $H:$H, "[+] Net Sales"),0)</f>
        <v>0</v>
      </c>
      <c r="AS66" s="80">
        <f>IFERROR((AM66-$AK66)/ABS($AK66),0)</f>
        <v>0</v>
      </c>
      <c r="AT66" s="70">
        <f>(AM66-$AK66)</f>
        <v>0</v>
      </c>
      <c r="AU66" s="80">
        <f>IFERROR((AO66-$AK66)/ABS($AO66),0)</f>
        <v>0</v>
      </c>
      <c r="AV66" s="70">
        <f>(AO66-$AK66)</f>
        <v>0</v>
      </c>
      <c r="AW66" s="80">
        <f>IFERROR((AQ66-$AK66)/ABS($AK66),0)</f>
        <v>0</v>
      </c>
      <c r="AX66" s="70">
        <f>(AQ66-$AK66)</f>
        <v>0</v>
      </c>
      <c r="AY66" s="82"/>
      <c r="BA66" s="79"/>
      <c r="BB66" s="80">
        <f t="shared" ref="BB66:BB97" si="55">IFERROR(BA66/SUMIFS(BA:BA, $H:$H, "[+] Net Sales"),0)</f>
        <v>0</v>
      </c>
      <c r="BC66" s="79"/>
      <c r="BD66" s="80">
        <f t="shared" ref="BD66:BD97" si="56">IFERROR(BC66/SUMIFS(BC:BC, $H:$H, "[+] Net Sales"),0)</f>
        <v>0</v>
      </c>
      <c r="BE66" s="79"/>
      <c r="BF66" s="81">
        <f t="shared" ref="BF66:BF97" si="57">IFERROR(BE66/SUMIFS(BE:BE, $H:$H, "[+] Net Sales"),0)</f>
        <v>0</v>
      </c>
      <c r="BG66" s="80">
        <f>IFERROR((BC66-$BA66)/ABS($BA66),0)</f>
        <v>0</v>
      </c>
      <c r="BH66" s="70">
        <f>(BC66-$BA66)</f>
        <v>0</v>
      </c>
      <c r="BI66" s="80">
        <f>IFERROR((BE66-$BA66)/ABS($BA66),0)</f>
        <v>0</v>
      </c>
      <c r="BJ66" s="70">
        <f>(BE66-$BA66)</f>
        <v>0</v>
      </c>
      <c r="BK66" s="82"/>
    </row>
    <row r="67" spans="2:63" ht="11.95" thickBot="1" x14ac:dyDescent="0.3">
      <c r="E67" s="3"/>
      <c r="F67" s="3"/>
      <c r="G67" s="3"/>
      <c r="H67" s="3" t="s">
        <v>371</v>
      </c>
      <c r="I67" s="18"/>
      <c r="J67" s="18"/>
      <c r="K67" s="18"/>
      <c r="L67" s="78"/>
      <c r="M67" s="79">
        <v>6.4</v>
      </c>
      <c r="N67" s="80">
        <f t="shared" si="47"/>
        <v>9.7793567771714125E-6</v>
      </c>
      <c r="O67" s="79">
        <v>0</v>
      </c>
      <c r="P67" s="80">
        <f t="shared" si="48"/>
        <v>0</v>
      </c>
      <c r="Q67" s="79">
        <v>0</v>
      </c>
      <c r="R67" s="80">
        <f t="shared" si="49"/>
        <v>0</v>
      </c>
      <c r="S67" s="79">
        <v>0</v>
      </c>
      <c r="T67" s="81">
        <f t="shared" si="50"/>
        <v>0</v>
      </c>
      <c r="U67" s="80">
        <f t="shared" ref="U67:U130" si="58">IFERROR(($O67-M67)/ABS(M67),0)</f>
        <v>-1</v>
      </c>
      <c r="V67" s="70">
        <f t="shared" ref="V67:V130" si="59">IFERROR((O67-$M67), 0-$M67)</f>
        <v>-6.4</v>
      </c>
      <c r="W67" s="80">
        <f t="shared" ref="W67:W130" si="60">IFERROR((Q67-$M67)/ABS($M67),0)</f>
        <v>-1</v>
      </c>
      <c r="X67" s="70">
        <f t="shared" ref="X67:X130" si="61">IFERROR((Q67-$M67), 0 -$M67)</f>
        <v>-6.4</v>
      </c>
      <c r="Y67" s="80">
        <f t="shared" ref="Y67:Y130" si="62">IFERROR((S67-$M67)/ABS($M67),0)</f>
        <v>-1</v>
      </c>
      <c r="Z67" s="70">
        <f t="shared" ref="Z67:Z130" si="63">IFERROR((S67-$M67),0-$M67)</f>
        <v>-6.4</v>
      </c>
      <c r="AA67" s="82"/>
      <c r="AC67" s="79">
        <v>6.4</v>
      </c>
      <c r="AD67" s="79">
        <v>0</v>
      </c>
      <c r="AE67" s="79">
        <v>0</v>
      </c>
      <c r="AF67" s="83">
        <f t="shared" ref="AF67:AF130" si="64">IFERROR((AD67-$AC67)/ABS($AC67),0)</f>
        <v>-1</v>
      </c>
      <c r="AG67" s="70">
        <f t="shared" ref="AG67:AG130" si="65">(AD67-$AC67)</f>
        <v>-6.4</v>
      </c>
      <c r="AH67" s="83">
        <f t="shared" ref="AH67:AH130" si="66">IFERROR((AE67-$AC67)/ABS($AC67),0)</f>
        <v>-1</v>
      </c>
      <c r="AI67" s="70">
        <f t="shared" ref="AI67:AI130" si="67">(AE67-$AC67)</f>
        <v>-6.4</v>
      </c>
      <c r="AK67" s="79">
        <v>6.4</v>
      </c>
      <c r="AL67" s="80">
        <f t="shared" si="51"/>
        <v>9.7793567771714125E-6</v>
      </c>
      <c r="AM67" s="79">
        <v>0</v>
      </c>
      <c r="AN67" s="80">
        <f t="shared" si="52"/>
        <v>0</v>
      </c>
      <c r="AO67" s="79">
        <v>0</v>
      </c>
      <c r="AP67" s="80">
        <f t="shared" si="53"/>
        <v>0</v>
      </c>
      <c r="AQ67" s="79">
        <v>0</v>
      </c>
      <c r="AR67" s="81">
        <f t="shared" si="54"/>
        <v>0</v>
      </c>
      <c r="AS67" s="80">
        <f t="shared" ref="AS67:AS130" si="68">IFERROR((AM67-$AK67)/ABS($AK67),0)</f>
        <v>-1</v>
      </c>
      <c r="AT67" s="70">
        <f t="shared" ref="AT67:AT130" si="69">(AM67-$AK67)</f>
        <v>-6.4</v>
      </c>
      <c r="AU67" s="80">
        <f t="shared" ref="AU67:AU130" si="70">IFERROR((AO67-$AK67)/ABS($AO67),0)</f>
        <v>0</v>
      </c>
      <c r="AV67" s="70">
        <f t="shared" ref="AV67:AV130" si="71">(AO67-$AK67)</f>
        <v>-6.4</v>
      </c>
      <c r="AW67" s="80">
        <f t="shared" ref="AW67:AW130" si="72">IFERROR((AQ67-$AK67)/ABS($AK67),0)</f>
        <v>-1</v>
      </c>
      <c r="AX67" s="70">
        <f t="shared" ref="AX67:AX130" si="73">(AQ67-$AK67)</f>
        <v>-6.4</v>
      </c>
      <c r="AY67" s="82"/>
      <c r="BA67" s="79">
        <v>0</v>
      </c>
      <c r="BB67" s="80">
        <f t="shared" si="55"/>
        <v>0</v>
      </c>
      <c r="BC67" s="79">
        <v>0</v>
      </c>
      <c r="BD67" s="80">
        <f t="shared" si="56"/>
        <v>0</v>
      </c>
      <c r="BE67" s="79">
        <v>602031.13</v>
      </c>
      <c r="BF67" s="81">
        <f t="shared" si="57"/>
        <v>0.29972274839016261</v>
      </c>
      <c r="BG67" s="80">
        <f t="shared" ref="BG67:BG130" si="74">IFERROR((BC67-$BA67)/ABS($BA67),0)</f>
        <v>0</v>
      </c>
      <c r="BH67" s="70">
        <f t="shared" ref="BH67:BH130" si="75">(BC67-$BA67)</f>
        <v>0</v>
      </c>
      <c r="BI67" s="80">
        <f t="shared" ref="BI67:BI130" si="76">IFERROR((BE67-$BA67)/ABS($BA67),0)</f>
        <v>0</v>
      </c>
      <c r="BJ67" s="70">
        <f t="shared" ref="BJ67:BJ130" si="77">(BE67-$BA67)</f>
        <v>602031.13</v>
      </c>
      <c r="BK67" s="82"/>
    </row>
    <row r="68" spans="2:63" ht="11.95" thickBot="1" x14ac:dyDescent="0.3">
      <c r="E68" s="3"/>
      <c r="F68" s="3"/>
      <c r="G68" s="3"/>
      <c r="H68" s="3" t="s">
        <v>372</v>
      </c>
      <c r="I68" s="18"/>
      <c r="J68" s="18"/>
      <c r="K68" s="18"/>
      <c r="L68" s="78"/>
      <c r="M68" s="79">
        <v>6.4</v>
      </c>
      <c r="N68" s="80">
        <f t="shared" si="47"/>
        <v>9.7793567771714125E-6</v>
      </c>
      <c r="O68" s="79"/>
      <c r="P68" s="80">
        <f t="shared" si="48"/>
        <v>0</v>
      </c>
      <c r="Q68" s="79"/>
      <c r="R68" s="80">
        <f t="shared" si="49"/>
        <v>0</v>
      </c>
      <c r="S68" s="79"/>
      <c r="T68" s="81">
        <f t="shared" si="50"/>
        <v>0</v>
      </c>
      <c r="U68" s="80">
        <f t="shared" si="58"/>
        <v>-1</v>
      </c>
      <c r="V68" s="70">
        <f t="shared" si="59"/>
        <v>-6.4</v>
      </c>
      <c r="W68" s="80">
        <f t="shared" si="60"/>
        <v>-1</v>
      </c>
      <c r="X68" s="70">
        <f t="shared" si="61"/>
        <v>-6.4</v>
      </c>
      <c r="Y68" s="80">
        <f t="shared" si="62"/>
        <v>-1</v>
      </c>
      <c r="Z68" s="70">
        <f t="shared" si="63"/>
        <v>-6.4</v>
      </c>
      <c r="AA68" s="82"/>
      <c r="AC68" s="79">
        <v>6.4</v>
      </c>
      <c r="AD68" s="79">
        <v>0</v>
      </c>
      <c r="AE68" s="79">
        <v>0</v>
      </c>
      <c r="AF68" s="83">
        <f t="shared" si="64"/>
        <v>-1</v>
      </c>
      <c r="AG68" s="70">
        <f t="shared" si="65"/>
        <v>-6.4</v>
      </c>
      <c r="AH68" s="83">
        <f t="shared" si="66"/>
        <v>-1</v>
      </c>
      <c r="AI68" s="70">
        <f t="shared" si="67"/>
        <v>-6.4</v>
      </c>
      <c r="AK68" s="79">
        <v>6.4</v>
      </c>
      <c r="AL68" s="80">
        <f t="shared" si="51"/>
        <v>9.7793567771714125E-6</v>
      </c>
      <c r="AM68" s="79">
        <v>0</v>
      </c>
      <c r="AN68" s="80">
        <f t="shared" si="52"/>
        <v>0</v>
      </c>
      <c r="AO68" s="79">
        <v>0</v>
      </c>
      <c r="AP68" s="80">
        <f t="shared" si="53"/>
        <v>0</v>
      </c>
      <c r="AQ68" s="79">
        <v>0</v>
      </c>
      <c r="AR68" s="81">
        <f t="shared" si="54"/>
        <v>0</v>
      </c>
      <c r="AS68" s="80">
        <f t="shared" si="68"/>
        <v>-1</v>
      </c>
      <c r="AT68" s="70">
        <f t="shared" si="69"/>
        <v>-6.4</v>
      </c>
      <c r="AU68" s="80">
        <f t="shared" si="70"/>
        <v>0</v>
      </c>
      <c r="AV68" s="70">
        <f t="shared" si="71"/>
        <v>-6.4</v>
      </c>
      <c r="AW68" s="80">
        <f t="shared" si="72"/>
        <v>-1</v>
      </c>
      <c r="AX68" s="70">
        <f t="shared" si="73"/>
        <v>-6.4</v>
      </c>
      <c r="AY68" s="82"/>
      <c r="BA68" s="79">
        <v>0</v>
      </c>
      <c r="BB68" s="80">
        <f t="shared" si="55"/>
        <v>0</v>
      </c>
      <c r="BC68" s="79">
        <v>0</v>
      </c>
      <c r="BD68" s="80">
        <f t="shared" si="56"/>
        <v>0</v>
      </c>
      <c r="BE68" s="79">
        <v>-6352.56</v>
      </c>
      <c r="BF68" s="81">
        <f t="shared" si="57"/>
        <v>-3.1626383547864235E-3</v>
      </c>
      <c r="BG68" s="80">
        <f t="shared" si="74"/>
        <v>0</v>
      </c>
      <c r="BH68" s="70">
        <f t="shared" si="75"/>
        <v>0</v>
      </c>
      <c r="BI68" s="80">
        <f t="shared" si="76"/>
        <v>0</v>
      </c>
      <c r="BJ68" s="70">
        <f t="shared" si="77"/>
        <v>-6352.56</v>
      </c>
      <c r="BK68" s="82"/>
    </row>
    <row r="69" spans="2:63" ht="11.95" thickBot="1" x14ac:dyDescent="0.3">
      <c r="E69" s="3"/>
      <c r="F69" s="3"/>
      <c r="G69" s="3"/>
      <c r="H69" s="3" t="s">
        <v>373</v>
      </c>
      <c r="I69" s="18"/>
      <c r="J69" s="18"/>
      <c r="K69" s="18"/>
      <c r="L69" s="78"/>
      <c r="M69" s="79"/>
      <c r="N69" s="80">
        <f t="shared" si="47"/>
        <v>0</v>
      </c>
      <c r="O69" s="79"/>
      <c r="P69" s="80">
        <f t="shared" si="48"/>
        <v>0</v>
      </c>
      <c r="Q69" s="79"/>
      <c r="R69" s="80">
        <f t="shared" si="49"/>
        <v>0</v>
      </c>
      <c r="S69" s="79"/>
      <c r="T69" s="81">
        <f t="shared" si="50"/>
        <v>0</v>
      </c>
      <c r="U69" s="80">
        <f t="shared" si="58"/>
        <v>0</v>
      </c>
      <c r="V69" s="70">
        <f t="shared" si="59"/>
        <v>0</v>
      </c>
      <c r="W69" s="80">
        <f t="shared" si="60"/>
        <v>0</v>
      </c>
      <c r="X69" s="70">
        <f t="shared" si="61"/>
        <v>0</v>
      </c>
      <c r="Y69" s="80">
        <f t="shared" si="62"/>
        <v>0</v>
      </c>
      <c r="Z69" s="70">
        <f t="shared" si="63"/>
        <v>0</v>
      </c>
      <c r="AA69" s="82"/>
      <c r="AC69" s="79">
        <v>0</v>
      </c>
      <c r="AD69" s="79">
        <v>0</v>
      </c>
      <c r="AE69" s="79">
        <v>0</v>
      </c>
      <c r="AF69" s="83">
        <f t="shared" si="64"/>
        <v>0</v>
      </c>
      <c r="AG69" s="70">
        <f t="shared" si="65"/>
        <v>0</v>
      </c>
      <c r="AH69" s="83">
        <f t="shared" si="66"/>
        <v>0</v>
      </c>
      <c r="AI69" s="70">
        <f t="shared" si="67"/>
        <v>0</v>
      </c>
      <c r="AK69" s="79">
        <v>0</v>
      </c>
      <c r="AL69" s="80">
        <f t="shared" si="51"/>
        <v>0</v>
      </c>
      <c r="AM69" s="79">
        <v>0</v>
      </c>
      <c r="AN69" s="80">
        <f t="shared" si="52"/>
        <v>0</v>
      </c>
      <c r="AO69" s="79">
        <v>0</v>
      </c>
      <c r="AP69" s="80">
        <f t="shared" si="53"/>
        <v>0</v>
      </c>
      <c r="AQ69" s="79">
        <v>0</v>
      </c>
      <c r="AR69" s="81">
        <f t="shared" si="54"/>
        <v>0</v>
      </c>
      <c r="AS69" s="80">
        <f t="shared" si="68"/>
        <v>0</v>
      </c>
      <c r="AT69" s="70">
        <f t="shared" si="69"/>
        <v>0</v>
      </c>
      <c r="AU69" s="80">
        <f t="shared" si="70"/>
        <v>0</v>
      </c>
      <c r="AV69" s="70">
        <f t="shared" si="71"/>
        <v>0</v>
      </c>
      <c r="AW69" s="80">
        <f t="shared" si="72"/>
        <v>0</v>
      </c>
      <c r="AX69" s="70">
        <f t="shared" si="73"/>
        <v>0</v>
      </c>
      <c r="AY69" s="82"/>
      <c r="BA69" s="79">
        <v>0</v>
      </c>
      <c r="BB69" s="80">
        <f t="shared" si="55"/>
        <v>0</v>
      </c>
      <c r="BC69" s="79">
        <v>0</v>
      </c>
      <c r="BD69" s="80">
        <f t="shared" si="56"/>
        <v>0</v>
      </c>
      <c r="BE69" s="79">
        <v>0</v>
      </c>
      <c r="BF69" s="81">
        <f t="shared" si="57"/>
        <v>0</v>
      </c>
      <c r="BG69" s="80">
        <f t="shared" si="74"/>
        <v>0</v>
      </c>
      <c r="BH69" s="70">
        <f t="shared" si="75"/>
        <v>0</v>
      </c>
      <c r="BI69" s="80">
        <f t="shared" si="76"/>
        <v>0</v>
      </c>
      <c r="BJ69" s="70">
        <f t="shared" si="77"/>
        <v>0</v>
      </c>
      <c r="BK69" s="82"/>
    </row>
    <row r="70" spans="2:63" ht="11.95" thickBot="1" x14ac:dyDescent="0.3">
      <c r="E70" s="3"/>
      <c r="F70" s="3"/>
      <c r="G70" s="3"/>
      <c r="H70" s="3" t="s">
        <v>374</v>
      </c>
      <c r="I70" s="18"/>
      <c r="J70" s="18"/>
      <c r="K70" s="18"/>
      <c r="L70" s="78"/>
      <c r="M70" s="79"/>
      <c r="N70" s="80">
        <f t="shared" si="47"/>
        <v>0</v>
      </c>
      <c r="O70" s="79"/>
      <c r="P70" s="80">
        <f t="shared" si="48"/>
        <v>0</v>
      </c>
      <c r="Q70" s="79"/>
      <c r="R70" s="80">
        <f t="shared" si="49"/>
        <v>0</v>
      </c>
      <c r="S70" s="79"/>
      <c r="T70" s="81">
        <f t="shared" si="50"/>
        <v>0</v>
      </c>
      <c r="U70" s="80">
        <f t="shared" si="58"/>
        <v>0</v>
      </c>
      <c r="V70" s="70">
        <f t="shared" si="59"/>
        <v>0</v>
      </c>
      <c r="W70" s="80">
        <f t="shared" si="60"/>
        <v>0</v>
      </c>
      <c r="X70" s="70">
        <f t="shared" si="61"/>
        <v>0</v>
      </c>
      <c r="Y70" s="80">
        <f t="shared" si="62"/>
        <v>0</v>
      </c>
      <c r="Z70" s="70">
        <f t="shared" si="63"/>
        <v>0</v>
      </c>
      <c r="AA70" s="82"/>
      <c r="AC70" s="79">
        <v>0</v>
      </c>
      <c r="AD70" s="79">
        <v>0</v>
      </c>
      <c r="AE70" s="79">
        <v>0</v>
      </c>
      <c r="AF70" s="83">
        <f t="shared" si="64"/>
        <v>0</v>
      </c>
      <c r="AG70" s="70">
        <f t="shared" si="65"/>
        <v>0</v>
      </c>
      <c r="AH70" s="83">
        <f t="shared" si="66"/>
        <v>0</v>
      </c>
      <c r="AI70" s="70">
        <f t="shared" si="67"/>
        <v>0</v>
      </c>
      <c r="AK70" s="79">
        <v>0</v>
      </c>
      <c r="AL70" s="80">
        <f t="shared" si="51"/>
        <v>0</v>
      </c>
      <c r="AM70" s="79">
        <v>0</v>
      </c>
      <c r="AN70" s="80">
        <f t="shared" si="52"/>
        <v>0</v>
      </c>
      <c r="AO70" s="79">
        <v>0</v>
      </c>
      <c r="AP70" s="80">
        <f t="shared" si="53"/>
        <v>0</v>
      </c>
      <c r="AQ70" s="79">
        <v>0</v>
      </c>
      <c r="AR70" s="81">
        <f t="shared" si="54"/>
        <v>0</v>
      </c>
      <c r="AS70" s="80">
        <f t="shared" si="68"/>
        <v>0</v>
      </c>
      <c r="AT70" s="70">
        <f t="shared" si="69"/>
        <v>0</v>
      </c>
      <c r="AU70" s="80">
        <f t="shared" si="70"/>
        <v>0</v>
      </c>
      <c r="AV70" s="70">
        <f t="shared" si="71"/>
        <v>0</v>
      </c>
      <c r="AW70" s="80">
        <f t="shared" si="72"/>
        <v>0</v>
      </c>
      <c r="AX70" s="70">
        <f t="shared" si="73"/>
        <v>0</v>
      </c>
      <c r="AY70" s="82"/>
      <c r="BA70" s="79">
        <v>0</v>
      </c>
      <c r="BB70" s="80">
        <f t="shared" si="55"/>
        <v>0</v>
      </c>
      <c r="BC70" s="79">
        <v>0</v>
      </c>
      <c r="BD70" s="80">
        <f t="shared" si="56"/>
        <v>0</v>
      </c>
      <c r="BE70" s="79">
        <v>0</v>
      </c>
      <c r="BF70" s="81">
        <f t="shared" si="57"/>
        <v>0</v>
      </c>
      <c r="BG70" s="80">
        <f t="shared" si="74"/>
        <v>0</v>
      </c>
      <c r="BH70" s="70">
        <f t="shared" si="75"/>
        <v>0</v>
      </c>
      <c r="BI70" s="80">
        <f t="shared" si="76"/>
        <v>0</v>
      </c>
      <c r="BJ70" s="70">
        <f t="shared" si="77"/>
        <v>0</v>
      </c>
      <c r="BK70" s="82"/>
    </row>
    <row r="71" spans="2:63" ht="11.95" thickBot="1" x14ac:dyDescent="0.3">
      <c r="E71" s="3"/>
      <c r="F71" s="3"/>
      <c r="G71" s="3"/>
      <c r="H71" s="3" t="s">
        <v>375</v>
      </c>
      <c r="I71" s="18"/>
      <c r="J71" s="18"/>
      <c r="K71" s="18"/>
      <c r="L71" s="78"/>
      <c r="M71" s="79"/>
      <c r="N71" s="80">
        <f t="shared" si="47"/>
        <v>0</v>
      </c>
      <c r="O71" s="79"/>
      <c r="P71" s="80">
        <f t="shared" si="48"/>
        <v>0</v>
      </c>
      <c r="Q71" s="79"/>
      <c r="R71" s="80">
        <f t="shared" si="49"/>
        <v>0</v>
      </c>
      <c r="S71" s="79"/>
      <c r="T71" s="81">
        <f t="shared" si="50"/>
        <v>0</v>
      </c>
      <c r="U71" s="80">
        <f t="shared" si="58"/>
        <v>0</v>
      </c>
      <c r="V71" s="70">
        <f t="shared" si="59"/>
        <v>0</v>
      </c>
      <c r="W71" s="80">
        <f t="shared" si="60"/>
        <v>0</v>
      </c>
      <c r="X71" s="70">
        <f t="shared" si="61"/>
        <v>0</v>
      </c>
      <c r="Y71" s="80">
        <f t="shared" si="62"/>
        <v>0</v>
      </c>
      <c r="Z71" s="70">
        <f t="shared" si="63"/>
        <v>0</v>
      </c>
      <c r="AA71" s="82"/>
      <c r="AC71" s="79">
        <v>0</v>
      </c>
      <c r="AD71" s="79">
        <v>0</v>
      </c>
      <c r="AE71" s="79">
        <v>0</v>
      </c>
      <c r="AF71" s="83">
        <f t="shared" si="64"/>
        <v>0</v>
      </c>
      <c r="AG71" s="70">
        <f t="shared" si="65"/>
        <v>0</v>
      </c>
      <c r="AH71" s="83">
        <f t="shared" si="66"/>
        <v>0</v>
      </c>
      <c r="AI71" s="70">
        <f t="shared" si="67"/>
        <v>0</v>
      </c>
      <c r="AK71" s="79">
        <v>0</v>
      </c>
      <c r="AL71" s="80">
        <f t="shared" si="51"/>
        <v>0</v>
      </c>
      <c r="AM71" s="79">
        <v>0</v>
      </c>
      <c r="AN71" s="80">
        <f t="shared" si="52"/>
        <v>0</v>
      </c>
      <c r="AO71" s="79">
        <v>0</v>
      </c>
      <c r="AP71" s="80">
        <f t="shared" si="53"/>
        <v>0</v>
      </c>
      <c r="AQ71" s="79">
        <v>0</v>
      </c>
      <c r="AR71" s="81">
        <f t="shared" si="54"/>
        <v>0</v>
      </c>
      <c r="AS71" s="80">
        <f t="shared" si="68"/>
        <v>0</v>
      </c>
      <c r="AT71" s="70">
        <f t="shared" si="69"/>
        <v>0</v>
      </c>
      <c r="AU71" s="80">
        <f t="shared" si="70"/>
        <v>0</v>
      </c>
      <c r="AV71" s="70">
        <f t="shared" si="71"/>
        <v>0</v>
      </c>
      <c r="AW71" s="80">
        <f t="shared" si="72"/>
        <v>0</v>
      </c>
      <c r="AX71" s="70">
        <f t="shared" si="73"/>
        <v>0</v>
      </c>
      <c r="AY71" s="82"/>
      <c r="BA71" s="79">
        <v>0</v>
      </c>
      <c r="BB71" s="80">
        <f t="shared" si="55"/>
        <v>0</v>
      </c>
      <c r="BC71" s="79">
        <v>0</v>
      </c>
      <c r="BD71" s="80">
        <f t="shared" si="56"/>
        <v>0</v>
      </c>
      <c r="BE71" s="79">
        <v>0</v>
      </c>
      <c r="BF71" s="81">
        <f t="shared" si="57"/>
        <v>0</v>
      </c>
      <c r="BG71" s="80">
        <f t="shared" si="74"/>
        <v>0</v>
      </c>
      <c r="BH71" s="70">
        <f t="shared" si="75"/>
        <v>0</v>
      </c>
      <c r="BI71" s="80">
        <f t="shared" si="76"/>
        <v>0</v>
      </c>
      <c r="BJ71" s="70">
        <f t="shared" si="77"/>
        <v>0</v>
      </c>
      <c r="BK71" s="82"/>
    </row>
    <row r="72" spans="2:63" ht="11.95" thickBot="1" x14ac:dyDescent="0.3">
      <c r="E72" s="3"/>
      <c r="F72" s="3"/>
      <c r="G72" s="3"/>
      <c r="H72" s="3" t="s">
        <v>376</v>
      </c>
      <c r="I72" s="18"/>
      <c r="J72" s="18"/>
      <c r="K72" s="18"/>
      <c r="L72" s="78"/>
      <c r="M72" s="79"/>
      <c r="N72" s="80">
        <f t="shared" si="47"/>
        <v>0</v>
      </c>
      <c r="O72" s="79"/>
      <c r="P72" s="80">
        <f t="shared" si="48"/>
        <v>0</v>
      </c>
      <c r="Q72" s="79"/>
      <c r="R72" s="80">
        <f t="shared" si="49"/>
        <v>0</v>
      </c>
      <c r="S72" s="79"/>
      <c r="T72" s="81">
        <f t="shared" si="50"/>
        <v>0</v>
      </c>
      <c r="U72" s="80">
        <f t="shared" si="58"/>
        <v>0</v>
      </c>
      <c r="V72" s="70">
        <f t="shared" si="59"/>
        <v>0</v>
      </c>
      <c r="W72" s="80">
        <f t="shared" si="60"/>
        <v>0</v>
      </c>
      <c r="X72" s="70">
        <f t="shared" si="61"/>
        <v>0</v>
      </c>
      <c r="Y72" s="80">
        <f t="shared" si="62"/>
        <v>0</v>
      </c>
      <c r="Z72" s="70">
        <f t="shared" si="63"/>
        <v>0</v>
      </c>
      <c r="AA72" s="82"/>
      <c r="AC72" s="79">
        <v>0</v>
      </c>
      <c r="AD72" s="79">
        <v>0</v>
      </c>
      <c r="AE72" s="79">
        <v>0</v>
      </c>
      <c r="AF72" s="83">
        <f t="shared" si="64"/>
        <v>0</v>
      </c>
      <c r="AG72" s="70">
        <f t="shared" si="65"/>
        <v>0</v>
      </c>
      <c r="AH72" s="83">
        <f t="shared" si="66"/>
        <v>0</v>
      </c>
      <c r="AI72" s="70">
        <f t="shared" si="67"/>
        <v>0</v>
      </c>
      <c r="AK72" s="79">
        <v>0</v>
      </c>
      <c r="AL72" s="80">
        <f t="shared" si="51"/>
        <v>0</v>
      </c>
      <c r="AM72" s="79">
        <v>0</v>
      </c>
      <c r="AN72" s="80">
        <f t="shared" si="52"/>
        <v>0</v>
      </c>
      <c r="AO72" s="79">
        <v>0</v>
      </c>
      <c r="AP72" s="80">
        <f t="shared" si="53"/>
        <v>0</v>
      </c>
      <c r="AQ72" s="79">
        <v>0</v>
      </c>
      <c r="AR72" s="81">
        <f t="shared" si="54"/>
        <v>0</v>
      </c>
      <c r="AS72" s="80">
        <f t="shared" si="68"/>
        <v>0</v>
      </c>
      <c r="AT72" s="70">
        <f t="shared" si="69"/>
        <v>0</v>
      </c>
      <c r="AU72" s="80">
        <f t="shared" si="70"/>
        <v>0</v>
      </c>
      <c r="AV72" s="70">
        <f t="shared" si="71"/>
        <v>0</v>
      </c>
      <c r="AW72" s="80">
        <f t="shared" si="72"/>
        <v>0</v>
      </c>
      <c r="AX72" s="70">
        <f t="shared" si="73"/>
        <v>0</v>
      </c>
      <c r="AY72" s="82"/>
      <c r="BA72" s="79">
        <v>0</v>
      </c>
      <c r="BB72" s="80">
        <f t="shared" si="55"/>
        <v>0</v>
      </c>
      <c r="BC72" s="79">
        <v>0</v>
      </c>
      <c r="BD72" s="80">
        <f t="shared" si="56"/>
        <v>0</v>
      </c>
      <c r="BE72" s="79">
        <v>0</v>
      </c>
      <c r="BF72" s="81">
        <f t="shared" si="57"/>
        <v>0</v>
      </c>
      <c r="BG72" s="80">
        <f t="shared" si="74"/>
        <v>0</v>
      </c>
      <c r="BH72" s="70">
        <f t="shared" si="75"/>
        <v>0</v>
      </c>
      <c r="BI72" s="80">
        <f t="shared" si="76"/>
        <v>0</v>
      </c>
      <c r="BJ72" s="70">
        <f t="shared" si="77"/>
        <v>0</v>
      </c>
      <c r="BK72" s="82"/>
    </row>
    <row r="73" spans="2:63" ht="11.95" thickBot="1" x14ac:dyDescent="0.3">
      <c r="E73" s="3"/>
      <c r="F73" s="3"/>
      <c r="G73" s="3"/>
      <c r="H73" s="3" t="s">
        <v>377</v>
      </c>
      <c r="I73" s="18"/>
      <c r="J73" s="18"/>
      <c r="K73" s="18"/>
      <c r="L73" s="78"/>
      <c r="M73" s="79"/>
      <c r="N73" s="80">
        <f t="shared" si="47"/>
        <v>0</v>
      </c>
      <c r="O73" s="79"/>
      <c r="P73" s="80">
        <f t="shared" si="48"/>
        <v>0</v>
      </c>
      <c r="Q73" s="79"/>
      <c r="R73" s="80">
        <f t="shared" si="49"/>
        <v>0</v>
      </c>
      <c r="S73" s="79"/>
      <c r="T73" s="81">
        <f t="shared" si="50"/>
        <v>0</v>
      </c>
      <c r="U73" s="80">
        <f t="shared" si="58"/>
        <v>0</v>
      </c>
      <c r="V73" s="70">
        <f t="shared" si="59"/>
        <v>0</v>
      </c>
      <c r="W73" s="80">
        <f t="shared" si="60"/>
        <v>0</v>
      </c>
      <c r="X73" s="70">
        <f t="shared" si="61"/>
        <v>0</v>
      </c>
      <c r="Y73" s="80">
        <f t="shared" si="62"/>
        <v>0</v>
      </c>
      <c r="Z73" s="70">
        <f t="shared" si="63"/>
        <v>0</v>
      </c>
      <c r="AA73" s="82"/>
      <c r="AC73" s="79">
        <v>0</v>
      </c>
      <c r="AD73" s="79">
        <v>0</v>
      </c>
      <c r="AE73" s="79">
        <v>0</v>
      </c>
      <c r="AF73" s="83">
        <f t="shared" si="64"/>
        <v>0</v>
      </c>
      <c r="AG73" s="70">
        <f t="shared" si="65"/>
        <v>0</v>
      </c>
      <c r="AH73" s="83">
        <f t="shared" si="66"/>
        <v>0</v>
      </c>
      <c r="AI73" s="70">
        <f t="shared" si="67"/>
        <v>0</v>
      </c>
      <c r="AK73" s="79">
        <v>0</v>
      </c>
      <c r="AL73" s="80">
        <f t="shared" si="51"/>
        <v>0</v>
      </c>
      <c r="AM73" s="79">
        <v>0</v>
      </c>
      <c r="AN73" s="80">
        <f t="shared" si="52"/>
        <v>0</v>
      </c>
      <c r="AO73" s="79">
        <v>0</v>
      </c>
      <c r="AP73" s="80">
        <f t="shared" si="53"/>
        <v>0</v>
      </c>
      <c r="AQ73" s="79">
        <v>0</v>
      </c>
      <c r="AR73" s="81">
        <f t="shared" si="54"/>
        <v>0</v>
      </c>
      <c r="AS73" s="80">
        <f t="shared" si="68"/>
        <v>0</v>
      </c>
      <c r="AT73" s="70">
        <f t="shared" si="69"/>
        <v>0</v>
      </c>
      <c r="AU73" s="80">
        <f t="shared" si="70"/>
        <v>0</v>
      </c>
      <c r="AV73" s="70">
        <f t="shared" si="71"/>
        <v>0</v>
      </c>
      <c r="AW73" s="80">
        <f t="shared" si="72"/>
        <v>0</v>
      </c>
      <c r="AX73" s="70">
        <f t="shared" si="73"/>
        <v>0</v>
      </c>
      <c r="AY73" s="82"/>
      <c r="BA73" s="79">
        <v>0</v>
      </c>
      <c r="BB73" s="80">
        <f t="shared" si="55"/>
        <v>0</v>
      </c>
      <c r="BC73" s="79">
        <v>0</v>
      </c>
      <c r="BD73" s="80">
        <f t="shared" si="56"/>
        <v>0</v>
      </c>
      <c r="BE73" s="79">
        <v>0</v>
      </c>
      <c r="BF73" s="81">
        <f t="shared" si="57"/>
        <v>0</v>
      </c>
      <c r="BG73" s="80">
        <f t="shared" si="74"/>
        <v>0</v>
      </c>
      <c r="BH73" s="70">
        <f t="shared" si="75"/>
        <v>0</v>
      </c>
      <c r="BI73" s="80">
        <f t="shared" si="76"/>
        <v>0</v>
      </c>
      <c r="BJ73" s="70">
        <f t="shared" si="77"/>
        <v>0</v>
      </c>
      <c r="BK73" s="82"/>
    </row>
    <row r="74" spans="2:63" ht="11.95" thickBot="1" x14ac:dyDescent="0.3">
      <c r="E74" s="3"/>
      <c r="F74" s="3"/>
      <c r="G74" s="3"/>
      <c r="H74" s="3" t="s">
        <v>378</v>
      </c>
      <c r="I74" s="18"/>
      <c r="J74" s="18"/>
      <c r="K74" s="18"/>
      <c r="L74" s="78"/>
      <c r="M74" s="79"/>
      <c r="N74" s="80">
        <f t="shared" si="47"/>
        <v>0</v>
      </c>
      <c r="O74" s="79"/>
      <c r="P74" s="80">
        <f t="shared" si="48"/>
        <v>0</v>
      </c>
      <c r="Q74" s="79"/>
      <c r="R74" s="80">
        <f t="shared" si="49"/>
        <v>0</v>
      </c>
      <c r="S74" s="79"/>
      <c r="T74" s="81">
        <f t="shared" si="50"/>
        <v>0</v>
      </c>
      <c r="U74" s="80">
        <f t="shared" si="58"/>
        <v>0</v>
      </c>
      <c r="V74" s="70">
        <f t="shared" si="59"/>
        <v>0</v>
      </c>
      <c r="W74" s="80">
        <f t="shared" si="60"/>
        <v>0</v>
      </c>
      <c r="X74" s="70">
        <f t="shared" si="61"/>
        <v>0</v>
      </c>
      <c r="Y74" s="80">
        <f t="shared" si="62"/>
        <v>0</v>
      </c>
      <c r="Z74" s="70">
        <f t="shared" si="63"/>
        <v>0</v>
      </c>
      <c r="AA74" s="82"/>
      <c r="AC74" s="79">
        <v>0</v>
      </c>
      <c r="AD74" s="79">
        <v>0</v>
      </c>
      <c r="AE74" s="79">
        <v>0</v>
      </c>
      <c r="AF74" s="83">
        <f t="shared" si="64"/>
        <v>0</v>
      </c>
      <c r="AG74" s="70">
        <f t="shared" si="65"/>
        <v>0</v>
      </c>
      <c r="AH74" s="83">
        <f t="shared" si="66"/>
        <v>0</v>
      </c>
      <c r="AI74" s="70">
        <f t="shared" si="67"/>
        <v>0</v>
      </c>
      <c r="AK74" s="79">
        <v>0</v>
      </c>
      <c r="AL74" s="80">
        <f t="shared" si="51"/>
        <v>0</v>
      </c>
      <c r="AM74" s="79">
        <v>0</v>
      </c>
      <c r="AN74" s="80">
        <f t="shared" si="52"/>
        <v>0</v>
      </c>
      <c r="AO74" s="79">
        <v>0</v>
      </c>
      <c r="AP74" s="80">
        <f t="shared" si="53"/>
        <v>0</v>
      </c>
      <c r="AQ74" s="79">
        <v>0</v>
      </c>
      <c r="AR74" s="81">
        <f t="shared" si="54"/>
        <v>0</v>
      </c>
      <c r="AS74" s="80">
        <f t="shared" si="68"/>
        <v>0</v>
      </c>
      <c r="AT74" s="70">
        <f t="shared" si="69"/>
        <v>0</v>
      </c>
      <c r="AU74" s="80">
        <f t="shared" si="70"/>
        <v>0</v>
      </c>
      <c r="AV74" s="70">
        <f t="shared" si="71"/>
        <v>0</v>
      </c>
      <c r="AW74" s="80">
        <f t="shared" si="72"/>
        <v>0</v>
      </c>
      <c r="AX74" s="70">
        <f t="shared" si="73"/>
        <v>0</v>
      </c>
      <c r="AY74" s="82"/>
      <c r="BA74" s="79">
        <v>0</v>
      </c>
      <c r="BB74" s="80">
        <f t="shared" si="55"/>
        <v>0</v>
      </c>
      <c r="BC74" s="79">
        <v>0</v>
      </c>
      <c r="BD74" s="80">
        <f t="shared" si="56"/>
        <v>0</v>
      </c>
      <c r="BE74" s="79">
        <v>0</v>
      </c>
      <c r="BF74" s="81">
        <f t="shared" si="57"/>
        <v>0</v>
      </c>
      <c r="BG74" s="80">
        <f t="shared" si="74"/>
        <v>0</v>
      </c>
      <c r="BH74" s="70">
        <f t="shared" si="75"/>
        <v>0</v>
      </c>
      <c r="BI74" s="80">
        <f t="shared" si="76"/>
        <v>0</v>
      </c>
      <c r="BJ74" s="70">
        <f t="shared" si="77"/>
        <v>0</v>
      </c>
      <c r="BK74" s="82"/>
    </row>
    <row r="75" spans="2:63" ht="11.95" thickBot="1" x14ac:dyDescent="0.3">
      <c r="E75" s="3"/>
      <c r="F75" s="3"/>
      <c r="G75" s="3"/>
      <c r="H75" s="3" t="s">
        <v>379</v>
      </c>
      <c r="I75" s="18"/>
      <c r="J75" s="18"/>
      <c r="K75" s="18"/>
      <c r="L75" s="78"/>
      <c r="M75" s="79"/>
      <c r="N75" s="80">
        <f t="shared" si="47"/>
        <v>0</v>
      </c>
      <c r="O75" s="79"/>
      <c r="P75" s="80">
        <f t="shared" si="48"/>
        <v>0</v>
      </c>
      <c r="Q75" s="79"/>
      <c r="R75" s="80">
        <f t="shared" si="49"/>
        <v>0</v>
      </c>
      <c r="S75" s="79"/>
      <c r="T75" s="81">
        <f t="shared" si="50"/>
        <v>0</v>
      </c>
      <c r="U75" s="80">
        <f t="shared" si="58"/>
        <v>0</v>
      </c>
      <c r="V75" s="70">
        <f t="shared" si="59"/>
        <v>0</v>
      </c>
      <c r="W75" s="80">
        <f t="shared" si="60"/>
        <v>0</v>
      </c>
      <c r="X75" s="70">
        <f t="shared" si="61"/>
        <v>0</v>
      </c>
      <c r="Y75" s="80">
        <f t="shared" si="62"/>
        <v>0</v>
      </c>
      <c r="Z75" s="70">
        <f t="shared" si="63"/>
        <v>0</v>
      </c>
      <c r="AA75" s="82"/>
      <c r="AC75" s="79">
        <v>0</v>
      </c>
      <c r="AD75" s="79">
        <v>0</v>
      </c>
      <c r="AE75" s="79">
        <v>0</v>
      </c>
      <c r="AF75" s="83">
        <f t="shared" si="64"/>
        <v>0</v>
      </c>
      <c r="AG75" s="70">
        <f t="shared" si="65"/>
        <v>0</v>
      </c>
      <c r="AH75" s="83">
        <f t="shared" si="66"/>
        <v>0</v>
      </c>
      <c r="AI75" s="70">
        <f t="shared" si="67"/>
        <v>0</v>
      </c>
      <c r="AK75" s="79">
        <v>0</v>
      </c>
      <c r="AL75" s="80">
        <f t="shared" si="51"/>
        <v>0</v>
      </c>
      <c r="AM75" s="79">
        <v>0</v>
      </c>
      <c r="AN75" s="80">
        <f t="shared" si="52"/>
        <v>0</v>
      </c>
      <c r="AO75" s="79">
        <v>0</v>
      </c>
      <c r="AP75" s="80">
        <f t="shared" si="53"/>
        <v>0</v>
      </c>
      <c r="AQ75" s="79">
        <v>0</v>
      </c>
      <c r="AR75" s="81">
        <f t="shared" si="54"/>
        <v>0</v>
      </c>
      <c r="AS75" s="80">
        <f t="shared" si="68"/>
        <v>0</v>
      </c>
      <c r="AT75" s="70">
        <f t="shared" si="69"/>
        <v>0</v>
      </c>
      <c r="AU75" s="80">
        <f t="shared" si="70"/>
        <v>0</v>
      </c>
      <c r="AV75" s="70">
        <f t="shared" si="71"/>
        <v>0</v>
      </c>
      <c r="AW75" s="80">
        <f t="shared" si="72"/>
        <v>0</v>
      </c>
      <c r="AX75" s="70">
        <f t="shared" si="73"/>
        <v>0</v>
      </c>
      <c r="AY75" s="82"/>
      <c r="BA75" s="79">
        <v>0</v>
      </c>
      <c r="BB75" s="80">
        <f t="shared" si="55"/>
        <v>0</v>
      </c>
      <c r="BC75" s="79">
        <v>0</v>
      </c>
      <c r="BD75" s="80">
        <f t="shared" si="56"/>
        <v>0</v>
      </c>
      <c r="BE75" s="79">
        <v>0</v>
      </c>
      <c r="BF75" s="81">
        <f t="shared" si="57"/>
        <v>0</v>
      </c>
      <c r="BG75" s="80">
        <f t="shared" si="74"/>
        <v>0</v>
      </c>
      <c r="BH75" s="70">
        <f t="shared" si="75"/>
        <v>0</v>
      </c>
      <c r="BI75" s="80">
        <f t="shared" si="76"/>
        <v>0</v>
      </c>
      <c r="BJ75" s="70">
        <f t="shared" si="77"/>
        <v>0</v>
      </c>
      <c r="BK75" s="82"/>
    </row>
    <row r="76" spans="2:63" ht="11.95" thickBot="1" x14ac:dyDescent="0.3">
      <c r="E76" s="3"/>
      <c r="F76" s="3"/>
      <c r="G76" s="3"/>
      <c r="H76" s="3" t="s">
        <v>380</v>
      </c>
      <c r="I76" s="18"/>
      <c r="J76" s="18"/>
      <c r="K76" s="18"/>
      <c r="L76" s="78"/>
      <c r="M76" s="79"/>
      <c r="N76" s="80">
        <f t="shared" si="47"/>
        <v>0</v>
      </c>
      <c r="O76" s="79"/>
      <c r="P76" s="80">
        <f t="shared" si="48"/>
        <v>0</v>
      </c>
      <c r="Q76" s="79"/>
      <c r="R76" s="80">
        <f t="shared" si="49"/>
        <v>0</v>
      </c>
      <c r="S76" s="79"/>
      <c r="T76" s="81">
        <f t="shared" si="50"/>
        <v>0</v>
      </c>
      <c r="U76" s="80">
        <f t="shared" si="58"/>
        <v>0</v>
      </c>
      <c r="V76" s="70">
        <f t="shared" si="59"/>
        <v>0</v>
      </c>
      <c r="W76" s="80">
        <f t="shared" si="60"/>
        <v>0</v>
      </c>
      <c r="X76" s="70">
        <f t="shared" si="61"/>
        <v>0</v>
      </c>
      <c r="Y76" s="80">
        <f t="shared" si="62"/>
        <v>0</v>
      </c>
      <c r="Z76" s="70">
        <f t="shared" si="63"/>
        <v>0</v>
      </c>
      <c r="AA76" s="82"/>
      <c r="AC76" s="79">
        <v>0</v>
      </c>
      <c r="AD76" s="79">
        <v>0</v>
      </c>
      <c r="AE76" s="79">
        <v>0</v>
      </c>
      <c r="AF76" s="83">
        <f t="shared" si="64"/>
        <v>0</v>
      </c>
      <c r="AG76" s="70">
        <f t="shared" si="65"/>
        <v>0</v>
      </c>
      <c r="AH76" s="83">
        <f t="shared" si="66"/>
        <v>0</v>
      </c>
      <c r="AI76" s="70">
        <f t="shared" si="67"/>
        <v>0</v>
      </c>
      <c r="AK76" s="79">
        <v>0</v>
      </c>
      <c r="AL76" s="80">
        <f t="shared" si="51"/>
        <v>0</v>
      </c>
      <c r="AM76" s="79">
        <v>0</v>
      </c>
      <c r="AN76" s="80">
        <f t="shared" si="52"/>
        <v>0</v>
      </c>
      <c r="AO76" s="79">
        <v>0</v>
      </c>
      <c r="AP76" s="80">
        <f t="shared" si="53"/>
        <v>0</v>
      </c>
      <c r="AQ76" s="79">
        <v>0</v>
      </c>
      <c r="AR76" s="81">
        <f t="shared" si="54"/>
        <v>0</v>
      </c>
      <c r="AS76" s="80">
        <f t="shared" si="68"/>
        <v>0</v>
      </c>
      <c r="AT76" s="70">
        <f t="shared" si="69"/>
        <v>0</v>
      </c>
      <c r="AU76" s="80">
        <f t="shared" si="70"/>
        <v>0</v>
      </c>
      <c r="AV76" s="70">
        <f t="shared" si="71"/>
        <v>0</v>
      </c>
      <c r="AW76" s="80">
        <f t="shared" si="72"/>
        <v>0</v>
      </c>
      <c r="AX76" s="70">
        <f t="shared" si="73"/>
        <v>0</v>
      </c>
      <c r="AY76" s="82"/>
      <c r="BA76" s="79">
        <v>0</v>
      </c>
      <c r="BB76" s="80">
        <f t="shared" si="55"/>
        <v>0</v>
      </c>
      <c r="BC76" s="79">
        <v>0</v>
      </c>
      <c r="BD76" s="80">
        <f t="shared" si="56"/>
        <v>0</v>
      </c>
      <c r="BE76" s="79">
        <v>0</v>
      </c>
      <c r="BF76" s="81">
        <f t="shared" si="57"/>
        <v>0</v>
      </c>
      <c r="BG76" s="80">
        <f t="shared" si="74"/>
        <v>0</v>
      </c>
      <c r="BH76" s="70">
        <f t="shared" si="75"/>
        <v>0</v>
      </c>
      <c r="BI76" s="80">
        <f t="shared" si="76"/>
        <v>0</v>
      </c>
      <c r="BJ76" s="70">
        <f t="shared" si="77"/>
        <v>0</v>
      </c>
      <c r="BK76" s="82"/>
    </row>
    <row r="77" spans="2:63" ht="11.95" thickBot="1" x14ac:dyDescent="0.3">
      <c r="E77" s="3"/>
      <c r="F77" s="3"/>
      <c r="G77" s="3"/>
      <c r="H77" s="3" t="s">
        <v>381</v>
      </c>
      <c r="I77" s="18"/>
      <c r="J77" s="18"/>
      <c r="K77" s="18"/>
      <c r="L77" s="78"/>
      <c r="M77" s="79"/>
      <c r="N77" s="80">
        <f t="shared" si="47"/>
        <v>0</v>
      </c>
      <c r="O77" s="79"/>
      <c r="P77" s="80">
        <f t="shared" si="48"/>
        <v>0</v>
      </c>
      <c r="Q77" s="79"/>
      <c r="R77" s="80">
        <f t="shared" si="49"/>
        <v>0</v>
      </c>
      <c r="S77" s="79"/>
      <c r="T77" s="81">
        <f t="shared" si="50"/>
        <v>0</v>
      </c>
      <c r="U77" s="80">
        <f t="shared" si="58"/>
        <v>0</v>
      </c>
      <c r="V77" s="70">
        <f t="shared" si="59"/>
        <v>0</v>
      </c>
      <c r="W77" s="80">
        <f t="shared" si="60"/>
        <v>0</v>
      </c>
      <c r="X77" s="70">
        <f t="shared" si="61"/>
        <v>0</v>
      </c>
      <c r="Y77" s="80">
        <f t="shared" si="62"/>
        <v>0</v>
      </c>
      <c r="Z77" s="70">
        <f t="shared" si="63"/>
        <v>0</v>
      </c>
      <c r="AA77" s="82"/>
      <c r="AC77" s="79">
        <v>0</v>
      </c>
      <c r="AD77" s="79">
        <v>0</v>
      </c>
      <c r="AE77" s="79">
        <v>0</v>
      </c>
      <c r="AF77" s="83">
        <f t="shared" si="64"/>
        <v>0</v>
      </c>
      <c r="AG77" s="70">
        <f t="shared" si="65"/>
        <v>0</v>
      </c>
      <c r="AH77" s="83">
        <f t="shared" si="66"/>
        <v>0</v>
      </c>
      <c r="AI77" s="70">
        <f t="shared" si="67"/>
        <v>0</v>
      </c>
      <c r="AK77" s="79">
        <v>0</v>
      </c>
      <c r="AL77" s="80">
        <f t="shared" si="51"/>
        <v>0</v>
      </c>
      <c r="AM77" s="79">
        <v>0</v>
      </c>
      <c r="AN77" s="80">
        <f t="shared" si="52"/>
        <v>0</v>
      </c>
      <c r="AO77" s="79">
        <v>0</v>
      </c>
      <c r="AP77" s="80">
        <f t="shared" si="53"/>
        <v>0</v>
      </c>
      <c r="AQ77" s="79">
        <v>0</v>
      </c>
      <c r="AR77" s="81">
        <f t="shared" si="54"/>
        <v>0</v>
      </c>
      <c r="AS77" s="80">
        <f t="shared" si="68"/>
        <v>0</v>
      </c>
      <c r="AT77" s="70">
        <f t="shared" si="69"/>
        <v>0</v>
      </c>
      <c r="AU77" s="80">
        <f t="shared" si="70"/>
        <v>0</v>
      </c>
      <c r="AV77" s="70">
        <f t="shared" si="71"/>
        <v>0</v>
      </c>
      <c r="AW77" s="80">
        <f t="shared" si="72"/>
        <v>0</v>
      </c>
      <c r="AX77" s="70">
        <f t="shared" si="73"/>
        <v>0</v>
      </c>
      <c r="AY77" s="82"/>
      <c r="BA77" s="79">
        <v>0</v>
      </c>
      <c r="BB77" s="80">
        <f t="shared" si="55"/>
        <v>0</v>
      </c>
      <c r="BC77" s="79">
        <v>0</v>
      </c>
      <c r="BD77" s="80">
        <f t="shared" si="56"/>
        <v>0</v>
      </c>
      <c r="BE77" s="79">
        <v>0</v>
      </c>
      <c r="BF77" s="81">
        <f t="shared" si="57"/>
        <v>0</v>
      </c>
      <c r="BG77" s="80">
        <f t="shared" si="74"/>
        <v>0</v>
      </c>
      <c r="BH77" s="70">
        <f t="shared" si="75"/>
        <v>0</v>
      </c>
      <c r="BI77" s="80">
        <f t="shared" si="76"/>
        <v>0</v>
      </c>
      <c r="BJ77" s="70">
        <f t="shared" si="77"/>
        <v>0</v>
      </c>
      <c r="BK77" s="82"/>
    </row>
    <row r="78" spans="2:63" ht="11.95" thickBot="1" x14ac:dyDescent="0.3">
      <c r="E78" s="3"/>
      <c r="F78" s="3"/>
      <c r="G78" s="3"/>
      <c r="H78" s="3" t="s">
        <v>382</v>
      </c>
      <c r="I78" s="18"/>
      <c r="J78" s="18"/>
      <c r="K78" s="18"/>
      <c r="L78" s="78"/>
      <c r="M78" s="79"/>
      <c r="N78" s="80">
        <f t="shared" si="47"/>
        <v>0</v>
      </c>
      <c r="O78" s="79"/>
      <c r="P78" s="80">
        <f t="shared" si="48"/>
        <v>0</v>
      </c>
      <c r="Q78" s="79"/>
      <c r="R78" s="80">
        <f t="shared" si="49"/>
        <v>0</v>
      </c>
      <c r="S78" s="79"/>
      <c r="T78" s="81">
        <f t="shared" si="50"/>
        <v>0</v>
      </c>
      <c r="U78" s="80">
        <f t="shared" si="58"/>
        <v>0</v>
      </c>
      <c r="V78" s="70">
        <f t="shared" si="59"/>
        <v>0</v>
      </c>
      <c r="W78" s="80">
        <f t="shared" si="60"/>
        <v>0</v>
      </c>
      <c r="X78" s="70">
        <f t="shared" si="61"/>
        <v>0</v>
      </c>
      <c r="Y78" s="80">
        <f t="shared" si="62"/>
        <v>0</v>
      </c>
      <c r="Z78" s="70">
        <f t="shared" si="63"/>
        <v>0</v>
      </c>
      <c r="AA78" s="82"/>
      <c r="AC78" s="79">
        <v>0</v>
      </c>
      <c r="AD78" s="79">
        <v>0</v>
      </c>
      <c r="AE78" s="79">
        <v>0</v>
      </c>
      <c r="AF78" s="83">
        <f t="shared" si="64"/>
        <v>0</v>
      </c>
      <c r="AG78" s="70">
        <f t="shared" si="65"/>
        <v>0</v>
      </c>
      <c r="AH78" s="83">
        <f t="shared" si="66"/>
        <v>0</v>
      </c>
      <c r="AI78" s="70">
        <f t="shared" si="67"/>
        <v>0</v>
      </c>
      <c r="AK78" s="79">
        <v>0</v>
      </c>
      <c r="AL78" s="80">
        <f t="shared" si="51"/>
        <v>0</v>
      </c>
      <c r="AM78" s="79">
        <v>0</v>
      </c>
      <c r="AN78" s="80">
        <f t="shared" si="52"/>
        <v>0</v>
      </c>
      <c r="AO78" s="79">
        <v>0</v>
      </c>
      <c r="AP78" s="80">
        <f t="shared" si="53"/>
        <v>0</v>
      </c>
      <c r="AQ78" s="79">
        <v>0</v>
      </c>
      <c r="AR78" s="81">
        <f t="shared" si="54"/>
        <v>0</v>
      </c>
      <c r="AS78" s="80">
        <f t="shared" si="68"/>
        <v>0</v>
      </c>
      <c r="AT78" s="70">
        <f t="shared" si="69"/>
        <v>0</v>
      </c>
      <c r="AU78" s="80">
        <f t="shared" si="70"/>
        <v>0</v>
      </c>
      <c r="AV78" s="70">
        <f t="shared" si="71"/>
        <v>0</v>
      </c>
      <c r="AW78" s="80">
        <f t="shared" si="72"/>
        <v>0</v>
      </c>
      <c r="AX78" s="70">
        <f t="shared" si="73"/>
        <v>0</v>
      </c>
      <c r="AY78" s="82"/>
      <c r="BA78" s="79">
        <v>0</v>
      </c>
      <c r="BB78" s="80">
        <f t="shared" si="55"/>
        <v>0</v>
      </c>
      <c r="BC78" s="79">
        <v>0</v>
      </c>
      <c r="BD78" s="80">
        <f t="shared" si="56"/>
        <v>0</v>
      </c>
      <c r="BE78" s="79">
        <v>0</v>
      </c>
      <c r="BF78" s="81">
        <f t="shared" si="57"/>
        <v>0</v>
      </c>
      <c r="BG78" s="80">
        <f t="shared" si="74"/>
        <v>0</v>
      </c>
      <c r="BH78" s="70">
        <f t="shared" si="75"/>
        <v>0</v>
      </c>
      <c r="BI78" s="80">
        <f t="shared" si="76"/>
        <v>0</v>
      </c>
      <c r="BJ78" s="70">
        <f t="shared" si="77"/>
        <v>0</v>
      </c>
      <c r="BK78" s="82"/>
    </row>
    <row r="79" spans="2:63" ht="11.95" thickBot="1" x14ac:dyDescent="0.3">
      <c r="E79" s="3"/>
      <c r="F79" s="3"/>
      <c r="G79" s="3"/>
      <c r="H79" s="3" t="s">
        <v>383</v>
      </c>
      <c r="I79" s="18"/>
      <c r="J79" s="18"/>
      <c r="K79" s="18"/>
      <c r="L79" s="78"/>
      <c r="M79" s="79"/>
      <c r="N79" s="80">
        <f t="shared" si="47"/>
        <v>0</v>
      </c>
      <c r="O79" s="79"/>
      <c r="P79" s="80">
        <f t="shared" si="48"/>
        <v>0</v>
      </c>
      <c r="Q79" s="79"/>
      <c r="R79" s="80">
        <f t="shared" si="49"/>
        <v>0</v>
      </c>
      <c r="S79" s="79"/>
      <c r="T79" s="81">
        <f t="shared" si="50"/>
        <v>0</v>
      </c>
      <c r="U79" s="80">
        <f t="shared" si="58"/>
        <v>0</v>
      </c>
      <c r="V79" s="70">
        <f t="shared" si="59"/>
        <v>0</v>
      </c>
      <c r="W79" s="80">
        <f t="shared" si="60"/>
        <v>0</v>
      </c>
      <c r="X79" s="70">
        <f t="shared" si="61"/>
        <v>0</v>
      </c>
      <c r="Y79" s="80">
        <f t="shared" si="62"/>
        <v>0</v>
      </c>
      <c r="Z79" s="70">
        <f t="shared" si="63"/>
        <v>0</v>
      </c>
      <c r="AA79" s="82"/>
      <c r="AC79" s="79">
        <v>0</v>
      </c>
      <c r="AD79" s="79">
        <v>0</v>
      </c>
      <c r="AE79" s="79">
        <v>0</v>
      </c>
      <c r="AF79" s="83">
        <f t="shared" si="64"/>
        <v>0</v>
      </c>
      <c r="AG79" s="70">
        <f t="shared" si="65"/>
        <v>0</v>
      </c>
      <c r="AH79" s="83">
        <f t="shared" si="66"/>
        <v>0</v>
      </c>
      <c r="AI79" s="70">
        <f t="shared" si="67"/>
        <v>0</v>
      </c>
      <c r="AK79" s="79">
        <v>0</v>
      </c>
      <c r="AL79" s="80">
        <f t="shared" si="51"/>
        <v>0</v>
      </c>
      <c r="AM79" s="79">
        <v>0</v>
      </c>
      <c r="AN79" s="80">
        <f t="shared" si="52"/>
        <v>0</v>
      </c>
      <c r="AO79" s="79">
        <v>0</v>
      </c>
      <c r="AP79" s="80">
        <f t="shared" si="53"/>
        <v>0</v>
      </c>
      <c r="AQ79" s="79">
        <v>0</v>
      </c>
      <c r="AR79" s="81">
        <f t="shared" si="54"/>
        <v>0</v>
      </c>
      <c r="AS79" s="80">
        <f t="shared" si="68"/>
        <v>0</v>
      </c>
      <c r="AT79" s="70">
        <f t="shared" si="69"/>
        <v>0</v>
      </c>
      <c r="AU79" s="80">
        <f t="shared" si="70"/>
        <v>0</v>
      </c>
      <c r="AV79" s="70">
        <f t="shared" si="71"/>
        <v>0</v>
      </c>
      <c r="AW79" s="80">
        <f t="shared" si="72"/>
        <v>0</v>
      </c>
      <c r="AX79" s="70">
        <f t="shared" si="73"/>
        <v>0</v>
      </c>
      <c r="AY79" s="82"/>
      <c r="BA79" s="79">
        <v>0</v>
      </c>
      <c r="BB79" s="80">
        <f t="shared" si="55"/>
        <v>0</v>
      </c>
      <c r="BC79" s="79">
        <v>0</v>
      </c>
      <c r="BD79" s="80">
        <f t="shared" si="56"/>
        <v>0</v>
      </c>
      <c r="BE79" s="79">
        <v>0</v>
      </c>
      <c r="BF79" s="81">
        <f t="shared" si="57"/>
        <v>0</v>
      </c>
      <c r="BG79" s="80">
        <f t="shared" si="74"/>
        <v>0</v>
      </c>
      <c r="BH79" s="70">
        <f t="shared" si="75"/>
        <v>0</v>
      </c>
      <c r="BI79" s="80">
        <f t="shared" si="76"/>
        <v>0</v>
      </c>
      <c r="BJ79" s="70">
        <f t="shared" si="77"/>
        <v>0</v>
      </c>
      <c r="BK79" s="82"/>
    </row>
    <row r="80" spans="2:63" ht="11.95" thickBot="1" x14ac:dyDescent="0.3">
      <c r="E80" s="3"/>
      <c r="F80" s="3"/>
      <c r="G80" s="3"/>
      <c r="H80" s="3" t="s">
        <v>384</v>
      </c>
      <c r="I80" s="18"/>
      <c r="J80" s="18"/>
      <c r="K80" s="18"/>
      <c r="L80" s="78"/>
      <c r="M80" s="79"/>
      <c r="N80" s="80">
        <f t="shared" si="47"/>
        <v>0</v>
      </c>
      <c r="O80" s="79"/>
      <c r="P80" s="80">
        <f t="shared" si="48"/>
        <v>0</v>
      </c>
      <c r="Q80" s="79"/>
      <c r="R80" s="80">
        <f t="shared" si="49"/>
        <v>0</v>
      </c>
      <c r="S80" s="79"/>
      <c r="T80" s="81">
        <f t="shared" si="50"/>
        <v>0</v>
      </c>
      <c r="U80" s="80">
        <f t="shared" si="58"/>
        <v>0</v>
      </c>
      <c r="V80" s="70">
        <f t="shared" si="59"/>
        <v>0</v>
      </c>
      <c r="W80" s="80">
        <f t="shared" si="60"/>
        <v>0</v>
      </c>
      <c r="X80" s="70">
        <f t="shared" si="61"/>
        <v>0</v>
      </c>
      <c r="Y80" s="80">
        <f t="shared" si="62"/>
        <v>0</v>
      </c>
      <c r="Z80" s="70">
        <f t="shared" si="63"/>
        <v>0</v>
      </c>
      <c r="AA80" s="82"/>
      <c r="AC80" s="79">
        <v>0</v>
      </c>
      <c r="AD80" s="79">
        <v>0</v>
      </c>
      <c r="AE80" s="79">
        <v>0</v>
      </c>
      <c r="AF80" s="83">
        <f t="shared" si="64"/>
        <v>0</v>
      </c>
      <c r="AG80" s="70">
        <f t="shared" si="65"/>
        <v>0</v>
      </c>
      <c r="AH80" s="83">
        <f t="shared" si="66"/>
        <v>0</v>
      </c>
      <c r="AI80" s="70">
        <f t="shared" si="67"/>
        <v>0</v>
      </c>
      <c r="AK80" s="79">
        <v>0</v>
      </c>
      <c r="AL80" s="80">
        <f t="shared" si="51"/>
        <v>0</v>
      </c>
      <c r="AM80" s="79">
        <v>0</v>
      </c>
      <c r="AN80" s="80">
        <f t="shared" si="52"/>
        <v>0</v>
      </c>
      <c r="AO80" s="79">
        <v>0</v>
      </c>
      <c r="AP80" s="80">
        <f t="shared" si="53"/>
        <v>0</v>
      </c>
      <c r="AQ80" s="79">
        <v>0</v>
      </c>
      <c r="AR80" s="81">
        <f t="shared" si="54"/>
        <v>0</v>
      </c>
      <c r="AS80" s="80">
        <f t="shared" si="68"/>
        <v>0</v>
      </c>
      <c r="AT80" s="70">
        <f t="shared" si="69"/>
        <v>0</v>
      </c>
      <c r="AU80" s="80">
        <f t="shared" si="70"/>
        <v>0</v>
      </c>
      <c r="AV80" s="70">
        <f t="shared" si="71"/>
        <v>0</v>
      </c>
      <c r="AW80" s="80">
        <f t="shared" si="72"/>
        <v>0</v>
      </c>
      <c r="AX80" s="70">
        <f t="shared" si="73"/>
        <v>0</v>
      </c>
      <c r="AY80" s="82"/>
      <c r="BA80" s="79">
        <v>0</v>
      </c>
      <c r="BB80" s="80">
        <f t="shared" si="55"/>
        <v>0</v>
      </c>
      <c r="BC80" s="79">
        <v>0</v>
      </c>
      <c r="BD80" s="80">
        <f t="shared" si="56"/>
        <v>0</v>
      </c>
      <c r="BE80" s="79">
        <v>0</v>
      </c>
      <c r="BF80" s="81">
        <f t="shared" si="57"/>
        <v>0</v>
      </c>
      <c r="BG80" s="80">
        <f t="shared" si="74"/>
        <v>0</v>
      </c>
      <c r="BH80" s="70">
        <f t="shared" si="75"/>
        <v>0</v>
      </c>
      <c r="BI80" s="80">
        <f t="shared" si="76"/>
        <v>0</v>
      </c>
      <c r="BJ80" s="70">
        <f t="shared" si="77"/>
        <v>0</v>
      </c>
      <c r="BK80" s="82"/>
    </row>
    <row r="81" spans="5:63" ht="11.95" thickBot="1" x14ac:dyDescent="0.3">
      <c r="E81" s="3"/>
      <c r="F81" s="3"/>
      <c r="G81" s="3"/>
      <c r="H81" s="3" t="s">
        <v>385</v>
      </c>
      <c r="I81" s="18"/>
      <c r="J81" s="18"/>
      <c r="K81" s="18"/>
      <c r="L81" s="78"/>
      <c r="M81" s="79"/>
      <c r="N81" s="80">
        <f t="shared" si="47"/>
        <v>0</v>
      </c>
      <c r="O81" s="79"/>
      <c r="P81" s="80">
        <f t="shared" si="48"/>
        <v>0</v>
      </c>
      <c r="Q81" s="79"/>
      <c r="R81" s="80">
        <f t="shared" si="49"/>
        <v>0</v>
      </c>
      <c r="S81" s="79"/>
      <c r="T81" s="81">
        <f t="shared" si="50"/>
        <v>0</v>
      </c>
      <c r="U81" s="80">
        <f t="shared" si="58"/>
        <v>0</v>
      </c>
      <c r="V81" s="70">
        <f t="shared" si="59"/>
        <v>0</v>
      </c>
      <c r="W81" s="80">
        <f t="shared" si="60"/>
        <v>0</v>
      </c>
      <c r="X81" s="70">
        <f t="shared" si="61"/>
        <v>0</v>
      </c>
      <c r="Y81" s="80">
        <f t="shared" si="62"/>
        <v>0</v>
      </c>
      <c r="Z81" s="70">
        <f t="shared" si="63"/>
        <v>0</v>
      </c>
      <c r="AA81" s="82"/>
      <c r="AC81" s="79">
        <v>0</v>
      </c>
      <c r="AD81" s="79">
        <v>0</v>
      </c>
      <c r="AE81" s="79">
        <v>0</v>
      </c>
      <c r="AF81" s="83">
        <f t="shared" si="64"/>
        <v>0</v>
      </c>
      <c r="AG81" s="70">
        <f t="shared" si="65"/>
        <v>0</v>
      </c>
      <c r="AH81" s="83">
        <f t="shared" si="66"/>
        <v>0</v>
      </c>
      <c r="AI81" s="70">
        <f t="shared" si="67"/>
        <v>0</v>
      </c>
      <c r="AK81" s="79">
        <v>0</v>
      </c>
      <c r="AL81" s="80">
        <f t="shared" si="51"/>
        <v>0</v>
      </c>
      <c r="AM81" s="79">
        <v>0</v>
      </c>
      <c r="AN81" s="80">
        <f t="shared" si="52"/>
        <v>0</v>
      </c>
      <c r="AO81" s="79">
        <v>0</v>
      </c>
      <c r="AP81" s="80">
        <f t="shared" si="53"/>
        <v>0</v>
      </c>
      <c r="AQ81" s="79">
        <v>0</v>
      </c>
      <c r="AR81" s="81">
        <f t="shared" si="54"/>
        <v>0</v>
      </c>
      <c r="AS81" s="80">
        <f t="shared" si="68"/>
        <v>0</v>
      </c>
      <c r="AT81" s="70">
        <f t="shared" si="69"/>
        <v>0</v>
      </c>
      <c r="AU81" s="80">
        <f t="shared" si="70"/>
        <v>0</v>
      </c>
      <c r="AV81" s="70">
        <f t="shared" si="71"/>
        <v>0</v>
      </c>
      <c r="AW81" s="80">
        <f t="shared" si="72"/>
        <v>0</v>
      </c>
      <c r="AX81" s="70">
        <f t="shared" si="73"/>
        <v>0</v>
      </c>
      <c r="AY81" s="82"/>
      <c r="BA81" s="79">
        <v>0</v>
      </c>
      <c r="BB81" s="80">
        <f t="shared" si="55"/>
        <v>0</v>
      </c>
      <c r="BC81" s="79">
        <v>0</v>
      </c>
      <c r="BD81" s="80">
        <f t="shared" si="56"/>
        <v>0</v>
      </c>
      <c r="BE81" s="79">
        <v>0</v>
      </c>
      <c r="BF81" s="81">
        <f t="shared" si="57"/>
        <v>0</v>
      </c>
      <c r="BG81" s="80">
        <f t="shared" si="74"/>
        <v>0</v>
      </c>
      <c r="BH81" s="70">
        <f t="shared" si="75"/>
        <v>0</v>
      </c>
      <c r="BI81" s="80">
        <f t="shared" si="76"/>
        <v>0</v>
      </c>
      <c r="BJ81" s="70">
        <f t="shared" si="77"/>
        <v>0</v>
      </c>
      <c r="BK81" s="82"/>
    </row>
    <row r="82" spans="5:63" ht="11.95" thickBot="1" x14ac:dyDescent="0.3">
      <c r="E82" s="3"/>
      <c r="F82" s="3"/>
      <c r="G82" s="3"/>
      <c r="H82" s="3" t="s">
        <v>386</v>
      </c>
      <c r="I82" s="18"/>
      <c r="J82" s="18"/>
      <c r="K82" s="18"/>
      <c r="L82" s="78"/>
      <c r="M82" s="79"/>
      <c r="N82" s="80">
        <f t="shared" si="47"/>
        <v>0</v>
      </c>
      <c r="O82" s="79"/>
      <c r="P82" s="80">
        <f t="shared" si="48"/>
        <v>0</v>
      </c>
      <c r="Q82" s="79"/>
      <c r="R82" s="80">
        <f t="shared" si="49"/>
        <v>0</v>
      </c>
      <c r="S82" s="79"/>
      <c r="T82" s="81">
        <f t="shared" si="50"/>
        <v>0</v>
      </c>
      <c r="U82" s="80">
        <f t="shared" si="58"/>
        <v>0</v>
      </c>
      <c r="V82" s="70">
        <f t="shared" si="59"/>
        <v>0</v>
      </c>
      <c r="W82" s="80">
        <f t="shared" si="60"/>
        <v>0</v>
      </c>
      <c r="X82" s="70">
        <f t="shared" si="61"/>
        <v>0</v>
      </c>
      <c r="Y82" s="80">
        <f t="shared" si="62"/>
        <v>0</v>
      </c>
      <c r="Z82" s="70">
        <f t="shared" si="63"/>
        <v>0</v>
      </c>
      <c r="AA82" s="82"/>
      <c r="AC82" s="79">
        <v>0</v>
      </c>
      <c r="AD82" s="79">
        <v>0</v>
      </c>
      <c r="AE82" s="79">
        <v>0</v>
      </c>
      <c r="AF82" s="83">
        <f t="shared" si="64"/>
        <v>0</v>
      </c>
      <c r="AG82" s="70">
        <f t="shared" si="65"/>
        <v>0</v>
      </c>
      <c r="AH82" s="83">
        <f t="shared" si="66"/>
        <v>0</v>
      </c>
      <c r="AI82" s="70">
        <f t="shared" si="67"/>
        <v>0</v>
      </c>
      <c r="AK82" s="79">
        <v>0</v>
      </c>
      <c r="AL82" s="80">
        <f t="shared" si="51"/>
        <v>0</v>
      </c>
      <c r="AM82" s="79">
        <v>0</v>
      </c>
      <c r="AN82" s="80">
        <f t="shared" si="52"/>
        <v>0</v>
      </c>
      <c r="AO82" s="79">
        <v>0</v>
      </c>
      <c r="AP82" s="80">
        <f t="shared" si="53"/>
        <v>0</v>
      </c>
      <c r="AQ82" s="79">
        <v>0</v>
      </c>
      <c r="AR82" s="81">
        <f t="shared" si="54"/>
        <v>0</v>
      </c>
      <c r="AS82" s="80">
        <f t="shared" si="68"/>
        <v>0</v>
      </c>
      <c r="AT82" s="70">
        <f t="shared" si="69"/>
        <v>0</v>
      </c>
      <c r="AU82" s="80">
        <f t="shared" si="70"/>
        <v>0</v>
      </c>
      <c r="AV82" s="70">
        <f t="shared" si="71"/>
        <v>0</v>
      </c>
      <c r="AW82" s="80">
        <f t="shared" si="72"/>
        <v>0</v>
      </c>
      <c r="AX82" s="70">
        <f t="shared" si="73"/>
        <v>0</v>
      </c>
      <c r="AY82" s="82"/>
      <c r="BA82" s="79">
        <v>0</v>
      </c>
      <c r="BB82" s="80">
        <f t="shared" si="55"/>
        <v>0</v>
      </c>
      <c r="BC82" s="79">
        <v>0</v>
      </c>
      <c r="BD82" s="80">
        <f t="shared" si="56"/>
        <v>0</v>
      </c>
      <c r="BE82" s="79">
        <v>0</v>
      </c>
      <c r="BF82" s="81">
        <f t="shared" si="57"/>
        <v>0</v>
      </c>
      <c r="BG82" s="80">
        <f t="shared" si="74"/>
        <v>0</v>
      </c>
      <c r="BH82" s="70">
        <f t="shared" si="75"/>
        <v>0</v>
      </c>
      <c r="BI82" s="80">
        <f t="shared" si="76"/>
        <v>0</v>
      </c>
      <c r="BJ82" s="70">
        <f t="shared" si="77"/>
        <v>0</v>
      </c>
      <c r="BK82" s="82"/>
    </row>
    <row r="83" spans="5:63" ht="11.95" thickBot="1" x14ac:dyDescent="0.3">
      <c r="E83" s="3"/>
      <c r="F83" s="3"/>
      <c r="G83" s="3"/>
      <c r="H83" s="3" t="s">
        <v>387</v>
      </c>
      <c r="I83" s="18"/>
      <c r="J83" s="18"/>
      <c r="K83" s="18"/>
      <c r="L83" s="78"/>
      <c r="M83" s="79"/>
      <c r="N83" s="80">
        <f t="shared" si="47"/>
        <v>0</v>
      </c>
      <c r="O83" s="79"/>
      <c r="P83" s="80">
        <f t="shared" si="48"/>
        <v>0</v>
      </c>
      <c r="Q83" s="79"/>
      <c r="R83" s="80">
        <f t="shared" si="49"/>
        <v>0</v>
      </c>
      <c r="S83" s="79"/>
      <c r="T83" s="81">
        <f t="shared" si="50"/>
        <v>0</v>
      </c>
      <c r="U83" s="80">
        <f t="shared" si="58"/>
        <v>0</v>
      </c>
      <c r="V83" s="70">
        <f t="shared" si="59"/>
        <v>0</v>
      </c>
      <c r="W83" s="80">
        <f t="shared" si="60"/>
        <v>0</v>
      </c>
      <c r="X83" s="70">
        <f t="shared" si="61"/>
        <v>0</v>
      </c>
      <c r="Y83" s="80">
        <f t="shared" si="62"/>
        <v>0</v>
      </c>
      <c r="Z83" s="70">
        <f t="shared" si="63"/>
        <v>0</v>
      </c>
      <c r="AA83" s="82"/>
      <c r="AC83" s="79">
        <v>0</v>
      </c>
      <c r="AD83" s="79">
        <v>0</v>
      </c>
      <c r="AE83" s="79">
        <v>0</v>
      </c>
      <c r="AF83" s="83">
        <f t="shared" si="64"/>
        <v>0</v>
      </c>
      <c r="AG83" s="70">
        <f t="shared" si="65"/>
        <v>0</v>
      </c>
      <c r="AH83" s="83">
        <f t="shared" si="66"/>
        <v>0</v>
      </c>
      <c r="AI83" s="70">
        <f t="shared" si="67"/>
        <v>0</v>
      </c>
      <c r="AK83" s="79">
        <v>0</v>
      </c>
      <c r="AL83" s="80">
        <f t="shared" si="51"/>
        <v>0</v>
      </c>
      <c r="AM83" s="79">
        <v>0</v>
      </c>
      <c r="AN83" s="80">
        <f t="shared" si="52"/>
        <v>0</v>
      </c>
      <c r="AO83" s="79">
        <v>0</v>
      </c>
      <c r="AP83" s="80">
        <f t="shared" si="53"/>
        <v>0</v>
      </c>
      <c r="AQ83" s="79">
        <v>0</v>
      </c>
      <c r="AR83" s="81">
        <f t="shared" si="54"/>
        <v>0</v>
      </c>
      <c r="AS83" s="80">
        <f t="shared" si="68"/>
        <v>0</v>
      </c>
      <c r="AT83" s="70">
        <f t="shared" si="69"/>
        <v>0</v>
      </c>
      <c r="AU83" s="80">
        <f t="shared" si="70"/>
        <v>0</v>
      </c>
      <c r="AV83" s="70">
        <f t="shared" si="71"/>
        <v>0</v>
      </c>
      <c r="AW83" s="80">
        <f t="shared" si="72"/>
        <v>0</v>
      </c>
      <c r="AX83" s="70">
        <f t="shared" si="73"/>
        <v>0</v>
      </c>
      <c r="AY83" s="82"/>
      <c r="BA83" s="79">
        <v>0</v>
      </c>
      <c r="BB83" s="80">
        <f t="shared" si="55"/>
        <v>0</v>
      </c>
      <c r="BC83" s="79">
        <v>0</v>
      </c>
      <c r="BD83" s="80">
        <f t="shared" si="56"/>
        <v>0</v>
      </c>
      <c r="BE83" s="79">
        <v>0</v>
      </c>
      <c r="BF83" s="81">
        <f t="shared" si="57"/>
        <v>0</v>
      </c>
      <c r="BG83" s="80">
        <f t="shared" si="74"/>
        <v>0</v>
      </c>
      <c r="BH83" s="70">
        <f t="shared" si="75"/>
        <v>0</v>
      </c>
      <c r="BI83" s="80">
        <f t="shared" si="76"/>
        <v>0</v>
      </c>
      <c r="BJ83" s="70">
        <f t="shared" si="77"/>
        <v>0</v>
      </c>
      <c r="BK83" s="82"/>
    </row>
    <row r="84" spans="5:63" ht="11.95" thickBot="1" x14ac:dyDescent="0.3">
      <c r="E84" s="3"/>
      <c r="F84" s="3"/>
      <c r="G84" s="3"/>
      <c r="H84" s="3" t="s">
        <v>388</v>
      </c>
      <c r="I84" s="18"/>
      <c r="J84" s="18"/>
      <c r="K84" s="18"/>
      <c r="L84" s="78"/>
      <c r="M84" s="79"/>
      <c r="N84" s="80">
        <f t="shared" si="47"/>
        <v>0</v>
      </c>
      <c r="O84" s="79"/>
      <c r="P84" s="80">
        <f t="shared" si="48"/>
        <v>0</v>
      </c>
      <c r="Q84" s="79"/>
      <c r="R84" s="80">
        <f t="shared" si="49"/>
        <v>0</v>
      </c>
      <c r="S84" s="79"/>
      <c r="T84" s="81">
        <f t="shared" si="50"/>
        <v>0</v>
      </c>
      <c r="U84" s="80">
        <f t="shared" si="58"/>
        <v>0</v>
      </c>
      <c r="V84" s="70">
        <f t="shared" si="59"/>
        <v>0</v>
      </c>
      <c r="W84" s="80">
        <f t="shared" si="60"/>
        <v>0</v>
      </c>
      <c r="X84" s="70">
        <f t="shared" si="61"/>
        <v>0</v>
      </c>
      <c r="Y84" s="80">
        <f t="shared" si="62"/>
        <v>0</v>
      </c>
      <c r="Z84" s="70">
        <f t="shared" si="63"/>
        <v>0</v>
      </c>
      <c r="AA84" s="82"/>
      <c r="AC84" s="79">
        <v>0</v>
      </c>
      <c r="AD84" s="79">
        <v>0</v>
      </c>
      <c r="AE84" s="79">
        <v>0</v>
      </c>
      <c r="AF84" s="83">
        <f t="shared" si="64"/>
        <v>0</v>
      </c>
      <c r="AG84" s="70">
        <f t="shared" si="65"/>
        <v>0</v>
      </c>
      <c r="AH84" s="83">
        <f t="shared" si="66"/>
        <v>0</v>
      </c>
      <c r="AI84" s="70">
        <f t="shared" si="67"/>
        <v>0</v>
      </c>
      <c r="AK84" s="79">
        <v>0</v>
      </c>
      <c r="AL84" s="80">
        <f t="shared" si="51"/>
        <v>0</v>
      </c>
      <c r="AM84" s="79">
        <v>0</v>
      </c>
      <c r="AN84" s="80">
        <f t="shared" si="52"/>
        <v>0</v>
      </c>
      <c r="AO84" s="79">
        <v>0</v>
      </c>
      <c r="AP84" s="80">
        <f t="shared" si="53"/>
        <v>0</v>
      </c>
      <c r="AQ84" s="79">
        <v>0</v>
      </c>
      <c r="AR84" s="81">
        <f t="shared" si="54"/>
        <v>0</v>
      </c>
      <c r="AS84" s="80">
        <f t="shared" si="68"/>
        <v>0</v>
      </c>
      <c r="AT84" s="70">
        <f t="shared" si="69"/>
        <v>0</v>
      </c>
      <c r="AU84" s="80">
        <f t="shared" si="70"/>
        <v>0</v>
      </c>
      <c r="AV84" s="70">
        <f t="shared" si="71"/>
        <v>0</v>
      </c>
      <c r="AW84" s="80">
        <f t="shared" si="72"/>
        <v>0</v>
      </c>
      <c r="AX84" s="70">
        <f t="shared" si="73"/>
        <v>0</v>
      </c>
      <c r="AY84" s="82"/>
      <c r="BA84" s="79">
        <v>0</v>
      </c>
      <c r="BB84" s="80">
        <f t="shared" si="55"/>
        <v>0</v>
      </c>
      <c r="BC84" s="79">
        <v>0</v>
      </c>
      <c r="BD84" s="80">
        <f t="shared" si="56"/>
        <v>0</v>
      </c>
      <c r="BE84" s="79">
        <v>0</v>
      </c>
      <c r="BF84" s="81">
        <f t="shared" si="57"/>
        <v>0</v>
      </c>
      <c r="BG84" s="80">
        <f t="shared" si="74"/>
        <v>0</v>
      </c>
      <c r="BH84" s="70">
        <f t="shared" si="75"/>
        <v>0</v>
      </c>
      <c r="BI84" s="80">
        <f t="shared" si="76"/>
        <v>0</v>
      </c>
      <c r="BJ84" s="70">
        <f t="shared" si="77"/>
        <v>0</v>
      </c>
      <c r="BK84" s="82"/>
    </row>
    <row r="85" spans="5:63" ht="11.95" thickBot="1" x14ac:dyDescent="0.3">
      <c r="E85" s="3"/>
      <c r="F85" s="3"/>
      <c r="G85" s="3"/>
      <c r="H85" s="3" t="s">
        <v>389</v>
      </c>
      <c r="I85" s="18"/>
      <c r="J85" s="18"/>
      <c r="K85" s="18"/>
      <c r="L85" s="78"/>
      <c r="M85" s="79"/>
      <c r="N85" s="80">
        <f t="shared" si="47"/>
        <v>0</v>
      </c>
      <c r="O85" s="79"/>
      <c r="P85" s="80">
        <f t="shared" si="48"/>
        <v>0</v>
      </c>
      <c r="Q85" s="79"/>
      <c r="R85" s="80">
        <f t="shared" si="49"/>
        <v>0</v>
      </c>
      <c r="S85" s="79"/>
      <c r="T85" s="81">
        <f t="shared" si="50"/>
        <v>0</v>
      </c>
      <c r="U85" s="80">
        <f t="shared" si="58"/>
        <v>0</v>
      </c>
      <c r="V85" s="70">
        <f t="shared" si="59"/>
        <v>0</v>
      </c>
      <c r="W85" s="80">
        <f t="shared" si="60"/>
        <v>0</v>
      </c>
      <c r="X85" s="70">
        <f t="shared" si="61"/>
        <v>0</v>
      </c>
      <c r="Y85" s="80">
        <f t="shared" si="62"/>
        <v>0</v>
      </c>
      <c r="Z85" s="70">
        <f t="shared" si="63"/>
        <v>0</v>
      </c>
      <c r="AA85" s="82"/>
      <c r="AC85" s="79">
        <v>0</v>
      </c>
      <c r="AD85" s="79">
        <v>0</v>
      </c>
      <c r="AE85" s="79">
        <v>0</v>
      </c>
      <c r="AF85" s="83">
        <f t="shared" si="64"/>
        <v>0</v>
      </c>
      <c r="AG85" s="70">
        <f t="shared" si="65"/>
        <v>0</v>
      </c>
      <c r="AH85" s="83">
        <f t="shared" si="66"/>
        <v>0</v>
      </c>
      <c r="AI85" s="70">
        <f t="shared" si="67"/>
        <v>0</v>
      </c>
      <c r="AK85" s="79">
        <v>0</v>
      </c>
      <c r="AL85" s="80">
        <f t="shared" si="51"/>
        <v>0</v>
      </c>
      <c r="AM85" s="79">
        <v>0</v>
      </c>
      <c r="AN85" s="80">
        <f t="shared" si="52"/>
        <v>0</v>
      </c>
      <c r="AO85" s="79">
        <v>0</v>
      </c>
      <c r="AP85" s="80">
        <f t="shared" si="53"/>
        <v>0</v>
      </c>
      <c r="AQ85" s="79">
        <v>0</v>
      </c>
      <c r="AR85" s="81">
        <f t="shared" si="54"/>
        <v>0</v>
      </c>
      <c r="AS85" s="80">
        <f t="shared" si="68"/>
        <v>0</v>
      </c>
      <c r="AT85" s="70">
        <f t="shared" si="69"/>
        <v>0</v>
      </c>
      <c r="AU85" s="80">
        <f t="shared" si="70"/>
        <v>0</v>
      </c>
      <c r="AV85" s="70">
        <f t="shared" si="71"/>
        <v>0</v>
      </c>
      <c r="AW85" s="80">
        <f t="shared" si="72"/>
        <v>0</v>
      </c>
      <c r="AX85" s="70">
        <f t="shared" si="73"/>
        <v>0</v>
      </c>
      <c r="AY85" s="82"/>
      <c r="BA85" s="79">
        <v>0</v>
      </c>
      <c r="BB85" s="80">
        <f t="shared" si="55"/>
        <v>0</v>
      </c>
      <c r="BC85" s="79">
        <v>0</v>
      </c>
      <c r="BD85" s="80">
        <f t="shared" si="56"/>
        <v>0</v>
      </c>
      <c r="BE85" s="79">
        <v>0</v>
      </c>
      <c r="BF85" s="81">
        <f t="shared" si="57"/>
        <v>0</v>
      </c>
      <c r="BG85" s="80">
        <f t="shared" si="74"/>
        <v>0</v>
      </c>
      <c r="BH85" s="70">
        <f t="shared" si="75"/>
        <v>0</v>
      </c>
      <c r="BI85" s="80">
        <f t="shared" si="76"/>
        <v>0</v>
      </c>
      <c r="BJ85" s="70">
        <f t="shared" si="77"/>
        <v>0</v>
      </c>
      <c r="BK85" s="82"/>
    </row>
    <row r="86" spans="5:63" ht="11.95" thickBot="1" x14ac:dyDescent="0.3">
      <c r="E86" s="3"/>
      <c r="F86" s="3"/>
      <c r="G86" s="3"/>
      <c r="H86" s="3" t="s">
        <v>390</v>
      </c>
      <c r="I86" s="18"/>
      <c r="J86" s="18"/>
      <c r="K86" s="18"/>
      <c r="L86" s="78"/>
      <c r="M86" s="79"/>
      <c r="N86" s="80">
        <f t="shared" si="47"/>
        <v>0</v>
      </c>
      <c r="O86" s="79"/>
      <c r="P86" s="80">
        <f t="shared" si="48"/>
        <v>0</v>
      </c>
      <c r="Q86" s="79"/>
      <c r="R86" s="80">
        <f t="shared" si="49"/>
        <v>0</v>
      </c>
      <c r="S86" s="79"/>
      <c r="T86" s="81">
        <f t="shared" si="50"/>
        <v>0</v>
      </c>
      <c r="U86" s="80">
        <f t="shared" si="58"/>
        <v>0</v>
      </c>
      <c r="V86" s="70">
        <f t="shared" si="59"/>
        <v>0</v>
      </c>
      <c r="W86" s="80">
        <f t="shared" si="60"/>
        <v>0</v>
      </c>
      <c r="X86" s="70">
        <f t="shared" si="61"/>
        <v>0</v>
      </c>
      <c r="Y86" s="80">
        <f t="shared" si="62"/>
        <v>0</v>
      </c>
      <c r="Z86" s="70">
        <f t="shared" si="63"/>
        <v>0</v>
      </c>
      <c r="AA86" s="82"/>
      <c r="AC86" s="79">
        <v>0</v>
      </c>
      <c r="AD86" s="79">
        <v>0</v>
      </c>
      <c r="AE86" s="79">
        <v>0</v>
      </c>
      <c r="AF86" s="83">
        <f t="shared" si="64"/>
        <v>0</v>
      </c>
      <c r="AG86" s="70">
        <f t="shared" si="65"/>
        <v>0</v>
      </c>
      <c r="AH86" s="83">
        <f t="shared" si="66"/>
        <v>0</v>
      </c>
      <c r="AI86" s="70">
        <f t="shared" si="67"/>
        <v>0</v>
      </c>
      <c r="AK86" s="79">
        <v>0</v>
      </c>
      <c r="AL86" s="80">
        <f t="shared" si="51"/>
        <v>0</v>
      </c>
      <c r="AM86" s="79">
        <v>0</v>
      </c>
      <c r="AN86" s="80">
        <f t="shared" si="52"/>
        <v>0</v>
      </c>
      <c r="AO86" s="79">
        <v>0</v>
      </c>
      <c r="AP86" s="80">
        <f t="shared" si="53"/>
        <v>0</v>
      </c>
      <c r="AQ86" s="79">
        <v>0</v>
      </c>
      <c r="AR86" s="81">
        <f t="shared" si="54"/>
        <v>0</v>
      </c>
      <c r="AS86" s="80">
        <f t="shared" si="68"/>
        <v>0</v>
      </c>
      <c r="AT86" s="70">
        <f t="shared" si="69"/>
        <v>0</v>
      </c>
      <c r="AU86" s="80">
        <f t="shared" si="70"/>
        <v>0</v>
      </c>
      <c r="AV86" s="70">
        <f t="shared" si="71"/>
        <v>0</v>
      </c>
      <c r="AW86" s="80">
        <f t="shared" si="72"/>
        <v>0</v>
      </c>
      <c r="AX86" s="70">
        <f t="shared" si="73"/>
        <v>0</v>
      </c>
      <c r="AY86" s="82"/>
      <c r="BA86" s="79">
        <v>0</v>
      </c>
      <c r="BB86" s="80">
        <f t="shared" si="55"/>
        <v>0</v>
      </c>
      <c r="BC86" s="79">
        <v>0</v>
      </c>
      <c r="BD86" s="80">
        <f t="shared" si="56"/>
        <v>0</v>
      </c>
      <c r="BE86" s="79">
        <v>0</v>
      </c>
      <c r="BF86" s="81">
        <f t="shared" si="57"/>
        <v>0</v>
      </c>
      <c r="BG86" s="80">
        <f t="shared" si="74"/>
        <v>0</v>
      </c>
      <c r="BH86" s="70">
        <f t="shared" si="75"/>
        <v>0</v>
      </c>
      <c r="BI86" s="80">
        <f t="shared" si="76"/>
        <v>0</v>
      </c>
      <c r="BJ86" s="70">
        <f t="shared" si="77"/>
        <v>0</v>
      </c>
      <c r="BK86" s="82"/>
    </row>
    <row r="87" spans="5:63" ht="11.95" thickBot="1" x14ac:dyDescent="0.3">
      <c r="E87" s="3"/>
      <c r="F87" s="3"/>
      <c r="G87" s="3"/>
      <c r="H87" s="3" t="s">
        <v>391</v>
      </c>
      <c r="I87" s="18"/>
      <c r="J87" s="18"/>
      <c r="K87" s="18"/>
      <c r="L87" s="78"/>
      <c r="M87" s="79"/>
      <c r="N87" s="80">
        <f t="shared" si="47"/>
        <v>0</v>
      </c>
      <c r="O87" s="79"/>
      <c r="P87" s="80">
        <f t="shared" si="48"/>
        <v>0</v>
      </c>
      <c r="Q87" s="79"/>
      <c r="R87" s="80">
        <f t="shared" si="49"/>
        <v>0</v>
      </c>
      <c r="S87" s="79"/>
      <c r="T87" s="81">
        <f t="shared" si="50"/>
        <v>0</v>
      </c>
      <c r="U87" s="80">
        <f t="shared" si="58"/>
        <v>0</v>
      </c>
      <c r="V87" s="70">
        <f t="shared" si="59"/>
        <v>0</v>
      </c>
      <c r="W87" s="80">
        <f t="shared" si="60"/>
        <v>0</v>
      </c>
      <c r="X87" s="70">
        <f t="shared" si="61"/>
        <v>0</v>
      </c>
      <c r="Y87" s="80">
        <f t="shared" si="62"/>
        <v>0</v>
      </c>
      <c r="Z87" s="70">
        <f t="shared" si="63"/>
        <v>0</v>
      </c>
      <c r="AA87" s="82"/>
      <c r="AC87" s="79">
        <v>0</v>
      </c>
      <c r="AD87" s="79">
        <v>0</v>
      </c>
      <c r="AE87" s="79">
        <v>0</v>
      </c>
      <c r="AF87" s="83">
        <f t="shared" si="64"/>
        <v>0</v>
      </c>
      <c r="AG87" s="70">
        <f t="shared" si="65"/>
        <v>0</v>
      </c>
      <c r="AH87" s="83">
        <f t="shared" si="66"/>
        <v>0</v>
      </c>
      <c r="AI87" s="70">
        <f t="shared" si="67"/>
        <v>0</v>
      </c>
      <c r="AK87" s="79">
        <v>0</v>
      </c>
      <c r="AL87" s="80">
        <f t="shared" si="51"/>
        <v>0</v>
      </c>
      <c r="AM87" s="79">
        <v>0</v>
      </c>
      <c r="AN87" s="80">
        <f t="shared" si="52"/>
        <v>0</v>
      </c>
      <c r="AO87" s="79">
        <v>0</v>
      </c>
      <c r="AP87" s="80">
        <f t="shared" si="53"/>
        <v>0</v>
      </c>
      <c r="AQ87" s="79">
        <v>0</v>
      </c>
      <c r="AR87" s="81">
        <f t="shared" si="54"/>
        <v>0</v>
      </c>
      <c r="AS87" s="80">
        <f t="shared" si="68"/>
        <v>0</v>
      </c>
      <c r="AT87" s="70">
        <f t="shared" si="69"/>
        <v>0</v>
      </c>
      <c r="AU87" s="80">
        <f t="shared" si="70"/>
        <v>0</v>
      </c>
      <c r="AV87" s="70">
        <f t="shared" si="71"/>
        <v>0</v>
      </c>
      <c r="AW87" s="80">
        <f t="shared" si="72"/>
        <v>0</v>
      </c>
      <c r="AX87" s="70">
        <f t="shared" si="73"/>
        <v>0</v>
      </c>
      <c r="AY87" s="82"/>
      <c r="BA87" s="79">
        <v>0</v>
      </c>
      <c r="BB87" s="80">
        <f t="shared" si="55"/>
        <v>0</v>
      </c>
      <c r="BC87" s="79">
        <v>0</v>
      </c>
      <c r="BD87" s="80">
        <f t="shared" si="56"/>
        <v>0</v>
      </c>
      <c r="BE87" s="79">
        <v>0</v>
      </c>
      <c r="BF87" s="81">
        <f t="shared" si="57"/>
        <v>0</v>
      </c>
      <c r="BG87" s="80">
        <f t="shared" si="74"/>
        <v>0</v>
      </c>
      <c r="BH87" s="70">
        <f t="shared" si="75"/>
        <v>0</v>
      </c>
      <c r="BI87" s="80">
        <f t="shared" si="76"/>
        <v>0</v>
      </c>
      <c r="BJ87" s="70">
        <f t="shared" si="77"/>
        <v>0</v>
      </c>
      <c r="BK87" s="82"/>
    </row>
    <row r="88" spans="5:63" ht="11.95" thickBot="1" x14ac:dyDescent="0.3">
      <c r="E88" s="3"/>
      <c r="F88" s="3"/>
      <c r="G88" s="3"/>
      <c r="H88" s="3" t="s">
        <v>392</v>
      </c>
      <c r="I88" s="18"/>
      <c r="J88" s="18"/>
      <c r="K88" s="18"/>
      <c r="L88" s="78"/>
      <c r="M88" s="79"/>
      <c r="N88" s="80">
        <f t="shared" si="47"/>
        <v>0</v>
      </c>
      <c r="O88" s="79"/>
      <c r="P88" s="80">
        <f t="shared" si="48"/>
        <v>0</v>
      </c>
      <c r="Q88" s="79"/>
      <c r="R88" s="80">
        <f t="shared" si="49"/>
        <v>0</v>
      </c>
      <c r="S88" s="79"/>
      <c r="T88" s="81">
        <f t="shared" si="50"/>
        <v>0</v>
      </c>
      <c r="U88" s="80">
        <f t="shared" si="58"/>
        <v>0</v>
      </c>
      <c r="V88" s="70">
        <f t="shared" si="59"/>
        <v>0</v>
      </c>
      <c r="W88" s="80">
        <f t="shared" si="60"/>
        <v>0</v>
      </c>
      <c r="X88" s="70">
        <f t="shared" si="61"/>
        <v>0</v>
      </c>
      <c r="Y88" s="80">
        <f t="shared" si="62"/>
        <v>0</v>
      </c>
      <c r="Z88" s="70">
        <f t="shared" si="63"/>
        <v>0</v>
      </c>
      <c r="AA88" s="82"/>
      <c r="AC88" s="79">
        <v>0</v>
      </c>
      <c r="AD88" s="79">
        <v>0</v>
      </c>
      <c r="AE88" s="79">
        <v>0</v>
      </c>
      <c r="AF88" s="83">
        <f t="shared" si="64"/>
        <v>0</v>
      </c>
      <c r="AG88" s="70">
        <f t="shared" si="65"/>
        <v>0</v>
      </c>
      <c r="AH88" s="83">
        <f t="shared" si="66"/>
        <v>0</v>
      </c>
      <c r="AI88" s="70">
        <f t="shared" si="67"/>
        <v>0</v>
      </c>
      <c r="AK88" s="79">
        <v>0</v>
      </c>
      <c r="AL88" s="80">
        <f t="shared" si="51"/>
        <v>0</v>
      </c>
      <c r="AM88" s="79">
        <v>0</v>
      </c>
      <c r="AN88" s="80">
        <f t="shared" si="52"/>
        <v>0</v>
      </c>
      <c r="AO88" s="79">
        <v>0</v>
      </c>
      <c r="AP88" s="80">
        <f t="shared" si="53"/>
        <v>0</v>
      </c>
      <c r="AQ88" s="79">
        <v>0</v>
      </c>
      <c r="AR88" s="81">
        <f t="shared" si="54"/>
        <v>0</v>
      </c>
      <c r="AS88" s="80">
        <f t="shared" si="68"/>
        <v>0</v>
      </c>
      <c r="AT88" s="70">
        <f t="shared" si="69"/>
        <v>0</v>
      </c>
      <c r="AU88" s="80">
        <f t="shared" si="70"/>
        <v>0</v>
      </c>
      <c r="AV88" s="70">
        <f t="shared" si="71"/>
        <v>0</v>
      </c>
      <c r="AW88" s="80">
        <f t="shared" si="72"/>
        <v>0</v>
      </c>
      <c r="AX88" s="70">
        <f t="shared" si="73"/>
        <v>0</v>
      </c>
      <c r="AY88" s="82"/>
      <c r="BA88" s="79">
        <v>0</v>
      </c>
      <c r="BB88" s="80">
        <f t="shared" si="55"/>
        <v>0</v>
      </c>
      <c r="BC88" s="79">
        <v>0</v>
      </c>
      <c r="BD88" s="80">
        <f t="shared" si="56"/>
        <v>0</v>
      </c>
      <c r="BE88" s="79">
        <v>0</v>
      </c>
      <c r="BF88" s="81">
        <f t="shared" si="57"/>
        <v>0</v>
      </c>
      <c r="BG88" s="80">
        <f t="shared" si="74"/>
        <v>0</v>
      </c>
      <c r="BH88" s="70">
        <f t="shared" si="75"/>
        <v>0</v>
      </c>
      <c r="BI88" s="80">
        <f t="shared" si="76"/>
        <v>0</v>
      </c>
      <c r="BJ88" s="70">
        <f t="shared" si="77"/>
        <v>0</v>
      </c>
      <c r="BK88" s="82"/>
    </row>
    <row r="89" spans="5:63" ht="11.95" thickBot="1" x14ac:dyDescent="0.3">
      <c r="E89" s="3"/>
      <c r="F89" s="3"/>
      <c r="G89" s="3"/>
      <c r="H89" s="3" t="s">
        <v>393</v>
      </c>
      <c r="I89" s="18"/>
      <c r="J89" s="18"/>
      <c r="K89" s="18"/>
      <c r="L89" s="78"/>
      <c r="M89" s="79"/>
      <c r="N89" s="80">
        <f t="shared" si="47"/>
        <v>0</v>
      </c>
      <c r="O89" s="79"/>
      <c r="P89" s="80">
        <f t="shared" si="48"/>
        <v>0</v>
      </c>
      <c r="Q89" s="79"/>
      <c r="R89" s="80">
        <f t="shared" si="49"/>
        <v>0</v>
      </c>
      <c r="S89" s="79"/>
      <c r="T89" s="81">
        <f t="shared" si="50"/>
        <v>0</v>
      </c>
      <c r="U89" s="80">
        <f t="shared" si="58"/>
        <v>0</v>
      </c>
      <c r="V89" s="70">
        <f t="shared" si="59"/>
        <v>0</v>
      </c>
      <c r="W89" s="80">
        <f t="shared" si="60"/>
        <v>0</v>
      </c>
      <c r="X89" s="70">
        <f t="shared" si="61"/>
        <v>0</v>
      </c>
      <c r="Y89" s="80">
        <f t="shared" si="62"/>
        <v>0</v>
      </c>
      <c r="Z89" s="70">
        <f t="shared" si="63"/>
        <v>0</v>
      </c>
      <c r="AA89" s="82"/>
      <c r="AC89" s="79">
        <v>0</v>
      </c>
      <c r="AD89" s="79">
        <v>0</v>
      </c>
      <c r="AE89" s="79">
        <v>0</v>
      </c>
      <c r="AF89" s="83">
        <f t="shared" si="64"/>
        <v>0</v>
      </c>
      <c r="AG89" s="70">
        <f t="shared" si="65"/>
        <v>0</v>
      </c>
      <c r="AH89" s="83">
        <f t="shared" si="66"/>
        <v>0</v>
      </c>
      <c r="AI89" s="70">
        <f t="shared" si="67"/>
        <v>0</v>
      </c>
      <c r="AK89" s="79">
        <v>0</v>
      </c>
      <c r="AL89" s="80">
        <f t="shared" si="51"/>
        <v>0</v>
      </c>
      <c r="AM89" s="79">
        <v>0</v>
      </c>
      <c r="AN89" s="80">
        <f t="shared" si="52"/>
        <v>0</v>
      </c>
      <c r="AO89" s="79">
        <v>0</v>
      </c>
      <c r="AP89" s="80">
        <f t="shared" si="53"/>
        <v>0</v>
      </c>
      <c r="AQ89" s="79">
        <v>0</v>
      </c>
      <c r="AR89" s="81">
        <f t="shared" si="54"/>
        <v>0</v>
      </c>
      <c r="AS89" s="80">
        <f t="shared" si="68"/>
        <v>0</v>
      </c>
      <c r="AT89" s="70">
        <f t="shared" si="69"/>
        <v>0</v>
      </c>
      <c r="AU89" s="80">
        <f t="shared" si="70"/>
        <v>0</v>
      </c>
      <c r="AV89" s="70">
        <f t="shared" si="71"/>
        <v>0</v>
      </c>
      <c r="AW89" s="80">
        <f t="shared" si="72"/>
        <v>0</v>
      </c>
      <c r="AX89" s="70">
        <f t="shared" si="73"/>
        <v>0</v>
      </c>
      <c r="AY89" s="82"/>
      <c r="BA89" s="79">
        <v>0</v>
      </c>
      <c r="BB89" s="80">
        <f t="shared" si="55"/>
        <v>0</v>
      </c>
      <c r="BC89" s="79">
        <v>0</v>
      </c>
      <c r="BD89" s="80">
        <f t="shared" si="56"/>
        <v>0</v>
      </c>
      <c r="BE89" s="79">
        <v>608383.68999999994</v>
      </c>
      <c r="BF89" s="81">
        <f t="shared" si="57"/>
        <v>0.30288538674494897</v>
      </c>
      <c r="BG89" s="80">
        <f t="shared" si="74"/>
        <v>0</v>
      </c>
      <c r="BH89" s="70">
        <f t="shared" si="75"/>
        <v>0</v>
      </c>
      <c r="BI89" s="80">
        <f t="shared" si="76"/>
        <v>0</v>
      </c>
      <c r="BJ89" s="70">
        <f t="shared" si="77"/>
        <v>608383.68999999994</v>
      </c>
      <c r="BK89" s="82"/>
    </row>
    <row r="90" spans="5:63" ht="11.95" thickBot="1" x14ac:dyDescent="0.3">
      <c r="E90" s="3"/>
      <c r="F90" s="3"/>
      <c r="G90" s="3"/>
      <c r="H90" s="3" t="s">
        <v>394</v>
      </c>
      <c r="I90" s="18"/>
      <c r="J90" s="18"/>
      <c r="K90" s="18"/>
      <c r="L90" s="78"/>
      <c r="M90" s="79"/>
      <c r="N90" s="80">
        <f t="shared" si="47"/>
        <v>0</v>
      </c>
      <c r="O90" s="79"/>
      <c r="P90" s="80">
        <f t="shared" si="48"/>
        <v>0</v>
      </c>
      <c r="Q90" s="79"/>
      <c r="R90" s="80">
        <f t="shared" si="49"/>
        <v>0</v>
      </c>
      <c r="S90" s="79"/>
      <c r="T90" s="81">
        <f t="shared" si="50"/>
        <v>0</v>
      </c>
      <c r="U90" s="80">
        <f t="shared" si="58"/>
        <v>0</v>
      </c>
      <c r="V90" s="70">
        <f t="shared" si="59"/>
        <v>0</v>
      </c>
      <c r="W90" s="80">
        <f t="shared" si="60"/>
        <v>0</v>
      </c>
      <c r="X90" s="70">
        <f t="shared" si="61"/>
        <v>0</v>
      </c>
      <c r="Y90" s="80">
        <f t="shared" si="62"/>
        <v>0</v>
      </c>
      <c r="Z90" s="70">
        <f t="shared" si="63"/>
        <v>0</v>
      </c>
      <c r="AA90" s="82"/>
      <c r="AC90" s="79">
        <v>0</v>
      </c>
      <c r="AD90" s="79">
        <v>0</v>
      </c>
      <c r="AE90" s="79">
        <v>0</v>
      </c>
      <c r="AF90" s="83">
        <f t="shared" si="64"/>
        <v>0</v>
      </c>
      <c r="AG90" s="70">
        <f t="shared" si="65"/>
        <v>0</v>
      </c>
      <c r="AH90" s="83">
        <f t="shared" si="66"/>
        <v>0</v>
      </c>
      <c r="AI90" s="70">
        <f t="shared" si="67"/>
        <v>0</v>
      </c>
      <c r="AK90" s="79">
        <v>0</v>
      </c>
      <c r="AL90" s="80">
        <f t="shared" si="51"/>
        <v>0</v>
      </c>
      <c r="AM90" s="79">
        <v>0</v>
      </c>
      <c r="AN90" s="80">
        <f t="shared" si="52"/>
        <v>0</v>
      </c>
      <c r="AO90" s="79">
        <v>0</v>
      </c>
      <c r="AP90" s="80">
        <f t="shared" si="53"/>
        <v>0</v>
      </c>
      <c r="AQ90" s="79">
        <v>0</v>
      </c>
      <c r="AR90" s="81">
        <f t="shared" si="54"/>
        <v>0</v>
      </c>
      <c r="AS90" s="80">
        <f t="shared" si="68"/>
        <v>0</v>
      </c>
      <c r="AT90" s="70">
        <f t="shared" si="69"/>
        <v>0</v>
      </c>
      <c r="AU90" s="80">
        <f t="shared" si="70"/>
        <v>0</v>
      </c>
      <c r="AV90" s="70">
        <f t="shared" si="71"/>
        <v>0</v>
      </c>
      <c r="AW90" s="80">
        <f t="shared" si="72"/>
        <v>0</v>
      </c>
      <c r="AX90" s="70">
        <f t="shared" si="73"/>
        <v>0</v>
      </c>
      <c r="AY90" s="82"/>
      <c r="BA90" s="79">
        <v>0</v>
      </c>
      <c r="BB90" s="80">
        <f t="shared" si="55"/>
        <v>0</v>
      </c>
      <c r="BC90" s="79">
        <v>0</v>
      </c>
      <c r="BD90" s="80">
        <f t="shared" si="56"/>
        <v>0</v>
      </c>
      <c r="BE90" s="79">
        <v>0</v>
      </c>
      <c r="BF90" s="81">
        <f t="shared" si="57"/>
        <v>0</v>
      </c>
      <c r="BG90" s="80">
        <f t="shared" si="74"/>
        <v>0</v>
      </c>
      <c r="BH90" s="70">
        <f t="shared" si="75"/>
        <v>0</v>
      </c>
      <c r="BI90" s="80">
        <f t="shared" si="76"/>
        <v>0</v>
      </c>
      <c r="BJ90" s="70">
        <f t="shared" si="77"/>
        <v>0</v>
      </c>
      <c r="BK90" s="82"/>
    </row>
    <row r="91" spans="5:63" ht="11.95" thickBot="1" x14ac:dyDescent="0.3">
      <c r="E91" s="3"/>
      <c r="F91" s="3"/>
      <c r="G91" s="3"/>
      <c r="H91" s="3" t="s">
        <v>395</v>
      </c>
      <c r="I91" s="18"/>
      <c r="J91" s="18"/>
      <c r="K91" s="18"/>
      <c r="L91" s="78"/>
      <c r="M91" s="79"/>
      <c r="N91" s="80">
        <f t="shared" si="47"/>
        <v>0</v>
      </c>
      <c r="O91" s="79"/>
      <c r="P91" s="80">
        <f t="shared" si="48"/>
        <v>0</v>
      </c>
      <c r="Q91" s="79"/>
      <c r="R91" s="80">
        <f t="shared" si="49"/>
        <v>0</v>
      </c>
      <c r="S91" s="79"/>
      <c r="T91" s="81">
        <f t="shared" si="50"/>
        <v>0</v>
      </c>
      <c r="U91" s="80">
        <f t="shared" si="58"/>
        <v>0</v>
      </c>
      <c r="V91" s="70">
        <f t="shared" si="59"/>
        <v>0</v>
      </c>
      <c r="W91" s="80">
        <f t="shared" si="60"/>
        <v>0</v>
      </c>
      <c r="X91" s="70">
        <f t="shared" si="61"/>
        <v>0</v>
      </c>
      <c r="Y91" s="80">
        <f t="shared" si="62"/>
        <v>0</v>
      </c>
      <c r="Z91" s="70">
        <f t="shared" si="63"/>
        <v>0</v>
      </c>
      <c r="AA91" s="82"/>
      <c r="AC91" s="79">
        <v>0</v>
      </c>
      <c r="AD91" s="79">
        <v>0</v>
      </c>
      <c r="AE91" s="79">
        <v>0</v>
      </c>
      <c r="AF91" s="83">
        <f t="shared" si="64"/>
        <v>0</v>
      </c>
      <c r="AG91" s="70">
        <f t="shared" si="65"/>
        <v>0</v>
      </c>
      <c r="AH91" s="83">
        <f t="shared" si="66"/>
        <v>0</v>
      </c>
      <c r="AI91" s="70">
        <f t="shared" si="67"/>
        <v>0</v>
      </c>
      <c r="AK91" s="79">
        <v>0</v>
      </c>
      <c r="AL91" s="80">
        <f t="shared" si="51"/>
        <v>0</v>
      </c>
      <c r="AM91" s="79">
        <v>0</v>
      </c>
      <c r="AN91" s="80">
        <f t="shared" si="52"/>
        <v>0</v>
      </c>
      <c r="AO91" s="79">
        <v>0</v>
      </c>
      <c r="AP91" s="80">
        <f t="shared" si="53"/>
        <v>0</v>
      </c>
      <c r="AQ91" s="79">
        <v>0</v>
      </c>
      <c r="AR91" s="81">
        <f t="shared" si="54"/>
        <v>0</v>
      </c>
      <c r="AS91" s="80">
        <f t="shared" si="68"/>
        <v>0</v>
      </c>
      <c r="AT91" s="70">
        <f t="shared" si="69"/>
        <v>0</v>
      </c>
      <c r="AU91" s="80">
        <f t="shared" si="70"/>
        <v>0</v>
      </c>
      <c r="AV91" s="70">
        <f t="shared" si="71"/>
        <v>0</v>
      </c>
      <c r="AW91" s="80">
        <f t="shared" si="72"/>
        <v>0</v>
      </c>
      <c r="AX91" s="70">
        <f t="shared" si="73"/>
        <v>0</v>
      </c>
      <c r="AY91" s="82"/>
      <c r="BA91" s="79">
        <v>0</v>
      </c>
      <c r="BB91" s="80">
        <f t="shared" si="55"/>
        <v>0</v>
      </c>
      <c r="BC91" s="79">
        <v>0</v>
      </c>
      <c r="BD91" s="80">
        <f t="shared" si="56"/>
        <v>0</v>
      </c>
      <c r="BE91" s="79">
        <v>0</v>
      </c>
      <c r="BF91" s="81">
        <f t="shared" si="57"/>
        <v>0</v>
      </c>
      <c r="BG91" s="80">
        <f t="shared" si="74"/>
        <v>0</v>
      </c>
      <c r="BH91" s="70">
        <f t="shared" si="75"/>
        <v>0</v>
      </c>
      <c r="BI91" s="80">
        <f t="shared" si="76"/>
        <v>0</v>
      </c>
      <c r="BJ91" s="70">
        <f t="shared" si="77"/>
        <v>0</v>
      </c>
      <c r="BK91" s="82"/>
    </row>
    <row r="92" spans="5:63" ht="11.95" thickBot="1" x14ac:dyDescent="0.3">
      <c r="E92" s="3"/>
      <c r="F92" s="3"/>
      <c r="G92" s="3"/>
      <c r="H92" s="3" t="s">
        <v>396</v>
      </c>
      <c r="I92" s="18"/>
      <c r="J92" s="18"/>
      <c r="K92" s="18"/>
      <c r="L92" s="78"/>
      <c r="M92" s="79"/>
      <c r="N92" s="80">
        <f t="shared" si="47"/>
        <v>0</v>
      </c>
      <c r="O92" s="79"/>
      <c r="P92" s="80">
        <f t="shared" si="48"/>
        <v>0</v>
      </c>
      <c r="Q92" s="79"/>
      <c r="R92" s="80">
        <f t="shared" si="49"/>
        <v>0</v>
      </c>
      <c r="S92" s="79"/>
      <c r="T92" s="81">
        <f t="shared" si="50"/>
        <v>0</v>
      </c>
      <c r="U92" s="80">
        <f t="shared" si="58"/>
        <v>0</v>
      </c>
      <c r="V92" s="70">
        <f t="shared" si="59"/>
        <v>0</v>
      </c>
      <c r="W92" s="80">
        <f t="shared" si="60"/>
        <v>0</v>
      </c>
      <c r="X92" s="70">
        <f t="shared" si="61"/>
        <v>0</v>
      </c>
      <c r="Y92" s="80">
        <f t="shared" si="62"/>
        <v>0</v>
      </c>
      <c r="Z92" s="70">
        <f t="shared" si="63"/>
        <v>0</v>
      </c>
      <c r="AA92" s="82"/>
      <c r="AC92" s="79">
        <v>0</v>
      </c>
      <c r="AD92" s="79">
        <v>0</v>
      </c>
      <c r="AE92" s="79">
        <v>0</v>
      </c>
      <c r="AF92" s="83">
        <f t="shared" si="64"/>
        <v>0</v>
      </c>
      <c r="AG92" s="70">
        <f t="shared" si="65"/>
        <v>0</v>
      </c>
      <c r="AH92" s="83">
        <f t="shared" si="66"/>
        <v>0</v>
      </c>
      <c r="AI92" s="70">
        <f t="shared" si="67"/>
        <v>0</v>
      </c>
      <c r="AK92" s="79">
        <v>0</v>
      </c>
      <c r="AL92" s="80">
        <f t="shared" si="51"/>
        <v>0</v>
      </c>
      <c r="AM92" s="79">
        <v>0</v>
      </c>
      <c r="AN92" s="80">
        <f t="shared" si="52"/>
        <v>0</v>
      </c>
      <c r="AO92" s="79">
        <v>0</v>
      </c>
      <c r="AP92" s="80">
        <f t="shared" si="53"/>
        <v>0</v>
      </c>
      <c r="AQ92" s="79">
        <v>0</v>
      </c>
      <c r="AR92" s="81">
        <f t="shared" si="54"/>
        <v>0</v>
      </c>
      <c r="AS92" s="80">
        <f t="shared" si="68"/>
        <v>0</v>
      </c>
      <c r="AT92" s="70">
        <f t="shared" si="69"/>
        <v>0</v>
      </c>
      <c r="AU92" s="80">
        <f t="shared" si="70"/>
        <v>0</v>
      </c>
      <c r="AV92" s="70">
        <f t="shared" si="71"/>
        <v>0</v>
      </c>
      <c r="AW92" s="80">
        <f t="shared" si="72"/>
        <v>0</v>
      </c>
      <c r="AX92" s="70">
        <f t="shared" si="73"/>
        <v>0</v>
      </c>
      <c r="AY92" s="82"/>
      <c r="BA92" s="79">
        <v>0</v>
      </c>
      <c r="BB92" s="80">
        <f t="shared" si="55"/>
        <v>0</v>
      </c>
      <c r="BC92" s="79">
        <v>0</v>
      </c>
      <c r="BD92" s="80">
        <f t="shared" si="56"/>
        <v>0</v>
      </c>
      <c r="BE92" s="79">
        <v>0</v>
      </c>
      <c r="BF92" s="81">
        <f t="shared" si="57"/>
        <v>0</v>
      </c>
      <c r="BG92" s="80">
        <f t="shared" si="74"/>
        <v>0</v>
      </c>
      <c r="BH92" s="70">
        <f t="shared" si="75"/>
        <v>0</v>
      </c>
      <c r="BI92" s="80">
        <f t="shared" si="76"/>
        <v>0</v>
      </c>
      <c r="BJ92" s="70">
        <f t="shared" si="77"/>
        <v>0</v>
      </c>
      <c r="BK92" s="82"/>
    </row>
    <row r="93" spans="5:63" ht="11.95" thickBot="1" x14ac:dyDescent="0.3">
      <c r="E93" s="3"/>
      <c r="F93" s="3"/>
      <c r="G93" s="3"/>
      <c r="H93" s="3" t="s">
        <v>397</v>
      </c>
      <c r="I93" s="18"/>
      <c r="J93" s="18"/>
      <c r="K93" s="18"/>
      <c r="L93" s="78"/>
      <c r="M93" s="79"/>
      <c r="N93" s="80">
        <f t="shared" si="47"/>
        <v>0</v>
      </c>
      <c r="O93" s="79"/>
      <c r="P93" s="80">
        <f t="shared" si="48"/>
        <v>0</v>
      </c>
      <c r="Q93" s="79"/>
      <c r="R93" s="80">
        <f t="shared" si="49"/>
        <v>0</v>
      </c>
      <c r="S93" s="79"/>
      <c r="T93" s="81">
        <f t="shared" si="50"/>
        <v>0</v>
      </c>
      <c r="U93" s="80">
        <f t="shared" si="58"/>
        <v>0</v>
      </c>
      <c r="V93" s="70">
        <f t="shared" si="59"/>
        <v>0</v>
      </c>
      <c r="W93" s="80">
        <f t="shared" si="60"/>
        <v>0</v>
      </c>
      <c r="X93" s="70">
        <f t="shared" si="61"/>
        <v>0</v>
      </c>
      <c r="Y93" s="80">
        <f t="shared" si="62"/>
        <v>0</v>
      </c>
      <c r="Z93" s="70">
        <f t="shared" si="63"/>
        <v>0</v>
      </c>
      <c r="AA93" s="82"/>
      <c r="AC93" s="79">
        <v>0</v>
      </c>
      <c r="AD93" s="79">
        <v>0</v>
      </c>
      <c r="AE93" s="79">
        <v>0</v>
      </c>
      <c r="AF93" s="83">
        <f t="shared" si="64"/>
        <v>0</v>
      </c>
      <c r="AG93" s="70">
        <f t="shared" si="65"/>
        <v>0</v>
      </c>
      <c r="AH93" s="83">
        <f t="shared" si="66"/>
        <v>0</v>
      </c>
      <c r="AI93" s="70">
        <f t="shared" si="67"/>
        <v>0</v>
      </c>
      <c r="AK93" s="79">
        <v>0</v>
      </c>
      <c r="AL93" s="80">
        <f t="shared" si="51"/>
        <v>0</v>
      </c>
      <c r="AM93" s="79">
        <v>0</v>
      </c>
      <c r="AN93" s="80">
        <f t="shared" si="52"/>
        <v>0</v>
      </c>
      <c r="AO93" s="79">
        <v>0</v>
      </c>
      <c r="AP93" s="80">
        <f t="shared" si="53"/>
        <v>0</v>
      </c>
      <c r="AQ93" s="79">
        <v>0</v>
      </c>
      <c r="AR93" s="81">
        <f t="shared" si="54"/>
        <v>0</v>
      </c>
      <c r="AS93" s="80">
        <f t="shared" si="68"/>
        <v>0</v>
      </c>
      <c r="AT93" s="70">
        <f t="shared" si="69"/>
        <v>0</v>
      </c>
      <c r="AU93" s="80">
        <f t="shared" si="70"/>
        <v>0</v>
      </c>
      <c r="AV93" s="70">
        <f t="shared" si="71"/>
        <v>0</v>
      </c>
      <c r="AW93" s="80">
        <f t="shared" si="72"/>
        <v>0</v>
      </c>
      <c r="AX93" s="70">
        <f t="shared" si="73"/>
        <v>0</v>
      </c>
      <c r="AY93" s="82"/>
      <c r="BA93" s="79">
        <v>0</v>
      </c>
      <c r="BB93" s="80">
        <f t="shared" si="55"/>
        <v>0</v>
      </c>
      <c r="BC93" s="79">
        <v>0</v>
      </c>
      <c r="BD93" s="80">
        <f t="shared" si="56"/>
        <v>0</v>
      </c>
      <c r="BE93" s="79">
        <v>0</v>
      </c>
      <c r="BF93" s="81">
        <f t="shared" si="57"/>
        <v>0</v>
      </c>
      <c r="BG93" s="80">
        <f t="shared" si="74"/>
        <v>0</v>
      </c>
      <c r="BH93" s="70">
        <f t="shared" si="75"/>
        <v>0</v>
      </c>
      <c r="BI93" s="80">
        <f t="shared" si="76"/>
        <v>0</v>
      </c>
      <c r="BJ93" s="70">
        <f t="shared" si="77"/>
        <v>0</v>
      </c>
      <c r="BK93" s="82"/>
    </row>
    <row r="94" spans="5:63" ht="11.95" thickBot="1" x14ac:dyDescent="0.3">
      <c r="E94" s="3"/>
      <c r="F94" s="3"/>
      <c r="G94" s="3"/>
      <c r="H94" s="3" t="s">
        <v>398</v>
      </c>
      <c r="I94" s="18"/>
      <c r="J94" s="18"/>
      <c r="K94" s="18"/>
      <c r="L94" s="78"/>
      <c r="M94" s="79"/>
      <c r="N94" s="80">
        <f t="shared" si="47"/>
        <v>0</v>
      </c>
      <c r="O94" s="79"/>
      <c r="P94" s="80">
        <f t="shared" si="48"/>
        <v>0</v>
      </c>
      <c r="Q94" s="79"/>
      <c r="R94" s="80">
        <f t="shared" si="49"/>
        <v>0</v>
      </c>
      <c r="S94" s="79"/>
      <c r="T94" s="81">
        <f t="shared" si="50"/>
        <v>0</v>
      </c>
      <c r="U94" s="80">
        <f t="shared" si="58"/>
        <v>0</v>
      </c>
      <c r="V94" s="70">
        <f t="shared" si="59"/>
        <v>0</v>
      </c>
      <c r="W94" s="80">
        <f t="shared" si="60"/>
        <v>0</v>
      </c>
      <c r="X94" s="70">
        <f t="shared" si="61"/>
        <v>0</v>
      </c>
      <c r="Y94" s="80">
        <f t="shared" si="62"/>
        <v>0</v>
      </c>
      <c r="Z94" s="70">
        <f t="shared" si="63"/>
        <v>0</v>
      </c>
      <c r="AA94" s="82"/>
      <c r="AC94" s="79">
        <v>0</v>
      </c>
      <c r="AD94" s="79">
        <v>0</v>
      </c>
      <c r="AE94" s="79">
        <v>0</v>
      </c>
      <c r="AF94" s="83">
        <f t="shared" si="64"/>
        <v>0</v>
      </c>
      <c r="AG94" s="70">
        <f t="shared" si="65"/>
        <v>0</v>
      </c>
      <c r="AH94" s="83">
        <f t="shared" si="66"/>
        <v>0</v>
      </c>
      <c r="AI94" s="70">
        <f t="shared" si="67"/>
        <v>0</v>
      </c>
      <c r="AK94" s="79">
        <v>0</v>
      </c>
      <c r="AL94" s="80">
        <f t="shared" si="51"/>
        <v>0</v>
      </c>
      <c r="AM94" s="79">
        <v>0</v>
      </c>
      <c r="AN94" s="80">
        <f t="shared" si="52"/>
        <v>0</v>
      </c>
      <c r="AO94" s="79">
        <v>0</v>
      </c>
      <c r="AP94" s="80">
        <f t="shared" si="53"/>
        <v>0</v>
      </c>
      <c r="AQ94" s="79">
        <v>0</v>
      </c>
      <c r="AR94" s="81">
        <f t="shared" si="54"/>
        <v>0</v>
      </c>
      <c r="AS94" s="80">
        <f t="shared" si="68"/>
        <v>0</v>
      </c>
      <c r="AT94" s="70">
        <f t="shared" si="69"/>
        <v>0</v>
      </c>
      <c r="AU94" s="80">
        <f t="shared" si="70"/>
        <v>0</v>
      </c>
      <c r="AV94" s="70">
        <f t="shared" si="71"/>
        <v>0</v>
      </c>
      <c r="AW94" s="80">
        <f t="shared" si="72"/>
        <v>0</v>
      </c>
      <c r="AX94" s="70">
        <f t="shared" si="73"/>
        <v>0</v>
      </c>
      <c r="AY94" s="82"/>
      <c r="BA94" s="79">
        <v>0</v>
      </c>
      <c r="BB94" s="80">
        <f t="shared" si="55"/>
        <v>0</v>
      </c>
      <c r="BC94" s="79">
        <v>0</v>
      </c>
      <c r="BD94" s="80">
        <f t="shared" si="56"/>
        <v>0</v>
      </c>
      <c r="BE94" s="79">
        <v>0</v>
      </c>
      <c r="BF94" s="81">
        <f t="shared" si="57"/>
        <v>0</v>
      </c>
      <c r="BG94" s="80">
        <f t="shared" si="74"/>
        <v>0</v>
      </c>
      <c r="BH94" s="70">
        <f t="shared" si="75"/>
        <v>0</v>
      </c>
      <c r="BI94" s="80">
        <f t="shared" si="76"/>
        <v>0</v>
      </c>
      <c r="BJ94" s="70">
        <f t="shared" si="77"/>
        <v>0</v>
      </c>
      <c r="BK94" s="82"/>
    </row>
    <row r="95" spans="5:63" ht="11.95" thickBot="1" x14ac:dyDescent="0.3">
      <c r="E95" s="3"/>
      <c r="F95" s="3"/>
      <c r="G95" s="3"/>
      <c r="H95" s="3" t="s">
        <v>399</v>
      </c>
      <c r="I95" s="18"/>
      <c r="J95" s="18"/>
      <c r="K95" s="18"/>
      <c r="L95" s="78"/>
      <c r="M95" s="79"/>
      <c r="N95" s="80">
        <f t="shared" si="47"/>
        <v>0</v>
      </c>
      <c r="O95" s="79"/>
      <c r="P95" s="80">
        <f t="shared" si="48"/>
        <v>0</v>
      </c>
      <c r="Q95" s="79"/>
      <c r="R95" s="80">
        <f t="shared" si="49"/>
        <v>0</v>
      </c>
      <c r="S95" s="79"/>
      <c r="T95" s="81">
        <f t="shared" si="50"/>
        <v>0</v>
      </c>
      <c r="U95" s="80">
        <f t="shared" si="58"/>
        <v>0</v>
      </c>
      <c r="V95" s="70">
        <f t="shared" si="59"/>
        <v>0</v>
      </c>
      <c r="W95" s="80">
        <f t="shared" si="60"/>
        <v>0</v>
      </c>
      <c r="X95" s="70">
        <f t="shared" si="61"/>
        <v>0</v>
      </c>
      <c r="Y95" s="80">
        <f t="shared" si="62"/>
        <v>0</v>
      </c>
      <c r="Z95" s="70">
        <f t="shared" si="63"/>
        <v>0</v>
      </c>
      <c r="AA95" s="82"/>
      <c r="AC95" s="79">
        <v>0</v>
      </c>
      <c r="AD95" s="79">
        <v>0</v>
      </c>
      <c r="AE95" s="79">
        <v>0</v>
      </c>
      <c r="AF95" s="83">
        <f t="shared" si="64"/>
        <v>0</v>
      </c>
      <c r="AG95" s="70">
        <f t="shared" si="65"/>
        <v>0</v>
      </c>
      <c r="AH95" s="83">
        <f t="shared" si="66"/>
        <v>0</v>
      </c>
      <c r="AI95" s="70">
        <f t="shared" si="67"/>
        <v>0</v>
      </c>
      <c r="AK95" s="79">
        <v>0</v>
      </c>
      <c r="AL95" s="80">
        <f t="shared" si="51"/>
        <v>0</v>
      </c>
      <c r="AM95" s="79">
        <v>0</v>
      </c>
      <c r="AN95" s="80">
        <f t="shared" si="52"/>
        <v>0</v>
      </c>
      <c r="AO95" s="79">
        <v>0</v>
      </c>
      <c r="AP95" s="80">
        <f t="shared" si="53"/>
        <v>0</v>
      </c>
      <c r="AQ95" s="79">
        <v>0</v>
      </c>
      <c r="AR95" s="81">
        <f t="shared" si="54"/>
        <v>0</v>
      </c>
      <c r="AS95" s="80">
        <f t="shared" si="68"/>
        <v>0</v>
      </c>
      <c r="AT95" s="70">
        <f t="shared" si="69"/>
        <v>0</v>
      </c>
      <c r="AU95" s="80">
        <f t="shared" si="70"/>
        <v>0</v>
      </c>
      <c r="AV95" s="70">
        <f t="shared" si="71"/>
        <v>0</v>
      </c>
      <c r="AW95" s="80">
        <f t="shared" si="72"/>
        <v>0</v>
      </c>
      <c r="AX95" s="70">
        <f t="shared" si="73"/>
        <v>0</v>
      </c>
      <c r="AY95" s="82"/>
      <c r="BA95" s="79">
        <v>0</v>
      </c>
      <c r="BB95" s="80">
        <f t="shared" si="55"/>
        <v>0</v>
      </c>
      <c r="BC95" s="79">
        <v>0</v>
      </c>
      <c r="BD95" s="80">
        <f t="shared" si="56"/>
        <v>0</v>
      </c>
      <c r="BE95" s="79">
        <v>0</v>
      </c>
      <c r="BF95" s="81">
        <f t="shared" si="57"/>
        <v>0</v>
      </c>
      <c r="BG95" s="80">
        <f t="shared" si="74"/>
        <v>0</v>
      </c>
      <c r="BH95" s="70">
        <f t="shared" si="75"/>
        <v>0</v>
      </c>
      <c r="BI95" s="80">
        <f t="shared" si="76"/>
        <v>0</v>
      </c>
      <c r="BJ95" s="70">
        <f t="shared" si="77"/>
        <v>0</v>
      </c>
      <c r="BK95" s="82"/>
    </row>
    <row r="96" spans="5:63" ht="11.95" thickBot="1" x14ac:dyDescent="0.3">
      <c r="E96" s="3"/>
      <c r="F96" s="3"/>
      <c r="G96" s="3"/>
      <c r="H96" s="3" t="s">
        <v>400</v>
      </c>
      <c r="I96" s="18"/>
      <c r="J96" s="18"/>
      <c r="K96" s="18"/>
      <c r="L96" s="78"/>
      <c r="M96" s="79"/>
      <c r="N96" s="80">
        <f t="shared" si="47"/>
        <v>0</v>
      </c>
      <c r="O96" s="79"/>
      <c r="P96" s="80">
        <f t="shared" si="48"/>
        <v>0</v>
      </c>
      <c r="Q96" s="79"/>
      <c r="R96" s="80">
        <f t="shared" si="49"/>
        <v>0</v>
      </c>
      <c r="S96" s="79"/>
      <c r="T96" s="81">
        <f t="shared" si="50"/>
        <v>0</v>
      </c>
      <c r="U96" s="80">
        <f t="shared" si="58"/>
        <v>0</v>
      </c>
      <c r="V96" s="70">
        <f t="shared" si="59"/>
        <v>0</v>
      </c>
      <c r="W96" s="80">
        <f t="shared" si="60"/>
        <v>0</v>
      </c>
      <c r="X96" s="70">
        <f t="shared" si="61"/>
        <v>0</v>
      </c>
      <c r="Y96" s="80">
        <f t="shared" si="62"/>
        <v>0</v>
      </c>
      <c r="Z96" s="70">
        <f t="shared" si="63"/>
        <v>0</v>
      </c>
      <c r="AA96" s="82"/>
      <c r="AC96" s="79">
        <v>0</v>
      </c>
      <c r="AD96" s="79">
        <v>0</v>
      </c>
      <c r="AE96" s="79">
        <v>0</v>
      </c>
      <c r="AF96" s="83">
        <f t="shared" si="64"/>
        <v>0</v>
      </c>
      <c r="AG96" s="70">
        <f t="shared" si="65"/>
        <v>0</v>
      </c>
      <c r="AH96" s="83">
        <f t="shared" si="66"/>
        <v>0</v>
      </c>
      <c r="AI96" s="70">
        <f t="shared" si="67"/>
        <v>0</v>
      </c>
      <c r="AK96" s="79">
        <v>0</v>
      </c>
      <c r="AL96" s="80">
        <f t="shared" si="51"/>
        <v>0</v>
      </c>
      <c r="AM96" s="79">
        <v>0</v>
      </c>
      <c r="AN96" s="80">
        <f t="shared" si="52"/>
        <v>0</v>
      </c>
      <c r="AO96" s="79">
        <v>0</v>
      </c>
      <c r="AP96" s="80">
        <f t="shared" si="53"/>
        <v>0</v>
      </c>
      <c r="AQ96" s="79">
        <v>0</v>
      </c>
      <c r="AR96" s="81">
        <f t="shared" si="54"/>
        <v>0</v>
      </c>
      <c r="AS96" s="80">
        <f t="shared" si="68"/>
        <v>0</v>
      </c>
      <c r="AT96" s="70">
        <f t="shared" si="69"/>
        <v>0</v>
      </c>
      <c r="AU96" s="80">
        <f t="shared" si="70"/>
        <v>0</v>
      </c>
      <c r="AV96" s="70">
        <f t="shared" si="71"/>
        <v>0</v>
      </c>
      <c r="AW96" s="80">
        <f t="shared" si="72"/>
        <v>0</v>
      </c>
      <c r="AX96" s="70">
        <f t="shared" si="73"/>
        <v>0</v>
      </c>
      <c r="AY96" s="82"/>
      <c r="BA96" s="79">
        <v>0</v>
      </c>
      <c r="BB96" s="80">
        <f t="shared" si="55"/>
        <v>0</v>
      </c>
      <c r="BC96" s="79">
        <v>0</v>
      </c>
      <c r="BD96" s="80">
        <f t="shared" si="56"/>
        <v>0</v>
      </c>
      <c r="BE96" s="79">
        <v>0</v>
      </c>
      <c r="BF96" s="81">
        <f t="shared" si="57"/>
        <v>0</v>
      </c>
      <c r="BG96" s="80">
        <f t="shared" si="74"/>
        <v>0</v>
      </c>
      <c r="BH96" s="70">
        <f t="shared" si="75"/>
        <v>0</v>
      </c>
      <c r="BI96" s="80">
        <f t="shared" si="76"/>
        <v>0</v>
      </c>
      <c r="BJ96" s="70">
        <f t="shared" si="77"/>
        <v>0</v>
      </c>
      <c r="BK96" s="82"/>
    </row>
    <row r="97" spans="5:63" ht="11.95" thickBot="1" x14ac:dyDescent="0.3">
      <c r="E97" s="3"/>
      <c r="F97" s="3"/>
      <c r="G97" s="3"/>
      <c r="H97" s="3" t="s">
        <v>401</v>
      </c>
      <c r="I97" s="18"/>
      <c r="J97" s="18"/>
      <c r="K97" s="18"/>
      <c r="L97" s="78"/>
      <c r="M97" s="79"/>
      <c r="N97" s="80">
        <f t="shared" si="47"/>
        <v>0</v>
      </c>
      <c r="O97" s="79"/>
      <c r="P97" s="80">
        <f t="shared" si="48"/>
        <v>0</v>
      </c>
      <c r="Q97" s="79"/>
      <c r="R97" s="80">
        <f t="shared" si="49"/>
        <v>0</v>
      </c>
      <c r="S97" s="79"/>
      <c r="T97" s="81">
        <f t="shared" si="50"/>
        <v>0</v>
      </c>
      <c r="U97" s="80">
        <f t="shared" si="58"/>
        <v>0</v>
      </c>
      <c r="V97" s="70">
        <f t="shared" si="59"/>
        <v>0</v>
      </c>
      <c r="W97" s="80">
        <f t="shared" si="60"/>
        <v>0</v>
      </c>
      <c r="X97" s="70">
        <f t="shared" si="61"/>
        <v>0</v>
      </c>
      <c r="Y97" s="80">
        <f t="shared" si="62"/>
        <v>0</v>
      </c>
      <c r="Z97" s="70">
        <f t="shared" si="63"/>
        <v>0</v>
      </c>
      <c r="AA97" s="82"/>
      <c r="AC97" s="79">
        <v>0</v>
      </c>
      <c r="AD97" s="79">
        <v>0</v>
      </c>
      <c r="AE97" s="79">
        <v>0</v>
      </c>
      <c r="AF97" s="83">
        <f t="shared" si="64"/>
        <v>0</v>
      </c>
      <c r="AG97" s="70">
        <f t="shared" si="65"/>
        <v>0</v>
      </c>
      <c r="AH97" s="83">
        <f t="shared" si="66"/>
        <v>0</v>
      </c>
      <c r="AI97" s="70">
        <f t="shared" si="67"/>
        <v>0</v>
      </c>
      <c r="AK97" s="79">
        <v>0</v>
      </c>
      <c r="AL97" s="80">
        <f t="shared" si="51"/>
        <v>0</v>
      </c>
      <c r="AM97" s="79">
        <v>0</v>
      </c>
      <c r="AN97" s="80">
        <f t="shared" si="52"/>
        <v>0</v>
      </c>
      <c r="AO97" s="79">
        <v>0</v>
      </c>
      <c r="AP97" s="80">
        <f t="shared" si="53"/>
        <v>0</v>
      </c>
      <c r="AQ97" s="79">
        <v>0</v>
      </c>
      <c r="AR97" s="81">
        <f t="shared" si="54"/>
        <v>0</v>
      </c>
      <c r="AS97" s="80">
        <f t="shared" si="68"/>
        <v>0</v>
      </c>
      <c r="AT97" s="70">
        <f t="shared" si="69"/>
        <v>0</v>
      </c>
      <c r="AU97" s="80">
        <f t="shared" si="70"/>
        <v>0</v>
      </c>
      <c r="AV97" s="70">
        <f t="shared" si="71"/>
        <v>0</v>
      </c>
      <c r="AW97" s="80">
        <f t="shared" si="72"/>
        <v>0</v>
      </c>
      <c r="AX97" s="70">
        <f t="shared" si="73"/>
        <v>0</v>
      </c>
      <c r="AY97" s="82"/>
      <c r="BA97" s="79">
        <v>0</v>
      </c>
      <c r="BB97" s="80">
        <f t="shared" si="55"/>
        <v>0</v>
      </c>
      <c r="BC97" s="79">
        <v>0</v>
      </c>
      <c r="BD97" s="80">
        <f t="shared" si="56"/>
        <v>0</v>
      </c>
      <c r="BE97" s="79">
        <v>0</v>
      </c>
      <c r="BF97" s="81">
        <f t="shared" si="57"/>
        <v>0</v>
      </c>
      <c r="BG97" s="80">
        <f t="shared" si="74"/>
        <v>0</v>
      </c>
      <c r="BH97" s="70">
        <f t="shared" si="75"/>
        <v>0</v>
      </c>
      <c r="BI97" s="80">
        <f t="shared" si="76"/>
        <v>0</v>
      </c>
      <c r="BJ97" s="70">
        <f t="shared" si="77"/>
        <v>0</v>
      </c>
      <c r="BK97" s="82"/>
    </row>
    <row r="98" spans="5:63" ht="11.95" thickBot="1" x14ac:dyDescent="0.3">
      <c r="E98" s="3"/>
      <c r="F98" s="3"/>
      <c r="G98" s="3"/>
      <c r="H98" s="3" t="s">
        <v>402</v>
      </c>
      <c r="I98" s="18"/>
      <c r="J98" s="18"/>
      <c r="K98" s="18"/>
      <c r="L98" s="78"/>
      <c r="M98" s="79"/>
      <c r="N98" s="80">
        <f t="shared" ref="N98:N129" si="78">IFERROR(M98/SUMIFS(M:M, $H:$H, "[+] Net Sales"),0)</f>
        <v>0</v>
      </c>
      <c r="O98" s="79"/>
      <c r="P98" s="80">
        <f t="shared" ref="P98:P129" si="79">IFERROR(O98/SUMIFS(O:O, $H:$H, "[+] Net Sales"),0)</f>
        <v>0</v>
      </c>
      <c r="Q98" s="79"/>
      <c r="R98" s="80">
        <f t="shared" ref="R98:R129" si="80">IFERROR(Q98/SUMIFS(Q:Q, $H:$H, "[+] Net Sales"),0)</f>
        <v>0</v>
      </c>
      <c r="S98" s="79"/>
      <c r="T98" s="81">
        <f t="shared" ref="T98:T129" si="81">IFERROR(S98/SUMIFS(S:S, $H:$H, "[+] Net Sales"),0)</f>
        <v>0</v>
      </c>
      <c r="U98" s="80">
        <f t="shared" si="58"/>
        <v>0</v>
      </c>
      <c r="V98" s="70">
        <f t="shared" si="59"/>
        <v>0</v>
      </c>
      <c r="W98" s="80">
        <f t="shared" si="60"/>
        <v>0</v>
      </c>
      <c r="X98" s="70">
        <f t="shared" si="61"/>
        <v>0</v>
      </c>
      <c r="Y98" s="80">
        <f t="shared" si="62"/>
        <v>0</v>
      </c>
      <c r="Z98" s="70">
        <f t="shared" si="63"/>
        <v>0</v>
      </c>
      <c r="AA98" s="82"/>
      <c r="AC98" s="79">
        <v>0</v>
      </c>
      <c r="AD98" s="79">
        <v>0</v>
      </c>
      <c r="AE98" s="79">
        <v>0</v>
      </c>
      <c r="AF98" s="83">
        <f t="shared" si="64"/>
        <v>0</v>
      </c>
      <c r="AG98" s="70">
        <f t="shared" si="65"/>
        <v>0</v>
      </c>
      <c r="AH98" s="83">
        <f t="shared" si="66"/>
        <v>0</v>
      </c>
      <c r="AI98" s="70">
        <f t="shared" si="67"/>
        <v>0</v>
      </c>
      <c r="AK98" s="79">
        <v>0</v>
      </c>
      <c r="AL98" s="80">
        <f t="shared" ref="AL98:AL129" si="82">IFERROR(AK98/SUMIFS(AK:AK, $H:$H, "[+] Net Sales"),0)</f>
        <v>0</v>
      </c>
      <c r="AM98" s="79">
        <v>0</v>
      </c>
      <c r="AN98" s="80">
        <f t="shared" ref="AN98:AN129" si="83">IFERROR(AM98/SUMIFS(AM:AM, $H:$H, "[+] Net Sales"),0)</f>
        <v>0</v>
      </c>
      <c r="AO98" s="79">
        <v>0</v>
      </c>
      <c r="AP98" s="80">
        <f t="shared" ref="AP98:AP129" si="84">IFERROR(AO98/SUMIFS(AO:AO, $H:$H, "[+] Net Sales"),0)</f>
        <v>0</v>
      </c>
      <c r="AQ98" s="79">
        <v>0</v>
      </c>
      <c r="AR98" s="81">
        <f t="shared" ref="AR98:AR129" si="85">IFERROR(AQ98/SUMIFS(AQ:AQ, $H:$H, "[+] Net Sales"),0)</f>
        <v>0</v>
      </c>
      <c r="AS98" s="80">
        <f t="shared" si="68"/>
        <v>0</v>
      </c>
      <c r="AT98" s="70">
        <f t="shared" si="69"/>
        <v>0</v>
      </c>
      <c r="AU98" s="80">
        <f t="shared" si="70"/>
        <v>0</v>
      </c>
      <c r="AV98" s="70">
        <f t="shared" si="71"/>
        <v>0</v>
      </c>
      <c r="AW98" s="80">
        <f t="shared" si="72"/>
        <v>0</v>
      </c>
      <c r="AX98" s="70">
        <f t="shared" si="73"/>
        <v>0</v>
      </c>
      <c r="AY98" s="82"/>
      <c r="BA98" s="79">
        <v>0</v>
      </c>
      <c r="BB98" s="80">
        <f t="shared" ref="BB98:BB129" si="86">IFERROR(BA98/SUMIFS(BA:BA, $H:$H, "[+] Net Sales"),0)</f>
        <v>0</v>
      </c>
      <c r="BC98" s="79">
        <v>0</v>
      </c>
      <c r="BD98" s="80">
        <f t="shared" ref="BD98:BD129" si="87">IFERROR(BC98/SUMIFS(BC:BC, $H:$H, "[+] Net Sales"),0)</f>
        <v>0</v>
      </c>
      <c r="BE98" s="79">
        <v>0</v>
      </c>
      <c r="BF98" s="81">
        <f t="shared" ref="BF98:BF129" si="88">IFERROR(BE98/SUMIFS(BE:BE, $H:$H, "[+] Net Sales"),0)</f>
        <v>0</v>
      </c>
      <c r="BG98" s="80">
        <f t="shared" si="74"/>
        <v>0</v>
      </c>
      <c r="BH98" s="70">
        <f t="shared" si="75"/>
        <v>0</v>
      </c>
      <c r="BI98" s="80">
        <f t="shared" si="76"/>
        <v>0</v>
      </c>
      <c r="BJ98" s="70">
        <f t="shared" si="77"/>
        <v>0</v>
      </c>
      <c r="BK98" s="82"/>
    </row>
    <row r="99" spans="5:63" ht="11.95" thickBot="1" x14ac:dyDescent="0.3">
      <c r="E99" s="3"/>
      <c r="F99" s="3"/>
      <c r="G99" s="3"/>
      <c r="H99" s="3" t="s">
        <v>403</v>
      </c>
      <c r="I99" s="18"/>
      <c r="J99" s="18"/>
      <c r="K99" s="18"/>
      <c r="L99" s="78"/>
      <c r="M99" s="79">
        <v>0</v>
      </c>
      <c r="N99" s="80">
        <f t="shared" si="78"/>
        <v>0</v>
      </c>
      <c r="O99" s="79">
        <v>0</v>
      </c>
      <c r="P99" s="80">
        <f t="shared" si="79"/>
        <v>0</v>
      </c>
      <c r="Q99" s="79">
        <v>0</v>
      </c>
      <c r="R99" s="80">
        <f t="shared" si="80"/>
        <v>0</v>
      </c>
      <c r="S99" s="79">
        <v>0</v>
      </c>
      <c r="T99" s="81">
        <f t="shared" si="81"/>
        <v>0</v>
      </c>
      <c r="U99" s="80">
        <f t="shared" si="58"/>
        <v>0</v>
      </c>
      <c r="V99" s="70">
        <f t="shared" si="59"/>
        <v>0</v>
      </c>
      <c r="W99" s="80">
        <f t="shared" si="60"/>
        <v>0</v>
      </c>
      <c r="X99" s="70">
        <f t="shared" si="61"/>
        <v>0</v>
      </c>
      <c r="Y99" s="80">
        <f t="shared" si="62"/>
        <v>0</v>
      </c>
      <c r="Z99" s="70">
        <f t="shared" si="63"/>
        <v>0</v>
      </c>
      <c r="AA99" s="82"/>
      <c r="AC99" s="79">
        <v>0</v>
      </c>
      <c r="AD99" s="79">
        <v>0</v>
      </c>
      <c r="AE99" s="79">
        <v>0</v>
      </c>
      <c r="AF99" s="83">
        <f t="shared" si="64"/>
        <v>0</v>
      </c>
      <c r="AG99" s="70">
        <f t="shared" si="65"/>
        <v>0</v>
      </c>
      <c r="AH99" s="83">
        <f t="shared" si="66"/>
        <v>0</v>
      </c>
      <c r="AI99" s="70">
        <f t="shared" si="67"/>
        <v>0</v>
      </c>
      <c r="AK99" s="79">
        <v>0</v>
      </c>
      <c r="AL99" s="80">
        <f t="shared" si="82"/>
        <v>0</v>
      </c>
      <c r="AM99" s="79">
        <v>0</v>
      </c>
      <c r="AN99" s="80">
        <f t="shared" si="83"/>
        <v>0</v>
      </c>
      <c r="AO99" s="79">
        <v>0</v>
      </c>
      <c r="AP99" s="80">
        <f t="shared" si="84"/>
        <v>0</v>
      </c>
      <c r="AQ99" s="79">
        <v>0</v>
      </c>
      <c r="AR99" s="81">
        <f t="shared" si="85"/>
        <v>0</v>
      </c>
      <c r="AS99" s="80">
        <f t="shared" si="68"/>
        <v>0</v>
      </c>
      <c r="AT99" s="70">
        <f t="shared" si="69"/>
        <v>0</v>
      </c>
      <c r="AU99" s="80">
        <f t="shared" si="70"/>
        <v>0</v>
      </c>
      <c r="AV99" s="70">
        <f t="shared" si="71"/>
        <v>0</v>
      </c>
      <c r="AW99" s="80">
        <f t="shared" si="72"/>
        <v>0</v>
      </c>
      <c r="AX99" s="70">
        <f t="shared" si="73"/>
        <v>0</v>
      </c>
      <c r="AY99" s="82"/>
      <c r="BA99" s="79">
        <v>0</v>
      </c>
      <c r="BB99" s="80">
        <f t="shared" si="86"/>
        <v>0</v>
      </c>
      <c r="BC99" s="79">
        <v>0</v>
      </c>
      <c r="BD99" s="80">
        <f t="shared" si="87"/>
        <v>0</v>
      </c>
      <c r="BE99" s="79">
        <v>0</v>
      </c>
      <c r="BF99" s="81">
        <f t="shared" si="88"/>
        <v>0</v>
      </c>
      <c r="BG99" s="80">
        <f t="shared" si="74"/>
        <v>0</v>
      </c>
      <c r="BH99" s="70">
        <f t="shared" si="75"/>
        <v>0</v>
      </c>
      <c r="BI99" s="80">
        <f t="shared" si="76"/>
        <v>0</v>
      </c>
      <c r="BJ99" s="70">
        <f t="shared" si="77"/>
        <v>0</v>
      </c>
      <c r="BK99" s="82"/>
    </row>
    <row r="100" spans="5:63" ht="11.95" thickBot="1" x14ac:dyDescent="0.3">
      <c r="E100" s="3"/>
      <c r="F100" s="3"/>
      <c r="G100" s="3"/>
      <c r="H100" s="3" t="s">
        <v>404</v>
      </c>
      <c r="I100" s="18"/>
      <c r="J100" s="18"/>
      <c r="K100" s="18"/>
      <c r="L100" s="78"/>
      <c r="M100" s="79">
        <v>0</v>
      </c>
      <c r="N100" s="80">
        <f t="shared" si="78"/>
        <v>0</v>
      </c>
      <c r="O100" s="79">
        <v>0</v>
      </c>
      <c r="P100" s="80">
        <f t="shared" si="79"/>
        <v>0</v>
      </c>
      <c r="Q100" s="79">
        <v>0</v>
      </c>
      <c r="R100" s="80">
        <f t="shared" si="80"/>
        <v>0</v>
      </c>
      <c r="S100" s="79">
        <v>0</v>
      </c>
      <c r="T100" s="81">
        <f t="shared" si="81"/>
        <v>0</v>
      </c>
      <c r="U100" s="80">
        <f t="shared" si="58"/>
        <v>0</v>
      </c>
      <c r="V100" s="70">
        <f t="shared" si="59"/>
        <v>0</v>
      </c>
      <c r="W100" s="80">
        <f t="shared" si="60"/>
        <v>0</v>
      </c>
      <c r="X100" s="70">
        <f t="shared" si="61"/>
        <v>0</v>
      </c>
      <c r="Y100" s="80">
        <f t="shared" si="62"/>
        <v>0</v>
      </c>
      <c r="Z100" s="70">
        <f t="shared" si="63"/>
        <v>0</v>
      </c>
      <c r="AA100" s="82"/>
      <c r="AC100" s="79">
        <v>0</v>
      </c>
      <c r="AD100" s="79">
        <v>0</v>
      </c>
      <c r="AE100" s="79">
        <v>0</v>
      </c>
      <c r="AF100" s="83">
        <f t="shared" si="64"/>
        <v>0</v>
      </c>
      <c r="AG100" s="70">
        <f t="shared" si="65"/>
        <v>0</v>
      </c>
      <c r="AH100" s="83">
        <f t="shared" si="66"/>
        <v>0</v>
      </c>
      <c r="AI100" s="70">
        <f t="shared" si="67"/>
        <v>0</v>
      </c>
      <c r="AK100" s="79">
        <v>0</v>
      </c>
      <c r="AL100" s="80">
        <f t="shared" si="82"/>
        <v>0</v>
      </c>
      <c r="AM100" s="79">
        <v>0</v>
      </c>
      <c r="AN100" s="80">
        <f t="shared" si="83"/>
        <v>0</v>
      </c>
      <c r="AO100" s="79">
        <v>0</v>
      </c>
      <c r="AP100" s="80">
        <f t="shared" si="84"/>
        <v>0</v>
      </c>
      <c r="AQ100" s="79">
        <v>0</v>
      </c>
      <c r="AR100" s="81">
        <f t="shared" si="85"/>
        <v>0</v>
      </c>
      <c r="AS100" s="80">
        <f t="shared" si="68"/>
        <v>0</v>
      </c>
      <c r="AT100" s="70">
        <f t="shared" si="69"/>
        <v>0</v>
      </c>
      <c r="AU100" s="80">
        <f t="shared" si="70"/>
        <v>0</v>
      </c>
      <c r="AV100" s="70">
        <f t="shared" si="71"/>
        <v>0</v>
      </c>
      <c r="AW100" s="80">
        <f t="shared" si="72"/>
        <v>0</v>
      </c>
      <c r="AX100" s="70">
        <f t="shared" si="73"/>
        <v>0</v>
      </c>
      <c r="AY100" s="82"/>
      <c r="BA100" s="79">
        <v>0</v>
      </c>
      <c r="BB100" s="80">
        <f t="shared" si="86"/>
        <v>0</v>
      </c>
      <c r="BC100" s="79">
        <v>0</v>
      </c>
      <c r="BD100" s="80">
        <f t="shared" si="87"/>
        <v>0</v>
      </c>
      <c r="BE100" s="79">
        <v>0</v>
      </c>
      <c r="BF100" s="81">
        <f t="shared" si="88"/>
        <v>0</v>
      </c>
      <c r="BG100" s="80">
        <f t="shared" si="74"/>
        <v>0</v>
      </c>
      <c r="BH100" s="70">
        <f t="shared" si="75"/>
        <v>0</v>
      </c>
      <c r="BI100" s="80">
        <f t="shared" si="76"/>
        <v>0</v>
      </c>
      <c r="BJ100" s="70">
        <f t="shared" si="77"/>
        <v>0</v>
      </c>
      <c r="BK100" s="82"/>
    </row>
    <row r="101" spans="5:63" ht="11.95" thickBot="1" x14ac:dyDescent="0.3">
      <c r="E101" s="3"/>
      <c r="F101" s="3"/>
      <c r="G101" s="3"/>
      <c r="H101" s="3" t="s">
        <v>405</v>
      </c>
      <c r="I101" s="18"/>
      <c r="J101" s="18"/>
      <c r="K101" s="18"/>
      <c r="L101" s="78"/>
      <c r="M101" s="79"/>
      <c r="N101" s="80">
        <f t="shared" si="78"/>
        <v>0</v>
      </c>
      <c r="O101" s="79"/>
      <c r="P101" s="80">
        <f t="shared" si="79"/>
        <v>0</v>
      </c>
      <c r="Q101" s="79"/>
      <c r="R101" s="80">
        <f t="shared" si="80"/>
        <v>0</v>
      </c>
      <c r="S101" s="79"/>
      <c r="T101" s="81">
        <f t="shared" si="81"/>
        <v>0</v>
      </c>
      <c r="U101" s="80">
        <f t="shared" si="58"/>
        <v>0</v>
      </c>
      <c r="V101" s="70">
        <f t="shared" si="59"/>
        <v>0</v>
      </c>
      <c r="W101" s="80">
        <f t="shared" si="60"/>
        <v>0</v>
      </c>
      <c r="X101" s="70">
        <f t="shared" si="61"/>
        <v>0</v>
      </c>
      <c r="Y101" s="80">
        <f t="shared" si="62"/>
        <v>0</v>
      </c>
      <c r="Z101" s="70">
        <f t="shared" si="63"/>
        <v>0</v>
      </c>
      <c r="AA101" s="82"/>
      <c r="AC101" s="79">
        <v>0</v>
      </c>
      <c r="AD101" s="79">
        <v>0</v>
      </c>
      <c r="AE101" s="79">
        <v>0</v>
      </c>
      <c r="AF101" s="83">
        <f t="shared" si="64"/>
        <v>0</v>
      </c>
      <c r="AG101" s="70">
        <f t="shared" si="65"/>
        <v>0</v>
      </c>
      <c r="AH101" s="83">
        <f t="shared" si="66"/>
        <v>0</v>
      </c>
      <c r="AI101" s="70">
        <f t="shared" si="67"/>
        <v>0</v>
      </c>
      <c r="AK101" s="79">
        <v>0</v>
      </c>
      <c r="AL101" s="80">
        <f t="shared" si="82"/>
        <v>0</v>
      </c>
      <c r="AM101" s="79">
        <v>0</v>
      </c>
      <c r="AN101" s="80">
        <f t="shared" si="83"/>
        <v>0</v>
      </c>
      <c r="AO101" s="79">
        <v>0</v>
      </c>
      <c r="AP101" s="80">
        <f t="shared" si="84"/>
        <v>0</v>
      </c>
      <c r="AQ101" s="79">
        <v>0</v>
      </c>
      <c r="AR101" s="81">
        <f t="shared" si="85"/>
        <v>0</v>
      </c>
      <c r="AS101" s="80">
        <f t="shared" si="68"/>
        <v>0</v>
      </c>
      <c r="AT101" s="70">
        <f t="shared" si="69"/>
        <v>0</v>
      </c>
      <c r="AU101" s="80">
        <f t="shared" si="70"/>
        <v>0</v>
      </c>
      <c r="AV101" s="70">
        <f t="shared" si="71"/>
        <v>0</v>
      </c>
      <c r="AW101" s="80">
        <f t="shared" si="72"/>
        <v>0</v>
      </c>
      <c r="AX101" s="70">
        <f t="shared" si="73"/>
        <v>0</v>
      </c>
      <c r="AY101" s="82"/>
      <c r="BA101" s="79">
        <v>0</v>
      </c>
      <c r="BB101" s="80">
        <f t="shared" si="86"/>
        <v>0</v>
      </c>
      <c r="BC101" s="79">
        <v>0</v>
      </c>
      <c r="BD101" s="80">
        <f t="shared" si="87"/>
        <v>0</v>
      </c>
      <c r="BE101" s="79">
        <v>0</v>
      </c>
      <c r="BF101" s="81">
        <f t="shared" si="88"/>
        <v>0</v>
      </c>
      <c r="BG101" s="80">
        <f t="shared" si="74"/>
        <v>0</v>
      </c>
      <c r="BH101" s="70">
        <f t="shared" si="75"/>
        <v>0</v>
      </c>
      <c r="BI101" s="80">
        <f t="shared" si="76"/>
        <v>0</v>
      </c>
      <c r="BJ101" s="70">
        <f t="shared" si="77"/>
        <v>0</v>
      </c>
      <c r="BK101" s="82"/>
    </row>
    <row r="102" spans="5:63" ht="11.95" thickBot="1" x14ac:dyDescent="0.3">
      <c r="E102" s="3"/>
      <c r="F102" s="3"/>
      <c r="G102" s="3"/>
      <c r="H102" s="3" t="s">
        <v>406</v>
      </c>
      <c r="I102" s="18"/>
      <c r="J102" s="18"/>
      <c r="K102" s="18"/>
      <c r="L102" s="78"/>
      <c r="M102" s="79"/>
      <c r="N102" s="80">
        <f t="shared" si="78"/>
        <v>0</v>
      </c>
      <c r="O102" s="79"/>
      <c r="P102" s="80">
        <f t="shared" si="79"/>
        <v>0</v>
      </c>
      <c r="Q102" s="79"/>
      <c r="R102" s="80">
        <f t="shared" si="80"/>
        <v>0</v>
      </c>
      <c r="S102" s="79"/>
      <c r="T102" s="81">
        <f t="shared" si="81"/>
        <v>0</v>
      </c>
      <c r="U102" s="80">
        <f t="shared" si="58"/>
        <v>0</v>
      </c>
      <c r="V102" s="70">
        <f t="shared" si="59"/>
        <v>0</v>
      </c>
      <c r="W102" s="80">
        <f t="shared" si="60"/>
        <v>0</v>
      </c>
      <c r="X102" s="70">
        <f t="shared" si="61"/>
        <v>0</v>
      </c>
      <c r="Y102" s="80">
        <f t="shared" si="62"/>
        <v>0</v>
      </c>
      <c r="Z102" s="70">
        <f t="shared" si="63"/>
        <v>0</v>
      </c>
      <c r="AA102" s="82"/>
      <c r="AC102" s="79">
        <v>0</v>
      </c>
      <c r="AD102" s="79">
        <v>0</v>
      </c>
      <c r="AE102" s="79">
        <v>0</v>
      </c>
      <c r="AF102" s="83">
        <f t="shared" si="64"/>
        <v>0</v>
      </c>
      <c r="AG102" s="70">
        <f t="shared" si="65"/>
        <v>0</v>
      </c>
      <c r="AH102" s="83">
        <f t="shared" si="66"/>
        <v>0</v>
      </c>
      <c r="AI102" s="70">
        <f t="shared" si="67"/>
        <v>0</v>
      </c>
      <c r="AK102" s="79">
        <v>0</v>
      </c>
      <c r="AL102" s="80">
        <f t="shared" si="82"/>
        <v>0</v>
      </c>
      <c r="AM102" s="79">
        <v>0</v>
      </c>
      <c r="AN102" s="80">
        <f t="shared" si="83"/>
        <v>0</v>
      </c>
      <c r="AO102" s="79">
        <v>0</v>
      </c>
      <c r="AP102" s="80">
        <f t="shared" si="84"/>
        <v>0</v>
      </c>
      <c r="AQ102" s="79">
        <v>0</v>
      </c>
      <c r="AR102" s="81">
        <f t="shared" si="85"/>
        <v>0</v>
      </c>
      <c r="AS102" s="80">
        <f t="shared" si="68"/>
        <v>0</v>
      </c>
      <c r="AT102" s="70">
        <f t="shared" si="69"/>
        <v>0</v>
      </c>
      <c r="AU102" s="80">
        <f t="shared" si="70"/>
        <v>0</v>
      </c>
      <c r="AV102" s="70">
        <f t="shared" si="71"/>
        <v>0</v>
      </c>
      <c r="AW102" s="80">
        <f t="shared" si="72"/>
        <v>0</v>
      </c>
      <c r="AX102" s="70">
        <f t="shared" si="73"/>
        <v>0</v>
      </c>
      <c r="AY102" s="82"/>
      <c r="BA102" s="79">
        <v>0</v>
      </c>
      <c r="BB102" s="80">
        <f t="shared" si="86"/>
        <v>0</v>
      </c>
      <c r="BC102" s="79">
        <v>0</v>
      </c>
      <c r="BD102" s="80">
        <f t="shared" si="87"/>
        <v>0</v>
      </c>
      <c r="BE102" s="79">
        <v>0</v>
      </c>
      <c r="BF102" s="81">
        <f t="shared" si="88"/>
        <v>0</v>
      </c>
      <c r="BG102" s="80">
        <f t="shared" si="74"/>
        <v>0</v>
      </c>
      <c r="BH102" s="70">
        <f t="shared" si="75"/>
        <v>0</v>
      </c>
      <c r="BI102" s="80">
        <f t="shared" si="76"/>
        <v>0</v>
      </c>
      <c r="BJ102" s="70">
        <f t="shared" si="77"/>
        <v>0</v>
      </c>
      <c r="BK102" s="82"/>
    </row>
    <row r="103" spans="5:63" ht="11.95" thickBot="1" x14ac:dyDescent="0.3">
      <c r="E103" s="3"/>
      <c r="F103" s="3"/>
      <c r="G103" s="3"/>
      <c r="H103" s="3" t="s">
        <v>407</v>
      </c>
      <c r="I103" s="18"/>
      <c r="J103" s="18"/>
      <c r="K103" s="18"/>
      <c r="L103" s="78"/>
      <c r="M103" s="79"/>
      <c r="N103" s="80">
        <f t="shared" si="78"/>
        <v>0</v>
      </c>
      <c r="O103" s="79"/>
      <c r="P103" s="80">
        <f t="shared" si="79"/>
        <v>0</v>
      </c>
      <c r="Q103" s="79"/>
      <c r="R103" s="80">
        <f t="shared" si="80"/>
        <v>0</v>
      </c>
      <c r="S103" s="79"/>
      <c r="T103" s="81">
        <f t="shared" si="81"/>
        <v>0</v>
      </c>
      <c r="U103" s="80">
        <f t="shared" si="58"/>
        <v>0</v>
      </c>
      <c r="V103" s="70">
        <f t="shared" si="59"/>
        <v>0</v>
      </c>
      <c r="W103" s="80">
        <f t="shared" si="60"/>
        <v>0</v>
      </c>
      <c r="X103" s="70">
        <f t="shared" si="61"/>
        <v>0</v>
      </c>
      <c r="Y103" s="80">
        <f t="shared" si="62"/>
        <v>0</v>
      </c>
      <c r="Z103" s="70">
        <f t="shared" si="63"/>
        <v>0</v>
      </c>
      <c r="AA103" s="82"/>
      <c r="AC103" s="79">
        <v>0</v>
      </c>
      <c r="AD103" s="79">
        <v>0</v>
      </c>
      <c r="AE103" s="79">
        <v>0</v>
      </c>
      <c r="AF103" s="83">
        <f t="shared" si="64"/>
        <v>0</v>
      </c>
      <c r="AG103" s="70">
        <f t="shared" si="65"/>
        <v>0</v>
      </c>
      <c r="AH103" s="83">
        <f t="shared" si="66"/>
        <v>0</v>
      </c>
      <c r="AI103" s="70">
        <f t="shared" si="67"/>
        <v>0</v>
      </c>
      <c r="AK103" s="79">
        <v>0</v>
      </c>
      <c r="AL103" s="80">
        <f t="shared" si="82"/>
        <v>0</v>
      </c>
      <c r="AM103" s="79">
        <v>0</v>
      </c>
      <c r="AN103" s="80">
        <f t="shared" si="83"/>
        <v>0</v>
      </c>
      <c r="AO103" s="79">
        <v>0</v>
      </c>
      <c r="AP103" s="80">
        <f t="shared" si="84"/>
        <v>0</v>
      </c>
      <c r="AQ103" s="79">
        <v>0</v>
      </c>
      <c r="AR103" s="81">
        <f t="shared" si="85"/>
        <v>0</v>
      </c>
      <c r="AS103" s="80">
        <f t="shared" si="68"/>
        <v>0</v>
      </c>
      <c r="AT103" s="70">
        <f t="shared" si="69"/>
        <v>0</v>
      </c>
      <c r="AU103" s="80">
        <f t="shared" si="70"/>
        <v>0</v>
      </c>
      <c r="AV103" s="70">
        <f t="shared" si="71"/>
        <v>0</v>
      </c>
      <c r="AW103" s="80">
        <f t="shared" si="72"/>
        <v>0</v>
      </c>
      <c r="AX103" s="70">
        <f t="shared" si="73"/>
        <v>0</v>
      </c>
      <c r="AY103" s="82"/>
      <c r="BA103" s="79">
        <v>0</v>
      </c>
      <c r="BB103" s="80">
        <f t="shared" si="86"/>
        <v>0</v>
      </c>
      <c r="BC103" s="79">
        <v>0</v>
      </c>
      <c r="BD103" s="80">
        <f t="shared" si="87"/>
        <v>0</v>
      </c>
      <c r="BE103" s="79">
        <v>0</v>
      </c>
      <c r="BF103" s="81">
        <f t="shared" si="88"/>
        <v>0</v>
      </c>
      <c r="BG103" s="80">
        <f t="shared" si="74"/>
        <v>0</v>
      </c>
      <c r="BH103" s="70">
        <f t="shared" si="75"/>
        <v>0</v>
      </c>
      <c r="BI103" s="80">
        <f t="shared" si="76"/>
        <v>0</v>
      </c>
      <c r="BJ103" s="70">
        <f t="shared" si="77"/>
        <v>0</v>
      </c>
      <c r="BK103" s="82"/>
    </row>
    <row r="104" spans="5:63" ht="11.95" thickBot="1" x14ac:dyDescent="0.3">
      <c r="E104" s="3"/>
      <c r="F104" s="3"/>
      <c r="G104" s="3"/>
      <c r="H104" s="3" t="s">
        <v>408</v>
      </c>
      <c r="I104" s="18"/>
      <c r="J104" s="18"/>
      <c r="K104" s="18"/>
      <c r="L104" s="78"/>
      <c r="M104" s="79"/>
      <c r="N104" s="80">
        <f t="shared" si="78"/>
        <v>0</v>
      </c>
      <c r="O104" s="79"/>
      <c r="P104" s="80">
        <f t="shared" si="79"/>
        <v>0</v>
      </c>
      <c r="Q104" s="79"/>
      <c r="R104" s="80">
        <f t="shared" si="80"/>
        <v>0</v>
      </c>
      <c r="S104" s="79"/>
      <c r="T104" s="81">
        <f t="shared" si="81"/>
        <v>0</v>
      </c>
      <c r="U104" s="80">
        <f t="shared" si="58"/>
        <v>0</v>
      </c>
      <c r="V104" s="70">
        <f t="shared" si="59"/>
        <v>0</v>
      </c>
      <c r="W104" s="80">
        <f t="shared" si="60"/>
        <v>0</v>
      </c>
      <c r="X104" s="70">
        <f t="shared" si="61"/>
        <v>0</v>
      </c>
      <c r="Y104" s="80">
        <f t="shared" si="62"/>
        <v>0</v>
      </c>
      <c r="Z104" s="70">
        <f t="shared" si="63"/>
        <v>0</v>
      </c>
      <c r="AA104" s="82"/>
      <c r="AC104" s="79">
        <v>0</v>
      </c>
      <c r="AD104" s="79">
        <v>0</v>
      </c>
      <c r="AE104" s="79">
        <v>0</v>
      </c>
      <c r="AF104" s="83">
        <f t="shared" si="64"/>
        <v>0</v>
      </c>
      <c r="AG104" s="70">
        <f t="shared" si="65"/>
        <v>0</v>
      </c>
      <c r="AH104" s="83">
        <f t="shared" si="66"/>
        <v>0</v>
      </c>
      <c r="AI104" s="70">
        <f t="shared" si="67"/>
        <v>0</v>
      </c>
      <c r="AK104" s="79">
        <v>0</v>
      </c>
      <c r="AL104" s="80">
        <f t="shared" si="82"/>
        <v>0</v>
      </c>
      <c r="AM104" s="79">
        <v>0</v>
      </c>
      <c r="AN104" s="80">
        <f t="shared" si="83"/>
        <v>0</v>
      </c>
      <c r="AO104" s="79">
        <v>0</v>
      </c>
      <c r="AP104" s="80">
        <f t="shared" si="84"/>
        <v>0</v>
      </c>
      <c r="AQ104" s="79">
        <v>0</v>
      </c>
      <c r="AR104" s="81">
        <f t="shared" si="85"/>
        <v>0</v>
      </c>
      <c r="AS104" s="80">
        <f t="shared" si="68"/>
        <v>0</v>
      </c>
      <c r="AT104" s="70">
        <f t="shared" si="69"/>
        <v>0</v>
      </c>
      <c r="AU104" s="80">
        <f t="shared" si="70"/>
        <v>0</v>
      </c>
      <c r="AV104" s="70">
        <f t="shared" si="71"/>
        <v>0</v>
      </c>
      <c r="AW104" s="80">
        <f t="shared" si="72"/>
        <v>0</v>
      </c>
      <c r="AX104" s="70">
        <f t="shared" si="73"/>
        <v>0</v>
      </c>
      <c r="AY104" s="82"/>
      <c r="BA104" s="79">
        <v>0</v>
      </c>
      <c r="BB104" s="80">
        <f t="shared" si="86"/>
        <v>0</v>
      </c>
      <c r="BC104" s="79">
        <v>0</v>
      </c>
      <c r="BD104" s="80">
        <f t="shared" si="87"/>
        <v>0</v>
      </c>
      <c r="BE104" s="79">
        <v>0</v>
      </c>
      <c r="BF104" s="81">
        <f t="shared" si="88"/>
        <v>0</v>
      </c>
      <c r="BG104" s="80">
        <f t="shared" si="74"/>
        <v>0</v>
      </c>
      <c r="BH104" s="70">
        <f t="shared" si="75"/>
        <v>0</v>
      </c>
      <c r="BI104" s="80">
        <f t="shared" si="76"/>
        <v>0</v>
      </c>
      <c r="BJ104" s="70">
        <f t="shared" si="77"/>
        <v>0</v>
      </c>
      <c r="BK104" s="82"/>
    </row>
    <row r="105" spans="5:63" ht="11.95" thickBot="1" x14ac:dyDescent="0.3">
      <c r="E105" s="3"/>
      <c r="F105" s="3"/>
      <c r="G105" s="3"/>
      <c r="H105" s="3" t="s">
        <v>409</v>
      </c>
      <c r="I105" s="18"/>
      <c r="J105" s="18"/>
      <c r="K105" s="18"/>
      <c r="L105" s="78"/>
      <c r="M105" s="79"/>
      <c r="N105" s="80">
        <f t="shared" si="78"/>
        <v>0</v>
      </c>
      <c r="O105" s="79"/>
      <c r="P105" s="80">
        <f t="shared" si="79"/>
        <v>0</v>
      </c>
      <c r="Q105" s="79"/>
      <c r="R105" s="80">
        <f t="shared" si="80"/>
        <v>0</v>
      </c>
      <c r="S105" s="79"/>
      <c r="T105" s="81">
        <f t="shared" si="81"/>
        <v>0</v>
      </c>
      <c r="U105" s="80">
        <f t="shared" si="58"/>
        <v>0</v>
      </c>
      <c r="V105" s="70">
        <f t="shared" si="59"/>
        <v>0</v>
      </c>
      <c r="W105" s="80">
        <f t="shared" si="60"/>
        <v>0</v>
      </c>
      <c r="X105" s="70">
        <f t="shared" si="61"/>
        <v>0</v>
      </c>
      <c r="Y105" s="80">
        <f t="shared" si="62"/>
        <v>0</v>
      </c>
      <c r="Z105" s="70">
        <f t="shared" si="63"/>
        <v>0</v>
      </c>
      <c r="AA105" s="82"/>
      <c r="AC105" s="79">
        <v>0</v>
      </c>
      <c r="AD105" s="79">
        <v>0</v>
      </c>
      <c r="AE105" s="79">
        <v>0</v>
      </c>
      <c r="AF105" s="83">
        <f t="shared" si="64"/>
        <v>0</v>
      </c>
      <c r="AG105" s="70">
        <f t="shared" si="65"/>
        <v>0</v>
      </c>
      <c r="AH105" s="83">
        <f t="shared" si="66"/>
        <v>0</v>
      </c>
      <c r="AI105" s="70">
        <f t="shared" si="67"/>
        <v>0</v>
      </c>
      <c r="AK105" s="79">
        <v>0</v>
      </c>
      <c r="AL105" s="80">
        <f t="shared" si="82"/>
        <v>0</v>
      </c>
      <c r="AM105" s="79">
        <v>0</v>
      </c>
      <c r="AN105" s="80">
        <f t="shared" si="83"/>
        <v>0</v>
      </c>
      <c r="AO105" s="79">
        <v>0</v>
      </c>
      <c r="AP105" s="80">
        <f t="shared" si="84"/>
        <v>0</v>
      </c>
      <c r="AQ105" s="79">
        <v>0</v>
      </c>
      <c r="AR105" s="81">
        <f t="shared" si="85"/>
        <v>0</v>
      </c>
      <c r="AS105" s="80">
        <f t="shared" si="68"/>
        <v>0</v>
      </c>
      <c r="AT105" s="70">
        <f t="shared" si="69"/>
        <v>0</v>
      </c>
      <c r="AU105" s="80">
        <f t="shared" si="70"/>
        <v>0</v>
      </c>
      <c r="AV105" s="70">
        <f t="shared" si="71"/>
        <v>0</v>
      </c>
      <c r="AW105" s="80">
        <f t="shared" si="72"/>
        <v>0</v>
      </c>
      <c r="AX105" s="70">
        <f t="shared" si="73"/>
        <v>0</v>
      </c>
      <c r="AY105" s="82"/>
      <c r="BA105" s="79">
        <v>0</v>
      </c>
      <c r="BB105" s="80">
        <f t="shared" si="86"/>
        <v>0</v>
      </c>
      <c r="BC105" s="79">
        <v>0</v>
      </c>
      <c r="BD105" s="80">
        <f t="shared" si="87"/>
        <v>0</v>
      </c>
      <c r="BE105" s="79">
        <v>0</v>
      </c>
      <c r="BF105" s="81">
        <f t="shared" si="88"/>
        <v>0</v>
      </c>
      <c r="BG105" s="80">
        <f t="shared" si="74"/>
        <v>0</v>
      </c>
      <c r="BH105" s="70">
        <f t="shared" si="75"/>
        <v>0</v>
      </c>
      <c r="BI105" s="80">
        <f t="shared" si="76"/>
        <v>0</v>
      </c>
      <c r="BJ105" s="70">
        <f t="shared" si="77"/>
        <v>0</v>
      </c>
      <c r="BK105" s="82"/>
    </row>
    <row r="106" spans="5:63" ht="11.95" thickBot="1" x14ac:dyDescent="0.3">
      <c r="E106" s="3"/>
      <c r="F106" s="3"/>
      <c r="G106" s="3"/>
      <c r="H106" s="3" t="s">
        <v>410</v>
      </c>
      <c r="I106" s="18"/>
      <c r="J106" s="18"/>
      <c r="K106" s="18"/>
      <c r="L106" s="78"/>
      <c r="M106" s="79"/>
      <c r="N106" s="80">
        <f t="shared" si="78"/>
        <v>0</v>
      </c>
      <c r="O106" s="79"/>
      <c r="P106" s="80">
        <f t="shared" si="79"/>
        <v>0</v>
      </c>
      <c r="Q106" s="79"/>
      <c r="R106" s="80">
        <f t="shared" si="80"/>
        <v>0</v>
      </c>
      <c r="S106" s="79"/>
      <c r="T106" s="81">
        <f t="shared" si="81"/>
        <v>0</v>
      </c>
      <c r="U106" s="80">
        <f t="shared" si="58"/>
        <v>0</v>
      </c>
      <c r="V106" s="70">
        <f t="shared" si="59"/>
        <v>0</v>
      </c>
      <c r="W106" s="80">
        <f t="shared" si="60"/>
        <v>0</v>
      </c>
      <c r="X106" s="70">
        <f t="shared" si="61"/>
        <v>0</v>
      </c>
      <c r="Y106" s="80">
        <f t="shared" si="62"/>
        <v>0</v>
      </c>
      <c r="Z106" s="70">
        <f t="shared" si="63"/>
        <v>0</v>
      </c>
      <c r="AA106" s="82"/>
      <c r="AC106" s="79">
        <v>0</v>
      </c>
      <c r="AD106" s="79">
        <v>0</v>
      </c>
      <c r="AE106" s="79">
        <v>0</v>
      </c>
      <c r="AF106" s="83">
        <f t="shared" si="64"/>
        <v>0</v>
      </c>
      <c r="AG106" s="70">
        <f t="shared" si="65"/>
        <v>0</v>
      </c>
      <c r="AH106" s="83">
        <f t="shared" si="66"/>
        <v>0</v>
      </c>
      <c r="AI106" s="70">
        <f t="shared" si="67"/>
        <v>0</v>
      </c>
      <c r="AK106" s="79">
        <v>0</v>
      </c>
      <c r="AL106" s="80">
        <f t="shared" si="82"/>
        <v>0</v>
      </c>
      <c r="AM106" s="79">
        <v>0</v>
      </c>
      <c r="AN106" s="80">
        <f t="shared" si="83"/>
        <v>0</v>
      </c>
      <c r="AO106" s="79">
        <v>0</v>
      </c>
      <c r="AP106" s="80">
        <f t="shared" si="84"/>
        <v>0</v>
      </c>
      <c r="AQ106" s="79">
        <v>0</v>
      </c>
      <c r="AR106" s="81">
        <f t="shared" si="85"/>
        <v>0</v>
      </c>
      <c r="AS106" s="80">
        <f t="shared" si="68"/>
        <v>0</v>
      </c>
      <c r="AT106" s="70">
        <f t="shared" si="69"/>
        <v>0</v>
      </c>
      <c r="AU106" s="80">
        <f t="shared" si="70"/>
        <v>0</v>
      </c>
      <c r="AV106" s="70">
        <f t="shared" si="71"/>
        <v>0</v>
      </c>
      <c r="AW106" s="80">
        <f t="shared" si="72"/>
        <v>0</v>
      </c>
      <c r="AX106" s="70">
        <f t="shared" si="73"/>
        <v>0</v>
      </c>
      <c r="AY106" s="82"/>
      <c r="BA106" s="79">
        <v>0</v>
      </c>
      <c r="BB106" s="80">
        <f t="shared" si="86"/>
        <v>0</v>
      </c>
      <c r="BC106" s="79">
        <v>0</v>
      </c>
      <c r="BD106" s="80">
        <f t="shared" si="87"/>
        <v>0</v>
      </c>
      <c r="BE106" s="79">
        <v>0</v>
      </c>
      <c r="BF106" s="81">
        <f t="shared" si="88"/>
        <v>0</v>
      </c>
      <c r="BG106" s="80">
        <f t="shared" si="74"/>
        <v>0</v>
      </c>
      <c r="BH106" s="70">
        <f t="shared" si="75"/>
        <v>0</v>
      </c>
      <c r="BI106" s="80">
        <f t="shared" si="76"/>
        <v>0</v>
      </c>
      <c r="BJ106" s="70">
        <f t="shared" si="77"/>
        <v>0</v>
      </c>
      <c r="BK106" s="82"/>
    </row>
    <row r="107" spans="5:63" ht="11.95" thickBot="1" x14ac:dyDescent="0.3">
      <c r="E107" s="3"/>
      <c r="F107" s="3"/>
      <c r="G107" s="3"/>
      <c r="H107" s="3" t="s">
        <v>411</v>
      </c>
      <c r="I107" s="18"/>
      <c r="J107" s="18"/>
      <c r="K107" s="18"/>
      <c r="L107" s="78"/>
      <c r="M107" s="79"/>
      <c r="N107" s="80">
        <f t="shared" si="78"/>
        <v>0</v>
      </c>
      <c r="O107" s="79"/>
      <c r="P107" s="80">
        <f t="shared" si="79"/>
        <v>0</v>
      </c>
      <c r="Q107" s="79"/>
      <c r="R107" s="80">
        <f t="shared" si="80"/>
        <v>0</v>
      </c>
      <c r="S107" s="79"/>
      <c r="T107" s="81">
        <f t="shared" si="81"/>
        <v>0</v>
      </c>
      <c r="U107" s="80">
        <f t="shared" si="58"/>
        <v>0</v>
      </c>
      <c r="V107" s="70">
        <f t="shared" si="59"/>
        <v>0</v>
      </c>
      <c r="W107" s="80">
        <f t="shared" si="60"/>
        <v>0</v>
      </c>
      <c r="X107" s="70">
        <f t="shared" si="61"/>
        <v>0</v>
      </c>
      <c r="Y107" s="80">
        <f t="shared" si="62"/>
        <v>0</v>
      </c>
      <c r="Z107" s="70">
        <f t="shared" si="63"/>
        <v>0</v>
      </c>
      <c r="AA107" s="82"/>
      <c r="AC107" s="79">
        <v>0</v>
      </c>
      <c r="AD107" s="79">
        <v>0</v>
      </c>
      <c r="AE107" s="79">
        <v>0</v>
      </c>
      <c r="AF107" s="83">
        <f t="shared" si="64"/>
        <v>0</v>
      </c>
      <c r="AG107" s="70">
        <f t="shared" si="65"/>
        <v>0</v>
      </c>
      <c r="AH107" s="83">
        <f t="shared" si="66"/>
        <v>0</v>
      </c>
      <c r="AI107" s="70">
        <f t="shared" si="67"/>
        <v>0</v>
      </c>
      <c r="AK107" s="79">
        <v>0</v>
      </c>
      <c r="AL107" s="80">
        <f t="shared" si="82"/>
        <v>0</v>
      </c>
      <c r="AM107" s="79">
        <v>0</v>
      </c>
      <c r="AN107" s="80">
        <f t="shared" si="83"/>
        <v>0</v>
      </c>
      <c r="AO107" s="79">
        <v>0</v>
      </c>
      <c r="AP107" s="80">
        <f t="shared" si="84"/>
        <v>0</v>
      </c>
      <c r="AQ107" s="79">
        <v>0</v>
      </c>
      <c r="AR107" s="81">
        <f t="shared" si="85"/>
        <v>0</v>
      </c>
      <c r="AS107" s="80">
        <f t="shared" si="68"/>
        <v>0</v>
      </c>
      <c r="AT107" s="70">
        <f t="shared" si="69"/>
        <v>0</v>
      </c>
      <c r="AU107" s="80">
        <f t="shared" si="70"/>
        <v>0</v>
      </c>
      <c r="AV107" s="70">
        <f t="shared" si="71"/>
        <v>0</v>
      </c>
      <c r="AW107" s="80">
        <f t="shared" si="72"/>
        <v>0</v>
      </c>
      <c r="AX107" s="70">
        <f t="shared" si="73"/>
        <v>0</v>
      </c>
      <c r="AY107" s="82"/>
      <c r="BA107" s="79">
        <v>0</v>
      </c>
      <c r="BB107" s="80">
        <f t="shared" si="86"/>
        <v>0</v>
      </c>
      <c r="BC107" s="79">
        <v>0</v>
      </c>
      <c r="BD107" s="80">
        <f t="shared" si="87"/>
        <v>0</v>
      </c>
      <c r="BE107" s="79">
        <v>0</v>
      </c>
      <c r="BF107" s="81">
        <f t="shared" si="88"/>
        <v>0</v>
      </c>
      <c r="BG107" s="80">
        <f t="shared" si="74"/>
        <v>0</v>
      </c>
      <c r="BH107" s="70">
        <f t="shared" si="75"/>
        <v>0</v>
      </c>
      <c r="BI107" s="80">
        <f t="shared" si="76"/>
        <v>0</v>
      </c>
      <c r="BJ107" s="70">
        <f t="shared" si="77"/>
        <v>0</v>
      </c>
      <c r="BK107" s="82"/>
    </row>
    <row r="108" spans="5:63" ht="11.95" thickBot="1" x14ac:dyDescent="0.3">
      <c r="E108" s="3"/>
      <c r="F108" s="3"/>
      <c r="G108" s="3"/>
      <c r="H108" s="3" t="s">
        <v>412</v>
      </c>
      <c r="I108" s="18"/>
      <c r="J108" s="18"/>
      <c r="K108" s="18"/>
      <c r="L108" s="78"/>
      <c r="M108" s="79"/>
      <c r="N108" s="80">
        <f t="shared" si="78"/>
        <v>0</v>
      </c>
      <c r="O108" s="79"/>
      <c r="P108" s="80">
        <f t="shared" si="79"/>
        <v>0</v>
      </c>
      <c r="Q108" s="79"/>
      <c r="R108" s="80">
        <f t="shared" si="80"/>
        <v>0</v>
      </c>
      <c r="S108" s="79"/>
      <c r="T108" s="81">
        <f t="shared" si="81"/>
        <v>0</v>
      </c>
      <c r="U108" s="80">
        <f t="shared" si="58"/>
        <v>0</v>
      </c>
      <c r="V108" s="70">
        <f t="shared" si="59"/>
        <v>0</v>
      </c>
      <c r="W108" s="80">
        <f t="shared" si="60"/>
        <v>0</v>
      </c>
      <c r="X108" s="70">
        <f t="shared" si="61"/>
        <v>0</v>
      </c>
      <c r="Y108" s="80">
        <f t="shared" si="62"/>
        <v>0</v>
      </c>
      <c r="Z108" s="70">
        <f t="shared" si="63"/>
        <v>0</v>
      </c>
      <c r="AA108" s="82"/>
      <c r="AC108" s="79">
        <v>0</v>
      </c>
      <c r="AD108" s="79">
        <v>0</v>
      </c>
      <c r="AE108" s="79">
        <v>0</v>
      </c>
      <c r="AF108" s="83">
        <f t="shared" si="64"/>
        <v>0</v>
      </c>
      <c r="AG108" s="70">
        <f t="shared" si="65"/>
        <v>0</v>
      </c>
      <c r="AH108" s="83">
        <f t="shared" si="66"/>
        <v>0</v>
      </c>
      <c r="AI108" s="70">
        <f t="shared" si="67"/>
        <v>0</v>
      </c>
      <c r="AK108" s="79">
        <v>0</v>
      </c>
      <c r="AL108" s="80">
        <f t="shared" si="82"/>
        <v>0</v>
      </c>
      <c r="AM108" s="79">
        <v>0</v>
      </c>
      <c r="AN108" s="80">
        <f t="shared" si="83"/>
        <v>0</v>
      </c>
      <c r="AO108" s="79">
        <v>0</v>
      </c>
      <c r="AP108" s="80">
        <f t="shared" si="84"/>
        <v>0</v>
      </c>
      <c r="AQ108" s="79">
        <v>0</v>
      </c>
      <c r="AR108" s="81">
        <f t="shared" si="85"/>
        <v>0</v>
      </c>
      <c r="AS108" s="80">
        <f t="shared" si="68"/>
        <v>0</v>
      </c>
      <c r="AT108" s="70">
        <f t="shared" si="69"/>
        <v>0</v>
      </c>
      <c r="AU108" s="80">
        <f t="shared" si="70"/>
        <v>0</v>
      </c>
      <c r="AV108" s="70">
        <f t="shared" si="71"/>
        <v>0</v>
      </c>
      <c r="AW108" s="80">
        <f t="shared" si="72"/>
        <v>0</v>
      </c>
      <c r="AX108" s="70">
        <f t="shared" si="73"/>
        <v>0</v>
      </c>
      <c r="AY108" s="82"/>
      <c r="BA108" s="79">
        <v>0</v>
      </c>
      <c r="BB108" s="80">
        <f t="shared" si="86"/>
        <v>0</v>
      </c>
      <c r="BC108" s="79">
        <v>0</v>
      </c>
      <c r="BD108" s="80">
        <f t="shared" si="87"/>
        <v>0</v>
      </c>
      <c r="BE108" s="79">
        <v>0</v>
      </c>
      <c r="BF108" s="81">
        <f t="shared" si="88"/>
        <v>0</v>
      </c>
      <c r="BG108" s="80">
        <f t="shared" si="74"/>
        <v>0</v>
      </c>
      <c r="BH108" s="70">
        <f t="shared" si="75"/>
        <v>0</v>
      </c>
      <c r="BI108" s="80">
        <f t="shared" si="76"/>
        <v>0</v>
      </c>
      <c r="BJ108" s="70">
        <f t="shared" si="77"/>
        <v>0</v>
      </c>
      <c r="BK108" s="82"/>
    </row>
    <row r="109" spans="5:63" ht="11.95" thickBot="1" x14ac:dyDescent="0.3">
      <c r="E109" s="3"/>
      <c r="F109" s="3"/>
      <c r="G109" s="3"/>
      <c r="H109" s="3" t="s">
        <v>413</v>
      </c>
      <c r="I109" s="18"/>
      <c r="J109" s="18"/>
      <c r="K109" s="18"/>
      <c r="L109" s="78"/>
      <c r="M109" s="79">
        <v>0</v>
      </c>
      <c r="N109" s="80">
        <f t="shared" si="78"/>
        <v>0</v>
      </c>
      <c r="O109" s="79">
        <v>0</v>
      </c>
      <c r="P109" s="80">
        <f t="shared" si="79"/>
        <v>0</v>
      </c>
      <c r="Q109" s="79">
        <v>0</v>
      </c>
      <c r="R109" s="80">
        <f t="shared" si="80"/>
        <v>0</v>
      </c>
      <c r="S109" s="79">
        <v>0</v>
      </c>
      <c r="T109" s="81">
        <f t="shared" si="81"/>
        <v>0</v>
      </c>
      <c r="U109" s="80">
        <f t="shared" si="58"/>
        <v>0</v>
      </c>
      <c r="V109" s="70">
        <f t="shared" si="59"/>
        <v>0</v>
      </c>
      <c r="W109" s="80">
        <f t="shared" si="60"/>
        <v>0</v>
      </c>
      <c r="X109" s="70">
        <f t="shared" si="61"/>
        <v>0</v>
      </c>
      <c r="Y109" s="80">
        <f t="shared" si="62"/>
        <v>0</v>
      </c>
      <c r="Z109" s="70">
        <f t="shared" si="63"/>
        <v>0</v>
      </c>
      <c r="AA109" s="82"/>
      <c r="AC109" s="79">
        <v>0</v>
      </c>
      <c r="AD109" s="79">
        <v>0</v>
      </c>
      <c r="AE109" s="79">
        <v>0</v>
      </c>
      <c r="AF109" s="83">
        <f t="shared" si="64"/>
        <v>0</v>
      </c>
      <c r="AG109" s="70">
        <f t="shared" si="65"/>
        <v>0</v>
      </c>
      <c r="AH109" s="83">
        <f t="shared" si="66"/>
        <v>0</v>
      </c>
      <c r="AI109" s="70">
        <f t="shared" si="67"/>
        <v>0</v>
      </c>
      <c r="AK109" s="79">
        <v>0</v>
      </c>
      <c r="AL109" s="80">
        <f t="shared" si="82"/>
        <v>0</v>
      </c>
      <c r="AM109" s="79">
        <v>0</v>
      </c>
      <c r="AN109" s="80">
        <f t="shared" si="83"/>
        <v>0</v>
      </c>
      <c r="AO109" s="79">
        <v>0</v>
      </c>
      <c r="AP109" s="80">
        <f t="shared" si="84"/>
        <v>0</v>
      </c>
      <c r="AQ109" s="79">
        <v>0</v>
      </c>
      <c r="AR109" s="81">
        <f t="shared" si="85"/>
        <v>0</v>
      </c>
      <c r="AS109" s="80">
        <f t="shared" si="68"/>
        <v>0</v>
      </c>
      <c r="AT109" s="70">
        <f t="shared" si="69"/>
        <v>0</v>
      </c>
      <c r="AU109" s="80">
        <f t="shared" si="70"/>
        <v>0</v>
      </c>
      <c r="AV109" s="70">
        <f t="shared" si="71"/>
        <v>0</v>
      </c>
      <c r="AW109" s="80">
        <f t="shared" si="72"/>
        <v>0</v>
      </c>
      <c r="AX109" s="70">
        <f t="shared" si="73"/>
        <v>0</v>
      </c>
      <c r="AY109" s="82"/>
      <c r="BA109" s="79">
        <v>0</v>
      </c>
      <c r="BB109" s="80">
        <f t="shared" si="86"/>
        <v>0</v>
      </c>
      <c r="BC109" s="79">
        <v>0</v>
      </c>
      <c r="BD109" s="80">
        <f t="shared" si="87"/>
        <v>0</v>
      </c>
      <c r="BE109" s="79">
        <v>0</v>
      </c>
      <c r="BF109" s="81">
        <f t="shared" si="88"/>
        <v>0</v>
      </c>
      <c r="BG109" s="80">
        <f t="shared" si="74"/>
        <v>0</v>
      </c>
      <c r="BH109" s="70">
        <f t="shared" si="75"/>
        <v>0</v>
      </c>
      <c r="BI109" s="80">
        <f t="shared" si="76"/>
        <v>0</v>
      </c>
      <c r="BJ109" s="70">
        <f t="shared" si="77"/>
        <v>0</v>
      </c>
      <c r="BK109" s="82"/>
    </row>
    <row r="110" spans="5:63" ht="11.95" thickBot="1" x14ac:dyDescent="0.3">
      <c r="E110" s="3"/>
      <c r="F110" s="3"/>
      <c r="G110" s="3"/>
      <c r="H110" s="3" t="s">
        <v>414</v>
      </c>
      <c r="I110" s="18"/>
      <c r="J110" s="18"/>
      <c r="K110" s="18"/>
      <c r="L110" s="78"/>
      <c r="M110" s="79"/>
      <c r="N110" s="80">
        <f t="shared" si="78"/>
        <v>0</v>
      </c>
      <c r="O110" s="79"/>
      <c r="P110" s="80">
        <f t="shared" si="79"/>
        <v>0</v>
      </c>
      <c r="Q110" s="79"/>
      <c r="R110" s="80">
        <f t="shared" si="80"/>
        <v>0</v>
      </c>
      <c r="S110" s="79"/>
      <c r="T110" s="81">
        <f t="shared" si="81"/>
        <v>0</v>
      </c>
      <c r="U110" s="80">
        <f t="shared" si="58"/>
        <v>0</v>
      </c>
      <c r="V110" s="70">
        <f t="shared" si="59"/>
        <v>0</v>
      </c>
      <c r="W110" s="80">
        <f t="shared" si="60"/>
        <v>0</v>
      </c>
      <c r="X110" s="70">
        <f t="shared" si="61"/>
        <v>0</v>
      </c>
      <c r="Y110" s="80">
        <f t="shared" si="62"/>
        <v>0</v>
      </c>
      <c r="Z110" s="70">
        <f t="shared" si="63"/>
        <v>0</v>
      </c>
      <c r="AA110" s="82"/>
      <c r="AC110" s="79">
        <v>0</v>
      </c>
      <c r="AD110" s="79">
        <v>0</v>
      </c>
      <c r="AE110" s="79">
        <v>0</v>
      </c>
      <c r="AF110" s="83">
        <f t="shared" si="64"/>
        <v>0</v>
      </c>
      <c r="AG110" s="70">
        <f t="shared" si="65"/>
        <v>0</v>
      </c>
      <c r="AH110" s="83">
        <f t="shared" si="66"/>
        <v>0</v>
      </c>
      <c r="AI110" s="70">
        <f t="shared" si="67"/>
        <v>0</v>
      </c>
      <c r="AK110" s="79">
        <v>0</v>
      </c>
      <c r="AL110" s="80">
        <f t="shared" si="82"/>
        <v>0</v>
      </c>
      <c r="AM110" s="79">
        <v>0</v>
      </c>
      <c r="AN110" s="80">
        <f t="shared" si="83"/>
        <v>0</v>
      </c>
      <c r="AO110" s="79">
        <v>0</v>
      </c>
      <c r="AP110" s="80">
        <f t="shared" si="84"/>
        <v>0</v>
      </c>
      <c r="AQ110" s="79">
        <v>0</v>
      </c>
      <c r="AR110" s="81">
        <f t="shared" si="85"/>
        <v>0</v>
      </c>
      <c r="AS110" s="80">
        <f t="shared" si="68"/>
        <v>0</v>
      </c>
      <c r="AT110" s="70">
        <f t="shared" si="69"/>
        <v>0</v>
      </c>
      <c r="AU110" s="80">
        <f t="shared" si="70"/>
        <v>0</v>
      </c>
      <c r="AV110" s="70">
        <f t="shared" si="71"/>
        <v>0</v>
      </c>
      <c r="AW110" s="80">
        <f t="shared" si="72"/>
        <v>0</v>
      </c>
      <c r="AX110" s="70">
        <f t="shared" si="73"/>
        <v>0</v>
      </c>
      <c r="AY110" s="82"/>
      <c r="BA110" s="79">
        <v>0</v>
      </c>
      <c r="BB110" s="80">
        <f t="shared" si="86"/>
        <v>0</v>
      </c>
      <c r="BC110" s="79">
        <v>0</v>
      </c>
      <c r="BD110" s="80">
        <f t="shared" si="87"/>
        <v>0</v>
      </c>
      <c r="BE110" s="79">
        <v>0</v>
      </c>
      <c r="BF110" s="81">
        <f t="shared" si="88"/>
        <v>0</v>
      </c>
      <c r="BG110" s="80">
        <f t="shared" si="74"/>
        <v>0</v>
      </c>
      <c r="BH110" s="70">
        <f t="shared" si="75"/>
        <v>0</v>
      </c>
      <c r="BI110" s="80">
        <f t="shared" si="76"/>
        <v>0</v>
      </c>
      <c r="BJ110" s="70">
        <f t="shared" si="77"/>
        <v>0</v>
      </c>
      <c r="BK110" s="82"/>
    </row>
    <row r="111" spans="5:63" ht="11.95" thickBot="1" x14ac:dyDescent="0.3">
      <c r="E111" s="3"/>
      <c r="F111" s="3"/>
      <c r="G111" s="3"/>
      <c r="H111" s="3" t="s">
        <v>415</v>
      </c>
      <c r="I111" s="18"/>
      <c r="J111" s="18"/>
      <c r="K111" s="18"/>
      <c r="L111" s="78"/>
      <c r="M111" s="79"/>
      <c r="N111" s="80">
        <f t="shared" si="78"/>
        <v>0</v>
      </c>
      <c r="O111" s="79"/>
      <c r="P111" s="80">
        <f t="shared" si="79"/>
        <v>0</v>
      </c>
      <c r="Q111" s="79"/>
      <c r="R111" s="80">
        <f t="shared" si="80"/>
        <v>0</v>
      </c>
      <c r="S111" s="79"/>
      <c r="T111" s="81">
        <f t="shared" si="81"/>
        <v>0</v>
      </c>
      <c r="U111" s="80">
        <f t="shared" si="58"/>
        <v>0</v>
      </c>
      <c r="V111" s="70">
        <f t="shared" si="59"/>
        <v>0</v>
      </c>
      <c r="W111" s="80">
        <f t="shared" si="60"/>
        <v>0</v>
      </c>
      <c r="X111" s="70">
        <f t="shared" si="61"/>
        <v>0</v>
      </c>
      <c r="Y111" s="80">
        <f t="shared" si="62"/>
        <v>0</v>
      </c>
      <c r="Z111" s="70">
        <f t="shared" si="63"/>
        <v>0</v>
      </c>
      <c r="AA111" s="82"/>
      <c r="AC111" s="79">
        <v>0</v>
      </c>
      <c r="AD111" s="79">
        <v>0</v>
      </c>
      <c r="AE111" s="79">
        <v>0</v>
      </c>
      <c r="AF111" s="83">
        <f t="shared" si="64"/>
        <v>0</v>
      </c>
      <c r="AG111" s="70">
        <f t="shared" si="65"/>
        <v>0</v>
      </c>
      <c r="AH111" s="83">
        <f t="shared" si="66"/>
        <v>0</v>
      </c>
      <c r="AI111" s="70">
        <f t="shared" si="67"/>
        <v>0</v>
      </c>
      <c r="AK111" s="79">
        <v>0</v>
      </c>
      <c r="AL111" s="80">
        <f t="shared" si="82"/>
        <v>0</v>
      </c>
      <c r="AM111" s="79">
        <v>0</v>
      </c>
      <c r="AN111" s="80">
        <f t="shared" si="83"/>
        <v>0</v>
      </c>
      <c r="AO111" s="79">
        <v>0</v>
      </c>
      <c r="AP111" s="80">
        <f t="shared" si="84"/>
        <v>0</v>
      </c>
      <c r="AQ111" s="79">
        <v>0</v>
      </c>
      <c r="AR111" s="81">
        <f t="shared" si="85"/>
        <v>0</v>
      </c>
      <c r="AS111" s="80">
        <f t="shared" si="68"/>
        <v>0</v>
      </c>
      <c r="AT111" s="70">
        <f t="shared" si="69"/>
        <v>0</v>
      </c>
      <c r="AU111" s="80">
        <f t="shared" si="70"/>
        <v>0</v>
      </c>
      <c r="AV111" s="70">
        <f t="shared" si="71"/>
        <v>0</v>
      </c>
      <c r="AW111" s="80">
        <f t="shared" si="72"/>
        <v>0</v>
      </c>
      <c r="AX111" s="70">
        <f t="shared" si="73"/>
        <v>0</v>
      </c>
      <c r="AY111" s="82"/>
      <c r="BA111" s="79">
        <v>0</v>
      </c>
      <c r="BB111" s="80">
        <f t="shared" si="86"/>
        <v>0</v>
      </c>
      <c r="BC111" s="79">
        <v>0</v>
      </c>
      <c r="BD111" s="80">
        <f t="shared" si="87"/>
        <v>0</v>
      </c>
      <c r="BE111" s="79">
        <v>0</v>
      </c>
      <c r="BF111" s="81">
        <f t="shared" si="88"/>
        <v>0</v>
      </c>
      <c r="BG111" s="80">
        <f t="shared" si="74"/>
        <v>0</v>
      </c>
      <c r="BH111" s="70">
        <f t="shared" si="75"/>
        <v>0</v>
      </c>
      <c r="BI111" s="80">
        <f t="shared" si="76"/>
        <v>0</v>
      </c>
      <c r="BJ111" s="70">
        <f t="shared" si="77"/>
        <v>0</v>
      </c>
      <c r="BK111" s="82"/>
    </row>
    <row r="112" spans="5:63" ht="11.95" thickBot="1" x14ac:dyDescent="0.3">
      <c r="E112" s="3"/>
      <c r="F112" s="3"/>
      <c r="G112" s="3"/>
      <c r="H112" s="3" t="s">
        <v>416</v>
      </c>
      <c r="I112" s="18"/>
      <c r="J112" s="18"/>
      <c r="K112" s="18"/>
      <c r="L112" s="78"/>
      <c r="M112" s="79"/>
      <c r="N112" s="80">
        <f t="shared" si="78"/>
        <v>0</v>
      </c>
      <c r="O112" s="79"/>
      <c r="P112" s="80">
        <f t="shared" si="79"/>
        <v>0</v>
      </c>
      <c r="Q112" s="79"/>
      <c r="R112" s="80">
        <f t="shared" si="80"/>
        <v>0</v>
      </c>
      <c r="S112" s="79"/>
      <c r="T112" s="81">
        <f t="shared" si="81"/>
        <v>0</v>
      </c>
      <c r="U112" s="80">
        <f t="shared" si="58"/>
        <v>0</v>
      </c>
      <c r="V112" s="70">
        <f t="shared" si="59"/>
        <v>0</v>
      </c>
      <c r="W112" s="80">
        <f t="shared" si="60"/>
        <v>0</v>
      </c>
      <c r="X112" s="70">
        <f t="shared" si="61"/>
        <v>0</v>
      </c>
      <c r="Y112" s="80">
        <f t="shared" si="62"/>
        <v>0</v>
      </c>
      <c r="Z112" s="70">
        <f t="shared" si="63"/>
        <v>0</v>
      </c>
      <c r="AA112" s="82"/>
      <c r="AC112" s="79">
        <v>0</v>
      </c>
      <c r="AD112" s="79">
        <v>0</v>
      </c>
      <c r="AE112" s="79">
        <v>0</v>
      </c>
      <c r="AF112" s="83">
        <f t="shared" si="64"/>
        <v>0</v>
      </c>
      <c r="AG112" s="70">
        <f t="shared" si="65"/>
        <v>0</v>
      </c>
      <c r="AH112" s="83">
        <f t="shared" si="66"/>
        <v>0</v>
      </c>
      <c r="AI112" s="70">
        <f t="shared" si="67"/>
        <v>0</v>
      </c>
      <c r="AK112" s="79">
        <v>0</v>
      </c>
      <c r="AL112" s="80">
        <f t="shared" si="82"/>
        <v>0</v>
      </c>
      <c r="AM112" s="79">
        <v>0</v>
      </c>
      <c r="AN112" s="80">
        <f t="shared" si="83"/>
        <v>0</v>
      </c>
      <c r="AO112" s="79">
        <v>0</v>
      </c>
      <c r="AP112" s="80">
        <f t="shared" si="84"/>
        <v>0</v>
      </c>
      <c r="AQ112" s="79">
        <v>0</v>
      </c>
      <c r="AR112" s="81">
        <f t="shared" si="85"/>
        <v>0</v>
      </c>
      <c r="AS112" s="80">
        <f t="shared" si="68"/>
        <v>0</v>
      </c>
      <c r="AT112" s="70">
        <f t="shared" si="69"/>
        <v>0</v>
      </c>
      <c r="AU112" s="80">
        <f t="shared" si="70"/>
        <v>0</v>
      </c>
      <c r="AV112" s="70">
        <f t="shared" si="71"/>
        <v>0</v>
      </c>
      <c r="AW112" s="80">
        <f t="shared" si="72"/>
        <v>0</v>
      </c>
      <c r="AX112" s="70">
        <f t="shared" si="73"/>
        <v>0</v>
      </c>
      <c r="AY112" s="82"/>
      <c r="BA112" s="79">
        <v>0</v>
      </c>
      <c r="BB112" s="80">
        <f t="shared" si="86"/>
        <v>0</v>
      </c>
      <c r="BC112" s="79">
        <v>0</v>
      </c>
      <c r="BD112" s="80">
        <f t="shared" si="87"/>
        <v>0</v>
      </c>
      <c r="BE112" s="79">
        <v>0</v>
      </c>
      <c r="BF112" s="81">
        <f t="shared" si="88"/>
        <v>0</v>
      </c>
      <c r="BG112" s="80">
        <f t="shared" si="74"/>
        <v>0</v>
      </c>
      <c r="BH112" s="70">
        <f t="shared" si="75"/>
        <v>0</v>
      </c>
      <c r="BI112" s="80">
        <f t="shared" si="76"/>
        <v>0</v>
      </c>
      <c r="BJ112" s="70">
        <f t="shared" si="77"/>
        <v>0</v>
      </c>
      <c r="BK112" s="82"/>
    </row>
    <row r="113" spans="5:63" ht="11.95" thickBot="1" x14ac:dyDescent="0.3">
      <c r="E113" s="3"/>
      <c r="F113" s="3"/>
      <c r="G113" s="3"/>
      <c r="H113" s="3" t="s">
        <v>417</v>
      </c>
      <c r="I113" s="18"/>
      <c r="J113" s="18"/>
      <c r="K113" s="18"/>
      <c r="L113" s="78"/>
      <c r="M113" s="79"/>
      <c r="N113" s="80">
        <f t="shared" si="78"/>
        <v>0</v>
      </c>
      <c r="O113" s="79"/>
      <c r="P113" s="80">
        <f t="shared" si="79"/>
        <v>0</v>
      </c>
      <c r="Q113" s="79"/>
      <c r="R113" s="80">
        <f t="shared" si="80"/>
        <v>0</v>
      </c>
      <c r="S113" s="79"/>
      <c r="T113" s="81">
        <f t="shared" si="81"/>
        <v>0</v>
      </c>
      <c r="U113" s="80">
        <f t="shared" si="58"/>
        <v>0</v>
      </c>
      <c r="V113" s="70">
        <f t="shared" si="59"/>
        <v>0</v>
      </c>
      <c r="W113" s="80">
        <f t="shared" si="60"/>
        <v>0</v>
      </c>
      <c r="X113" s="70">
        <f t="shared" si="61"/>
        <v>0</v>
      </c>
      <c r="Y113" s="80">
        <f t="shared" si="62"/>
        <v>0</v>
      </c>
      <c r="Z113" s="70">
        <f t="shared" si="63"/>
        <v>0</v>
      </c>
      <c r="AA113" s="82"/>
      <c r="AC113" s="79">
        <v>0</v>
      </c>
      <c r="AD113" s="79">
        <v>0</v>
      </c>
      <c r="AE113" s="79">
        <v>0</v>
      </c>
      <c r="AF113" s="83">
        <f t="shared" si="64"/>
        <v>0</v>
      </c>
      <c r="AG113" s="70">
        <f t="shared" si="65"/>
        <v>0</v>
      </c>
      <c r="AH113" s="83">
        <f t="shared" si="66"/>
        <v>0</v>
      </c>
      <c r="AI113" s="70">
        <f t="shared" si="67"/>
        <v>0</v>
      </c>
      <c r="AK113" s="79">
        <v>0</v>
      </c>
      <c r="AL113" s="80">
        <f t="shared" si="82"/>
        <v>0</v>
      </c>
      <c r="AM113" s="79">
        <v>0</v>
      </c>
      <c r="AN113" s="80">
        <f t="shared" si="83"/>
        <v>0</v>
      </c>
      <c r="AO113" s="79">
        <v>0</v>
      </c>
      <c r="AP113" s="80">
        <f t="shared" si="84"/>
        <v>0</v>
      </c>
      <c r="AQ113" s="79">
        <v>0</v>
      </c>
      <c r="AR113" s="81">
        <f t="shared" si="85"/>
        <v>0</v>
      </c>
      <c r="AS113" s="80">
        <f t="shared" si="68"/>
        <v>0</v>
      </c>
      <c r="AT113" s="70">
        <f t="shared" si="69"/>
        <v>0</v>
      </c>
      <c r="AU113" s="80">
        <f t="shared" si="70"/>
        <v>0</v>
      </c>
      <c r="AV113" s="70">
        <f t="shared" si="71"/>
        <v>0</v>
      </c>
      <c r="AW113" s="80">
        <f t="shared" si="72"/>
        <v>0</v>
      </c>
      <c r="AX113" s="70">
        <f t="shared" si="73"/>
        <v>0</v>
      </c>
      <c r="AY113" s="82"/>
      <c r="BA113" s="79">
        <v>0</v>
      </c>
      <c r="BB113" s="80">
        <f t="shared" si="86"/>
        <v>0</v>
      </c>
      <c r="BC113" s="79">
        <v>0</v>
      </c>
      <c r="BD113" s="80">
        <f t="shared" si="87"/>
        <v>0</v>
      </c>
      <c r="BE113" s="79">
        <v>0</v>
      </c>
      <c r="BF113" s="81">
        <f t="shared" si="88"/>
        <v>0</v>
      </c>
      <c r="BG113" s="80">
        <f t="shared" si="74"/>
        <v>0</v>
      </c>
      <c r="BH113" s="70">
        <f t="shared" si="75"/>
        <v>0</v>
      </c>
      <c r="BI113" s="80">
        <f t="shared" si="76"/>
        <v>0</v>
      </c>
      <c r="BJ113" s="70">
        <f t="shared" si="77"/>
        <v>0</v>
      </c>
      <c r="BK113" s="82"/>
    </row>
    <row r="114" spans="5:63" ht="11.95" thickBot="1" x14ac:dyDescent="0.3">
      <c r="E114" s="3"/>
      <c r="F114" s="3"/>
      <c r="G114" s="3"/>
      <c r="H114" s="3" t="s">
        <v>418</v>
      </c>
      <c r="I114" s="18"/>
      <c r="J114" s="18"/>
      <c r="K114" s="18"/>
      <c r="L114" s="78"/>
      <c r="M114" s="79"/>
      <c r="N114" s="80">
        <f t="shared" si="78"/>
        <v>0</v>
      </c>
      <c r="O114" s="79"/>
      <c r="P114" s="80">
        <f t="shared" si="79"/>
        <v>0</v>
      </c>
      <c r="Q114" s="79"/>
      <c r="R114" s="80">
        <f t="shared" si="80"/>
        <v>0</v>
      </c>
      <c r="S114" s="79"/>
      <c r="T114" s="81">
        <f t="shared" si="81"/>
        <v>0</v>
      </c>
      <c r="U114" s="80">
        <f t="shared" si="58"/>
        <v>0</v>
      </c>
      <c r="V114" s="70">
        <f t="shared" si="59"/>
        <v>0</v>
      </c>
      <c r="W114" s="80">
        <f t="shared" si="60"/>
        <v>0</v>
      </c>
      <c r="X114" s="70">
        <f t="shared" si="61"/>
        <v>0</v>
      </c>
      <c r="Y114" s="80">
        <f t="shared" si="62"/>
        <v>0</v>
      </c>
      <c r="Z114" s="70">
        <f t="shared" si="63"/>
        <v>0</v>
      </c>
      <c r="AA114" s="82"/>
      <c r="AC114" s="79">
        <v>0</v>
      </c>
      <c r="AD114" s="79">
        <v>0</v>
      </c>
      <c r="AE114" s="79">
        <v>0</v>
      </c>
      <c r="AF114" s="83">
        <f t="shared" si="64"/>
        <v>0</v>
      </c>
      <c r="AG114" s="70">
        <f t="shared" si="65"/>
        <v>0</v>
      </c>
      <c r="AH114" s="83">
        <f t="shared" si="66"/>
        <v>0</v>
      </c>
      <c r="AI114" s="70">
        <f t="shared" si="67"/>
        <v>0</v>
      </c>
      <c r="AK114" s="79">
        <v>0</v>
      </c>
      <c r="AL114" s="80">
        <f t="shared" si="82"/>
        <v>0</v>
      </c>
      <c r="AM114" s="79">
        <v>0</v>
      </c>
      <c r="AN114" s="80">
        <f t="shared" si="83"/>
        <v>0</v>
      </c>
      <c r="AO114" s="79">
        <v>0</v>
      </c>
      <c r="AP114" s="80">
        <f t="shared" si="84"/>
        <v>0</v>
      </c>
      <c r="AQ114" s="79">
        <v>0</v>
      </c>
      <c r="AR114" s="81">
        <f t="shared" si="85"/>
        <v>0</v>
      </c>
      <c r="AS114" s="80">
        <f t="shared" si="68"/>
        <v>0</v>
      </c>
      <c r="AT114" s="70">
        <f t="shared" si="69"/>
        <v>0</v>
      </c>
      <c r="AU114" s="80">
        <f t="shared" si="70"/>
        <v>0</v>
      </c>
      <c r="AV114" s="70">
        <f t="shared" si="71"/>
        <v>0</v>
      </c>
      <c r="AW114" s="80">
        <f t="shared" si="72"/>
        <v>0</v>
      </c>
      <c r="AX114" s="70">
        <f t="shared" si="73"/>
        <v>0</v>
      </c>
      <c r="AY114" s="82"/>
      <c r="BA114" s="79">
        <v>0</v>
      </c>
      <c r="BB114" s="80">
        <f t="shared" si="86"/>
        <v>0</v>
      </c>
      <c r="BC114" s="79">
        <v>0</v>
      </c>
      <c r="BD114" s="80">
        <f t="shared" si="87"/>
        <v>0</v>
      </c>
      <c r="BE114" s="79">
        <v>0</v>
      </c>
      <c r="BF114" s="81">
        <f t="shared" si="88"/>
        <v>0</v>
      </c>
      <c r="BG114" s="80">
        <f t="shared" si="74"/>
        <v>0</v>
      </c>
      <c r="BH114" s="70">
        <f t="shared" si="75"/>
        <v>0</v>
      </c>
      <c r="BI114" s="80">
        <f t="shared" si="76"/>
        <v>0</v>
      </c>
      <c r="BJ114" s="70">
        <f t="shared" si="77"/>
        <v>0</v>
      </c>
      <c r="BK114" s="82"/>
    </row>
    <row r="115" spans="5:63" ht="11.95" thickBot="1" x14ac:dyDescent="0.3">
      <c r="E115" s="3"/>
      <c r="F115" s="3"/>
      <c r="G115" s="3"/>
      <c r="H115" s="3" t="s">
        <v>419</v>
      </c>
      <c r="I115" s="18"/>
      <c r="J115" s="18"/>
      <c r="K115" s="18"/>
      <c r="L115" s="78"/>
      <c r="M115" s="79"/>
      <c r="N115" s="80">
        <f t="shared" si="78"/>
        <v>0</v>
      </c>
      <c r="O115" s="79"/>
      <c r="P115" s="80">
        <f t="shared" si="79"/>
        <v>0</v>
      </c>
      <c r="Q115" s="79"/>
      <c r="R115" s="80">
        <f t="shared" si="80"/>
        <v>0</v>
      </c>
      <c r="S115" s="79"/>
      <c r="T115" s="81">
        <f t="shared" si="81"/>
        <v>0</v>
      </c>
      <c r="U115" s="80">
        <f t="shared" si="58"/>
        <v>0</v>
      </c>
      <c r="V115" s="70">
        <f t="shared" si="59"/>
        <v>0</v>
      </c>
      <c r="W115" s="80">
        <f t="shared" si="60"/>
        <v>0</v>
      </c>
      <c r="X115" s="70">
        <f t="shared" si="61"/>
        <v>0</v>
      </c>
      <c r="Y115" s="80">
        <f t="shared" si="62"/>
        <v>0</v>
      </c>
      <c r="Z115" s="70">
        <f t="shared" si="63"/>
        <v>0</v>
      </c>
      <c r="AA115" s="82"/>
      <c r="AC115" s="79">
        <v>0</v>
      </c>
      <c r="AD115" s="79">
        <v>0</v>
      </c>
      <c r="AE115" s="79">
        <v>0</v>
      </c>
      <c r="AF115" s="83">
        <f t="shared" si="64"/>
        <v>0</v>
      </c>
      <c r="AG115" s="70">
        <f t="shared" si="65"/>
        <v>0</v>
      </c>
      <c r="AH115" s="83">
        <f t="shared" si="66"/>
        <v>0</v>
      </c>
      <c r="AI115" s="70">
        <f t="shared" si="67"/>
        <v>0</v>
      </c>
      <c r="AK115" s="79">
        <v>0</v>
      </c>
      <c r="AL115" s="80">
        <f t="shared" si="82"/>
        <v>0</v>
      </c>
      <c r="AM115" s="79">
        <v>0</v>
      </c>
      <c r="AN115" s="80">
        <f t="shared" si="83"/>
        <v>0</v>
      </c>
      <c r="AO115" s="79">
        <v>0</v>
      </c>
      <c r="AP115" s="80">
        <f t="shared" si="84"/>
        <v>0</v>
      </c>
      <c r="AQ115" s="79">
        <v>0</v>
      </c>
      <c r="AR115" s="81">
        <f t="shared" si="85"/>
        <v>0</v>
      </c>
      <c r="AS115" s="80">
        <f t="shared" si="68"/>
        <v>0</v>
      </c>
      <c r="AT115" s="70">
        <f t="shared" si="69"/>
        <v>0</v>
      </c>
      <c r="AU115" s="80">
        <f t="shared" si="70"/>
        <v>0</v>
      </c>
      <c r="AV115" s="70">
        <f t="shared" si="71"/>
        <v>0</v>
      </c>
      <c r="AW115" s="80">
        <f t="shared" si="72"/>
        <v>0</v>
      </c>
      <c r="AX115" s="70">
        <f t="shared" si="73"/>
        <v>0</v>
      </c>
      <c r="AY115" s="82"/>
      <c r="BA115" s="79">
        <v>0</v>
      </c>
      <c r="BB115" s="80">
        <f t="shared" si="86"/>
        <v>0</v>
      </c>
      <c r="BC115" s="79">
        <v>0</v>
      </c>
      <c r="BD115" s="80">
        <f t="shared" si="87"/>
        <v>0</v>
      </c>
      <c r="BE115" s="79">
        <v>0</v>
      </c>
      <c r="BF115" s="81">
        <f t="shared" si="88"/>
        <v>0</v>
      </c>
      <c r="BG115" s="80">
        <f t="shared" si="74"/>
        <v>0</v>
      </c>
      <c r="BH115" s="70">
        <f t="shared" si="75"/>
        <v>0</v>
      </c>
      <c r="BI115" s="80">
        <f t="shared" si="76"/>
        <v>0</v>
      </c>
      <c r="BJ115" s="70">
        <f t="shared" si="77"/>
        <v>0</v>
      </c>
      <c r="BK115" s="82"/>
    </row>
    <row r="116" spans="5:63" ht="11.95" thickBot="1" x14ac:dyDescent="0.3">
      <c r="E116" s="3"/>
      <c r="F116" s="3"/>
      <c r="G116" s="3"/>
      <c r="H116" s="3" t="s">
        <v>420</v>
      </c>
      <c r="I116" s="18"/>
      <c r="J116" s="18"/>
      <c r="K116" s="18"/>
      <c r="L116" s="78"/>
      <c r="M116" s="79"/>
      <c r="N116" s="80">
        <f t="shared" si="78"/>
        <v>0</v>
      </c>
      <c r="O116" s="79"/>
      <c r="P116" s="80">
        <f t="shared" si="79"/>
        <v>0</v>
      </c>
      <c r="Q116" s="79"/>
      <c r="R116" s="80">
        <f t="shared" si="80"/>
        <v>0</v>
      </c>
      <c r="S116" s="79"/>
      <c r="T116" s="81">
        <f t="shared" si="81"/>
        <v>0</v>
      </c>
      <c r="U116" s="80">
        <f t="shared" si="58"/>
        <v>0</v>
      </c>
      <c r="V116" s="70">
        <f t="shared" si="59"/>
        <v>0</v>
      </c>
      <c r="W116" s="80">
        <f t="shared" si="60"/>
        <v>0</v>
      </c>
      <c r="X116" s="70">
        <f t="shared" si="61"/>
        <v>0</v>
      </c>
      <c r="Y116" s="80">
        <f t="shared" si="62"/>
        <v>0</v>
      </c>
      <c r="Z116" s="70">
        <f t="shared" si="63"/>
        <v>0</v>
      </c>
      <c r="AA116" s="82"/>
      <c r="AC116" s="79">
        <v>0</v>
      </c>
      <c r="AD116" s="79">
        <v>0</v>
      </c>
      <c r="AE116" s="79">
        <v>0</v>
      </c>
      <c r="AF116" s="83">
        <f t="shared" si="64"/>
        <v>0</v>
      </c>
      <c r="AG116" s="70">
        <f t="shared" si="65"/>
        <v>0</v>
      </c>
      <c r="AH116" s="83">
        <f t="shared" si="66"/>
        <v>0</v>
      </c>
      <c r="AI116" s="70">
        <f t="shared" si="67"/>
        <v>0</v>
      </c>
      <c r="AK116" s="79">
        <v>0</v>
      </c>
      <c r="AL116" s="80">
        <f t="shared" si="82"/>
        <v>0</v>
      </c>
      <c r="AM116" s="79">
        <v>0</v>
      </c>
      <c r="AN116" s="80">
        <f t="shared" si="83"/>
        <v>0</v>
      </c>
      <c r="AO116" s="79">
        <v>0</v>
      </c>
      <c r="AP116" s="80">
        <f t="shared" si="84"/>
        <v>0</v>
      </c>
      <c r="AQ116" s="79">
        <v>0</v>
      </c>
      <c r="AR116" s="81">
        <f t="shared" si="85"/>
        <v>0</v>
      </c>
      <c r="AS116" s="80">
        <f t="shared" si="68"/>
        <v>0</v>
      </c>
      <c r="AT116" s="70">
        <f t="shared" si="69"/>
        <v>0</v>
      </c>
      <c r="AU116" s="80">
        <f t="shared" si="70"/>
        <v>0</v>
      </c>
      <c r="AV116" s="70">
        <f t="shared" si="71"/>
        <v>0</v>
      </c>
      <c r="AW116" s="80">
        <f t="shared" si="72"/>
        <v>0</v>
      </c>
      <c r="AX116" s="70">
        <f t="shared" si="73"/>
        <v>0</v>
      </c>
      <c r="AY116" s="82"/>
      <c r="BA116" s="79">
        <v>0</v>
      </c>
      <c r="BB116" s="80">
        <f t="shared" si="86"/>
        <v>0</v>
      </c>
      <c r="BC116" s="79">
        <v>0</v>
      </c>
      <c r="BD116" s="80">
        <f t="shared" si="87"/>
        <v>0</v>
      </c>
      <c r="BE116" s="79">
        <v>0</v>
      </c>
      <c r="BF116" s="81">
        <f t="shared" si="88"/>
        <v>0</v>
      </c>
      <c r="BG116" s="80">
        <f t="shared" si="74"/>
        <v>0</v>
      </c>
      <c r="BH116" s="70">
        <f t="shared" si="75"/>
        <v>0</v>
      </c>
      <c r="BI116" s="80">
        <f t="shared" si="76"/>
        <v>0</v>
      </c>
      <c r="BJ116" s="70">
        <f t="shared" si="77"/>
        <v>0</v>
      </c>
      <c r="BK116" s="82"/>
    </row>
    <row r="117" spans="5:63" ht="11.95" thickBot="1" x14ac:dyDescent="0.3">
      <c r="E117" s="3"/>
      <c r="F117" s="3"/>
      <c r="G117" s="3"/>
      <c r="H117" s="3" t="s">
        <v>421</v>
      </c>
      <c r="I117" s="18"/>
      <c r="J117" s="18"/>
      <c r="K117" s="18"/>
      <c r="L117" s="78"/>
      <c r="M117" s="79">
        <v>0</v>
      </c>
      <c r="N117" s="80">
        <f t="shared" si="78"/>
        <v>0</v>
      </c>
      <c r="O117" s="79">
        <v>0</v>
      </c>
      <c r="P117" s="80">
        <f t="shared" si="79"/>
        <v>0</v>
      </c>
      <c r="Q117" s="79">
        <v>0</v>
      </c>
      <c r="R117" s="80">
        <f t="shared" si="80"/>
        <v>0</v>
      </c>
      <c r="S117" s="79">
        <v>0</v>
      </c>
      <c r="T117" s="81">
        <f t="shared" si="81"/>
        <v>0</v>
      </c>
      <c r="U117" s="80">
        <f t="shared" si="58"/>
        <v>0</v>
      </c>
      <c r="V117" s="70">
        <f t="shared" si="59"/>
        <v>0</v>
      </c>
      <c r="W117" s="80">
        <f t="shared" si="60"/>
        <v>0</v>
      </c>
      <c r="X117" s="70">
        <f t="shared" si="61"/>
        <v>0</v>
      </c>
      <c r="Y117" s="80">
        <f t="shared" si="62"/>
        <v>0</v>
      </c>
      <c r="Z117" s="70">
        <f t="shared" si="63"/>
        <v>0</v>
      </c>
      <c r="AA117" s="82"/>
      <c r="AC117" s="79">
        <v>0</v>
      </c>
      <c r="AD117" s="79">
        <v>0</v>
      </c>
      <c r="AE117" s="79">
        <v>0</v>
      </c>
      <c r="AF117" s="83">
        <f t="shared" si="64"/>
        <v>0</v>
      </c>
      <c r="AG117" s="70">
        <f t="shared" si="65"/>
        <v>0</v>
      </c>
      <c r="AH117" s="83">
        <f t="shared" si="66"/>
        <v>0</v>
      </c>
      <c r="AI117" s="70">
        <f t="shared" si="67"/>
        <v>0</v>
      </c>
      <c r="AK117" s="79">
        <v>0</v>
      </c>
      <c r="AL117" s="80">
        <f t="shared" si="82"/>
        <v>0</v>
      </c>
      <c r="AM117" s="79">
        <v>0</v>
      </c>
      <c r="AN117" s="80">
        <f t="shared" si="83"/>
        <v>0</v>
      </c>
      <c r="AO117" s="79">
        <v>0</v>
      </c>
      <c r="AP117" s="80">
        <f t="shared" si="84"/>
        <v>0</v>
      </c>
      <c r="AQ117" s="79">
        <v>0</v>
      </c>
      <c r="AR117" s="81">
        <f t="shared" si="85"/>
        <v>0</v>
      </c>
      <c r="AS117" s="80">
        <f t="shared" si="68"/>
        <v>0</v>
      </c>
      <c r="AT117" s="70">
        <f t="shared" si="69"/>
        <v>0</v>
      </c>
      <c r="AU117" s="80">
        <f t="shared" si="70"/>
        <v>0</v>
      </c>
      <c r="AV117" s="70">
        <f t="shared" si="71"/>
        <v>0</v>
      </c>
      <c r="AW117" s="80">
        <f t="shared" si="72"/>
        <v>0</v>
      </c>
      <c r="AX117" s="70">
        <f t="shared" si="73"/>
        <v>0</v>
      </c>
      <c r="AY117" s="82"/>
      <c r="BA117" s="79">
        <v>0</v>
      </c>
      <c r="BB117" s="80">
        <f t="shared" si="86"/>
        <v>0</v>
      </c>
      <c r="BC117" s="79">
        <v>0</v>
      </c>
      <c r="BD117" s="80">
        <f t="shared" si="87"/>
        <v>0</v>
      </c>
      <c r="BE117" s="79">
        <v>0</v>
      </c>
      <c r="BF117" s="81">
        <f t="shared" si="88"/>
        <v>0</v>
      </c>
      <c r="BG117" s="80">
        <f t="shared" si="74"/>
        <v>0</v>
      </c>
      <c r="BH117" s="70">
        <f t="shared" si="75"/>
        <v>0</v>
      </c>
      <c r="BI117" s="80">
        <f t="shared" si="76"/>
        <v>0</v>
      </c>
      <c r="BJ117" s="70">
        <f t="shared" si="77"/>
        <v>0</v>
      </c>
      <c r="BK117" s="82"/>
    </row>
    <row r="118" spans="5:63" ht="11.95" thickBot="1" x14ac:dyDescent="0.3">
      <c r="E118" s="3"/>
      <c r="F118" s="3"/>
      <c r="G118" s="3"/>
      <c r="H118" s="3" t="s">
        <v>422</v>
      </c>
      <c r="I118" s="18"/>
      <c r="J118" s="18"/>
      <c r="K118" s="18"/>
      <c r="L118" s="78"/>
      <c r="M118" s="79"/>
      <c r="N118" s="80">
        <f t="shared" si="78"/>
        <v>0</v>
      </c>
      <c r="O118" s="79"/>
      <c r="P118" s="80">
        <f t="shared" si="79"/>
        <v>0</v>
      </c>
      <c r="Q118" s="79"/>
      <c r="R118" s="80">
        <f t="shared" si="80"/>
        <v>0</v>
      </c>
      <c r="S118" s="79"/>
      <c r="T118" s="81">
        <f t="shared" si="81"/>
        <v>0</v>
      </c>
      <c r="U118" s="80">
        <f t="shared" si="58"/>
        <v>0</v>
      </c>
      <c r="V118" s="70">
        <f t="shared" si="59"/>
        <v>0</v>
      </c>
      <c r="W118" s="80">
        <f t="shared" si="60"/>
        <v>0</v>
      </c>
      <c r="X118" s="70">
        <f t="shared" si="61"/>
        <v>0</v>
      </c>
      <c r="Y118" s="80">
        <f t="shared" si="62"/>
        <v>0</v>
      </c>
      <c r="Z118" s="70">
        <f t="shared" si="63"/>
        <v>0</v>
      </c>
      <c r="AA118" s="82"/>
      <c r="AC118" s="79">
        <v>0</v>
      </c>
      <c r="AD118" s="79">
        <v>0</v>
      </c>
      <c r="AE118" s="79">
        <v>0</v>
      </c>
      <c r="AF118" s="83">
        <f t="shared" si="64"/>
        <v>0</v>
      </c>
      <c r="AG118" s="70">
        <f t="shared" si="65"/>
        <v>0</v>
      </c>
      <c r="AH118" s="83">
        <f t="shared" si="66"/>
        <v>0</v>
      </c>
      <c r="AI118" s="70">
        <f t="shared" si="67"/>
        <v>0</v>
      </c>
      <c r="AK118" s="79">
        <v>0</v>
      </c>
      <c r="AL118" s="80">
        <f t="shared" si="82"/>
        <v>0</v>
      </c>
      <c r="AM118" s="79">
        <v>0</v>
      </c>
      <c r="AN118" s="80">
        <f t="shared" si="83"/>
        <v>0</v>
      </c>
      <c r="AO118" s="79">
        <v>0</v>
      </c>
      <c r="AP118" s="80">
        <f t="shared" si="84"/>
        <v>0</v>
      </c>
      <c r="AQ118" s="79">
        <v>0</v>
      </c>
      <c r="AR118" s="81">
        <f t="shared" si="85"/>
        <v>0</v>
      </c>
      <c r="AS118" s="80">
        <f t="shared" si="68"/>
        <v>0</v>
      </c>
      <c r="AT118" s="70">
        <f t="shared" si="69"/>
        <v>0</v>
      </c>
      <c r="AU118" s="80">
        <f t="shared" si="70"/>
        <v>0</v>
      </c>
      <c r="AV118" s="70">
        <f t="shared" si="71"/>
        <v>0</v>
      </c>
      <c r="AW118" s="80">
        <f t="shared" si="72"/>
        <v>0</v>
      </c>
      <c r="AX118" s="70">
        <f t="shared" si="73"/>
        <v>0</v>
      </c>
      <c r="AY118" s="82"/>
      <c r="BA118" s="79">
        <v>0</v>
      </c>
      <c r="BB118" s="80">
        <f t="shared" si="86"/>
        <v>0</v>
      </c>
      <c r="BC118" s="79">
        <v>0</v>
      </c>
      <c r="BD118" s="80">
        <f t="shared" si="87"/>
        <v>0</v>
      </c>
      <c r="BE118" s="79">
        <v>0</v>
      </c>
      <c r="BF118" s="81">
        <f t="shared" si="88"/>
        <v>0</v>
      </c>
      <c r="BG118" s="80">
        <f t="shared" si="74"/>
        <v>0</v>
      </c>
      <c r="BH118" s="70">
        <f t="shared" si="75"/>
        <v>0</v>
      </c>
      <c r="BI118" s="80">
        <f t="shared" si="76"/>
        <v>0</v>
      </c>
      <c r="BJ118" s="70">
        <f t="shared" si="77"/>
        <v>0</v>
      </c>
      <c r="BK118" s="82"/>
    </row>
    <row r="119" spans="5:63" ht="11.95" thickBot="1" x14ac:dyDescent="0.3">
      <c r="E119" s="3"/>
      <c r="F119" s="3"/>
      <c r="G119" s="3"/>
      <c r="H119" s="3" t="s">
        <v>423</v>
      </c>
      <c r="I119" s="18"/>
      <c r="J119" s="18"/>
      <c r="K119" s="18"/>
      <c r="L119" s="78"/>
      <c r="M119" s="79"/>
      <c r="N119" s="80">
        <f t="shared" si="78"/>
        <v>0</v>
      </c>
      <c r="O119" s="79"/>
      <c r="P119" s="80">
        <f t="shared" si="79"/>
        <v>0</v>
      </c>
      <c r="Q119" s="79"/>
      <c r="R119" s="80">
        <f t="shared" si="80"/>
        <v>0</v>
      </c>
      <c r="S119" s="79"/>
      <c r="T119" s="81">
        <f t="shared" si="81"/>
        <v>0</v>
      </c>
      <c r="U119" s="80">
        <f t="shared" si="58"/>
        <v>0</v>
      </c>
      <c r="V119" s="70">
        <f t="shared" si="59"/>
        <v>0</v>
      </c>
      <c r="W119" s="80">
        <f t="shared" si="60"/>
        <v>0</v>
      </c>
      <c r="X119" s="70">
        <f t="shared" si="61"/>
        <v>0</v>
      </c>
      <c r="Y119" s="80">
        <f t="shared" si="62"/>
        <v>0</v>
      </c>
      <c r="Z119" s="70">
        <f t="shared" si="63"/>
        <v>0</v>
      </c>
      <c r="AA119" s="82"/>
      <c r="AC119" s="79">
        <v>0</v>
      </c>
      <c r="AD119" s="79">
        <v>0</v>
      </c>
      <c r="AE119" s="79">
        <v>0</v>
      </c>
      <c r="AF119" s="83">
        <f t="shared" si="64"/>
        <v>0</v>
      </c>
      <c r="AG119" s="70">
        <f t="shared" si="65"/>
        <v>0</v>
      </c>
      <c r="AH119" s="83">
        <f t="shared" si="66"/>
        <v>0</v>
      </c>
      <c r="AI119" s="70">
        <f t="shared" si="67"/>
        <v>0</v>
      </c>
      <c r="AK119" s="79">
        <v>0</v>
      </c>
      <c r="AL119" s="80">
        <f t="shared" si="82"/>
        <v>0</v>
      </c>
      <c r="AM119" s="79">
        <v>0</v>
      </c>
      <c r="AN119" s="80">
        <f t="shared" si="83"/>
        <v>0</v>
      </c>
      <c r="AO119" s="79">
        <v>0</v>
      </c>
      <c r="AP119" s="80">
        <f t="shared" si="84"/>
        <v>0</v>
      </c>
      <c r="AQ119" s="79">
        <v>0</v>
      </c>
      <c r="AR119" s="81">
        <f t="shared" si="85"/>
        <v>0</v>
      </c>
      <c r="AS119" s="80">
        <f t="shared" si="68"/>
        <v>0</v>
      </c>
      <c r="AT119" s="70">
        <f t="shared" si="69"/>
        <v>0</v>
      </c>
      <c r="AU119" s="80">
        <f t="shared" si="70"/>
        <v>0</v>
      </c>
      <c r="AV119" s="70">
        <f t="shared" si="71"/>
        <v>0</v>
      </c>
      <c r="AW119" s="80">
        <f t="shared" si="72"/>
        <v>0</v>
      </c>
      <c r="AX119" s="70">
        <f t="shared" si="73"/>
        <v>0</v>
      </c>
      <c r="AY119" s="82"/>
      <c r="BA119" s="79">
        <v>0</v>
      </c>
      <c r="BB119" s="80">
        <f t="shared" si="86"/>
        <v>0</v>
      </c>
      <c r="BC119" s="79">
        <v>0</v>
      </c>
      <c r="BD119" s="80">
        <f t="shared" si="87"/>
        <v>0</v>
      </c>
      <c r="BE119" s="79">
        <v>0</v>
      </c>
      <c r="BF119" s="81">
        <f t="shared" si="88"/>
        <v>0</v>
      </c>
      <c r="BG119" s="80">
        <f t="shared" si="74"/>
        <v>0</v>
      </c>
      <c r="BH119" s="70">
        <f t="shared" si="75"/>
        <v>0</v>
      </c>
      <c r="BI119" s="80">
        <f t="shared" si="76"/>
        <v>0</v>
      </c>
      <c r="BJ119" s="70">
        <f t="shared" si="77"/>
        <v>0</v>
      </c>
      <c r="BK119" s="82"/>
    </row>
    <row r="120" spans="5:63" ht="11.95" thickBot="1" x14ac:dyDescent="0.3">
      <c r="E120" s="3"/>
      <c r="F120" s="3"/>
      <c r="G120" s="3"/>
      <c r="H120" s="3" t="s">
        <v>424</v>
      </c>
      <c r="I120" s="18"/>
      <c r="J120" s="18"/>
      <c r="K120" s="18"/>
      <c r="L120" s="78"/>
      <c r="M120" s="79"/>
      <c r="N120" s="80">
        <f t="shared" si="78"/>
        <v>0</v>
      </c>
      <c r="O120" s="79"/>
      <c r="P120" s="80">
        <f t="shared" si="79"/>
        <v>0</v>
      </c>
      <c r="Q120" s="79"/>
      <c r="R120" s="80">
        <f t="shared" si="80"/>
        <v>0</v>
      </c>
      <c r="S120" s="79"/>
      <c r="T120" s="81">
        <f t="shared" si="81"/>
        <v>0</v>
      </c>
      <c r="U120" s="80">
        <f t="shared" si="58"/>
        <v>0</v>
      </c>
      <c r="V120" s="70">
        <f t="shared" si="59"/>
        <v>0</v>
      </c>
      <c r="W120" s="80">
        <f t="shared" si="60"/>
        <v>0</v>
      </c>
      <c r="X120" s="70">
        <f t="shared" si="61"/>
        <v>0</v>
      </c>
      <c r="Y120" s="80">
        <f t="shared" si="62"/>
        <v>0</v>
      </c>
      <c r="Z120" s="70">
        <f t="shared" si="63"/>
        <v>0</v>
      </c>
      <c r="AA120" s="82"/>
      <c r="AC120" s="79">
        <v>0</v>
      </c>
      <c r="AD120" s="79">
        <v>0</v>
      </c>
      <c r="AE120" s="79">
        <v>0</v>
      </c>
      <c r="AF120" s="83">
        <f t="shared" si="64"/>
        <v>0</v>
      </c>
      <c r="AG120" s="70">
        <f t="shared" si="65"/>
        <v>0</v>
      </c>
      <c r="AH120" s="83">
        <f t="shared" si="66"/>
        <v>0</v>
      </c>
      <c r="AI120" s="70">
        <f t="shared" si="67"/>
        <v>0</v>
      </c>
      <c r="AK120" s="79">
        <v>0</v>
      </c>
      <c r="AL120" s="80">
        <f t="shared" si="82"/>
        <v>0</v>
      </c>
      <c r="AM120" s="79">
        <v>0</v>
      </c>
      <c r="AN120" s="80">
        <f t="shared" si="83"/>
        <v>0</v>
      </c>
      <c r="AO120" s="79">
        <v>0</v>
      </c>
      <c r="AP120" s="80">
        <f t="shared" si="84"/>
        <v>0</v>
      </c>
      <c r="AQ120" s="79">
        <v>0</v>
      </c>
      <c r="AR120" s="81">
        <f t="shared" si="85"/>
        <v>0</v>
      </c>
      <c r="AS120" s="80">
        <f t="shared" si="68"/>
        <v>0</v>
      </c>
      <c r="AT120" s="70">
        <f t="shared" si="69"/>
        <v>0</v>
      </c>
      <c r="AU120" s="80">
        <f t="shared" si="70"/>
        <v>0</v>
      </c>
      <c r="AV120" s="70">
        <f t="shared" si="71"/>
        <v>0</v>
      </c>
      <c r="AW120" s="80">
        <f t="shared" si="72"/>
        <v>0</v>
      </c>
      <c r="AX120" s="70">
        <f t="shared" si="73"/>
        <v>0</v>
      </c>
      <c r="AY120" s="82"/>
      <c r="BA120" s="79">
        <v>0</v>
      </c>
      <c r="BB120" s="80">
        <f t="shared" si="86"/>
        <v>0</v>
      </c>
      <c r="BC120" s="79">
        <v>0</v>
      </c>
      <c r="BD120" s="80">
        <f t="shared" si="87"/>
        <v>0</v>
      </c>
      <c r="BE120" s="79">
        <v>0</v>
      </c>
      <c r="BF120" s="81">
        <f t="shared" si="88"/>
        <v>0</v>
      </c>
      <c r="BG120" s="80">
        <f t="shared" si="74"/>
        <v>0</v>
      </c>
      <c r="BH120" s="70">
        <f t="shared" si="75"/>
        <v>0</v>
      </c>
      <c r="BI120" s="80">
        <f t="shared" si="76"/>
        <v>0</v>
      </c>
      <c r="BJ120" s="70">
        <f t="shared" si="77"/>
        <v>0</v>
      </c>
      <c r="BK120" s="82"/>
    </row>
    <row r="121" spans="5:63" ht="11.95" thickBot="1" x14ac:dyDescent="0.3">
      <c r="E121" s="3"/>
      <c r="F121" s="3"/>
      <c r="G121" s="3"/>
      <c r="H121" s="3" t="s">
        <v>425</v>
      </c>
      <c r="I121" s="18"/>
      <c r="J121" s="18"/>
      <c r="K121" s="18"/>
      <c r="L121" s="78"/>
      <c r="M121" s="79"/>
      <c r="N121" s="80">
        <f t="shared" si="78"/>
        <v>0</v>
      </c>
      <c r="O121" s="79"/>
      <c r="P121" s="80">
        <f t="shared" si="79"/>
        <v>0</v>
      </c>
      <c r="Q121" s="79"/>
      <c r="R121" s="80">
        <f t="shared" si="80"/>
        <v>0</v>
      </c>
      <c r="S121" s="79"/>
      <c r="T121" s="81">
        <f t="shared" si="81"/>
        <v>0</v>
      </c>
      <c r="U121" s="80">
        <f t="shared" si="58"/>
        <v>0</v>
      </c>
      <c r="V121" s="70">
        <f t="shared" si="59"/>
        <v>0</v>
      </c>
      <c r="W121" s="80">
        <f t="shared" si="60"/>
        <v>0</v>
      </c>
      <c r="X121" s="70">
        <f t="shared" si="61"/>
        <v>0</v>
      </c>
      <c r="Y121" s="80">
        <f t="shared" si="62"/>
        <v>0</v>
      </c>
      <c r="Z121" s="70">
        <f t="shared" si="63"/>
        <v>0</v>
      </c>
      <c r="AA121" s="82"/>
      <c r="AC121" s="79">
        <v>0</v>
      </c>
      <c r="AD121" s="79">
        <v>0</v>
      </c>
      <c r="AE121" s="79">
        <v>0</v>
      </c>
      <c r="AF121" s="83">
        <f t="shared" si="64"/>
        <v>0</v>
      </c>
      <c r="AG121" s="70">
        <f t="shared" si="65"/>
        <v>0</v>
      </c>
      <c r="AH121" s="83">
        <f t="shared" si="66"/>
        <v>0</v>
      </c>
      <c r="AI121" s="70">
        <f t="shared" si="67"/>
        <v>0</v>
      </c>
      <c r="AK121" s="79">
        <v>0</v>
      </c>
      <c r="AL121" s="80">
        <f t="shared" si="82"/>
        <v>0</v>
      </c>
      <c r="AM121" s="79">
        <v>0</v>
      </c>
      <c r="AN121" s="80">
        <f t="shared" si="83"/>
        <v>0</v>
      </c>
      <c r="AO121" s="79">
        <v>0</v>
      </c>
      <c r="AP121" s="80">
        <f t="shared" si="84"/>
        <v>0</v>
      </c>
      <c r="AQ121" s="79">
        <v>0</v>
      </c>
      <c r="AR121" s="81">
        <f t="shared" si="85"/>
        <v>0</v>
      </c>
      <c r="AS121" s="80">
        <f t="shared" si="68"/>
        <v>0</v>
      </c>
      <c r="AT121" s="70">
        <f t="shared" si="69"/>
        <v>0</v>
      </c>
      <c r="AU121" s="80">
        <f t="shared" si="70"/>
        <v>0</v>
      </c>
      <c r="AV121" s="70">
        <f t="shared" si="71"/>
        <v>0</v>
      </c>
      <c r="AW121" s="80">
        <f t="shared" si="72"/>
        <v>0</v>
      </c>
      <c r="AX121" s="70">
        <f t="shared" si="73"/>
        <v>0</v>
      </c>
      <c r="AY121" s="82"/>
      <c r="BA121" s="79">
        <v>0</v>
      </c>
      <c r="BB121" s="80">
        <f t="shared" si="86"/>
        <v>0</v>
      </c>
      <c r="BC121" s="79">
        <v>0</v>
      </c>
      <c r="BD121" s="80">
        <f t="shared" si="87"/>
        <v>0</v>
      </c>
      <c r="BE121" s="79">
        <v>0</v>
      </c>
      <c r="BF121" s="81">
        <f t="shared" si="88"/>
        <v>0</v>
      </c>
      <c r="BG121" s="80">
        <f t="shared" si="74"/>
        <v>0</v>
      </c>
      <c r="BH121" s="70">
        <f t="shared" si="75"/>
        <v>0</v>
      </c>
      <c r="BI121" s="80">
        <f t="shared" si="76"/>
        <v>0</v>
      </c>
      <c r="BJ121" s="70">
        <f t="shared" si="77"/>
        <v>0</v>
      </c>
      <c r="BK121" s="82"/>
    </row>
    <row r="122" spans="5:63" ht="11.95" thickBot="1" x14ac:dyDescent="0.3">
      <c r="E122" s="3"/>
      <c r="F122" s="3"/>
      <c r="G122" s="3"/>
      <c r="H122" s="3" t="s">
        <v>426</v>
      </c>
      <c r="I122" s="18"/>
      <c r="J122" s="18"/>
      <c r="K122" s="18"/>
      <c r="L122" s="78"/>
      <c r="M122" s="79"/>
      <c r="N122" s="80">
        <f t="shared" si="78"/>
        <v>0</v>
      </c>
      <c r="O122" s="79"/>
      <c r="P122" s="80">
        <f t="shared" si="79"/>
        <v>0</v>
      </c>
      <c r="Q122" s="79"/>
      <c r="R122" s="80">
        <f t="shared" si="80"/>
        <v>0</v>
      </c>
      <c r="S122" s="79"/>
      <c r="T122" s="81">
        <f t="shared" si="81"/>
        <v>0</v>
      </c>
      <c r="U122" s="80">
        <f t="shared" si="58"/>
        <v>0</v>
      </c>
      <c r="V122" s="70">
        <f t="shared" si="59"/>
        <v>0</v>
      </c>
      <c r="W122" s="80">
        <f t="shared" si="60"/>
        <v>0</v>
      </c>
      <c r="X122" s="70">
        <f t="shared" si="61"/>
        <v>0</v>
      </c>
      <c r="Y122" s="80">
        <f t="shared" si="62"/>
        <v>0</v>
      </c>
      <c r="Z122" s="70">
        <f t="shared" si="63"/>
        <v>0</v>
      </c>
      <c r="AA122" s="82"/>
      <c r="AC122" s="79">
        <v>0</v>
      </c>
      <c r="AD122" s="79">
        <v>0</v>
      </c>
      <c r="AE122" s="79">
        <v>0</v>
      </c>
      <c r="AF122" s="83">
        <f t="shared" si="64"/>
        <v>0</v>
      </c>
      <c r="AG122" s="70">
        <f t="shared" si="65"/>
        <v>0</v>
      </c>
      <c r="AH122" s="83">
        <f t="shared" si="66"/>
        <v>0</v>
      </c>
      <c r="AI122" s="70">
        <f t="shared" si="67"/>
        <v>0</v>
      </c>
      <c r="AK122" s="79">
        <v>0</v>
      </c>
      <c r="AL122" s="80">
        <f t="shared" si="82"/>
        <v>0</v>
      </c>
      <c r="AM122" s="79">
        <v>0</v>
      </c>
      <c r="AN122" s="80">
        <f t="shared" si="83"/>
        <v>0</v>
      </c>
      <c r="AO122" s="79">
        <v>0</v>
      </c>
      <c r="AP122" s="80">
        <f t="shared" si="84"/>
        <v>0</v>
      </c>
      <c r="AQ122" s="79">
        <v>0</v>
      </c>
      <c r="AR122" s="81">
        <f t="shared" si="85"/>
        <v>0</v>
      </c>
      <c r="AS122" s="80">
        <f t="shared" si="68"/>
        <v>0</v>
      </c>
      <c r="AT122" s="70">
        <f t="shared" si="69"/>
        <v>0</v>
      </c>
      <c r="AU122" s="80">
        <f t="shared" si="70"/>
        <v>0</v>
      </c>
      <c r="AV122" s="70">
        <f t="shared" si="71"/>
        <v>0</v>
      </c>
      <c r="AW122" s="80">
        <f t="shared" si="72"/>
        <v>0</v>
      </c>
      <c r="AX122" s="70">
        <f t="shared" si="73"/>
        <v>0</v>
      </c>
      <c r="AY122" s="82"/>
      <c r="BA122" s="79">
        <v>0</v>
      </c>
      <c r="BB122" s="80">
        <f t="shared" si="86"/>
        <v>0</v>
      </c>
      <c r="BC122" s="79">
        <v>0</v>
      </c>
      <c r="BD122" s="80">
        <f t="shared" si="87"/>
        <v>0</v>
      </c>
      <c r="BE122" s="79">
        <v>0</v>
      </c>
      <c r="BF122" s="81">
        <f t="shared" si="88"/>
        <v>0</v>
      </c>
      <c r="BG122" s="80">
        <f t="shared" si="74"/>
        <v>0</v>
      </c>
      <c r="BH122" s="70">
        <f t="shared" si="75"/>
        <v>0</v>
      </c>
      <c r="BI122" s="80">
        <f t="shared" si="76"/>
        <v>0</v>
      </c>
      <c r="BJ122" s="70">
        <f t="shared" si="77"/>
        <v>0</v>
      </c>
      <c r="BK122" s="82"/>
    </row>
    <row r="123" spans="5:63" ht="11.95" thickBot="1" x14ac:dyDescent="0.3">
      <c r="E123" s="3"/>
      <c r="F123" s="3"/>
      <c r="G123" s="3"/>
      <c r="H123" s="3" t="s">
        <v>427</v>
      </c>
      <c r="I123" s="18"/>
      <c r="J123" s="18"/>
      <c r="K123" s="18"/>
      <c r="L123" s="78"/>
      <c r="M123" s="79"/>
      <c r="N123" s="80">
        <f t="shared" si="78"/>
        <v>0</v>
      </c>
      <c r="O123" s="79"/>
      <c r="P123" s="80">
        <f t="shared" si="79"/>
        <v>0</v>
      </c>
      <c r="Q123" s="79"/>
      <c r="R123" s="80">
        <f t="shared" si="80"/>
        <v>0</v>
      </c>
      <c r="S123" s="79"/>
      <c r="T123" s="81">
        <f t="shared" si="81"/>
        <v>0</v>
      </c>
      <c r="U123" s="80">
        <f t="shared" si="58"/>
        <v>0</v>
      </c>
      <c r="V123" s="70">
        <f t="shared" si="59"/>
        <v>0</v>
      </c>
      <c r="W123" s="80">
        <f t="shared" si="60"/>
        <v>0</v>
      </c>
      <c r="X123" s="70">
        <f t="shared" si="61"/>
        <v>0</v>
      </c>
      <c r="Y123" s="80">
        <f t="shared" si="62"/>
        <v>0</v>
      </c>
      <c r="Z123" s="70">
        <f t="shared" si="63"/>
        <v>0</v>
      </c>
      <c r="AA123" s="82"/>
      <c r="AC123" s="79">
        <v>0</v>
      </c>
      <c r="AD123" s="79">
        <v>0</v>
      </c>
      <c r="AE123" s="79">
        <v>0</v>
      </c>
      <c r="AF123" s="83">
        <f t="shared" si="64"/>
        <v>0</v>
      </c>
      <c r="AG123" s="70">
        <f t="shared" si="65"/>
        <v>0</v>
      </c>
      <c r="AH123" s="83">
        <f t="shared" si="66"/>
        <v>0</v>
      </c>
      <c r="AI123" s="70">
        <f t="shared" si="67"/>
        <v>0</v>
      </c>
      <c r="AK123" s="79">
        <v>0</v>
      </c>
      <c r="AL123" s="80">
        <f t="shared" si="82"/>
        <v>0</v>
      </c>
      <c r="AM123" s="79">
        <v>0</v>
      </c>
      <c r="AN123" s="80">
        <f t="shared" si="83"/>
        <v>0</v>
      </c>
      <c r="AO123" s="79">
        <v>0</v>
      </c>
      <c r="AP123" s="80">
        <f t="shared" si="84"/>
        <v>0</v>
      </c>
      <c r="AQ123" s="79">
        <v>0</v>
      </c>
      <c r="AR123" s="81">
        <f t="shared" si="85"/>
        <v>0</v>
      </c>
      <c r="AS123" s="80">
        <f t="shared" si="68"/>
        <v>0</v>
      </c>
      <c r="AT123" s="70">
        <f t="shared" si="69"/>
        <v>0</v>
      </c>
      <c r="AU123" s="80">
        <f t="shared" si="70"/>
        <v>0</v>
      </c>
      <c r="AV123" s="70">
        <f t="shared" si="71"/>
        <v>0</v>
      </c>
      <c r="AW123" s="80">
        <f t="shared" si="72"/>
        <v>0</v>
      </c>
      <c r="AX123" s="70">
        <f t="shared" si="73"/>
        <v>0</v>
      </c>
      <c r="AY123" s="82"/>
      <c r="BA123" s="79">
        <v>0</v>
      </c>
      <c r="BB123" s="80">
        <f t="shared" si="86"/>
        <v>0</v>
      </c>
      <c r="BC123" s="79">
        <v>0</v>
      </c>
      <c r="BD123" s="80">
        <f t="shared" si="87"/>
        <v>0</v>
      </c>
      <c r="BE123" s="79">
        <v>0</v>
      </c>
      <c r="BF123" s="81">
        <f t="shared" si="88"/>
        <v>0</v>
      </c>
      <c r="BG123" s="80">
        <f t="shared" si="74"/>
        <v>0</v>
      </c>
      <c r="BH123" s="70">
        <f t="shared" si="75"/>
        <v>0</v>
      </c>
      <c r="BI123" s="80">
        <f t="shared" si="76"/>
        <v>0</v>
      </c>
      <c r="BJ123" s="70">
        <f t="shared" si="77"/>
        <v>0</v>
      </c>
      <c r="BK123" s="82"/>
    </row>
    <row r="124" spans="5:63" ht="11.95" thickBot="1" x14ac:dyDescent="0.3">
      <c r="E124" s="3"/>
      <c r="F124" s="3"/>
      <c r="G124" s="3"/>
      <c r="H124" s="3" t="s">
        <v>428</v>
      </c>
      <c r="I124" s="18"/>
      <c r="J124" s="18"/>
      <c r="K124" s="18"/>
      <c r="L124" s="78"/>
      <c r="M124" s="79"/>
      <c r="N124" s="80">
        <f t="shared" si="78"/>
        <v>0</v>
      </c>
      <c r="O124" s="79"/>
      <c r="P124" s="80">
        <f t="shared" si="79"/>
        <v>0</v>
      </c>
      <c r="Q124" s="79"/>
      <c r="R124" s="80">
        <f t="shared" si="80"/>
        <v>0</v>
      </c>
      <c r="S124" s="79"/>
      <c r="T124" s="81">
        <f t="shared" si="81"/>
        <v>0</v>
      </c>
      <c r="U124" s="80">
        <f t="shared" si="58"/>
        <v>0</v>
      </c>
      <c r="V124" s="70">
        <f t="shared" si="59"/>
        <v>0</v>
      </c>
      <c r="W124" s="80">
        <f t="shared" si="60"/>
        <v>0</v>
      </c>
      <c r="X124" s="70">
        <f t="shared" si="61"/>
        <v>0</v>
      </c>
      <c r="Y124" s="80">
        <f t="shared" si="62"/>
        <v>0</v>
      </c>
      <c r="Z124" s="70">
        <f t="shared" si="63"/>
        <v>0</v>
      </c>
      <c r="AA124" s="82"/>
      <c r="AC124" s="79">
        <v>0</v>
      </c>
      <c r="AD124" s="79">
        <v>0</v>
      </c>
      <c r="AE124" s="79">
        <v>0</v>
      </c>
      <c r="AF124" s="83">
        <f t="shared" si="64"/>
        <v>0</v>
      </c>
      <c r="AG124" s="70">
        <f t="shared" si="65"/>
        <v>0</v>
      </c>
      <c r="AH124" s="83">
        <f t="shared" si="66"/>
        <v>0</v>
      </c>
      <c r="AI124" s="70">
        <f t="shared" si="67"/>
        <v>0</v>
      </c>
      <c r="AK124" s="79">
        <v>0</v>
      </c>
      <c r="AL124" s="80">
        <f t="shared" si="82"/>
        <v>0</v>
      </c>
      <c r="AM124" s="79">
        <v>0</v>
      </c>
      <c r="AN124" s="80">
        <f t="shared" si="83"/>
        <v>0</v>
      </c>
      <c r="AO124" s="79">
        <v>0</v>
      </c>
      <c r="AP124" s="80">
        <f t="shared" si="84"/>
        <v>0</v>
      </c>
      <c r="AQ124" s="79">
        <v>0</v>
      </c>
      <c r="AR124" s="81">
        <f t="shared" si="85"/>
        <v>0</v>
      </c>
      <c r="AS124" s="80">
        <f t="shared" si="68"/>
        <v>0</v>
      </c>
      <c r="AT124" s="70">
        <f t="shared" si="69"/>
        <v>0</v>
      </c>
      <c r="AU124" s="80">
        <f t="shared" si="70"/>
        <v>0</v>
      </c>
      <c r="AV124" s="70">
        <f t="shared" si="71"/>
        <v>0</v>
      </c>
      <c r="AW124" s="80">
        <f t="shared" si="72"/>
        <v>0</v>
      </c>
      <c r="AX124" s="70">
        <f t="shared" si="73"/>
        <v>0</v>
      </c>
      <c r="AY124" s="82"/>
      <c r="BA124" s="79">
        <v>0</v>
      </c>
      <c r="BB124" s="80">
        <f t="shared" si="86"/>
        <v>0</v>
      </c>
      <c r="BC124" s="79">
        <v>0</v>
      </c>
      <c r="BD124" s="80">
        <f t="shared" si="87"/>
        <v>0</v>
      </c>
      <c r="BE124" s="79">
        <v>0</v>
      </c>
      <c r="BF124" s="81">
        <f t="shared" si="88"/>
        <v>0</v>
      </c>
      <c r="BG124" s="80">
        <f t="shared" si="74"/>
        <v>0</v>
      </c>
      <c r="BH124" s="70">
        <f t="shared" si="75"/>
        <v>0</v>
      </c>
      <c r="BI124" s="80">
        <f t="shared" si="76"/>
        <v>0</v>
      </c>
      <c r="BJ124" s="70">
        <f t="shared" si="77"/>
        <v>0</v>
      </c>
      <c r="BK124" s="82"/>
    </row>
    <row r="125" spans="5:63" ht="11.95" thickBot="1" x14ac:dyDescent="0.3">
      <c r="E125" s="3"/>
      <c r="F125" s="3"/>
      <c r="G125" s="3"/>
      <c r="H125" s="3" t="s">
        <v>429</v>
      </c>
      <c r="I125" s="18"/>
      <c r="J125" s="18"/>
      <c r="K125" s="18"/>
      <c r="L125" s="78"/>
      <c r="M125" s="79"/>
      <c r="N125" s="80">
        <f t="shared" si="78"/>
        <v>0</v>
      </c>
      <c r="O125" s="79"/>
      <c r="P125" s="80">
        <f t="shared" si="79"/>
        <v>0</v>
      </c>
      <c r="Q125" s="79"/>
      <c r="R125" s="80">
        <f t="shared" si="80"/>
        <v>0</v>
      </c>
      <c r="S125" s="79"/>
      <c r="T125" s="81">
        <f t="shared" si="81"/>
        <v>0</v>
      </c>
      <c r="U125" s="80">
        <f t="shared" si="58"/>
        <v>0</v>
      </c>
      <c r="V125" s="70">
        <f t="shared" si="59"/>
        <v>0</v>
      </c>
      <c r="W125" s="80">
        <f t="shared" si="60"/>
        <v>0</v>
      </c>
      <c r="X125" s="70">
        <f t="shared" si="61"/>
        <v>0</v>
      </c>
      <c r="Y125" s="80">
        <f t="shared" si="62"/>
        <v>0</v>
      </c>
      <c r="Z125" s="70">
        <f t="shared" si="63"/>
        <v>0</v>
      </c>
      <c r="AA125" s="82"/>
      <c r="AC125" s="79">
        <v>0</v>
      </c>
      <c r="AD125" s="79">
        <v>0</v>
      </c>
      <c r="AE125" s="79">
        <v>0</v>
      </c>
      <c r="AF125" s="83">
        <f t="shared" si="64"/>
        <v>0</v>
      </c>
      <c r="AG125" s="70">
        <f t="shared" si="65"/>
        <v>0</v>
      </c>
      <c r="AH125" s="83">
        <f t="shared" si="66"/>
        <v>0</v>
      </c>
      <c r="AI125" s="70">
        <f t="shared" si="67"/>
        <v>0</v>
      </c>
      <c r="AK125" s="79">
        <v>0</v>
      </c>
      <c r="AL125" s="80">
        <f t="shared" si="82"/>
        <v>0</v>
      </c>
      <c r="AM125" s="79">
        <v>0</v>
      </c>
      <c r="AN125" s="80">
        <f t="shared" si="83"/>
        <v>0</v>
      </c>
      <c r="AO125" s="79">
        <v>0</v>
      </c>
      <c r="AP125" s="80">
        <f t="shared" si="84"/>
        <v>0</v>
      </c>
      <c r="AQ125" s="79">
        <v>0</v>
      </c>
      <c r="AR125" s="81">
        <f t="shared" si="85"/>
        <v>0</v>
      </c>
      <c r="AS125" s="80">
        <f t="shared" si="68"/>
        <v>0</v>
      </c>
      <c r="AT125" s="70">
        <f t="shared" si="69"/>
        <v>0</v>
      </c>
      <c r="AU125" s="80">
        <f t="shared" si="70"/>
        <v>0</v>
      </c>
      <c r="AV125" s="70">
        <f t="shared" si="71"/>
        <v>0</v>
      </c>
      <c r="AW125" s="80">
        <f t="shared" si="72"/>
        <v>0</v>
      </c>
      <c r="AX125" s="70">
        <f t="shared" si="73"/>
        <v>0</v>
      </c>
      <c r="AY125" s="82"/>
      <c r="BA125" s="79">
        <v>0</v>
      </c>
      <c r="BB125" s="80">
        <f t="shared" si="86"/>
        <v>0</v>
      </c>
      <c r="BC125" s="79">
        <v>0</v>
      </c>
      <c r="BD125" s="80">
        <f t="shared" si="87"/>
        <v>0</v>
      </c>
      <c r="BE125" s="79">
        <v>0</v>
      </c>
      <c r="BF125" s="81">
        <f t="shared" si="88"/>
        <v>0</v>
      </c>
      <c r="BG125" s="80">
        <f t="shared" si="74"/>
        <v>0</v>
      </c>
      <c r="BH125" s="70">
        <f t="shared" si="75"/>
        <v>0</v>
      </c>
      <c r="BI125" s="80">
        <f t="shared" si="76"/>
        <v>0</v>
      </c>
      <c r="BJ125" s="70">
        <f t="shared" si="77"/>
        <v>0</v>
      </c>
      <c r="BK125" s="82"/>
    </row>
    <row r="126" spans="5:63" ht="11.95" thickBot="1" x14ac:dyDescent="0.3">
      <c r="E126" s="3"/>
      <c r="F126" s="3"/>
      <c r="G126" s="3"/>
      <c r="H126" s="3" t="s">
        <v>430</v>
      </c>
      <c r="I126" s="18"/>
      <c r="J126" s="18"/>
      <c r="K126" s="18"/>
      <c r="L126" s="78"/>
      <c r="M126" s="79"/>
      <c r="N126" s="80">
        <f t="shared" si="78"/>
        <v>0</v>
      </c>
      <c r="O126" s="79"/>
      <c r="P126" s="80">
        <f t="shared" si="79"/>
        <v>0</v>
      </c>
      <c r="Q126" s="79"/>
      <c r="R126" s="80">
        <f t="shared" si="80"/>
        <v>0</v>
      </c>
      <c r="S126" s="79"/>
      <c r="T126" s="81">
        <f t="shared" si="81"/>
        <v>0</v>
      </c>
      <c r="U126" s="80">
        <f t="shared" si="58"/>
        <v>0</v>
      </c>
      <c r="V126" s="70">
        <f t="shared" si="59"/>
        <v>0</v>
      </c>
      <c r="W126" s="80">
        <f t="shared" si="60"/>
        <v>0</v>
      </c>
      <c r="X126" s="70">
        <f t="shared" si="61"/>
        <v>0</v>
      </c>
      <c r="Y126" s="80">
        <f t="shared" si="62"/>
        <v>0</v>
      </c>
      <c r="Z126" s="70">
        <f t="shared" si="63"/>
        <v>0</v>
      </c>
      <c r="AA126" s="82"/>
      <c r="AC126" s="79">
        <v>0</v>
      </c>
      <c r="AD126" s="79">
        <v>0</v>
      </c>
      <c r="AE126" s="79">
        <v>0</v>
      </c>
      <c r="AF126" s="83">
        <f t="shared" si="64"/>
        <v>0</v>
      </c>
      <c r="AG126" s="70">
        <f t="shared" si="65"/>
        <v>0</v>
      </c>
      <c r="AH126" s="83">
        <f t="shared" si="66"/>
        <v>0</v>
      </c>
      <c r="AI126" s="70">
        <f t="shared" si="67"/>
        <v>0</v>
      </c>
      <c r="AK126" s="79">
        <v>0</v>
      </c>
      <c r="AL126" s="80">
        <f t="shared" si="82"/>
        <v>0</v>
      </c>
      <c r="AM126" s="79">
        <v>0</v>
      </c>
      <c r="AN126" s="80">
        <f t="shared" si="83"/>
        <v>0</v>
      </c>
      <c r="AO126" s="79">
        <v>0</v>
      </c>
      <c r="AP126" s="80">
        <f t="shared" si="84"/>
        <v>0</v>
      </c>
      <c r="AQ126" s="79">
        <v>0</v>
      </c>
      <c r="AR126" s="81">
        <f t="shared" si="85"/>
        <v>0</v>
      </c>
      <c r="AS126" s="80">
        <f t="shared" si="68"/>
        <v>0</v>
      </c>
      <c r="AT126" s="70">
        <f t="shared" si="69"/>
        <v>0</v>
      </c>
      <c r="AU126" s="80">
        <f t="shared" si="70"/>
        <v>0</v>
      </c>
      <c r="AV126" s="70">
        <f t="shared" si="71"/>
        <v>0</v>
      </c>
      <c r="AW126" s="80">
        <f t="shared" si="72"/>
        <v>0</v>
      </c>
      <c r="AX126" s="70">
        <f t="shared" si="73"/>
        <v>0</v>
      </c>
      <c r="AY126" s="82"/>
      <c r="BA126" s="79">
        <v>0</v>
      </c>
      <c r="BB126" s="80">
        <f t="shared" si="86"/>
        <v>0</v>
      </c>
      <c r="BC126" s="79">
        <v>0</v>
      </c>
      <c r="BD126" s="80">
        <f t="shared" si="87"/>
        <v>0</v>
      </c>
      <c r="BE126" s="79">
        <v>0</v>
      </c>
      <c r="BF126" s="81">
        <f t="shared" si="88"/>
        <v>0</v>
      </c>
      <c r="BG126" s="80">
        <f t="shared" si="74"/>
        <v>0</v>
      </c>
      <c r="BH126" s="70">
        <f t="shared" si="75"/>
        <v>0</v>
      </c>
      <c r="BI126" s="80">
        <f t="shared" si="76"/>
        <v>0</v>
      </c>
      <c r="BJ126" s="70">
        <f t="shared" si="77"/>
        <v>0</v>
      </c>
      <c r="BK126" s="82"/>
    </row>
    <row r="127" spans="5:63" ht="11.95" thickBot="1" x14ac:dyDescent="0.3">
      <c r="E127" s="3"/>
      <c r="F127" s="3"/>
      <c r="G127" s="3"/>
      <c r="H127" s="3" t="s">
        <v>431</v>
      </c>
      <c r="I127" s="18"/>
      <c r="J127" s="18"/>
      <c r="K127" s="18"/>
      <c r="L127" s="78"/>
      <c r="M127" s="79"/>
      <c r="N127" s="80">
        <f t="shared" si="78"/>
        <v>0</v>
      </c>
      <c r="O127" s="79"/>
      <c r="P127" s="80">
        <f t="shared" si="79"/>
        <v>0</v>
      </c>
      <c r="Q127" s="79"/>
      <c r="R127" s="80">
        <f t="shared" si="80"/>
        <v>0</v>
      </c>
      <c r="S127" s="79"/>
      <c r="T127" s="81">
        <f t="shared" si="81"/>
        <v>0</v>
      </c>
      <c r="U127" s="80">
        <f t="shared" si="58"/>
        <v>0</v>
      </c>
      <c r="V127" s="70">
        <f t="shared" si="59"/>
        <v>0</v>
      </c>
      <c r="W127" s="80">
        <f t="shared" si="60"/>
        <v>0</v>
      </c>
      <c r="X127" s="70">
        <f t="shared" si="61"/>
        <v>0</v>
      </c>
      <c r="Y127" s="80">
        <f t="shared" si="62"/>
        <v>0</v>
      </c>
      <c r="Z127" s="70">
        <f t="shared" si="63"/>
        <v>0</v>
      </c>
      <c r="AA127" s="82"/>
      <c r="AC127" s="79">
        <v>0</v>
      </c>
      <c r="AD127" s="79">
        <v>0</v>
      </c>
      <c r="AE127" s="79">
        <v>0</v>
      </c>
      <c r="AF127" s="83">
        <f t="shared" si="64"/>
        <v>0</v>
      </c>
      <c r="AG127" s="70">
        <f t="shared" si="65"/>
        <v>0</v>
      </c>
      <c r="AH127" s="83">
        <f t="shared" si="66"/>
        <v>0</v>
      </c>
      <c r="AI127" s="70">
        <f t="shared" si="67"/>
        <v>0</v>
      </c>
      <c r="AK127" s="79">
        <v>0</v>
      </c>
      <c r="AL127" s="80">
        <f t="shared" si="82"/>
        <v>0</v>
      </c>
      <c r="AM127" s="79">
        <v>0</v>
      </c>
      <c r="AN127" s="80">
        <f t="shared" si="83"/>
        <v>0</v>
      </c>
      <c r="AO127" s="79">
        <v>0</v>
      </c>
      <c r="AP127" s="80">
        <f t="shared" si="84"/>
        <v>0</v>
      </c>
      <c r="AQ127" s="79">
        <v>0</v>
      </c>
      <c r="AR127" s="81">
        <f t="shared" si="85"/>
        <v>0</v>
      </c>
      <c r="AS127" s="80">
        <f t="shared" si="68"/>
        <v>0</v>
      </c>
      <c r="AT127" s="70">
        <f t="shared" si="69"/>
        <v>0</v>
      </c>
      <c r="AU127" s="80">
        <f t="shared" si="70"/>
        <v>0</v>
      </c>
      <c r="AV127" s="70">
        <f t="shared" si="71"/>
        <v>0</v>
      </c>
      <c r="AW127" s="80">
        <f t="shared" si="72"/>
        <v>0</v>
      </c>
      <c r="AX127" s="70">
        <f t="shared" si="73"/>
        <v>0</v>
      </c>
      <c r="AY127" s="82"/>
      <c r="BA127" s="79">
        <v>0</v>
      </c>
      <c r="BB127" s="80">
        <f t="shared" si="86"/>
        <v>0</v>
      </c>
      <c r="BC127" s="79">
        <v>0</v>
      </c>
      <c r="BD127" s="80">
        <f t="shared" si="87"/>
        <v>0</v>
      </c>
      <c r="BE127" s="79">
        <v>0</v>
      </c>
      <c r="BF127" s="81">
        <f t="shared" si="88"/>
        <v>0</v>
      </c>
      <c r="BG127" s="80">
        <f t="shared" si="74"/>
        <v>0</v>
      </c>
      <c r="BH127" s="70">
        <f t="shared" si="75"/>
        <v>0</v>
      </c>
      <c r="BI127" s="80">
        <f t="shared" si="76"/>
        <v>0</v>
      </c>
      <c r="BJ127" s="70">
        <f t="shared" si="77"/>
        <v>0</v>
      </c>
      <c r="BK127" s="82"/>
    </row>
    <row r="128" spans="5:63" ht="11.95" thickBot="1" x14ac:dyDescent="0.3">
      <c r="E128" s="3"/>
      <c r="F128" s="3"/>
      <c r="G128" s="3"/>
      <c r="H128" s="3" t="s">
        <v>432</v>
      </c>
      <c r="I128" s="18"/>
      <c r="J128" s="18"/>
      <c r="K128" s="18"/>
      <c r="L128" s="78"/>
      <c r="M128" s="79"/>
      <c r="N128" s="80">
        <f t="shared" si="78"/>
        <v>0</v>
      </c>
      <c r="O128" s="79"/>
      <c r="P128" s="80">
        <f t="shared" si="79"/>
        <v>0</v>
      </c>
      <c r="Q128" s="79"/>
      <c r="R128" s="80">
        <f t="shared" si="80"/>
        <v>0</v>
      </c>
      <c r="S128" s="79"/>
      <c r="T128" s="81">
        <f t="shared" si="81"/>
        <v>0</v>
      </c>
      <c r="U128" s="80">
        <f t="shared" si="58"/>
        <v>0</v>
      </c>
      <c r="V128" s="70">
        <f t="shared" si="59"/>
        <v>0</v>
      </c>
      <c r="W128" s="80">
        <f t="shared" si="60"/>
        <v>0</v>
      </c>
      <c r="X128" s="70">
        <f t="shared" si="61"/>
        <v>0</v>
      </c>
      <c r="Y128" s="80">
        <f t="shared" si="62"/>
        <v>0</v>
      </c>
      <c r="Z128" s="70">
        <f t="shared" si="63"/>
        <v>0</v>
      </c>
      <c r="AA128" s="82"/>
      <c r="AC128" s="79">
        <v>0</v>
      </c>
      <c r="AD128" s="79">
        <v>0</v>
      </c>
      <c r="AE128" s="79">
        <v>0</v>
      </c>
      <c r="AF128" s="83">
        <f t="shared" si="64"/>
        <v>0</v>
      </c>
      <c r="AG128" s="70">
        <f t="shared" si="65"/>
        <v>0</v>
      </c>
      <c r="AH128" s="83">
        <f t="shared" si="66"/>
        <v>0</v>
      </c>
      <c r="AI128" s="70">
        <f t="shared" si="67"/>
        <v>0</v>
      </c>
      <c r="AK128" s="79">
        <v>0</v>
      </c>
      <c r="AL128" s="80">
        <f t="shared" si="82"/>
        <v>0</v>
      </c>
      <c r="AM128" s="79">
        <v>0</v>
      </c>
      <c r="AN128" s="80">
        <f t="shared" si="83"/>
        <v>0</v>
      </c>
      <c r="AO128" s="79">
        <v>0</v>
      </c>
      <c r="AP128" s="80">
        <f t="shared" si="84"/>
        <v>0</v>
      </c>
      <c r="AQ128" s="79">
        <v>0</v>
      </c>
      <c r="AR128" s="81">
        <f t="shared" si="85"/>
        <v>0</v>
      </c>
      <c r="AS128" s="80">
        <f t="shared" si="68"/>
        <v>0</v>
      </c>
      <c r="AT128" s="70">
        <f t="shared" si="69"/>
        <v>0</v>
      </c>
      <c r="AU128" s="80">
        <f t="shared" si="70"/>
        <v>0</v>
      </c>
      <c r="AV128" s="70">
        <f t="shared" si="71"/>
        <v>0</v>
      </c>
      <c r="AW128" s="80">
        <f t="shared" si="72"/>
        <v>0</v>
      </c>
      <c r="AX128" s="70">
        <f t="shared" si="73"/>
        <v>0</v>
      </c>
      <c r="AY128" s="82"/>
      <c r="BA128" s="79">
        <v>0</v>
      </c>
      <c r="BB128" s="80">
        <f t="shared" si="86"/>
        <v>0</v>
      </c>
      <c r="BC128" s="79">
        <v>0</v>
      </c>
      <c r="BD128" s="80">
        <f t="shared" si="87"/>
        <v>0</v>
      </c>
      <c r="BE128" s="79">
        <v>0</v>
      </c>
      <c r="BF128" s="81">
        <f t="shared" si="88"/>
        <v>0</v>
      </c>
      <c r="BG128" s="80">
        <f t="shared" si="74"/>
        <v>0</v>
      </c>
      <c r="BH128" s="70">
        <f t="shared" si="75"/>
        <v>0</v>
      </c>
      <c r="BI128" s="80">
        <f t="shared" si="76"/>
        <v>0</v>
      </c>
      <c r="BJ128" s="70">
        <f t="shared" si="77"/>
        <v>0</v>
      </c>
      <c r="BK128" s="82"/>
    </row>
    <row r="129" spans="1:63" ht="11.95" thickBot="1" x14ac:dyDescent="0.3">
      <c r="E129" s="3"/>
      <c r="F129" s="3"/>
      <c r="G129" s="3"/>
      <c r="H129" s="3" t="s">
        <v>433</v>
      </c>
      <c r="I129" s="18"/>
      <c r="J129" s="18"/>
      <c r="K129" s="18"/>
      <c r="L129" s="78"/>
      <c r="M129" s="79"/>
      <c r="N129" s="80">
        <f t="shared" si="78"/>
        <v>0</v>
      </c>
      <c r="O129" s="79"/>
      <c r="P129" s="80">
        <f t="shared" si="79"/>
        <v>0</v>
      </c>
      <c r="Q129" s="79"/>
      <c r="R129" s="80">
        <f t="shared" si="80"/>
        <v>0</v>
      </c>
      <c r="S129" s="79"/>
      <c r="T129" s="81">
        <f t="shared" si="81"/>
        <v>0</v>
      </c>
      <c r="U129" s="80">
        <f t="shared" si="58"/>
        <v>0</v>
      </c>
      <c r="V129" s="70">
        <f t="shared" si="59"/>
        <v>0</v>
      </c>
      <c r="W129" s="80">
        <f t="shared" si="60"/>
        <v>0</v>
      </c>
      <c r="X129" s="70">
        <f t="shared" si="61"/>
        <v>0</v>
      </c>
      <c r="Y129" s="80">
        <f t="shared" si="62"/>
        <v>0</v>
      </c>
      <c r="Z129" s="70">
        <f t="shared" si="63"/>
        <v>0</v>
      </c>
      <c r="AA129" s="82"/>
      <c r="AC129" s="79">
        <v>0</v>
      </c>
      <c r="AD129" s="79">
        <v>0</v>
      </c>
      <c r="AE129" s="79">
        <v>0</v>
      </c>
      <c r="AF129" s="83">
        <f t="shared" si="64"/>
        <v>0</v>
      </c>
      <c r="AG129" s="70">
        <f t="shared" si="65"/>
        <v>0</v>
      </c>
      <c r="AH129" s="83">
        <f t="shared" si="66"/>
        <v>0</v>
      </c>
      <c r="AI129" s="70">
        <f t="shared" si="67"/>
        <v>0</v>
      </c>
      <c r="AK129" s="79">
        <v>0</v>
      </c>
      <c r="AL129" s="80">
        <f t="shared" si="82"/>
        <v>0</v>
      </c>
      <c r="AM129" s="79">
        <v>0</v>
      </c>
      <c r="AN129" s="80">
        <f t="shared" si="83"/>
        <v>0</v>
      </c>
      <c r="AO129" s="79">
        <v>0</v>
      </c>
      <c r="AP129" s="80">
        <f t="shared" si="84"/>
        <v>0</v>
      </c>
      <c r="AQ129" s="79">
        <v>0</v>
      </c>
      <c r="AR129" s="81">
        <f t="shared" si="85"/>
        <v>0</v>
      </c>
      <c r="AS129" s="80">
        <f t="shared" si="68"/>
        <v>0</v>
      </c>
      <c r="AT129" s="70">
        <f t="shared" si="69"/>
        <v>0</v>
      </c>
      <c r="AU129" s="80">
        <f t="shared" si="70"/>
        <v>0</v>
      </c>
      <c r="AV129" s="70">
        <f t="shared" si="71"/>
        <v>0</v>
      </c>
      <c r="AW129" s="80">
        <f t="shared" si="72"/>
        <v>0</v>
      </c>
      <c r="AX129" s="70">
        <f t="shared" si="73"/>
        <v>0</v>
      </c>
      <c r="AY129" s="82"/>
      <c r="BA129" s="79">
        <v>0</v>
      </c>
      <c r="BB129" s="80">
        <f t="shared" si="86"/>
        <v>0</v>
      </c>
      <c r="BC129" s="79">
        <v>0</v>
      </c>
      <c r="BD129" s="80">
        <f t="shared" si="87"/>
        <v>0</v>
      </c>
      <c r="BE129" s="79">
        <v>0</v>
      </c>
      <c r="BF129" s="81">
        <f t="shared" si="88"/>
        <v>0</v>
      </c>
      <c r="BG129" s="80">
        <f t="shared" si="74"/>
        <v>0</v>
      </c>
      <c r="BH129" s="70">
        <f t="shared" si="75"/>
        <v>0</v>
      </c>
      <c r="BI129" s="80">
        <f t="shared" si="76"/>
        <v>0</v>
      </c>
      <c r="BJ129" s="70">
        <f t="shared" si="77"/>
        <v>0</v>
      </c>
      <c r="BK129" s="82"/>
    </row>
    <row r="130" spans="1:63" ht="11.95" thickBot="1" x14ac:dyDescent="0.3">
      <c r="E130" s="3"/>
      <c r="F130" s="3"/>
      <c r="G130" s="3"/>
      <c r="H130" s="3" t="s">
        <v>434</v>
      </c>
      <c r="I130" s="18"/>
      <c r="J130" s="18"/>
      <c r="K130" s="18"/>
      <c r="L130" s="78"/>
      <c r="M130" s="79"/>
      <c r="N130" s="80">
        <f t="shared" ref="N130:N161" si="89">IFERROR(M130/SUMIFS(M:M, $H:$H, "[+] Net Sales"),0)</f>
        <v>0</v>
      </c>
      <c r="O130" s="79"/>
      <c r="P130" s="80">
        <f t="shared" ref="P130:P161" si="90">IFERROR(O130/SUMIFS(O:O, $H:$H, "[+] Net Sales"),0)</f>
        <v>0</v>
      </c>
      <c r="Q130" s="79"/>
      <c r="R130" s="80">
        <f t="shared" ref="R130:R161" si="91">IFERROR(Q130/SUMIFS(Q:Q, $H:$H, "[+] Net Sales"),0)</f>
        <v>0</v>
      </c>
      <c r="S130" s="79"/>
      <c r="T130" s="81">
        <f t="shared" ref="T130:T161" si="92">IFERROR(S130/SUMIFS(S:S, $H:$H, "[+] Net Sales"),0)</f>
        <v>0</v>
      </c>
      <c r="U130" s="80">
        <f t="shared" si="58"/>
        <v>0</v>
      </c>
      <c r="V130" s="70">
        <f t="shared" si="59"/>
        <v>0</v>
      </c>
      <c r="W130" s="80">
        <f t="shared" si="60"/>
        <v>0</v>
      </c>
      <c r="X130" s="70">
        <f t="shared" si="61"/>
        <v>0</v>
      </c>
      <c r="Y130" s="80">
        <f t="shared" si="62"/>
        <v>0</v>
      </c>
      <c r="Z130" s="70">
        <f t="shared" si="63"/>
        <v>0</v>
      </c>
      <c r="AA130" s="82"/>
      <c r="AC130" s="79">
        <v>0</v>
      </c>
      <c r="AD130" s="79">
        <v>0</v>
      </c>
      <c r="AE130" s="79">
        <v>0</v>
      </c>
      <c r="AF130" s="83">
        <f t="shared" si="64"/>
        <v>0</v>
      </c>
      <c r="AG130" s="70">
        <f t="shared" si="65"/>
        <v>0</v>
      </c>
      <c r="AH130" s="83">
        <f t="shared" si="66"/>
        <v>0</v>
      </c>
      <c r="AI130" s="70">
        <f t="shared" si="67"/>
        <v>0</v>
      </c>
      <c r="AK130" s="79">
        <v>0</v>
      </c>
      <c r="AL130" s="80">
        <f t="shared" ref="AL130:AL161" si="93">IFERROR(AK130/SUMIFS(AK:AK, $H:$H, "[+] Net Sales"),0)</f>
        <v>0</v>
      </c>
      <c r="AM130" s="79">
        <v>0</v>
      </c>
      <c r="AN130" s="80">
        <f t="shared" ref="AN130:AN161" si="94">IFERROR(AM130/SUMIFS(AM:AM, $H:$H, "[+] Net Sales"),0)</f>
        <v>0</v>
      </c>
      <c r="AO130" s="79">
        <v>0</v>
      </c>
      <c r="AP130" s="80">
        <f t="shared" ref="AP130:AP161" si="95">IFERROR(AO130/SUMIFS(AO:AO, $H:$H, "[+] Net Sales"),0)</f>
        <v>0</v>
      </c>
      <c r="AQ130" s="79">
        <v>0</v>
      </c>
      <c r="AR130" s="81">
        <f t="shared" ref="AR130:AR161" si="96">IFERROR(AQ130/SUMIFS(AQ:AQ, $H:$H, "[+] Net Sales"),0)</f>
        <v>0</v>
      </c>
      <c r="AS130" s="80">
        <f t="shared" si="68"/>
        <v>0</v>
      </c>
      <c r="AT130" s="70">
        <f t="shared" si="69"/>
        <v>0</v>
      </c>
      <c r="AU130" s="80">
        <f t="shared" si="70"/>
        <v>0</v>
      </c>
      <c r="AV130" s="70">
        <f t="shared" si="71"/>
        <v>0</v>
      </c>
      <c r="AW130" s="80">
        <f t="shared" si="72"/>
        <v>0</v>
      </c>
      <c r="AX130" s="70">
        <f t="shared" si="73"/>
        <v>0</v>
      </c>
      <c r="AY130" s="82"/>
      <c r="BA130" s="79">
        <v>0</v>
      </c>
      <c r="BB130" s="80">
        <f t="shared" ref="BB130:BB161" si="97">IFERROR(BA130/SUMIFS(BA:BA, $H:$H, "[+] Net Sales"),0)</f>
        <v>0</v>
      </c>
      <c r="BC130" s="79">
        <v>0</v>
      </c>
      <c r="BD130" s="80">
        <f t="shared" ref="BD130:BD161" si="98">IFERROR(BC130/SUMIFS(BC:BC, $H:$H, "[+] Net Sales"),0)</f>
        <v>0</v>
      </c>
      <c r="BE130" s="79">
        <v>0</v>
      </c>
      <c r="BF130" s="81">
        <f t="shared" ref="BF130:BF161" si="99">IFERROR(BE130/SUMIFS(BE:BE, $H:$H, "[+] Net Sales"),0)</f>
        <v>0</v>
      </c>
      <c r="BG130" s="80">
        <f t="shared" si="74"/>
        <v>0</v>
      </c>
      <c r="BH130" s="70">
        <f t="shared" si="75"/>
        <v>0</v>
      </c>
      <c r="BI130" s="80">
        <f t="shared" si="76"/>
        <v>0</v>
      </c>
      <c r="BJ130" s="70">
        <f t="shared" si="77"/>
        <v>0</v>
      </c>
      <c r="BK130" s="82"/>
    </row>
    <row r="131" spans="1:63" ht="11.95" thickBot="1" x14ac:dyDescent="0.3">
      <c r="E131" s="3"/>
      <c r="F131" s="3"/>
      <c r="G131" s="3"/>
      <c r="H131" s="3" t="s">
        <v>435</v>
      </c>
      <c r="I131" s="18"/>
      <c r="J131" s="18"/>
      <c r="K131" s="18"/>
      <c r="L131" s="78"/>
      <c r="M131" s="79"/>
      <c r="N131" s="80">
        <f t="shared" si="89"/>
        <v>0</v>
      </c>
      <c r="O131" s="79"/>
      <c r="P131" s="80">
        <f t="shared" si="90"/>
        <v>0</v>
      </c>
      <c r="Q131" s="79"/>
      <c r="R131" s="80">
        <f t="shared" si="91"/>
        <v>0</v>
      </c>
      <c r="S131" s="79"/>
      <c r="T131" s="81">
        <f t="shared" si="92"/>
        <v>0</v>
      </c>
      <c r="U131" s="80">
        <f t="shared" ref="U131:U138" si="100">IFERROR(($O131-M131)/ABS(M131),0)</f>
        <v>0</v>
      </c>
      <c r="V131" s="70">
        <f t="shared" ref="V131:V138" si="101">IFERROR((O131-$M131), 0-$M131)</f>
        <v>0</v>
      </c>
      <c r="W131" s="80">
        <f t="shared" ref="W131:W138" si="102">IFERROR((Q131-$M131)/ABS($M131),0)</f>
        <v>0</v>
      </c>
      <c r="X131" s="70">
        <f t="shared" ref="X131:X138" si="103">IFERROR((Q131-$M131), 0 -$M131)</f>
        <v>0</v>
      </c>
      <c r="Y131" s="80">
        <f t="shared" ref="Y131:Y138" si="104">IFERROR((S131-$M131)/ABS($M131),0)</f>
        <v>0</v>
      </c>
      <c r="Z131" s="70">
        <f t="shared" ref="Z131:Z138" si="105">IFERROR((S131-$M131),0-$M131)</f>
        <v>0</v>
      </c>
      <c r="AA131" s="82"/>
      <c r="AC131" s="79">
        <v>0</v>
      </c>
      <c r="AD131" s="79">
        <v>0</v>
      </c>
      <c r="AE131" s="79">
        <v>0</v>
      </c>
      <c r="AF131" s="83">
        <f t="shared" ref="AF131:AF138" si="106">IFERROR((AD131-$AC131)/ABS($AC131),0)</f>
        <v>0</v>
      </c>
      <c r="AG131" s="70">
        <f t="shared" ref="AG131:AG138" si="107">(AD131-$AC131)</f>
        <v>0</v>
      </c>
      <c r="AH131" s="83">
        <f t="shared" ref="AH131:AH138" si="108">IFERROR((AE131-$AC131)/ABS($AC131),0)</f>
        <v>0</v>
      </c>
      <c r="AI131" s="70">
        <f t="shared" ref="AI131:AI138" si="109">(AE131-$AC131)</f>
        <v>0</v>
      </c>
      <c r="AK131" s="79">
        <v>0</v>
      </c>
      <c r="AL131" s="80">
        <f t="shared" si="93"/>
        <v>0</v>
      </c>
      <c r="AM131" s="79">
        <v>0</v>
      </c>
      <c r="AN131" s="80">
        <f t="shared" si="94"/>
        <v>0</v>
      </c>
      <c r="AO131" s="79">
        <v>0</v>
      </c>
      <c r="AP131" s="80">
        <f t="shared" si="95"/>
        <v>0</v>
      </c>
      <c r="AQ131" s="79">
        <v>0</v>
      </c>
      <c r="AR131" s="81">
        <f t="shared" si="96"/>
        <v>0</v>
      </c>
      <c r="AS131" s="80">
        <f t="shared" ref="AS131:AS138" si="110">IFERROR((AM131-$AK131)/ABS($AK131),0)</f>
        <v>0</v>
      </c>
      <c r="AT131" s="70">
        <f t="shared" ref="AT131:AT138" si="111">(AM131-$AK131)</f>
        <v>0</v>
      </c>
      <c r="AU131" s="80">
        <f t="shared" ref="AU131:AU138" si="112">IFERROR((AO131-$AK131)/ABS($AO131),0)</f>
        <v>0</v>
      </c>
      <c r="AV131" s="70">
        <f t="shared" ref="AV131:AV138" si="113">(AO131-$AK131)</f>
        <v>0</v>
      </c>
      <c r="AW131" s="80">
        <f t="shared" ref="AW131:AW138" si="114">IFERROR((AQ131-$AK131)/ABS($AK131),0)</f>
        <v>0</v>
      </c>
      <c r="AX131" s="70">
        <f t="shared" ref="AX131:AX138" si="115">(AQ131-$AK131)</f>
        <v>0</v>
      </c>
      <c r="AY131" s="82"/>
      <c r="BA131" s="79">
        <v>0</v>
      </c>
      <c r="BB131" s="80">
        <f t="shared" si="97"/>
        <v>0</v>
      </c>
      <c r="BC131" s="79">
        <v>0</v>
      </c>
      <c r="BD131" s="80">
        <f t="shared" si="98"/>
        <v>0</v>
      </c>
      <c r="BE131" s="79">
        <v>0</v>
      </c>
      <c r="BF131" s="81">
        <f t="shared" si="99"/>
        <v>0</v>
      </c>
      <c r="BG131" s="80">
        <f t="shared" ref="BG131:BG138" si="116">IFERROR((BC131-$BA131)/ABS($BA131),0)</f>
        <v>0</v>
      </c>
      <c r="BH131" s="70">
        <f t="shared" ref="BH131:BH138" si="117">(BC131-$BA131)</f>
        <v>0</v>
      </c>
      <c r="BI131" s="80">
        <f t="shared" ref="BI131:BI138" si="118">IFERROR((BE131-$BA131)/ABS($BA131),0)</f>
        <v>0</v>
      </c>
      <c r="BJ131" s="70">
        <f t="shared" ref="BJ131:BJ138" si="119">(BE131-$BA131)</f>
        <v>0</v>
      </c>
      <c r="BK131" s="82"/>
    </row>
    <row r="132" spans="1:63" ht="11.95" thickBot="1" x14ac:dyDescent="0.3">
      <c r="E132" s="3"/>
      <c r="F132" s="3"/>
      <c r="G132" s="3"/>
      <c r="H132" s="3" t="s">
        <v>436</v>
      </c>
      <c r="I132" s="18"/>
      <c r="J132" s="18"/>
      <c r="K132" s="18"/>
      <c r="L132" s="78"/>
      <c r="M132" s="79"/>
      <c r="N132" s="80">
        <f t="shared" si="89"/>
        <v>0</v>
      </c>
      <c r="O132" s="79"/>
      <c r="P132" s="80">
        <f t="shared" si="90"/>
        <v>0</v>
      </c>
      <c r="Q132" s="79"/>
      <c r="R132" s="80">
        <f t="shared" si="91"/>
        <v>0</v>
      </c>
      <c r="S132" s="79"/>
      <c r="T132" s="81">
        <f t="shared" si="92"/>
        <v>0</v>
      </c>
      <c r="U132" s="80">
        <f t="shared" si="100"/>
        <v>0</v>
      </c>
      <c r="V132" s="70">
        <f t="shared" si="101"/>
        <v>0</v>
      </c>
      <c r="W132" s="80">
        <f t="shared" si="102"/>
        <v>0</v>
      </c>
      <c r="X132" s="70">
        <f t="shared" si="103"/>
        <v>0</v>
      </c>
      <c r="Y132" s="80">
        <f t="shared" si="104"/>
        <v>0</v>
      </c>
      <c r="Z132" s="70">
        <f t="shared" si="105"/>
        <v>0</v>
      </c>
      <c r="AA132" s="82"/>
      <c r="AC132" s="79">
        <v>0</v>
      </c>
      <c r="AD132" s="79">
        <v>0</v>
      </c>
      <c r="AE132" s="79">
        <v>0</v>
      </c>
      <c r="AF132" s="83">
        <f t="shared" si="106"/>
        <v>0</v>
      </c>
      <c r="AG132" s="70">
        <f t="shared" si="107"/>
        <v>0</v>
      </c>
      <c r="AH132" s="83">
        <f t="shared" si="108"/>
        <v>0</v>
      </c>
      <c r="AI132" s="70">
        <f t="shared" si="109"/>
        <v>0</v>
      </c>
      <c r="AK132" s="79">
        <v>0</v>
      </c>
      <c r="AL132" s="80">
        <f t="shared" si="93"/>
        <v>0</v>
      </c>
      <c r="AM132" s="79">
        <v>0</v>
      </c>
      <c r="AN132" s="80">
        <f t="shared" si="94"/>
        <v>0</v>
      </c>
      <c r="AO132" s="79">
        <v>0</v>
      </c>
      <c r="AP132" s="80">
        <f t="shared" si="95"/>
        <v>0</v>
      </c>
      <c r="AQ132" s="79">
        <v>0</v>
      </c>
      <c r="AR132" s="81">
        <f t="shared" si="96"/>
        <v>0</v>
      </c>
      <c r="AS132" s="80">
        <f t="shared" si="110"/>
        <v>0</v>
      </c>
      <c r="AT132" s="70">
        <f t="shared" si="111"/>
        <v>0</v>
      </c>
      <c r="AU132" s="80">
        <f t="shared" si="112"/>
        <v>0</v>
      </c>
      <c r="AV132" s="70">
        <f t="shared" si="113"/>
        <v>0</v>
      </c>
      <c r="AW132" s="80">
        <f t="shared" si="114"/>
        <v>0</v>
      </c>
      <c r="AX132" s="70">
        <f t="shared" si="115"/>
        <v>0</v>
      </c>
      <c r="AY132" s="82"/>
      <c r="BA132" s="79">
        <v>0</v>
      </c>
      <c r="BB132" s="80">
        <f t="shared" si="97"/>
        <v>0</v>
      </c>
      <c r="BC132" s="79">
        <v>0</v>
      </c>
      <c r="BD132" s="80">
        <f t="shared" si="98"/>
        <v>0</v>
      </c>
      <c r="BE132" s="79">
        <v>0</v>
      </c>
      <c r="BF132" s="81">
        <f t="shared" si="99"/>
        <v>0</v>
      </c>
      <c r="BG132" s="80">
        <f t="shared" si="116"/>
        <v>0</v>
      </c>
      <c r="BH132" s="70">
        <f t="shared" si="117"/>
        <v>0</v>
      </c>
      <c r="BI132" s="80">
        <f t="shared" si="118"/>
        <v>0</v>
      </c>
      <c r="BJ132" s="70">
        <f t="shared" si="119"/>
        <v>0</v>
      </c>
      <c r="BK132" s="82"/>
    </row>
    <row r="133" spans="1:63" ht="11.95" thickBot="1" x14ac:dyDescent="0.3">
      <c r="E133" s="3"/>
      <c r="F133" s="3"/>
      <c r="G133" s="3"/>
      <c r="H133" s="3" t="s">
        <v>437</v>
      </c>
      <c r="I133" s="18"/>
      <c r="J133" s="18"/>
      <c r="K133" s="18"/>
      <c r="L133" s="78"/>
      <c r="M133" s="79"/>
      <c r="N133" s="80">
        <f t="shared" si="89"/>
        <v>0</v>
      </c>
      <c r="O133" s="79"/>
      <c r="P133" s="80">
        <f t="shared" si="90"/>
        <v>0</v>
      </c>
      <c r="Q133" s="79"/>
      <c r="R133" s="80">
        <f t="shared" si="91"/>
        <v>0</v>
      </c>
      <c r="S133" s="79"/>
      <c r="T133" s="81">
        <f t="shared" si="92"/>
        <v>0</v>
      </c>
      <c r="U133" s="80">
        <f t="shared" si="100"/>
        <v>0</v>
      </c>
      <c r="V133" s="70">
        <f t="shared" si="101"/>
        <v>0</v>
      </c>
      <c r="W133" s="80">
        <f t="shared" si="102"/>
        <v>0</v>
      </c>
      <c r="X133" s="70">
        <f t="shared" si="103"/>
        <v>0</v>
      </c>
      <c r="Y133" s="80">
        <f t="shared" si="104"/>
        <v>0</v>
      </c>
      <c r="Z133" s="70">
        <f t="shared" si="105"/>
        <v>0</v>
      </c>
      <c r="AA133" s="82"/>
      <c r="AC133" s="79">
        <v>0</v>
      </c>
      <c r="AD133" s="79">
        <v>0</v>
      </c>
      <c r="AE133" s="79">
        <v>0</v>
      </c>
      <c r="AF133" s="83">
        <f t="shared" si="106"/>
        <v>0</v>
      </c>
      <c r="AG133" s="70">
        <f t="shared" si="107"/>
        <v>0</v>
      </c>
      <c r="AH133" s="83">
        <f t="shared" si="108"/>
        <v>0</v>
      </c>
      <c r="AI133" s="70">
        <f t="shared" si="109"/>
        <v>0</v>
      </c>
      <c r="AK133" s="79">
        <v>0</v>
      </c>
      <c r="AL133" s="80">
        <f t="shared" si="93"/>
        <v>0</v>
      </c>
      <c r="AM133" s="79">
        <v>0</v>
      </c>
      <c r="AN133" s="80">
        <f t="shared" si="94"/>
        <v>0</v>
      </c>
      <c r="AO133" s="79">
        <v>0</v>
      </c>
      <c r="AP133" s="80">
        <f t="shared" si="95"/>
        <v>0</v>
      </c>
      <c r="AQ133" s="79">
        <v>0</v>
      </c>
      <c r="AR133" s="81">
        <f t="shared" si="96"/>
        <v>0</v>
      </c>
      <c r="AS133" s="80">
        <f t="shared" si="110"/>
        <v>0</v>
      </c>
      <c r="AT133" s="70">
        <f t="shared" si="111"/>
        <v>0</v>
      </c>
      <c r="AU133" s="80">
        <f t="shared" si="112"/>
        <v>0</v>
      </c>
      <c r="AV133" s="70">
        <f t="shared" si="113"/>
        <v>0</v>
      </c>
      <c r="AW133" s="80">
        <f t="shared" si="114"/>
        <v>0</v>
      </c>
      <c r="AX133" s="70">
        <f t="shared" si="115"/>
        <v>0</v>
      </c>
      <c r="AY133" s="82"/>
      <c r="BA133" s="79">
        <v>0</v>
      </c>
      <c r="BB133" s="80">
        <f t="shared" si="97"/>
        <v>0</v>
      </c>
      <c r="BC133" s="79">
        <v>0</v>
      </c>
      <c r="BD133" s="80">
        <f t="shared" si="98"/>
        <v>0</v>
      </c>
      <c r="BE133" s="79">
        <v>0</v>
      </c>
      <c r="BF133" s="81">
        <f t="shared" si="99"/>
        <v>0</v>
      </c>
      <c r="BG133" s="80">
        <f t="shared" si="116"/>
        <v>0</v>
      </c>
      <c r="BH133" s="70">
        <f t="shared" si="117"/>
        <v>0</v>
      </c>
      <c r="BI133" s="80">
        <f t="shared" si="118"/>
        <v>0</v>
      </c>
      <c r="BJ133" s="70">
        <f t="shared" si="119"/>
        <v>0</v>
      </c>
      <c r="BK133" s="82"/>
    </row>
    <row r="134" spans="1:63" ht="11.95" thickBot="1" x14ac:dyDescent="0.3">
      <c r="E134" s="3"/>
      <c r="F134" s="3"/>
      <c r="G134" s="3"/>
      <c r="H134" s="3" t="s">
        <v>438</v>
      </c>
      <c r="I134" s="18"/>
      <c r="J134" s="18"/>
      <c r="K134" s="18"/>
      <c r="L134" s="78"/>
      <c r="M134" s="79"/>
      <c r="N134" s="80">
        <f t="shared" si="89"/>
        <v>0</v>
      </c>
      <c r="O134" s="79"/>
      <c r="P134" s="80">
        <f t="shared" si="90"/>
        <v>0</v>
      </c>
      <c r="Q134" s="79"/>
      <c r="R134" s="80">
        <f t="shared" si="91"/>
        <v>0</v>
      </c>
      <c r="S134" s="79"/>
      <c r="T134" s="81">
        <f t="shared" si="92"/>
        <v>0</v>
      </c>
      <c r="U134" s="80">
        <f t="shared" si="100"/>
        <v>0</v>
      </c>
      <c r="V134" s="70">
        <f t="shared" si="101"/>
        <v>0</v>
      </c>
      <c r="W134" s="80">
        <f t="shared" si="102"/>
        <v>0</v>
      </c>
      <c r="X134" s="70">
        <f t="shared" si="103"/>
        <v>0</v>
      </c>
      <c r="Y134" s="80">
        <f t="shared" si="104"/>
        <v>0</v>
      </c>
      <c r="Z134" s="70">
        <f t="shared" si="105"/>
        <v>0</v>
      </c>
      <c r="AA134" s="82"/>
      <c r="AC134" s="79">
        <v>0</v>
      </c>
      <c r="AD134" s="79">
        <v>0</v>
      </c>
      <c r="AE134" s="79">
        <v>0</v>
      </c>
      <c r="AF134" s="83">
        <f t="shared" si="106"/>
        <v>0</v>
      </c>
      <c r="AG134" s="70">
        <f t="shared" si="107"/>
        <v>0</v>
      </c>
      <c r="AH134" s="83">
        <f t="shared" si="108"/>
        <v>0</v>
      </c>
      <c r="AI134" s="70">
        <f t="shared" si="109"/>
        <v>0</v>
      </c>
      <c r="AK134" s="79">
        <v>0</v>
      </c>
      <c r="AL134" s="80">
        <f t="shared" si="93"/>
        <v>0</v>
      </c>
      <c r="AM134" s="79">
        <v>0</v>
      </c>
      <c r="AN134" s="80">
        <f t="shared" si="94"/>
        <v>0</v>
      </c>
      <c r="AO134" s="79">
        <v>0</v>
      </c>
      <c r="AP134" s="80">
        <f t="shared" si="95"/>
        <v>0</v>
      </c>
      <c r="AQ134" s="79">
        <v>0</v>
      </c>
      <c r="AR134" s="81">
        <f t="shared" si="96"/>
        <v>0</v>
      </c>
      <c r="AS134" s="80">
        <f t="shared" si="110"/>
        <v>0</v>
      </c>
      <c r="AT134" s="70">
        <f t="shared" si="111"/>
        <v>0</v>
      </c>
      <c r="AU134" s="80">
        <f t="shared" si="112"/>
        <v>0</v>
      </c>
      <c r="AV134" s="70">
        <f t="shared" si="113"/>
        <v>0</v>
      </c>
      <c r="AW134" s="80">
        <f t="shared" si="114"/>
        <v>0</v>
      </c>
      <c r="AX134" s="70">
        <f t="shared" si="115"/>
        <v>0</v>
      </c>
      <c r="AY134" s="82"/>
      <c r="BA134" s="79">
        <v>0</v>
      </c>
      <c r="BB134" s="80">
        <f t="shared" si="97"/>
        <v>0</v>
      </c>
      <c r="BC134" s="79">
        <v>0</v>
      </c>
      <c r="BD134" s="80">
        <f t="shared" si="98"/>
        <v>0</v>
      </c>
      <c r="BE134" s="79">
        <v>0</v>
      </c>
      <c r="BF134" s="81">
        <f t="shared" si="99"/>
        <v>0</v>
      </c>
      <c r="BG134" s="80">
        <f t="shared" si="116"/>
        <v>0</v>
      </c>
      <c r="BH134" s="70">
        <f t="shared" si="117"/>
        <v>0</v>
      </c>
      <c r="BI134" s="80">
        <f t="shared" si="118"/>
        <v>0</v>
      </c>
      <c r="BJ134" s="70">
        <f t="shared" si="119"/>
        <v>0</v>
      </c>
      <c r="BK134" s="82"/>
    </row>
    <row r="135" spans="1:63" ht="11.95" thickBot="1" x14ac:dyDescent="0.3">
      <c r="E135" s="3"/>
      <c r="F135" s="3"/>
      <c r="G135" s="3"/>
      <c r="H135" s="3" t="s">
        <v>439</v>
      </c>
      <c r="I135" s="18"/>
      <c r="J135" s="18"/>
      <c r="K135" s="18"/>
      <c r="L135" s="78"/>
      <c r="M135" s="79"/>
      <c r="N135" s="80">
        <f t="shared" si="89"/>
        <v>0</v>
      </c>
      <c r="O135" s="79"/>
      <c r="P135" s="80">
        <f t="shared" si="90"/>
        <v>0</v>
      </c>
      <c r="Q135" s="79"/>
      <c r="R135" s="80">
        <f t="shared" si="91"/>
        <v>0</v>
      </c>
      <c r="S135" s="79"/>
      <c r="T135" s="81">
        <f t="shared" si="92"/>
        <v>0</v>
      </c>
      <c r="U135" s="80">
        <f t="shared" si="100"/>
        <v>0</v>
      </c>
      <c r="V135" s="70">
        <f t="shared" si="101"/>
        <v>0</v>
      </c>
      <c r="W135" s="80">
        <f t="shared" si="102"/>
        <v>0</v>
      </c>
      <c r="X135" s="70">
        <f t="shared" si="103"/>
        <v>0</v>
      </c>
      <c r="Y135" s="80">
        <f t="shared" si="104"/>
        <v>0</v>
      </c>
      <c r="Z135" s="70">
        <f t="shared" si="105"/>
        <v>0</v>
      </c>
      <c r="AA135" s="82"/>
      <c r="AC135" s="79">
        <v>0</v>
      </c>
      <c r="AD135" s="79">
        <v>0</v>
      </c>
      <c r="AE135" s="79">
        <v>0</v>
      </c>
      <c r="AF135" s="83">
        <f t="shared" si="106"/>
        <v>0</v>
      </c>
      <c r="AG135" s="70">
        <f t="shared" si="107"/>
        <v>0</v>
      </c>
      <c r="AH135" s="83">
        <f t="shared" si="108"/>
        <v>0</v>
      </c>
      <c r="AI135" s="70">
        <f t="shared" si="109"/>
        <v>0</v>
      </c>
      <c r="AK135" s="79">
        <v>0</v>
      </c>
      <c r="AL135" s="80">
        <f t="shared" si="93"/>
        <v>0</v>
      </c>
      <c r="AM135" s="79">
        <v>0</v>
      </c>
      <c r="AN135" s="80">
        <f t="shared" si="94"/>
        <v>0</v>
      </c>
      <c r="AO135" s="79">
        <v>0</v>
      </c>
      <c r="AP135" s="80">
        <f t="shared" si="95"/>
        <v>0</v>
      </c>
      <c r="AQ135" s="79">
        <v>0</v>
      </c>
      <c r="AR135" s="81">
        <f t="shared" si="96"/>
        <v>0</v>
      </c>
      <c r="AS135" s="80">
        <f t="shared" si="110"/>
        <v>0</v>
      </c>
      <c r="AT135" s="70">
        <f t="shared" si="111"/>
        <v>0</v>
      </c>
      <c r="AU135" s="80">
        <f t="shared" si="112"/>
        <v>0</v>
      </c>
      <c r="AV135" s="70">
        <f t="shared" si="113"/>
        <v>0</v>
      </c>
      <c r="AW135" s="80">
        <f t="shared" si="114"/>
        <v>0</v>
      </c>
      <c r="AX135" s="70">
        <f t="shared" si="115"/>
        <v>0</v>
      </c>
      <c r="AY135" s="82"/>
      <c r="BA135" s="79">
        <v>0</v>
      </c>
      <c r="BB135" s="80">
        <f t="shared" si="97"/>
        <v>0</v>
      </c>
      <c r="BC135" s="79">
        <v>0</v>
      </c>
      <c r="BD135" s="80">
        <f t="shared" si="98"/>
        <v>0</v>
      </c>
      <c r="BE135" s="79">
        <v>0</v>
      </c>
      <c r="BF135" s="81">
        <f t="shared" si="99"/>
        <v>0</v>
      </c>
      <c r="BG135" s="80">
        <f t="shared" si="116"/>
        <v>0</v>
      </c>
      <c r="BH135" s="70">
        <f t="shared" si="117"/>
        <v>0</v>
      </c>
      <c r="BI135" s="80">
        <f t="shared" si="118"/>
        <v>0</v>
      </c>
      <c r="BJ135" s="70">
        <f t="shared" si="119"/>
        <v>0</v>
      </c>
      <c r="BK135" s="82"/>
    </row>
    <row r="136" spans="1:63" ht="11.95" thickBot="1" x14ac:dyDescent="0.3">
      <c r="E136" s="3"/>
      <c r="F136" s="3"/>
      <c r="G136" s="3"/>
      <c r="H136" s="3" t="s">
        <v>440</v>
      </c>
      <c r="I136" s="18"/>
      <c r="J136" s="18"/>
      <c r="K136" s="18"/>
      <c r="L136" s="78"/>
      <c r="M136" s="79"/>
      <c r="N136" s="80">
        <f t="shared" si="89"/>
        <v>0</v>
      </c>
      <c r="O136" s="79"/>
      <c r="P136" s="80">
        <f t="shared" si="90"/>
        <v>0</v>
      </c>
      <c r="Q136" s="79"/>
      <c r="R136" s="80">
        <f t="shared" si="91"/>
        <v>0</v>
      </c>
      <c r="S136" s="79"/>
      <c r="T136" s="81">
        <f t="shared" si="92"/>
        <v>0</v>
      </c>
      <c r="U136" s="80">
        <f t="shared" si="100"/>
        <v>0</v>
      </c>
      <c r="V136" s="70">
        <f t="shared" si="101"/>
        <v>0</v>
      </c>
      <c r="W136" s="80">
        <f t="shared" si="102"/>
        <v>0</v>
      </c>
      <c r="X136" s="70">
        <f t="shared" si="103"/>
        <v>0</v>
      </c>
      <c r="Y136" s="80">
        <f t="shared" si="104"/>
        <v>0</v>
      </c>
      <c r="Z136" s="70">
        <f t="shared" si="105"/>
        <v>0</v>
      </c>
      <c r="AA136" s="82"/>
      <c r="AC136" s="79">
        <v>0</v>
      </c>
      <c r="AD136" s="79">
        <v>0</v>
      </c>
      <c r="AE136" s="79">
        <v>0</v>
      </c>
      <c r="AF136" s="83">
        <f t="shared" si="106"/>
        <v>0</v>
      </c>
      <c r="AG136" s="70">
        <f t="shared" si="107"/>
        <v>0</v>
      </c>
      <c r="AH136" s="83">
        <f t="shared" si="108"/>
        <v>0</v>
      </c>
      <c r="AI136" s="70">
        <f t="shared" si="109"/>
        <v>0</v>
      </c>
      <c r="AK136" s="79">
        <v>0</v>
      </c>
      <c r="AL136" s="80">
        <f t="shared" si="93"/>
        <v>0</v>
      </c>
      <c r="AM136" s="79">
        <v>0</v>
      </c>
      <c r="AN136" s="80">
        <f t="shared" si="94"/>
        <v>0</v>
      </c>
      <c r="AO136" s="79">
        <v>0</v>
      </c>
      <c r="AP136" s="80">
        <f t="shared" si="95"/>
        <v>0</v>
      </c>
      <c r="AQ136" s="79">
        <v>0</v>
      </c>
      <c r="AR136" s="81">
        <f t="shared" si="96"/>
        <v>0</v>
      </c>
      <c r="AS136" s="80">
        <f t="shared" si="110"/>
        <v>0</v>
      </c>
      <c r="AT136" s="70">
        <f t="shared" si="111"/>
        <v>0</v>
      </c>
      <c r="AU136" s="80">
        <f t="shared" si="112"/>
        <v>0</v>
      </c>
      <c r="AV136" s="70">
        <f t="shared" si="113"/>
        <v>0</v>
      </c>
      <c r="AW136" s="80">
        <f t="shared" si="114"/>
        <v>0</v>
      </c>
      <c r="AX136" s="70">
        <f t="shared" si="115"/>
        <v>0</v>
      </c>
      <c r="AY136" s="82"/>
      <c r="BA136" s="79">
        <v>0</v>
      </c>
      <c r="BB136" s="80">
        <f t="shared" si="97"/>
        <v>0</v>
      </c>
      <c r="BC136" s="79">
        <v>0</v>
      </c>
      <c r="BD136" s="80">
        <f t="shared" si="98"/>
        <v>0</v>
      </c>
      <c r="BE136" s="79">
        <v>0</v>
      </c>
      <c r="BF136" s="81">
        <f t="shared" si="99"/>
        <v>0</v>
      </c>
      <c r="BG136" s="80">
        <f t="shared" si="116"/>
        <v>0</v>
      </c>
      <c r="BH136" s="70">
        <f t="shared" si="117"/>
        <v>0</v>
      </c>
      <c r="BI136" s="80">
        <f t="shared" si="118"/>
        <v>0</v>
      </c>
      <c r="BJ136" s="70">
        <f t="shared" si="119"/>
        <v>0</v>
      </c>
      <c r="BK136" s="82"/>
    </row>
    <row r="137" spans="1:63" ht="11.95" thickBot="1" x14ac:dyDescent="0.3">
      <c r="E137" s="3"/>
      <c r="F137" s="3"/>
      <c r="G137" s="3"/>
      <c r="H137" s="3" t="s">
        <v>441</v>
      </c>
      <c r="I137" s="18"/>
      <c r="J137" s="18"/>
      <c r="K137" s="18"/>
      <c r="L137" s="78"/>
      <c r="M137" s="79"/>
      <c r="N137" s="80">
        <f t="shared" si="89"/>
        <v>0</v>
      </c>
      <c r="O137" s="79"/>
      <c r="P137" s="80">
        <f t="shared" si="90"/>
        <v>0</v>
      </c>
      <c r="Q137" s="79"/>
      <c r="R137" s="80">
        <f t="shared" si="91"/>
        <v>0</v>
      </c>
      <c r="S137" s="79"/>
      <c r="T137" s="81">
        <f t="shared" si="92"/>
        <v>0</v>
      </c>
      <c r="U137" s="80">
        <f t="shared" si="100"/>
        <v>0</v>
      </c>
      <c r="V137" s="70">
        <f t="shared" si="101"/>
        <v>0</v>
      </c>
      <c r="W137" s="80">
        <f t="shared" si="102"/>
        <v>0</v>
      </c>
      <c r="X137" s="70">
        <f t="shared" si="103"/>
        <v>0</v>
      </c>
      <c r="Y137" s="80">
        <f t="shared" si="104"/>
        <v>0</v>
      </c>
      <c r="Z137" s="70">
        <f t="shared" si="105"/>
        <v>0</v>
      </c>
      <c r="AA137" s="82"/>
      <c r="AC137" s="79">
        <v>0</v>
      </c>
      <c r="AD137" s="79">
        <v>0</v>
      </c>
      <c r="AE137" s="79">
        <v>0</v>
      </c>
      <c r="AF137" s="83">
        <f t="shared" si="106"/>
        <v>0</v>
      </c>
      <c r="AG137" s="70">
        <f t="shared" si="107"/>
        <v>0</v>
      </c>
      <c r="AH137" s="83">
        <f t="shared" si="108"/>
        <v>0</v>
      </c>
      <c r="AI137" s="70">
        <f t="shared" si="109"/>
        <v>0</v>
      </c>
      <c r="AK137" s="79">
        <v>0</v>
      </c>
      <c r="AL137" s="80">
        <f t="shared" si="93"/>
        <v>0</v>
      </c>
      <c r="AM137" s="79">
        <v>0</v>
      </c>
      <c r="AN137" s="80">
        <f t="shared" si="94"/>
        <v>0</v>
      </c>
      <c r="AO137" s="79">
        <v>0</v>
      </c>
      <c r="AP137" s="80">
        <f t="shared" si="95"/>
        <v>0</v>
      </c>
      <c r="AQ137" s="79">
        <v>0</v>
      </c>
      <c r="AR137" s="81">
        <f t="shared" si="96"/>
        <v>0</v>
      </c>
      <c r="AS137" s="80">
        <f t="shared" si="110"/>
        <v>0</v>
      </c>
      <c r="AT137" s="70">
        <f t="shared" si="111"/>
        <v>0</v>
      </c>
      <c r="AU137" s="80">
        <f t="shared" si="112"/>
        <v>0</v>
      </c>
      <c r="AV137" s="70">
        <f t="shared" si="113"/>
        <v>0</v>
      </c>
      <c r="AW137" s="80">
        <f t="shared" si="114"/>
        <v>0</v>
      </c>
      <c r="AX137" s="70">
        <f t="shared" si="115"/>
        <v>0</v>
      </c>
      <c r="AY137" s="82"/>
      <c r="BA137" s="79">
        <v>0</v>
      </c>
      <c r="BB137" s="80">
        <f t="shared" si="97"/>
        <v>0</v>
      </c>
      <c r="BC137" s="79">
        <v>0</v>
      </c>
      <c r="BD137" s="80">
        <f t="shared" si="98"/>
        <v>0</v>
      </c>
      <c r="BE137" s="79">
        <v>0</v>
      </c>
      <c r="BF137" s="81">
        <f t="shared" si="99"/>
        <v>0</v>
      </c>
      <c r="BG137" s="80">
        <f t="shared" si="116"/>
        <v>0</v>
      </c>
      <c r="BH137" s="70">
        <f t="shared" si="117"/>
        <v>0</v>
      </c>
      <c r="BI137" s="80">
        <f t="shared" si="118"/>
        <v>0</v>
      </c>
      <c r="BJ137" s="70">
        <f t="shared" si="119"/>
        <v>0</v>
      </c>
      <c r="BK137" s="82"/>
    </row>
    <row r="138" spans="1:63" ht="11.95" thickBot="1" x14ac:dyDescent="0.3">
      <c r="E138" s="3"/>
      <c r="F138" s="3"/>
      <c r="G138" s="3"/>
      <c r="H138" s="3" t="s">
        <v>442</v>
      </c>
      <c r="I138" s="18"/>
      <c r="J138" s="18"/>
      <c r="K138" s="18"/>
      <c r="L138" s="78"/>
      <c r="M138" s="79"/>
      <c r="N138" s="80">
        <f t="shared" si="89"/>
        <v>0</v>
      </c>
      <c r="O138" s="79"/>
      <c r="P138" s="80">
        <f t="shared" si="90"/>
        <v>0</v>
      </c>
      <c r="Q138" s="79"/>
      <c r="R138" s="80">
        <f t="shared" si="91"/>
        <v>0</v>
      </c>
      <c r="S138" s="79"/>
      <c r="T138" s="81">
        <f t="shared" si="92"/>
        <v>0</v>
      </c>
      <c r="U138" s="80">
        <f t="shared" si="100"/>
        <v>0</v>
      </c>
      <c r="V138" s="70">
        <f t="shared" si="101"/>
        <v>0</v>
      </c>
      <c r="W138" s="80">
        <f t="shared" si="102"/>
        <v>0</v>
      </c>
      <c r="X138" s="70">
        <f t="shared" si="103"/>
        <v>0</v>
      </c>
      <c r="Y138" s="80">
        <f t="shared" si="104"/>
        <v>0</v>
      </c>
      <c r="Z138" s="70">
        <f t="shared" si="105"/>
        <v>0</v>
      </c>
      <c r="AA138" s="82"/>
      <c r="AC138" s="79">
        <v>0</v>
      </c>
      <c r="AD138" s="79">
        <v>0</v>
      </c>
      <c r="AE138" s="79">
        <v>0</v>
      </c>
      <c r="AF138" s="83">
        <f t="shared" si="106"/>
        <v>0</v>
      </c>
      <c r="AG138" s="70">
        <f t="shared" si="107"/>
        <v>0</v>
      </c>
      <c r="AH138" s="83">
        <f t="shared" si="108"/>
        <v>0</v>
      </c>
      <c r="AI138" s="70">
        <f t="shared" si="109"/>
        <v>0</v>
      </c>
      <c r="AK138" s="79">
        <v>0</v>
      </c>
      <c r="AL138" s="80">
        <f t="shared" si="93"/>
        <v>0</v>
      </c>
      <c r="AM138" s="79">
        <v>0</v>
      </c>
      <c r="AN138" s="80">
        <f t="shared" si="94"/>
        <v>0</v>
      </c>
      <c r="AO138" s="79">
        <v>0</v>
      </c>
      <c r="AP138" s="80">
        <f t="shared" si="95"/>
        <v>0</v>
      </c>
      <c r="AQ138" s="79">
        <v>0</v>
      </c>
      <c r="AR138" s="81">
        <f t="shared" si="96"/>
        <v>0</v>
      </c>
      <c r="AS138" s="80">
        <f t="shared" si="110"/>
        <v>0</v>
      </c>
      <c r="AT138" s="70">
        <f t="shared" si="111"/>
        <v>0</v>
      </c>
      <c r="AU138" s="80">
        <f t="shared" si="112"/>
        <v>0</v>
      </c>
      <c r="AV138" s="70">
        <f t="shared" si="113"/>
        <v>0</v>
      </c>
      <c r="AW138" s="80">
        <f t="shared" si="114"/>
        <v>0</v>
      </c>
      <c r="AX138" s="70">
        <f t="shared" si="115"/>
        <v>0</v>
      </c>
      <c r="AY138" s="82"/>
      <c r="BA138" s="79">
        <v>0</v>
      </c>
      <c r="BB138" s="80">
        <f t="shared" si="97"/>
        <v>0</v>
      </c>
      <c r="BC138" s="79">
        <v>0</v>
      </c>
      <c r="BD138" s="80">
        <f t="shared" si="98"/>
        <v>0</v>
      </c>
      <c r="BE138" s="79">
        <v>0</v>
      </c>
      <c r="BF138" s="81">
        <f t="shared" si="99"/>
        <v>0</v>
      </c>
      <c r="BG138" s="80">
        <f t="shared" si="116"/>
        <v>0</v>
      </c>
      <c r="BH138" s="70">
        <f t="shared" si="117"/>
        <v>0</v>
      </c>
      <c r="BI138" s="80">
        <f t="shared" si="118"/>
        <v>0</v>
      </c>
      <c r="BJ138" s="70">
        <f t="shared" si="119"/>
        <v>0</v>
      </c>
      <c r="BK138" s="82"/>
    </row>
    <row r="139" spans="1:63" ht="11.95" hidden="1" thickBot="1" x14ac:dyDescent="0.3">
      <c r="B139" t="s">
        <v>1</v>
      </c>
      <c r="N139" s="80">
        <f t="shared" si="89"/>
        <v>0</v>
      </c>
      <c r="P139" s="80">
        <f t="shared" si="90"/>
        <v>0</v>
      </c>
      <c r="R139" s="80">
        <f t="shared" si="91"/>
        <v>0</v>
      </c>
      <c r="T139" s="81">
        <f t="shared" si="92"/>
        <v>0</v>
      </c>
      <c r="U139" s="80"/>
      <c r="V139" s="84"/>
      <c r="W139" s="80"/>
      <c r="X139" s="84"/>
      <c r="Y139" s="80"/>
      <c r="Z139" s="84"/>
      <c r="AA139" s="82"/>
      <c r="AF139" s="15"/>
      <c r="AG139" s="84"/>
      <c r="AH139" s="15"/>
      <c r="AI139" s="84"/>
      <c r="AL139" s="80">
        <f t="shared" si="93"/>
        <v>0</v>
      </c>
      <c r="AN139" s="80">
        <f t="shared" si="94"/>
        <v>0</v>
      </c>
      <c r="AP139" s="80">
        <f t="shared" si="95"/>
        <v>0</v>
      </c>
      <c r="AR139" s="81">
        <f t="shared" si="96"/>
        <v>0</v>
      </c>
      <c r="AS139" s="80"/>
      <c r="AT139" s="84"/>
      <c r="AU139" s="80"/>
      <c r="AV139" s="84"/>
      <c r="AW139" s="80"/>
      <c r="AX139" s="84"/>
      <c r="AY139" s="82"/>
      <c r="BB139" s="80">
        <f t="shared" si="97"/>
        <v>0</v>
      </c>
      <c r="BD139" s="80">
        <f t="shared" si="98"/>
        <v>0</v>
      </c>
      <c r="BF139" s="81">
        <f t="shared" si="99"/>
        <v>0</v>
      </c>
      <c r="BG139" s="80"/>
      <c r="BH139" s="84"/>
      <c r="BI139" s="80"/>
      <c r="BJ139" s="84"/>
      <c r="BK139" s="82"/>
    </row>
    <row r="140" spans="1:63" ht="11.95" x14ac:dyDescent="0.25">
      <c r="B140" t="str">
        <f>B65</f>
        <v>#showrow</v>
      </c>
      <c r="E140" s="19"/>
      <c r="F140" s="19"/>
      <c r="G140" s="19"/>
      <c r="H140" s="19" t="s">
        <v>80</v>
      </c>
      <c r="I140" s="85"/>
      <c r="J140" s="85"/>
      <c r="K140" s="85"/>
      <c r="L140" s="85">
        <v>-1</v>
      </c>
      <c r="M140" s="85">
        <f>SUMIFS(M66:M139,$I66:$I139,"&lt;&gt;"&amp;$I$29,$E66:$E139,"&lt;&gt;*[-]*",$F66:$F139,"&lt;&gt;*[-]*",$G66:$G139,"&lt;&gt;*[-]*",$H66:$H139,"*[+]*")</f>
        <v>6.4</v>
      </c>
      <c r="N140" s="86">
        <f t="shared" si="89"/>
        <v>9.7793567771714125E-6</v>
      </c>
      <c r="O140" s="85">
        <f>SUMIFS(O66:O139,$I66:$I139,"&lt;&gt;"&amp;$I$29,$E66:$E139,"&lt;&gt;*[-]*",$F66:$F139,"&lt;&gt;*[-]*",$G66:$G139,"&lt;&gt;*[-]*",$H66:$H139,"*[+]*")</f>
        <v>0</v>
      </c>
      <c r="P140" s="86">
        <f t="shared" si="90"/>
        <v>0</v>
      </c>
      <c r="Q140" s="85">
        <f>SUMIFS(Q66:Q139,$I66:$I139,"&lt;&gt;"&amp;$I$29,$E66:$E139,"&lt;&gt;*[-]*",$F66:$F139,"&lt;&gt;*[-]*",$G66:$G139,"&lt;&gt;*[-]*",$H66:$H139,"*[+]*")</f>
        <v>0</v>
      </c>
      <c r="R140" s="86">
        <f t="shared" si="91"/>
        <v>0</v>
      </c>
      <c r="S140" s="85">
        <f>SUMIFS(S66:S139,$I66:$I139,"&lt;&gt;"&amp;$I$29,$E66:$E139,"&lt;&gt;*[-]*",$F66:$F139,"&lt;&gt;*[-]*",$G66:$G139,"&lt;&gt;*[-]*",$H66:$H139,"*[+]*")</f>
        <v>0</v>
      </c>
      <c r="T140" s="86">
        <f t="shared" si="92"/>
        <v>0</v>
      </c>
      <c r="U140" s="86">
        <f>IFERROR(($O140-M140)/ABS(M140),0)</f>
        <v>-1</v>
      </c>
      <c r="V140" s="87">
        <f>IFERROR((O140-$M140), 0-$M140)</f>
        <v>-6.4</v>
      </c>
      <c r="W140" s="86">
        <f>IFERROR((Q140-$M140)/ABS($M140),0)</f>
        <v>-1</v>
      </c>
      <c r="X140" s="87">
        <f>IFERROR((Q140-$M140), 0 -$M140)</f>
        <v>-6.4</v>
      </c>
      <c r="Y140" s="86">
        <f>IFERROR((S140-$M140)/ABS($M140),0)</f>
        <v>-1</v>
      </c>
      <c r="Z140" s="87">
        <f>IFERROR((S140-$M140),0-$M140)</f>
        <v>-6.4</v>
      </c>
      <c r="AA140" s="88"/>
      <c r="AC140" s="85">
        <f>SUMIFS(AC66:AC139,$I66:$I139,"&lt;&gt;"&amp;$I$29,$E66:$E139,"&lt;&gt;*[-]*",$F66:$F139,"&lt;&gt;*[-]*",$G66:$G139,"&lt;&gt;*[-]*",$H66:$H139,"*[+]*")</f>
        <v>6.4</v>
      </c>
      <c r="AD140" s="85">
        <f>SUMIFS(AD66:AD139,$I66:$I139,"&lt;&gt;"&amp;$I$29,$E66:$E139,"&lt;&gt;*[-]*",$F66:$F139,"&lt;&gt;*[-]*",$G66:$G139,"&lt;&gt;*[-]*",$H66:$H139,"*[+]*")</f>
        <v>0</v>
      </c>
      <c r="AE140" s="85">
        <f>SUMIFS(AE66:AE139,$I66:$I139,"&lt;&gt;"&amp;$I$29,$E66:$E139,"&lt;&gt;*[-]*",$F66:$F139,"&lt;&gt;*[-]*",$G66:$G139,"&lt;&gt;*[-]*",$H66:$H139,"*[+]*")</f>
        <v>0</v>
      </c>
      <c r="AF140" s="89">
        <f>IFERROR((AD140-$AC140)/ABS($AC140),0)</f>
        <v>-1</v>
      </c>
      <c r="AG140" s="87">
        <f>(AD140-$AC140)</f>
        <v>-6.4</v>
      </c>
      <c r="AH140" s="89">
        <f>IFERROR((AE140-$AC140)/ABS($AC140),0)</f>
        <v>-1</v>
      </c>
      <c r="AI140" s="87">
        <f>(AE140-$AC140)</f>
        <v>-6.4</v>
      </c>
      <c r="AK140" s="85">
        <f>SUMIFS(AK66:AK139,$I66:$I139,"&lt;&gt;"&amp;$I$29,$E66:$E139,"&lt;&gt;*[-]*",$F66:$F139,"&lt;&gt;*[-]*",$G66:$G139,"&lt;&gt;*[-]*",$H66:$H139,"*[+]*")</f>
        <v>6.4</v>
      </c>
      <c r="AL140" s="86">
        <f t="shared" si="93"/>
        <v>9.7793567771714125E-6</v>
      </c>
      <c r="AM140" s="85">
        <f>SUMIFS(AM66:AM139,$I66:$I139,"&lt;&gt;"&amp;$I$29,$E66:$E139,"&lt;&gt;*[-]*",$F66:$F139,"&lt;&gt;*[-]*",$G66:$G139,"&lt;&gt;*[-]*",$H66:$H139,"*[+]*")</f>
        <v>0</v>
      </c>
      <c r="AN140" s="86">
        <f t="shared" si="94"/>
        <v>0</v>
      </c>
      <c r="AO140" s="85">
        <f>SUMIFS(AO66:AO139,$I66:$I139,"&lt;&gt;"&amp;$I$29,$E66:$E139,"&lt;&gt;*[-]*",$F66:$F139,"&lt;&gt;*[-]*",$G66:$G139,"&lt;&gt;*[-]*",$H66:$H139,"*[+]*")</f>
        <v>0</v>
      </c>
      <c r="AP140" s="86">
        <f t="shared" si="95"/>
        <v>0</v>
      </c>
      <c r="AQ140" s="85">
        <f>SUMIFS(AQ66:AQ139,$I66:$I139,"&lt;&gt;"&amp;$I$29,$E66:$E139,"&lt;&gt;*[-]*",$F66:$F139,"&lt;&gt;*[-]*",$G66:$G139,"&lt;&gt;*[-]*",$H66:$H139,"*[+]*")</f>
        <v>0</v>
      </c>
      <c r="AR140" s="86">
        <f t="shared" si="96"/>
        <v>0</v>
      </c>
      <c r="AS140" s="86">
        <f>IFERROR((AM140-$AK140)/ABS($AK140),0)</f>
        <v>-1</v>
      </c>
      <c r="AT140" s="87">
        <f>(AM140-$AK140)</f>
        <v>-6.4</v>
      </c>
      <c r="AU140" s="86">
        <f>IFERROR((AO140-$AK140)/ABS($AO140),0)</f>
        <v>0</v>
      </c>
      <c r="AV140" s="87">
        <f>(AO140-$AK140)</f>
        <v>-6.4</v>
      </c>
      <c r="AW140" s="86">
        <f>IFERROR((AQ140-$AK140)/ABS($AK140),0)</f>
        <v>-1</v>
      </c>
      <c r="AX140" s="87">
        <f>(AQ140-$AK140)</f>
        <v>-6.4</v>
      </c>
      <c r="AY140" s="88"/>
      <c r="BA140" s="85">
        <f>SUMIFS(BA66:BA139,$I66:$I139,"&lt;&gt;"&amp;$I$29,$E66:$E139,"&lt;&gt;*[-]*",$F66:$F139,"&lt;&gt;*[-]*",$G66:$G139,"&lt;&gt;*[-]*",$H66:$H139,"*[+]*")</f>
        <v>0</v>
      </c>
      <c r="BB140" s="86">
        <f t="shared" si="97"/>
        <v>0</v>
      </c>
      <c r="BC140" s="85">
        <f>SUMIFS(BC66:BC139,$I66:$I139,"&lt;&gt;"&amp;$I$29,$E66:$E139,"&lt;&gt;*[-]*",$F66:$F139,"&lt;&gt;*[-]*",$G66:$G139,"&lt;&gt;*[-]*",$H66:$H139,"*[+]*")</f>
        <v>0</v>
      </c>
      <c r="BD140" s="86">
        <f t="shared" si="98"/>
        <v>0</v>
      </c>
      <c r="BE140" s="85">
        <f>SUMIFS(BE66:BE139,$I66:$I139,"&lt;&gt;"&amp;$I$29,$E66:$E139,"&lt;&gt;*[-]*",$F66:$F139,"&lt;&gt;*[-]*",$G66:$G139,"&lt;&gt;*[-]*",$H66:$H139,"*[+]*")</f>
        <v>602031.13</v>
      </c>
      <c r="BF140" s="86">
        <f t="shared" si="99"/>
        <v>0.29972274839016261</v>
      </c>
      <c r="BG140" s="86">
        <f>IFERROR((BC140-$BA140)/ABS($BA140),0)</f>
        <v>0</v>
      </c>
      <c r="BH140" s="87">
        <f>(BC140-$BA140)</f>
        <v>0</v>
      </c>
      <c r="BI140" s="86">
        <f>IFERROR((BE140-$BA140)/ABS($BA140),0)</f>
        <v>0</v>
      </c>
      <c r="BJ140" s="87">
        <f>(BE140-$BA140)</f>
        <v>602031.13</v>
      </c>
      <c r="BK140" s="88"/>
    </row>
    <row r="141" spans="1:63" x14ac:dyDescent="0.25">
      <c r="A141" s="24"/>
      <c r="B141" t="str">
        <f>B65</f>
        <v>#showrow</v>
      </c>
      <c r="C141" s="24"/>
      <c r="D141" s="24"/>
      <c r="E141" s="24"/>
      <c r="F141" s="24"/>
      <c r="G141" s="24"/>
      <c r="H141" s="24" t="s">
        <v>31</v>
      </c>
      <c r="I141" s="24"/>
      <c r="J141" s="24"/>
      <c r="K141" s="24"/>
      <c r="L141" s="24"/>
      <c r="M141" s="26">
        <f>M63-M140</f>
        <v>654433.37</v>
      </c>
      <c r="N141" s="91">
        <f t="shared" si="89"/>
        <v>0.99999022064322274</v>
      </c>
      <c r="O141" s="26">
        <f>O63-O140</f>
        <v>0</v>
      </c>
      <c r="P141" s="91">
        <f t="shared" si="90"/>
        <v>0</v>
      </c>
      <c r="Q141" s="26">
        <f>Q63-Q140</f>
        <v>553920.44860746595</v>
      </c>
      <c r="R141" s="91">
        <f t="shared" si="91"/>
        <v>1</v>
      </c>
      <c r="S141" s="26">
        <f>S63-S140</f>
        <v>509967.01</v>
      </c>
      <c r="T141" s="91">
        <f t="shared" si="92"/>
        <v>1</v>
      </c>
      <c r="U141" s="91"/>
      <c r="V141" s="92">
        <f>($M141-O141)</f>
        <v>654433.37</v>
      </c>
      <c r="W141" s="91"/>
      <c r="X141" s="92">
        <f>($M141-Q141)</f>
        <v>100512.92139253404</v>
      </c>
      <c r="Y141" s="91"/>
      <c r="Z141" s="92">
        <f>($M141-S141)</f>
        <v>144466.35999999999</v>
      </c>
      <c r="AA141" s="88"/>
      <c r="AC141" s="26">
        <f>AC63-AC140</f>
        <v>654433.37</v>
      </c>
      <c r="AD141" s="26">
        <f>AD63-AD140</f>
        <v>509967.01</v>
      </c>
      <c r="AE141" s="26">
        <f>AE63-AE140</f>
        <v>553920.44860746595</v>
      </c>
      <c r="AF141" s="93">
        <f>AF63-AF140</f>
        <v>1.283298247076806</v>
      </c>
      <c r="AG141" s="94"/>
      <c r="AH141" s="95"/>
      <c r="AI141" s="94"/>
      <c r="AJ141" s="24"/>
      <c r="AK141" s="26">
        <f>AK63-AK140</f>
        <v>654433.37</v>
      </c>
      <c r="AL141" s="91">
        <f t="shared" si="93"/>
        <v>0.99999022064322274</v>
      </c>
      <c r="AM141" s="26">
        <f>AM63-AM140</f>
        <v>0</v>
      </c>
      <c r="AN141" s="91">
        <f t="shared" si="94"/>
        <v>0</v>
      </c>
      <c r="AO141" s="26">
        <f>AO63-AO140</f>
        <v>553920.44860746595</v>
      </c>
      <c r="AP141" s="91">
        <f t="shared" si="95"/>
        <v>1</v>
      </c>
      <c r="AQ141" s="26">
        <f>AQ63-AQ140</f>
        <v>509967.01</v>
      </c>
      <c r="AR141" s="91">
        <f t="shared" si="96"/>
        <v>1</v>
      </c>
      <c r="AS141" s="91"/>
      <c r="AT141" s="92">
        <f>($AK141-AM141)</f>
        <v>654433.37</v>
      </c>
      <c r="AU141" s="91"/>
      <c r="AV141" s="92">
        <f>($AK141-AO141)</f>
        <v>100512.92139253404</v>
      </c>
      <c r="AW141" s="91"/>
      <c r="AX141" s="92">
        <f>($AK141-AQ141)</f>
        <v>144466.35999999999</v>
      </c>
      <c r="AY141" s="88"/>
      <c r="BA141" s="26">
        <f>BA63-BA140</f>
        <v>2231199</v>
      </c>
      <c r="BB141" s="91">
        <f t="shared" si="97"/>
        <v>1</v>
      </c>
      <c r="BC141" s="26">
        <f>BC63-BC140</f>
        <v>2231199</v>
      </c>
      <c r="BD141" s="91">
        <f t="shared" si="98"/>
        <v>1</v>
      </c>
      <c r="BE141" s="26">
        <f>BE63-BE140</f>
        <v>1406595.62</v>
      </c>
      <c r="BF141" s="91">
        <f t="shared" si="99"/>
        <v>0.70027725160983745</v>
      </c>
      <c r="BG141" s="91"/>
      <c r="BH141" s="92">
        <f>($BA141-BC141)</f>
        <v>0</v>
      </c>
      <c r="BI141" s="91"/>
      <c r="BJ141" s="92">
        <f>($BA141-BE141)</f>
        <v>824603.37999999989</v>
      </c>
      <c r="BK141" s="88"/>
    </row>
    <row r="142" spans="1:63" x14ac:dyDescent="0.25">
      <c r="B142" t="str">
        <f>B65</f>
        <v>#showrow</v>
      </c>
      <c r="H142" t="s">
        <v>21</v>
      </c>
      <c r="M142" s="96">
        <f>IFERROR((M63-M140)/M63,0)</f>
        <v>0.99999022064322274</v>
      </c>
      <c r="N142" s="97"/>
      <c r="O142" s="96">
        <f>IFERROR((O63-O140)/O63,0)</f>
        <v>0</v>
      </c>
      <c r="P142" s="97"/>
      <c r="Q142" s="96">
        <f>IFERROR((Q63-Q140)/Q63,0)</f>
        <v>1</v>
      </c>
      <c r="R142" s="97"/>
      <c r="S142" s="96">
        <f>IFERROR((S63-S140)/S63,0)</f>
        <v>1</v>
      </c>
      <c r="T142" s="97"/>
      <c r="U142" s="97"/>
      <c r="V142" s="98"/>
      <c r="W142" s="97"/>
      <c r="X142" s="98"/>
      <c r="Y142" s="97"/>
      <c r="Z142" s="98"/>
      <c r="AA142" s="98"/>
      <c r="AB142" s="20"/>
      <c r="AC142" s="29">
        <f>IFERROR((AC63-AC140)/AC63,0)</f>
        <v>0.99999022064322274</v>
      </c>
      <c r="AD142" s="29">
        <f>IFERROR((AD63-AD140)/AD63,0)</f>
        <v>1</v>
      </c>
      <c r="AE142" s="29">
        <f>IFERROR((AE63-AE140)/AE63,0)</f>
        <v>1</v>
      </c>
      <c r="AF142" s="99">
        <f>IFERROR((AF63-AF140)/AF63,0)</f>
        <v>4.5298488794704275</v>
      </c>
      <c r="AG142" s="100"/>
      <c r="AH142" s="100"/>
      <c r="AI142" s="100"/>
      <c r="AJ142" s="20"/>
      <c r="AK142" s="96">
        <f>IFERROR((AK63-AK140)/AK63,0)</f>
        <v>0.99999022064322274</v>
      </c>
      <c r="AL142" s="97"/>
      <c r="AM142" s="96">
        <f>IFERROR((AM63-AM140)/AM63,0)</f>
        <v>0</v>
      </c>
      <c r="AN142" s="97"/>
      <c r="AO142" s="96">
        <f>IFERROR((AO63-AO140)/AO63,0)</f>
        <v>1</v>
      </c>
      <c r="AP142" s="97"/>
      <c r="AQ142" s="96">
        <f>IFERROR((AQ63-AQ140)/AQ63,0)</f>
        <v>1</v>
      </c>
      <c r="AR142" s="97"/>
      <c r="AS142" s="97"/>
      <c r="AT142" s="98"/>
      <c r="AU142" s="97"/>
      <c r="AV142" s="98"/>
      <c r="AW142" s="97"/>
      <c r="AX142" s="98"/>
      <c r="AY142" s="98"/>
      <c r="AZ142" s="20"/>
      <c r="BA142" s="96">
        <f>IFERROR((BA63-BA140)/BA63,0)</f>
        <v>1</v>
      </c>
      <c r="BB142" s="97"/>
      <c r="BC142" s="96">
        <f>IFERROR((BC63-BC140)/BC63,0)</f>
        <v>1</v>
      </c>
      <c r="BD142" s="97"/>
      <c r="BE142" s="96">
        <f>IFERROR((BE63-BE140)/BE63,0)</f>
        <v>0.70027725160983745</v>
      </c>
      <c r="BF142" s="97"/>
      <c r="BG142" s="97"/>
      <c r="BH142" s="98"/>
      <c r="BI142" s="97"/>
      <c r="BJ142" s="98"/>
      <c r="BK142" s="98"/>
    </row>
    <row r="143" spans="1:63" x14ac:dyDescent="0.25">
      <c r="M143" s="29"/>
      <c r="N143" s="101"/>
      <c r="O143" s="29"/>
      <c r="P143" s="101"/>
      <c r="Q143" s="29"/>
      <c r="R143" s="101"/>
      <c r="S143" s="29"/>
      <c r="T143" s="101"/>
      <c r="U143" s="101"/>
      <c r="V143" s="100"/>
      <c r="W143" s="101"/>
      <c r="X143" s="100"/>
      <c r="Y143" s="101"/>
      <c r="Z143" s="100"/>
      <c r="AA143" s="100"/>
      <c r="AB143" s="20"/>
      <c r="AC143" s="29"/>
      <c r="AD143" s="29"/>
      <c r="AE143" s="29"/>
      <c r="AF143" s="99"/>
      <c r="AG143" s="100"/>
      <c r="AH143" s="100"/>
      <c r="AI143" s="100"/>
      <c r="AJ143" s="20"/>
      <c r="AK143" s="29"/>
      <c r="AL143" s="101"/>
      <c r="AM143" s="29"/>
      <c r="AN143" s="101"/>
      <c r="AO143" s="29"/>
      <c r="AP143" s="101"/>
      <c r="AQ143" s="29"/>
      <c r="AR143" s="101"/>
      <c r="AS143" s="101"/>
      <c r="AT143" s="100"/>
      <c r="AU143" s="101"/>
      <c r="AV143" s="100"/>
      <c r="AW143" s="101"/>
      <c r="AX143" s="100"/>
      <c r="AY143" s="100"/>
      <c r="AZ143" s="20"/>
      <c r="BA143" s="29"/>
      <c r="BB143" s="101"/>
      <c r="BC143" s="29"/>
      <c r="BD143" s="101"/>
      <c r="BE143" s="29"/>
      <c r="BF143" s="101"/>
      <c r="BG143" s="101"/>
      <c r="BH143" s="100"/>
      <c r="BI143" s="101"/>
      <c r="BJ143" s="100"/>
      <c r="BK143" s="100"/>
    </row>
    <row r="144" spans="1:63" ht="12.45" thickBot="1" x14ac:dyDescent="0.3">
      <c r="B144" t="str">
        <f>IF(COUNTBLANK(B145:B321)&gt;0,"#showrow","#hiderow")</f>
        <v>#showrow</v>
      </c>
      <c r="E144" s="4"/>
      <c r="F144" s="4"/>
      <c r="G144" s="4"/>
      <c r="H144" s="4" t="s">
        <v>2</v>
      </c>
      <c r="I144" s="4"/>
      <c r="J144" s="5"/>
      <c r="K144" s="5"/>
      <c r="L144" s="5"/>
      <c r="M144" s="5"/>
      <c r="N144" s="74"/>
      <c r="O144" s="5"/>
      <c r="P144" s="74"/>
      <c r="Q144" s="5"/>
      <c r="R144" s="74"/>
      <c r="S144" s="5"/>
      <c r="T144" s="74"/>
      <c r="U144" s="74"/>
      <c r="V144" s="75"/>
      <c r="W144" s="74"/>
      <c r="X144" s="75"/>
      <c r="Y144" s="74"/>
      <c r="Z144" s="75"/>
      <c r="AA144" s="76"/>
      <c r="AC144" s="5"/>
      <c r="AD144" s="5"/>
      <c r="AE144" s="5"/>
      <c r="AF144" s="77"/>
      <c r="AG144" s="75"/>
      <c r="AH144" s="77"/>
      <c r="AI144" s="75"/>
      <c r="AK144" s="5"/>
      <c r="AL144" s="74"/>
      <c r="AM144" s="5"/>
      <c r="AN144" s="74"/>
      <c r="AO144" s="5"/>
      <c r="AP144" s="74"/>
      <c r="AQ144" s="5"/>
      <c r="AR144" s="74"/>
      <c r="AS144" s="74"/>
      <c r="AT144" s="75"/>
      <c r="AU144" s="74"/>
      <c r="AV144" s="75"/>
      <c r="AW144" s="74"/>
      <c r="AX144" s="75"/>
      <c r="AY144" s="76"/>
      <c r="BA144" s="5"/>
      <c r="BB144" s="74"/>
      <c r="BC144" s="5"/>
      <c r="BD144" s="74"/>
      <c r="BE144" s="5"/>
      <c r="BF144" s="74"/>
      <c r="BG144" s="74"/>
      <c r="BH144" s="75"/>
      <c r="BI144" s="74"/>
      <c r="BJ144" s="75"/>
      <c r="BK144" s="76"/>
    </row>
    <row r="145" spans="2:63" ht="11.95" hidden="1" thickBot="1" x14ac:dyDescent="0.3">
      <c r="B145" t="s">
        <v>1</v>
      </c>
      <c r="E145" s="3"/>
      <c r="F145" s="3"/>
      <c r="G145" s="3"/>
      <c r="H145" s="3" t="s">
        <v>6</v>
      </c>
      <c r="I145" s="18"/>
      <c r="J145" s="18"/>
      <c r="K145" s="18"/>
      <c r="L145" s="78"/>
      <c r="M145" s="79"/>
      <c r="N145" s="80">
        <f t="shared" ref="N145:N176" si="120">IFERROR(M145/SUMIFS(M:M, $H:$H, "[+] Net Sales"),0)</f>
        <v>0</v>
      </c>
      <c r="O145" s="79"/>
      <c r="P145" s="80">
        <f t="shared" ref="P145:P176" si="121">IFERROR(O145/SUMIFS(O:O, $H:$H, "[+] Net Sales"),0)</f>
        <v>0</v>
      </c>
      <c r="Q145" s="79"/>
      <c r="R145" s="80">
        <f t="shared" ref="R145:R176" si="122">IFERROR(Q145/SUMIFS(Q:Q, $H:$H, "[+] Net Sales"),0)</f>
        <v>0</v>
      </c>
      <c r="S145" s="79"/>
      <c r="T145" s="81">
        <f t="shared" ref="T145:T176" si="123">IFERROR(S145/SUMIFS(S:S, $H:$H, "[+] Net Sales"),0)</f>
        <v>0</v>
      </c>
      <c r="U145" s="80">
        <f t="shared" ref="U145" si="124">IFERROR(($O145-M145)/ABS(M145),0)</f>
        <v>0</v>
      </c>
      <c r="V145" s="70">
        <f t="shared" ref="V145" si="125">IFERROR((O145-$M145), 0-$M145)</f>
        <v>0</v>
      </c>
      <c r="W145" s="80">
        <f t="shared" ref="W145" si="126">IFERROR((Q145-$M145)/ABS($M145),0)</f>
        <v>0</v>
      </c>
      <c r="X145" s="70">
        <f t="shared" ref="X145" si="127">IFERROR((Q145-$M145), 0 -$M145)</f>
        <v>0</v>
      </c>
      <c r="Y145" s="80">
        <f t="shared" ref="Y145" si="128">IFERROR((S145-$M145)/ABS($M145),0)</f>
        <v>0</v>
      </c>
      <c r="Z145" s="70">
        <f t="shared" ref="Z145" si="129">IFERROR((S145-$M145),0-$M145)</f>
        <v>0</v>
      </c>
      <c r="AA145" s="82"/>
      <c r="AC145" s="79"/>
      <c r="AD145" s="79"/>
      <c r="AE145" s="79"/>
      <c r="AF145" s="83">
        <f>IFERROR((AD145-$AC145)/ABS($AC145),0)</f>
        <v>0</v>
      </c>
      <c r="AG145" s="70">
        <f>(AD145-$AC145)</f>
        <v>0</v>
      </c>
      <c r="AH145" s="83">
        <f>IFERROR((AE145-$AC145)/ABS($AC145),0)</f>
        <v>0</v>
      </c>
      <c r="AI145" s="70">
        <f>(AE145-$AC145)</f>
        <v>0</v>
      </c>
      <c r="AK145" s="79"/>
      <c r="AL145" s="80">
        <f t="shared" ref="AL145:AL176" si="130">IFERROR(AK145/SUMIFS(AK:AK, $H:$H, "[+] Net Sales"),0)</f>
        <v>0</v>
      </c>
      <c r="AM145" s="79"/>
      <c r="AN145" s="80">
        <f t="shared" ref="AN145:AN176" si="131">IFERROR(AM145/SUMIFS(AM:AM, $H:$H, "[+] Net Sales"),0)</f>
        <v>0</v>
      </c>
      <c r="AO145" s="79"/>
      <c r="AP145" s="80">
        <f t="shared" ref="AP145:AP176" si="132">IFERROR(AO145/SUMIFS(AO:AO, $H:$H, "[+] Net Sales"),0)</f>
        <v>0</v>
      </c>
      <c r="AQ145" s="79"/>
      <c r="AR145" s="81">
        <f t="shared" ref="AR145:AR176" si="133">IFERROR(AQ145/SUMIFS(AQ:AQ, $H:$H, "[+] Net Sales"),0)</f>
        <v>0</v>
      </c>
      <c r="AS145" s="80">
        <f t="shared" ref="AS145" si="134">IFERROR((AM145-$AK145)/ABS($AK145),0)</f>
        <v>0</v>
      </c>
      <c r="AT145" s="70">
        <f t="shared" ref="AT145" si="135">(AM145-$AK145)</f>
        <v>0</v>
      </c>
      <c r="AU145" s="80">
        <f t="shared" ref="AU145" si="136">IFERROR((AO145-$AK145)/ABS($AO145),0)</f>
        <v>0</v>
      </c>
      <c r="AV145" s="70">
        <f t="shared" ref="AV145" si="137">(AO145-$AK145)</f>
        <v>0</v>
      </c>
      <c r="AW145" s="80">
        <f t="shared" ref="AW145" si="138">IFERROR((AQ145-$AK145)/ABS($AK145),0)</f>
        <v>0</v>
      </c>
      <c r="AX145" s="70">
        <f t="shared" ref="AX145" si="139">(AQ145-$AK145)</f>
        <v>0</v>
      </c>
      <c r="AY145" s="82"/>
      <c r="BA145" s="79"/>
      <c r="BB145" s="80">
        <f t="shared" ref="BB145:BB176" si="140">IFERROR(BA145/SUMIFS(BA:BA, $H:$H, "[+] Net Sales"),0)</f>
        <v>0</v>
      </c>
      <c r="BC145" s="79"/>
      <c r="BD145" s="80">
        <f t="shared" ref="BD145:BD176" si="141">IFERROR(BC145/SUMIFS(BC:BC, $H:$H, "[+] Net Sales"),0)</f>
        <v>0</v>
      </c>
      <c r="BE145" s="79"/>
      <c r="BF145" s="81">
        <f t="shared" ref="BF145:BF176" si="142">IFERROR(BE145/SUMIFS(BE:BE, $H:$H, "[+] Net Sales"),0)</f>
        <v>0</v>
      </c>
      <c r="BG145" s="80">
        <f t="shared" ref="BG145" si="143">IFERROR((BC145-$BA145)/ABS($BA145),0)</f>
        <v>0</v>
      </c>
      <c r="BH145" s="70">
        <f t="shared" ref="BH145" si="144">(BC145-$BA145)</f>
        <v>0</v>
      </c>
      <c r="BI145" s="80">
        <f t="shared" ref="BI145" si="145">IFERROR((BE145-$BA145)/ABS($BA145),0)</f>
        <v>0</v>
      </c>
      <c r="BJ145" s="70">
        <f t="shared" ref="BJ145" si="146">(BE145-$BA145)</f>
        <v>0</v>
      </c>
      <c r="BK145" s="82"/>
    </row>
    <row r="146" spans="2:63" ht="11.95" thickBot="1" x14ac:dyDescent="0.3">
      <c r="E146" s="3"/>
      <c r="F146" s="3"/>
      <c r="G146" s="3"/>
      <c r="H146" s="3" t="s">
        <v>196</v>
      </c>
      <c r="I146" s="18"/>
      <c r="J146" s="18"/>
      <c r="K146" s="18"/>
      <c r="L146" s="78"/>
      <c r="M146" s="79">
        <v>437290.14</v>
      </c>
      <c r="N146" s="80">
        <f t="shared" si="120"/>
        <v>0.66819004596863052</v>
      </c>
      <c r="O146" s="79">
        <v>0</v>
      </c>
      <c r="P146" s="80">
        <f t="shared" si="121"/>
        <v>0</v>
      </c>
      <c r="Q146" s="79">
        <v>500895.530316666</v>
      </c>
      <c r="R146" s="80">
        <f t="shared" si="122"/>
        <v>0.90427340528030242</v>
      </c>
      <c r="S146" s="79">
        <v>451591.78</v>
      </c>
      <c r="T146" s="81">
        <f t="shared" si="123"/>
        <v>0.88553136015602263</v>
      </c>
      <c r="U146" s="80">
        <f t="shared" ref="U146:U209" si="147">IFERROR(($O146-M146)/ABS(M146),0)</f>
        <v>-1</v>
      </c>
      <c r="V146" s="70">
        <f t="shared" ref="V146:V209" si="148">IFERROR((O146-$M146), 0-$M146)</f>
        <v>-437290.14</v>
      </c>
      <c r="W146" s="80">
        <f t="shared" ref="W146:W209" si="149">IFERROR((Q146-$M146)/ABS($M146),0)</f>
        <v>0.14545352043992116</v>
      </c>
      <c r="X146" s="70">
        <f t="shared" ref="X146:X209" si="150">IFERROR((Q146-$M146), 0 -$M146)</f>
        <v>63605.390316665987</v>
      </c>
      <c r="Y146" s="80">
        <f t="shared" ref="Y146:Y209" si="151">IFERROR((S146-$M146)/ABS($M146),0)</f>
        <v>3.2705150863909287E-2</v>
      </c>
      <c r="Z146" s="70">
        <f t="shared" ref="Z146:Z209" si="152">IFERROR((S146-$M146),0-$M146)</f>
        <v>14301.640000000014</v>
      </c>
      <c r="AA146" s="82"/>
      <c r="AC146" s="79">
        <v>437290.14</v>
      </c>
      <c r="AD146" s="79">
        <v>451591.78</v>
      </c>
      <c r="AE146" s="79">
        <v>500895.530316666</v>
      </c>
      <c r="AF146" s="83">
        <f t="shared" ref="AF146:AF209" si="153">IFERROR((AD146-$AC146)/ABS($AC146),0)</f>
        <v>3.2705150863909287E-2</v>
      </c>
      <c r="AG146" s="70">
        <f t="shared" ref="AG146:AG209" si="154">(AD146-$AC146)</f>
        <v>14301.640000000014</v>
      </c>
      <c r="AH146" s="83">
        <f t="shared" ref="AH146:AH209" si="155">IFERROR((AE146-$AC146)/ABS($AC146),0)</f>
        <v>0.14545352043992116</v>
      </c>
      <c r="AI146" s="70">
        <f t="shared" ref="AI146:AI209" si="156">(AE146-$AC146)</f>
        <v>63605.390316665987</v>
      </c>
      <c r="AK146" s="79">
        <v>437290.14</v>
      </c>
      <c r="AL146" s="80">
        <f t="shared" si="130"/>
        <v>0.66819004596863052</v>
      </c>
      <c r="AM146" s="79">
        <v>0</v>
      </c>
      <c r="AN146" s="80">
        <f t="shared" si="131"/>
        <v>0</v>
      </c>
      <c r="AO146" s="79">
        <v>500895.530316666</v>
      </c>
      <c r="AP146" s="80">
        <f t="shared" si="132"/>
        <v>0.90427340528030242</v>
      </c>
      <c r="AQ146" s="79">
        <v>451591.78</v>
      </c>
      <c r="AR146" s="81">
        <f t="shared" si="133"/>
        <v>0.88553136015602263</v>
      </c>
      <c r="AS146" s="80">
        <f t="shared" ref="AS146:AS209" si="157">IFERROR((AM146-$AK146)/ABS($AK146),0)</f>
        <v>-1</v>
      </c>
      <c r="AT146" s="70">
        <f t="shared" ref="AT146:AT209" si="158">(AM146-$AK146)</f>
        <v>-437290.14</v>
      </c>
      <c r="AU146" s="80">
        <f t="shared" ref="AU146:AU209" si="159">IFERROR((AO146-$AK146)/ABS($AO146),0)</f>
        <v>0.12698334576164949</v>
      </c>
      <c r="AV146" s="70">
        <f t="shared" ref="AV146:AV209" si="160">(AO146-$AK146)</f>
        <v>63605.390316665987</v>
      </c>
      <c r="AW146" s="80">
        <f t="shared" ref="AW146:AW209" si="161">IFERROR((AQ146-$AK146)/ABS($AK146),0)</f>
        <v>3.2705150863909287E-2</v>
      </c>
      <c r="AX146" s="70">
        <f t="shared" ref="AX146:AX209" si="162">(AQ146-$AK146)</f>
        <v>14301.640000000014</v>
      </c>
      <c r="AY146" s="82"/>
      <c r="BA146" s="79">
        <v>1701528</v>
      </c>
      <c r="BB146" s="80">
        <f t="shared" si="140"/>
        <v>0.76260701084932359</v>
      </c>
      <c r="BC146" s="79">
        <v>1701528</v>
      </c>
      <c r="BD146" s="80">
        <f t="shared" si="141"/>
        <v>0.76260701084932359</v>
      </c>
      <c r="BE146" s="79">
        <v>2597341.08</v>
      </c>
      <c r="BF146" s="81">
        <f t="shared" si="142"/>
        <v>1.2930929452174229</v>
      </c>
      <c r="BG146" s="80">
        <f t="shared" ref="BG146:BG209" si="163">IFERROR((BC146-$BA146)/ABS($BA146),0)</f>
        <v>0</v>
      </c>
      <c r="BH146" s="70">
        <f t="shared" ref="BH146:BH209" si="164">(BC146-$BA146)</f>
        <v>0</v>
      </c>
      <c r="BI146" s="80">
        <f t="shared" ref="BI146:BI209" si="165">IFERROR((BE146-$BA146)/ABS($BA146),0)</f>
        <v>0.52647566187567885</v>
      </c>
      <c r="BJ146" s="70">
        <f t="shared" ref="BJ146:BJ209" si="166">(BE146-$BA146)</f>
        <v>895813.08000000007</v>
      </c>
      <c r="BK146" s="82"/>
    </row>
    <row r="147" spans="2:63" ht="11.95" thickBot="1" x14ac:dyDescent="0.3">
      <c r="E147" s="3"/>
      <c r="F147" s="3"/>
      <c r="G147" s="3"/>
      <c r="H147" s="3" t="s">
        <v>197</v>
      </c>
      <c r="I147" s="18"/>
      <c r="J147" s="18"/>
      <c r="K147" s="18"/>
      <c r="L147" s="78"/>
      <c r="M147" s="79">
        <v>0</v>
      </c>
      <c r="N147" s="80">
        <f t="shared" si="120"/>
        <v>0</v>
      </c>
      <c r="O147" s="79">
        <v>0</v>
      </c>
      <c r="P147" s="80">
        <f t="shared" si="121"/>
        <v>0</v>
      </c>
      <c r="Q147" s="79">
        <v>0</v>
      </c>
      <c r="R147" s="80">
        <f t="shared" si="122"/>
        <v>0</v>
      </c>
      <c r="S147" s="79">
        <v>0</v>
      </c>
      <c r="T147" s="81">
        <f t="shared" si="123"/>
        <v>0</v>
      </c>
      <c r="U147" s="80">
        <f t="shared" si="147"/>
        <v>0</v>
      </c>
      <c r="V147" s="70">
        <f t="shared" si="148"/>
        <v>0</v>
      </c>
      <c r="W147" s="80">
        <f t="shared" si="149"/>
        <v>0</v>
      </c>
      <c r="X147" s="70">
        <f t="shared" si="150"/>
        <v>0</v>
      </c>
      <c r="Y147" s="80">
        <f t="shared" si="151"/>
        <v>0</v>
      </c>
      <c r="Z147" s="70">
        <f t="shared" si="152"/>
        <v>0</v>
      </c>
      <c r="AA147" s="82"/>
      <c r="AC147" s="79">
        <v>0</v>
      </c>
      <c r="AD147" s="79">
        <v>0</v>
      </c>
      <c r="AE147" s="79">
        <v>0</v>
      </c>
      <c r="AF147" s="83">
        <f t="shared" si="153"/>
        <v>0</v>
      </c>
      <c r="AG147" s="70">
        <f t="shared" si="154"/>
        <v>0</v>
      </c>
      <c r="AH147" s="83">
        <f t="shared" si="155"/>
        <v>0</v>
      </c>
      <c r="AI147" s="70">
        <f t="shared" si="156"/>
        <v>0</v>
      </c>
      <c r="AK147" s="79">
        <v>0</v>
      </c>
      <c r="AL147" s="80">
        <f t="shared" si="130"/>
        <v>0</v>
      </c>
      <c r="AM147" s="79">
        <v>0</v>
      </c>
      <c r="AN147" s="80">
        <f t="shared" si="131"/>
        <v>0</v>
      </c>
      <c r="AO147" s="79">
        <v>0</v>
      </c>
      <c r="AP147" s="80">
        <f t="shared" si="132"/>
        <v>0</v>
      </c>
      <c r="AQ147" s="79">
        <v>0</v>
      </c>
      <c r="AR147" s="81">
        <f t="shared" si="133"/>
        <v>0</v>
      </c>
      <c r="AS147" s="80">
        <f t="shared" si="157"/>
        <v>0</v>
      </c>
      <c r="AT147" s="70">
        <f t="shared" si="158"/>
        <v>0</v>
      </c>
      <c r="AU147" s="80">
        <f t="shared" si="159"/>
        <v>0</v>
      </c>
      <c r="AV147" s="70">
        <f t="shared" si="160"/>
        <v>0</v>
      </c>
      <c r="AW147" s="80">
        <f t="shared" si="161"/>
        <v>0</v>
      </c>
      <c r="AX147" s="70">
        <f t="shared" si="162"/>
        <v>0</v>
      </c>
      <c r="AY147" s="82"/>
      <c r="BA147" s="79">
        <v>0</v>
      </c>
      <c r="BB147" s="80">
        <f t="shared" si="140"/>
        <v>0</v>
      </c>
      <c r="BC147" s="79">
        <v>0</v>
      </c>
      <c r="BD147" s="80">
        <f t="shared" si="141"/>
        <v>0</v>
      </c>
      <c r="BE147" s="79">
        <v>260198.37</v>
      </c>
      <c r="BF147" s="81">
        <f t="shared" si="142"/>
        <v>0.12954042855398595</v>
      </c>
      <c r="BG147" s="80">
        <f t="shared" si="163"/>
        <v>0</v>
      </c>
      <c r="BH147" s="70">
        <f t="shared" si="164"/>
        <v>0</v>
      </c>
      <c r="BI147" s="80">
        <f t="shared" si="165"/>
        <v>0</v>
      </c>
      <c r="BJ147" s="70">
        <f t="shared" si="166"/>
        <v>260198.37</v>
      </c>
      <c r="BK147" s="82"/>
    </row>
    <row r="148" spans="2:63" ht="11.95" thickBot="1" x14ac:dyDescent="0.3">
      <c r="E148" s="3"/>
      <c r="F148" s="3"/>
      <c r="G148" s="3"/>
      <c r="H148" s="3" t="s">
        <v>198</v>
      </c>
      <c r="I148" s="18"/>
      <c r="J148" s="18"/>
      <c r="K148" s="18"/>
      <c r="L148" s="78"/>
      <c r="M148" s="79"/>
      <c r="N148" s="80">
        <f t="shared" si="120"/>
        <v>0</v>
      </c>
      <c r="O148" s="79"/>
      <c r="P148" s="80">
        <f t="shared" si="121"/>
        <v>0</v>
      </c>
      <c r="Q148" s="79"/>
      <c r="R148" s="80">
        <f t="shared" si="122"/>
        <v>0</v>
      </c>
      <c r="S148" s="79"/>
      <c r="T148" s="81">
        <f t="shared" si="123"/>
        <v>0</v>
      </c>
      <c r="U148" s="80">
        <f t="shared" si="147"/>
        <v>0</v>
      </c>
      <c r="V148" s="70">
        <f t="shared" si="148"/>
        <v>0</v>
      </c>
      <c r="W148" s="80">
        <f t="shared" si="149"/>
        <v>0</v>
      </c>
      <c r="X148" s="70">
        <f t="shared" si="150"/>
        <v>0</v>
      </c>
      <c r="Y148" s="80">
        <f t="shared" si="151"/>
        <v>0</v>
      </c>
      <c r="Z148" s="70">
        <f t="shared" si="152"/>
        <v>0</v>
      </c>
      <c r="AA148" s="82"/>
      <c r="AC148" s="79">
        <v>0</v>
      </c>
      <c r="AD148" s="79">
        <v>0</v>
      </c>
      <c r="AE148" s="79">
        <v>0</v>
      </c>
      <c r="AF148" s="83">
        <f t="shared" si="153"/>
        <v>0</v>
      </c>
      <c r="AG148" s="70">
        <f t="shared" si="154"/>
        <v>0</v>
      </c>
      <c r="AH148" s="83">
        <f t="shared" si="155"/>
        <v>0</v>
      </c>
      <c r="AI148" s="70">
        <f t="shared" si="156"/>
        <v>0</v>
      </c>
      <c r="AK148" s="79">
        <v>0</v>
      </c>
      <c r="AL148" s="80">
        <f t="shared" si="130"/>
        <v>0</v>
      </c>
      <c r="AM148" s="79">
        <v>0</v>
      </c>
      <c r="AN148" s="80">
        <f t="shared" si="131"/>
        <v>0</v>
      </c>
      <c r="AO148" s="79">
        <v>0</v>
      </c>
      <c r="AP148" s="80">
        <f t="shared" si="132"/>
        <v>0</v>
      </c>
      <c r="AQ148" s="79">
        <v>0</v>
      </c>
      <c r="AR148" s="81">
        <f t="shared" si="133"/>
        <v>0</v>
      </c>
      <c r="AS148" s="80">
        <f t="shared" si="157"/>
        <v>0</v>
      </c>
      <c r="AT148" s="70">
        <f t="shared" si="158"/>
        <v>0</v>
      </c>
      <c r="AU148" s="80">
        <f t="shared" si="159"/>
        <v>0</v>
      </c>
      <c r="AV148" s="70">
        <f t="shared" si="160"/>
        <v>0</v>
      </c>
      <c r="AW148" s="80">
        <f t="shared" si="161"/>
        <v>0</v>
      </c>
      <c r="AX148" s="70">
        <f t="shared" si="162"/>
        <v>0</v>
      </c>
      <c r="AY148" s="82"/>
      <c r="BA148" s="79">
        <v>0</v>
      </c>
      <c r="BB148" s="80">
        <f t="shared" si="140"/>
        <v>0</v>
      </c>
      <c r="BC148" s="79">
        <v>0</v>
      </c>
      <c r="BD148" s="80">
        <f t="shared" si="141"/>
        <v>0</v>
      </c>
      <c r="BE148" s="79">
        <v>0</v>
      </c>
      <c r="BF148" s="81">
        <f t="shared" si="142"/>
        <v>0</v>
      </c>
      <c r="BG148" s="80">
        <f t="shared" si="163"/>
        <v>0</v>
      </c>
      <c r="BH148" s="70">
        <f t="shared" si="164"/>
        <v>0</v>
      </c>
      <c r="BI148" s="80">
        <f t="shared" si="165"/>
        <v>0</v>
      </c>
      <c r="BJ148" s="70">
        <f t="shared" si="166"/>
        <v>0</v>
      </c>
      <c r="BK148" s="82"/>
    </row>
    <row r="149" spans="2:63" ht="11.95" thickBot="1" x14ac:dyDescent="0.3">
      <c r="E149" s="3"/>
      <c r="F149" s="3"/>
      <c r="G149" s="3"/>
      <c r="H149" s="3" t="s">
        <v>199</v>
      </c>
      <c r="I149" s="18"/>
      <c r="J149" s="18"/>
      <c r="K149" s="18"/>
      <c r="L149" s="78"/>
      <c r="M149" s="79"/>
      <c r="N149" s="80">
        <f t="shared" si="120"/>
        <v>0</v>
      </c>
      <c r="O149" s="79"/>
      <c r="P149" s="80">
        <f t="shared" si="121"/>
        <v>0</v>
      </c>
      <c r="Q149" s="79"/>
      <c r="R149" s="80">
        <f t="shared" si="122"/>
        <v>0</v>
      </c>
      <c r="S149" s="79"/>
      <c r="T149" s="81">
        <f t="shared" si="123"/>
        <v>0</v>
      </c>
      <c r="U149" s="80">
        <f t="shared" si="147"/>
        <v>0</v>
      </c>
      <c r="V149" s="70">
        <f t="shared" si="148"/>
        <v>0</v>
      </c>
      <c r="W149" s="80">
        <f t="shared" si="149"/>
        <v>0</v>
      </c>
      <c r="X149" s="70">
        <f t="shared" si="150"/>
        <v>0</v>
      </c>
      <c r="Y149" s="80">
        <f t="shared" si="151"/>
        <v>0</v>
      </c>
      <c r="Z149" s="70">
        <f t="shared" si="152"/>
        <v>0</v>
      </c>
      <c r="AA149" s="82"/>
      <c r="AC149" s="79">
        <v>0</v>
      </c>
      <c r="AD149" s="79">
        <v>0</v>
      </c>
      <c r="AE149" s="79">
        <v>0</v>
      </c>
      <c r="AF149" s="83">
        <f t="shared" si="153"/>
        <v>0</v>
      </c>
      <c r="AG149" s="70">
        <f t="shared" si="154"/>
        <v>0</v>
      </c>
      <c r="AH149" s="83">
        <f t="shared" si="155"/>
        <v>0</v>
      </c>
      <c r="AI149" s="70">
        <f t="shared" si="156"/>
        <v>0</v>
      </c>
      <c r="AK149" s="79">
        <v>0</v>
      </c>
      <c r="AL149" s="80">
        <f t="shared" si="130"/>
        <v>0</v>
      </c>
      <c r="AM149" s="79">
        <v>0</v>
      </c>
      <c r="AN149" s="80">
        <f t="shared" si="131"/>
        <v>0</v>
      </c>
      <c r="AO149" s="79">
        <v>0</v>
      </c>
      <c r="AP149" s="80">
        <f t="shared" si="132"/>
        <v>0</v>
      </c>
      <c r="AQ149" s="79">
        <v>0</v>
      </c>
      <c r="AR149" s="81">
        <f t="shared" si="133"/>
        <v>0</v>
      </c>
      <c r="AS149" s="80">
        <f t="shared" si="157"/>
        <v>0</v>
      </c>
      <c r="AT149" s="70">
        <f t="shared" si="158"/>
        <v>0</v>
      </c>
      <c r="AU149" s="80">
        <f t="shared" si="159"/>
        <v>0</v>
      </c>
      <c r="AV149" s="70">
        <f t="shared" si="160"/>
        <v>0</v>
      </c>
      <c r="AW149" s="80">
        <f t="shared" si="161"/>
        <v>0</v>
      </c>
      <c r="AX149" s="70">
        <f t="shared" si="162"/>
        <v>0</v>
      </c>
      <c r="AY149" s="82"/>
      <c r="BA149" s="79">
        <v>0</v>
      </c>
      <c r="BB149" s="80">
        <f t="shared" si="140"/>
        <v>0</v>
      </c>
      <c r="BC149" s="79">
        <v>0</v>
      </c>
      <c r="BD149" s="80">
        <f t="shared" si="141"/>
        <v>0</v>
      </c>
      <c r="BE149" s="79">
        <v>0</v>
      </c>
      <c r="BF149" s="81">
        <f t="shared" si="142"/>
        <v>0</v>
      </c>
      <c r="BG149" s="80">
        <f t="shared" si="163"/>
        <v>0</v>
      </c>
      <c r="BH149" s="70">
        <f t="shared" si="164"/>
        <v>0</v>
      </c>
      <c r="BI149" s="80">
        <f t="shared" si="165"/>
        <v>0</v>
      </c>
      <c r="BJ149" s="70">
        <f t="shared" si="166"/>
        <v>0</v>
      </c>
      <c r="BK149" s="82"/>
    </row>
    <row r="150" spans="2:63" ht="11.95" thickBot="1" x14ac:dyDescent="0.3">
      <c r="E150" s="3"/>
      <c r="F150" s="3"/>
      <c r="G150" s="3"/>
      <c r="H150" s="3" t="s">
        <v>200</v>
      </c>
      <c r="I150" s="18"/>
      <c r="J150" s="18"/>
      <c r="K150" s="18"/>
      <c r="L150" s="78"/>
      <c r="M150" s="79"/>
      <c r="N150" s="80">
        <f t="shared" si="120"/>
        <v>0</v>
      </c>
      <c r="O150" s="79"/>
      <c r="P150" s="80">
        <f t="shared" si="121"/>
        <v>0</v>
      </c>
      <c r="Q150" s="79"/>
      <c r="R150" s="80">
        <f t="shared" si="122"/>
        <v>0</v>
      </c>
      <c r="S150" s="79"/>
      <c r="T150" s="81">
        <f t="shared" si="123"/>
        <v>0</v>
      </c>
      <c r="U150" s="80">
        <f t="shared" si="147"/>
        <v>0</v>
      </c>
      <c r="V150" s="70">
        <f t="shared" si="148"/>
        <v>0</v>
      </c>
      <c r="W150" s="80">
        <f t="shared" si="149"/>
        <v>0</v>
      </c>
      <c r="X150" s="70">
        <f t="shared" si="150"/>
        <v>0</v>
      </c>
      <c r="Y150" s="80">
        <f t="shared" si="151"/>
        <v>0</v>
      </c>
      <c r="Z150" s="70">
        <f t="shared" si="152"/>
        <v>0</v>
      </c>
      <c r="AA150" s="82"/>
      <c r="AC150" s="79">
        <v>0</v>
      </c>
      <c r="AD150" s="79">
        <v>0</v>
      </c>
      <c r="AE150" s="79">
        <v>0</v>
      </c>
      <c r="AF150" s="83">
        <f t="shared" si="153"/>
        <v>0</v>
      </c>
      <c r="AG150" s="70">
        <f t="shared" si="154"/>
        <v>0</v>
      </c>
      <c r="AH150" s="83">
        <f t="shared" si="155"/>
        <v>0</v>
      </c>
      <c r="AI150" s="70">
        <f t="shared" si="156"/>
        <v>0</v>
      </c>
      <c r="AK150" s="79">
        <v>0</v>
      </c>
      <c r="AL150" s="80">
        <f t="shared" si="130"/>
        <v>0</v>
      </c>
      <c r="AM150" s="79">
        <v>0</v>
      </c>
      <c r="AN150" s="80">
        <f t="shared" si="131"/>
        <v>0</v>
      </c>
      <c r="AO150" s="79">
        <v>0</v>
      </c>
      <c r="AP150" s="80">
        <f t="shared" si="132"/>
        <v>0</v>
      </c>
      <c r="AQ150" s="79">
        <v>0</v>
      </c>
      <c r="AR150" s="81">
        <f t="shared" si="133"/>
        <v>0</v>
      </c>
      <c r="AS150" s="80">
        <f t="shared" si="157"/>
        <v>0</v>
      </c>
      <c r="AT150" s="70">
        <f t="shared" si="158"/>
        <v>0</v>
      </c>
      <c r="AU150" s="80">
        <f t="shared" si="159"/>
        <v>0</v>
      </c>
      <c r="AV150" s="70">
        <f t="shared" si="160"/>
        <v>0</v>
      </c>
      <c r="AW150" s="80">
        <f t="shared" si="161"/>
        <v>0</v>
      </c>
      <c r="AX150" s="70">
        <f t="shared" si="162"/>
        <v>0</v>
      </c>
      <c r="AY150" s="82"/>
      <c r="BA150" s="79">
        <v>0</v>
      </c>
      <c r="BB150" s="80">
        <f t="shared" si="140"/>
        <v>0</v>
      </c>
      <c r="BC150" s="79">
        <v>0</v>
      </c>
      <c r="BD150" s="80">
        <f t="shared" si="141"/>
        <v>0</v>
      </c>
      <c r="BE150" s="79">
        <v>204402.92</v>
      </c>
      <c r="BF150" s="81">
        <f t="shared" si="142"/>
        <v>0.1017625200899072</v>
      </c>
      <c r="BG150" s="80">
        <f t="shared" si="163"/>
        <v>0</v>
      </c>
      <c r="BH150" s="70">
        <f t="shared" si="164"/>
        <v>0</v>
      </c>
      <c r="BI150" s="80">
        <f t="shared" si="165"/>
        <v>0</v>
      </c>
      <c r="BJ150" s="70">
        <f t="shared" si="166"/>
        <v>204402.92</v>
      </c>
      <c r="BK150" s="82"/>
    </row>
    <row r="151" spans="2:63" ht="11.95" thickBot="1" x14ac:dyDescent="0.3">
      <c r="E151" s="3"/>
      <c r="F151" s="3"/>
      <c r="G151" s="3"/>
      <c r="H151" s="3" t="s">
        <v>201</v>
      </c>
      <c r="I151" s="18"/>
      <c r="J151" s="18"/>
      <c r="K151" s="18"/>
      <c r="L151" s="78"/>
      <c r="M151" s="79"/>
      <c r="N151" s="80">
        <f t="shared" si="120"/>
        <v>0</v>
      </c>
      <c r="O151" s="79"/>
      <c r="P151" s="80">
        <f t="shared" si="121"/>
        <v>0</v>
      </c>
      <c r="Q151" s="79"/>
      <c r="R151" s="80">
        <f t="shared" si="122"/>
        <v>0</v>
      </c>
      <c r="S151" s="79"/>
      <c r="T151" s="81">
        <f t="shared" si="123"/>
        <v>0</v>
      </c>
      <c r="U151" s="80">
        <f t="shared" si="147"/>
        <v>0</v>
      </c>
      <c r="V151" s="70">
        <f t="shared" si="148"/>
        <v>0</v>
      </c>
      <c r="W151" s="80">
        <f t="shared" si="149"/>
        <v>0</v>
      </c>
      <c r="X151" s="70">
        <f t="shared" si="150"/>
        <v>0</v>
      </c>
      <c r="Y151" s="80">
        <f t="shared" si="151"/>
        <v>0</v>
      </c>
      <c r="Z151" s="70">
        <f t="shared" si="152"/>
        <v>0</v>
      </c>
      <c r="AA151" s="82"/>
      <c r="AC151" s="79">
        <v>0</v>
      </c>
      <c r="AD151" s="79">
        <v>0</v>
      </c>
      <c r="AE151" s="79">
        <v>0</v>
      </c>
      <c r="AF151" s="83">
        <f t="shared" si="153"/>
        <v>0</v>
      </c>
      <c r="AG151" s="70">
        <f t="shared" si="154"/>
        <v>0</v>
      </c>
      <c r="AH151" s="83">
        <f t="shared" si="155"/>
        <v>0</v>
      </c>
      <c r="AI151" s="70">
        <f t="shared" si="156"/>
        <v>0</v>
      </c>
      <c r="AK151" s="79">
        <v>0</v>
      </c>
      <c r="AL151" s="80">
        <f t="shared" si="130"/>
        <v>0</v>
      </c>
      <c r="AM151" s="79">
        <v>0</v>
      </c>
      <c r="AN151" s="80">
        <f t="shared" si="131"/>
        <v>0</v>
      </c>
      <c r="AO151" s="79">
        <v>0</v>
      </c>
      <c r="AP151" s="80">
        <f t="shared" si="132"/>
        <v>0</v>
      </c>
      <c r="AQ151" s="79">
        <v>0</v>
      </c>
      <c r="AR151" s="81">
        <f t="shared" si="133"/>
        <v>0</v>
      </c>
      <c r="AS151" s="80">
        <f t="shared" si="157"/>
        <v>0</v>
      </c>
      <c r="AT151" s="70">
        <f t="shared" si="158"/>
        <v>0</v>
      </c>
      <c r="AU151" s="80">
        <f t="shared" si="159"/>
        <v>0</v>
      </c>
      <c r="AV151" s="70">
        <f t="shared" si="160"/>
        <v>0</v>
      </c>
      <c r="AW151" s="80">
        <f t="shared" si="161"/>
        <v>0</v>
      </c>
      <c r="AX151" s="70">
        <f t="shared" si="162"/>
        <v>0</v>
      </c>
      <c r="AY151" s="82"/>
      <c r="BA151" s="79">
        <v>0</v>
      </c>
      <c r="BB151" s="80">
        <f t="shared" si="140"/>
        <v>0</v>
      </c>
      <c r="BC151" s="79">
        <v>0</v>
      </c>
      <c r="BD151" s="80">
        <f t="shared" si="141"/>
        <v>0</v>
      </c>
      <c r="BE151" s="79">
        <v>0</v>
      </c>
      <c r="BF151" s="81">
        <f t="shared" si="142"/>
        <v>0</v>
      </c>
      <c r="BG151" s="80">
        <f t="shared" si="163"/>
        <v>0</v>
      </c>
      <c r="BH151" s="70">
        <f t="shared" si="164"/>
        <v>0</v>
      </c>
      <c r="BI151" s="80">
        <f t="shared" si="165"/>
        <v>0</v>
      </c>
      <c r="BJ151" s="70">
        <f t="shared" si="166"/>
        <v>0</v>
      </c>
      <c r="BK151" s="82"/>
    </row>
    <row r="152" spans="2:63" ht="11.95" thickBot="1" x14ac:dyDescent="0.3">
      <c r="E152" s="3"/>
      <c r="F152" s="3"/>
      <c r="G152" s="3"/>
      <c r="H152" s="3" t="s">
        <v>202</v>
      </c>
      <c r="I152" s="18"/>
      <c r="J152" s="18"/>
      <c r="K152" s="18"/>
      <c r="L152" s="78"/>
      <c r="M152" s="79"/>
      <c r="N152" s="80">
        <f t="shared" si="120"/>
        <v>0</v>
      </c>
      <c r="O152" s="79"/>
      <c r="P152" s="80">
        <f t="shared" si="121"/>
        <v>0</v>
      </c>
      <c r="Q152" s="79"/>
      <c r="R152" s="80">
        <f t="shared" si="122"/>
        <v>0</v>
      </c>
      <c r="S152" s="79"/>
      <c r="T152" s="81">
        <f t="shared" si="123"/>
        <v>0</v>
      </c>
      <c r="U152" s="80">
        <f t="shared" si="147"/>
        <v>0</v>
      </c>
      <c r="V152" s="70">
        <f t="shared" si="148"/>
        <v>0</v>
      </c>
      <c r="W152" s="80">
        <f t="shared" si="149"/>
        <v>0</v>
      </c>
      <c r="X152" s="70">
        <f t="shared" si="150"/>
        <v>0</v>
      </c>
      <c r="Y152" s="80">
        <f t="shared" si="151"/>
        <v>0</v>
      </c>
      <c r="Z152" s="70">
        <f t="shared" si="152"/>
        <v>0</v>
      </c>
      <c r="AA152" s="82"/>
      <c r="AC152" s="79">
        <v>0</v>
      </c>
      <c r="AD152" s="79">
        <v>0</v>
      </c>
      <c r="AE152" s="79">
        <v>0</v>
      </c>
      <c r="AF152" s="83">
        <f t="shared" si="153"/>
        <v>0</v>
      </c>
      <c r="AG152" s="70">
        <f t="shared" si="154"/>
        <v>0</v>
      </c>
      <c r="AH152" s="83">
        <f t="shared" si="155"/>
        <v>0</v>
      </c>
      <c r="AI152" s="70">
        <f t="shared" si="156"/>
        <v>0</v>
      </c>
      <c r="AK152" s="79">
        <v>0</v>
      </c>
      <c r="AL152" s="80">
        <f t="shared" si="130"/>
        <v>0</v>
      </c>
      <c r="AM152" s="79">
        <v>0</v>
      </c>
      <c r="AN152" s="80">
        <f t="shared" si="131"/>
        <v>0</v>
      </c>
      <c r="AO152" s="79">
        <v>0</v>
      </c>
      <c r="AP152" s="80">
        <f t="shared" si="132"/>
        <v>0</v>
      </c>
      <c r="AQ152" s="79">
        <v>0</v>
      </c>
      <c r="AR152" s="81">
        <f t="shared" si="133"/>
        <v>0</v>
      </c>
      <c r="AS152" s="80">
        <f t="shared" si="157"/>
        <v>0</v>
      </c>
      <c r="AT152" s="70">
        <f t="shared" si="158"/>
        <v>0</v>
      </c>
      <c r="AU152" s="80">
        <f t="shared" si="159"/>
        <v>0</v>
      </c>
      <c r="AV152" s="70">
        <f t="shared" si="160"/>
        <v>0</v>
      </c>
      <c r="AW152" s="80">
        <f t="shared" si="161"/>
        <v>0</v>
      </c>
      <c r="AX152" s="70">
        <f t="shared" si="162"/>
        <v>0</v>
      </c>
      <c r="AY152" s="82"/>
      <c r="BA152" s="79">
        <v>0</v>
      </c>
      <c r="BB152" s="80">
        <f t="shared" si="140"/>
        <v>0</v>
      </c>
      <c r="BC152" s="79">
        <v>0</v>
      </c>
      <c r="BD152" s="80">
        <f t="shared" si="141"/>
        <v>0</v>
      </c>
      <c r="BE152" s="79">
        <v>0</v>
      </c>
      <c r="BF152" s="81">
        <f t="shared" si="142"/>
        <v>0</v>
      </c>
      <c r="BG152" s="80">
        <f t="shared" si="163"/>
        <v>0</v>
      </c>
      <c r="BH152" s="70">
        <f t="shared" si="164"/>
        <v>0</v>
      </c>
      <c r="BI152" s="80">
        <f t="shared" si="165"/>
        <v>0</v>
      </c>
      <c r="BJ152" s="70">
        <f t="shared" si="166"/>
        <v>0</v>
      </c>
      <c r="BK152" s="82"/>
    </row>
    <row r="153" spans="2:63" ht="11.95" thickBot="1" x14ac:dyDescent="0.3">
      <c r="E153" s="3"/>
      <c r="F153" s="3"/>
      <c r="G153" s="3"/>
      <c r="H153" s="3" t="s">
        <v>203</v>
      </c>
      <c r="I153" s="18"/>
      <c r="J153" s="18"/>
      <c r="K153" s="18"/>
      <c r="L153" s="78"/>
      <c r="M153" s="79"/>
      <c r="N153" s="80">
        <f t="shared" si="120"/>
        <v>0</v>
      </c>
      <c r="O153" s="79"/>
      <c r="P153" s="80">
        <f t="shared" si="121"/>
        <v>0</v>
      </c>
      <c r="Q153" s="79"/>
      <c r="R153" s="80">
        <f t="shared" si="122"/>
        <v>0</v>
      </c>
      <c r="S153" s="79"/>
      <c r="T153" s="81">
        <f t="shared" si="123"/>
        <v>0</v>
      </c>
      <c r="U153" s="80">
        <f t="shared" si="147"/>
        <v>0</v>
      </c>
      <c r="V153" s="70">
        <f t="shared" si="148"/>
        <v>0</v>
      </c>
      <c r="W153" s="80">
        <f t="shared" si="149"/>
        <v>0</v>
      </c>
      <c r="X153" s="70">
        <f t="shared" si="150"/>
        <v>0</v>
      </c>
      <c r="Y153" s="80">
        <f t="shared" si="151"/>
        <v>0</v>
      </c>
      <c r="Z153" s="70">
        <f t="shared" si="152"/>
        <v>0</v>
      </c>
      <c r="AA153" s="82"/>
      <c r="AC153" s="79">
        <v>0</v>
      </c>
      <c r="AD153" s="79">
        <v>0</v>
      </c>
      <c r="AE153" s="79">
        <v>0</v>
      </c>
      <c r="AF153" s="83">
        <f t="shared" si="153"/>
        <v>0</v>
      </c>
      <c r="AG153" s="70">
        <f t="shared" si="154"/>
        <v>0</v>
      </c>
      <c r="AH153" s="83">
        <f t="shared" si="155"/>
        <v>0</v>
      </c>
      <c r="AI153" s="70">
        <f t="shared" si="156"/>
        <v>0</v>
      </c>
      <c r="AK153" s="79">
        <v>0</v>
      </c>
      <c r="AL153" s="80">
        <f t="shared" si="130"/>
        <v>0</v>
      </c>
      <c r="AM153" s="79">
        <v>0</v>
      </c>
      <c r="AN153" s="80">
        <f t="shared" si="131"/>
        <v>0</v>
      </c>
      <c r="AO153" s="79">
        <v>0</v>
      </c>
      <c r="AP153" s="80">
        <f t="shared" si="132"/>
        <v>0</v>
      </c>
      <c r="AQ153" s="79">
        <v>0</v>
      </c>
      <c r="AR153" s="81">
        <f t="shared" si="133"/>
        <v>0</v>
      </c>
      <c r="AS153" s="80">
        <f t="shared" si="157"/>
        <v>0</v>
      </c>
      <c r="AT153" s="70">
        <f t="shared" si="158"/>
        <v>0</v>
      </c>
      <c r="AU153" s="80">
        <f t="shared" si="159"/>
        <v>0</v>
      </c>
      <c r="AV153" s="70">
        <f t="shared" si="160"/>
        <v>0</v>
      </c>
      <c r="AW153" s="80">
        <f t="shared" si="161"/>
        <v>0</v>
      </c>
      <c r="AX153" s="70">
        <f t="shared" si="162"/>
        <v>0</v>
      </c>
      <c r="AY153" s="82"/>
      <c r="BA153" s="79">
        <v>0</v>
      </c>
      <c r="BB153" s="80">
        <f t="shared" si="140"/>
        <v>0</v>
      </c>
      <c r="BC153" s="79">
        <v>0</v>
      </c>
      <c r="BD153" s="80">
        <f t="shared" si="141"/>
        <v>0</v>
      </c>
      <c r="BE153" s="79">
        <v>0</v>
      </c>
      <c r="BF153" s="81">
        <f t="shared" si="142"/>
        <v>0</v>
      </c>
      <c r="BG153" s="80">
        <f t="shared" si="163"/>
        <v>0</v>
      </c>
      <c r="BH153" s="70">
        <f t="shared" si="164"/>
        <v>0</v>
      </c>
      <c r="BI153" s="80">
        <f t="shared" si="165"/>
        <v>0</v>
      </c>
      <c r="BJ153" s="70">
        <f t="shared" si="166"/>
        <v>0</v>
      </c>
      <c r="BK153" s="82"/>
    </row>
    <row r="154" spans="2:63" ht="11.95" thickBot="1" x14ac:dyDescent="0.3">
      <c r="E154" s="3"/>
      <c r="F154" s="3"/>
      <c r="G154" s="3"/>
      <c r="H154" s="3" t="s">
        <v>204</v>
      </c>
      <c r="I154" s="18"/>
      <c r="J154" s="18"/>
      <c r="K154" s="18"/>
      <c r="L154" s="78"/>
      <c r="M154" s="79"/>
      <c r="N154" s="80">
        <f t="shared" si="120"/>
        <v>0</v>
      </c>
      <c r="O154" s="79"/>
      <c r="P154" s="80">
        <f t="shared" si="121"/>
        <v>0</v>
      </c>
      <c r="Q154" s="79"/>
      <c r="R154" s="80">
        <f t="shared" si="122"/>
        <v>0</v>
      </c>
      <c r="S154" s="79"/>
      <c r="T154" s="81">
        <f t="shared" si="123"/>
        <v>0</v>
      </c>
      <c r="U154" s="80">
        <f t="shared" si="147"/>
        <v>0</v>
      </c>
      <c r="V154" s="70">
        <f t="shared" si="148"/>
        <v>0</v>
      </c>
      <c r="W154" s="80">
        <f t="shared" si="149"/>
        <v>0</v>
      </c>
      <c r="X154" s="70">
        <f t="shared" si="150"/>
        <v>0</v>
      </c>
      <c r="Y154" s="80">
        <f t="shared" si="151"/>
        <v>0</v>
      </c>
      <c r="Z154" s="70">
        <f t="shared" si="152"/>
        <v>0</v>
      </c>
      <c r="AA154" s="82"/>
      <c r="AC154" s="79">
        <v>0</v>
      </c>
      <c r="AD154" s="79">
        <v>0</v>
      </c>
      <c r="AE154" s="79">
        <v>0</v>
      </c>
      <c r="AF154" s="83">
        <f t="shared" si="153"/>
        <v>0</v>
      </c>
      <c r="AG154" s="70">
        <f t="shared" si="154"/>
        <v>0</v>
      </c>
      <c r="AH154" s="83">
        <f t="shared" si="155"/>
        <v>0</v>
      </c>
      <c r="AI154" s="70">
        <f t="shared" si="156"/>
        <v>0</v>
      </c>
      <c r="AK154" s="79">
        <v>0</v>
      </c>
      <c r="AL154" s="80">
        <f t="shared" si="130"/>
        <v>0</v>
      </c>
      <c r="AM154" s="79">
        <v>0</v>
      </c>
      <c r="AN154" s="80">
        <f t="shared" si="131"/>
        <v>0</v>
      </c>
      <c r="AO154" s="79">
        <v>0</v>
      </c>
      <c r="AP154" s="80">
        <f t="shared" si="132"/>
        <v>0</v>
      </c>
      <c r="AQ154" s="79">
        <v>0</v>
      </c>
      <c r="AR154" s="81">
        <f t="shared" si="133"/>
        <v>0</v>
      </c>
      <c r="AS154" s="80">
        <f t="shared" si="157"/>
        <v>0</v>
      </c>
      <c r="AT154" s="70">
        <f t="shared" si="158"/>
        <v>0</v>
      </c>
      <c r="AU154" s="80">
        <f t="shared" si="159"/>
        <v>0</v>
      </c>
      <c r="AV154" s="70">
        <f t="shared" si="160"/>
        <v>0</v>
      </c>
      <c r="AW154" s="80">
        <f t="shared" si="161"/>
        <v>0</v>
      </c>
      <c r="AX154" s="70">
        <f t="shared" si="162"/>
        <v>0</v>
      </c>
      <c r="AY154" s="82"/>
      <c r="BA154" s="79">
        <v>0</v>
      </c>
      <c r="BB154" s="80">
        <f t="shared" si="140"/>
        <v>0</v>
      </c>
      <c r="BC154" s="79">
        <v>0</v>
      </c>
      <c r="BD154" s="80">
        <f t="shared" si="141"/>
        <v>0</v>
      </c>
      <c r="BE154" s="79">
        <v>3755.77</v>
      </c>
      <c r="BF154" s="81">
        <f t="shared" si="142"/>
        <v>1.8698197661661132E-3</v>
      </c>
      <c r="BG154" s="80">
        <f t="shared" si="163"/>
        <v>0</v>
      </c>
      <c r="BH154" s="70">
        <f t="shared" si="164"/>
        <v>0</v>
      </c>
      <c r="BI154" s="80">
        <f t="shared" si="165"/>
        <v>0</v>
      </c>
      <c r="BJ154" s="70">
        <f t="shared" si="166"/>
        <v>3755.77</v>
      </c>
      <c r="BK154" s="82"/>
    </row>
    <row r="155" spans="2:63" ht="11.95" thickBot="1" x14ac:dyDescent="0.3">
      <c r="E155" s="3"/>
      <c r="F155" s="3"/>
      <c r="G155" s="3"/>
      <c r="H155" s="3" t="s">
        <v>205</v>
      </c>
      <c r="I155" s="18"/>
      <c r="J155" s="18"/>
      <c r="K155" s="18"/>
      <c r="L155" s="78"/>
      <c r="M155" s="79"/>
      <c r="N155" s="80">
        <f t="shared" si="120"/>
        <v>0</v>
      </c>
      <c r="O155" s="79"/>
      <c r="P155" s="80">
        <f t="shared" si="121"/>
        <v>0</v>
      </c>
      <c r="Q155" s="79"/>
      <c r="R155" s="80">
        <f t="shared" si="122"/>
        <v>0</v>
      </c>
      <c r="S155" s="79"/>
      <c r="T155" s="81">
        <f t="shared" si="123"/>
        <v>0</v>
      </c>
      <c r="U155" s="80">
        <f t="shared" si="147"/>
        <v>0</v>
      </c>
      <c r="V155" s="70">
        <f t="shared" si="148"/>
        <v>0</v>
      </c>
      <c r="W155" s="80">
        <f t="shared" si="149"/>
        <v>0</v>
      </c>
      <c r="X155" s="70">
        <f t="shared" si="150"/>
        <v>0</v>
      </c>
      <c r="Y155" s="80">
        <f t="shared" si="151"/>
        <v>0</v>
      </c>
      <c r="Z155" s="70">
        <f t="shared" si="152"/>
        <v>0</v>
      </c>
      <c r="AA155" s="82"/>
      <c r="AC155" s="79">
        <v>0</v>
      </c>
      <c r="AD155" s="79">
        <v>0</v>
      </c>
      <c r="AE155" s="79">
        <v>0</v>
      </c>
      <c r="AF155" s="83">
        <f t="shared" si="153"/>
        <v>0</v>
      </c>
      <c r="AG155" s="70">
        <f t="shared" si="154"/>
        <v>0</v>
      </c>
      <c r="AH155" s="83">
        <f t="shared" si="155"/>
        <v>0</v>
      </c>
      <c r="AI155" s="70">
        <f t="shared" si="156"/>
        <v>0</v>
      </c>
      <c r="AK155" s="79">
        <v>0</v>
      </c>
      <c r="AL155" s="80">
        <f t="shared" si="130"/>
        <v>0</v>
      </c>
      <c r="AM155" s="79">
        <v>0</v>
      </c>
      <c r="AN155" s="80">
        <f t="shared" si="131"/>
        <v>0</v>
      </c>
      <c r="AO155" s="79">
        <v>0</v>
      </c>
      <c r="AP155" s="80">
        <f t="shared" si="132"/>
        <v>0</v>
      </c>
      <c r="AQ155" s="79">
        <v>0</v>
      </c>
      <c r="AR155" s="81">
        <f t="shared" si="133"/>
        <v>0</v>
      </c>
      <c r="AS155" s="80">
        <f t="shared" si="157"/>
        <v>0</v>
      </c>
      <c r="AT155" s="70">
        <f t="shared" si="158"/>
        <v>0</v>
      </c>
      <c r="AU155" s="80">
        <f t="shared" si="159"/>
        <v>0</v>
      </c>
      <c r="AV155" s="70">
        <f t="shared" si="160"/>
        <v>0</v>
      </c>
      <c r="AW155" s="80">
        <f t="shared" si="161"/>
        <v>0</v>
      </c>
      <c r="AX155" s="70">
        <f t="shared" si="162"/>
        <v>0</v>
      </c>
      <c r="AY155" s="82"/>
      <c r="BA155" s="79">
        <v>0</v>
      </c>
      <c r="BB155" s="80">
        <f t="shared" si="140"/>
        <v>0</v>
      </c>
      <c r="BC155" s="79">
        <v>0</v>
      </c>
      <c r="BD155" s="80">
        <f t="shared" si="141"/>
        <v>0</v>
      </c>
      <c r="BE155" s="79">
        <v>0</v>
      </c>
      <c r="BF155" s="81">
        <f t="shared" si="142"/>
        <v>0</v>
      </c>
      <c r="BG155" s="80">
        <f t="shared" si="163"/>
        <v>0</v>
      </c>
      <c r="BH155" s="70">
        <f t="shared" si="164"/>
        <v>0</v>
      </c>
      <c r="BI155" s="80">
        <f t="shared" si="165"/>
        <v>0</v>
      </c>
      <c r="BJ155" s="70">
        <f t="shared" si="166"/>
        <v>0</v>
      </c>
      <c r="BK155" s="82"/>
    </row>
    <row r="156" spans="2:63" ht="11.95" thickBot="1" x14ac:dyDescent="0.3">
      <c r="E156" s="3"/>
      <c r="F156" s="3"/>
      <c r="G156" s="3"/>
      <c r="H156" s="3" t="s">
        <v>206</v>
      </c>
      <c r="I156" s="18"/>
      <c r="J156" s="18"/>
      <c r="K156" s="18"/>
      <c r="L156" s="78"/>
      <c r="M156" s="79"/>
      <c r="N156" s="80">
        <f t="shared" si="120"/>
        <v>0</v>
      </c>
      <c r="O156" s="79"/>
      <c r="P156" s="80">
        <f t="shared" si="121"/>
        <v>0</v>
      </c>
      <c r="Q156" s="79"/>
      <c r="R156" s="80">
        <f t="shared" si="122"/>
        <v>0</v>
      </c>
      <c r="S156" s="79"/>
      <c r="T156" s="81">
        <f t="shared" si="123"/>
        <v>0</v>
      </c>
      <c r="U156" s="80">
        <f t="shared" si="147"/>
        <v>0</v>
      </c>
      <c r="V156" s="70">
        <f t="shared" si="148"/>
        <v>0</v>
      </c>
      <c r="W156" s="80">
        <f t="shared" si="149"/>
        <v>0</v>
      </c>
      <c r="X156" s="70">
        <f t="shared" si="150"/>
        <v>0</v>
      </c>
      <c r="Y156" s="80">
        <f t="shared" si="151"/>
        <v>0</v>
      </c>
      <c r="Z156" s="70">
        <f t="shared" si="152"/>
        <v>0</v>
      </c>
      <c r="AA156" s="82"/>
      <c r="AC156" s="79">
        <v>0</v>
      </c>
      <c r="AD156" s="79">
        <v>0</v>
      </c>
      <c r="AE156" s="79">
        <v>0</v>
      </c>
      <c r="AF156" s="83">
        <f t="shared" si="153"/>
        <v>0</v>
      </c>
      <c r="AG156" s="70">
        <f t="shared" si="154"/>
        <v>0</v>
      </c>
      <c r="AH156" s="83">
        <f t="shared" si="155"/>
        <v>0</v>
      </c>
      <c r="AI156" s="70">
        <f t="shared" si="156"/>
        <v>0</v>
      </c>
      <c r="AK156" s="79">
        <v>0</v>
      </c>
      <c r="AL156" s="80">
        <f t="shared" si="130"/>
        <v>0</v>
      </c>
      <c r="AM156" s="79">
        <v>0</v>
      </c>
      <c r="AN156" s="80">
        <f t="shared" si="131"/>
        <v>0</v>
      </c>
      <c r="AO156" s="79">
        <v>0</v>
      </c>
      <c r="AP156" s="80">
        <f t="shared" si="132"/>
        <v>0</v>
      </c>
      <c r="AQ156" s="79">
        <v>0</v>
      </c>
      <c r="AR156" s="81">
        <f t="shared" si="133"/>
        <v>0</v>
      </c>
      <c r="AS156" s="80">
        <f t="shared" si="157"/>
        <v>0</v>
      </c>
      <c r="AT156" s="70">
        <f t="shared" si="158"/>
        <v>0</v>
      </c>
      <c r="AU156" s="80">
        <f t="shared" si="159"/>
        <v>0</v>
      </c>
      <c r="AV156" s="70">
        <f t="shared" si="160"/>
        <v>0</v>
      </c>
      <c r="AW156" s="80">
        <f t="shared" si="161"/>
        <v>0</v>
      </c>
      <c r="AX156" s="70">
        <f t="shared" si="162"/>
        <v>0</v>
      </c>
      <c r="AY156" s="82"/>
      <c r="BA156" s="79">
        <v>0</v>
      </c>
      <c r="BB156" s="80">
        <f t="shared" si="140"/>
        <v>0</v>
      </c>
      <c r="BC156" s="79">
        <v>0</v>
      </c>
      <c r="BD156" s="80">
        <f t="shared" si="141"/>
        <v>0</v>
      </c>
      <c r="BE156" s="79">
        <v>0</v>
      </c>
      <c r="BF156" s="81">
        <f t="shared" si="142"/>
        <v>0</v>
      </c>
      <c r="BG156" s="80">
        <f t="shared" si="163"/>
        <v>0</v>
      </c>
      <c r="BH156" s="70">
        <f t="shared" si="164"/>
        <v>0</v>
      </c>
      <c r="BI156" s="80">
        <f t="shared" si="165"/>
        <v>0</v>
      </c>
      <c r="BJ156" s="70">
        <f t="shared" si="166"/>
        <v>0</v>
      </c>
      <c r="BK156" s="82"/>
    </row>
    <row r="157" spans="2:63" ht="11.95" thickBot="1" x14ac:dyDescent="0.3">
      <c r="E157" s="3"/>
      <c r="F157" s="3"/>
      <c r="G157" s="3"/>
      <c r="H157" s="3" t="s">
        <v>207</v>
      </c>
      <c r="I157" s="18"/>
      <c r="J157" s="18"/>
      <c r="K157" s="18"/>
      <c r="L157" s="78"/>
      <c r="M157" s="79"/>
      <c r="N157" s="80">
        <f t="shared" si="120"/>
        <v>0</v>
      </c>
      <c r="O157" s="79"/>
      <c r="P157" s="80">
        <f t="shared" si="121"/>
        <v>0</v>
      </c>
      <c r="Q157" s="79"/>
      <c r="R157" s="80">
        <f t="shared" si="122"/>
        <v>0</v>
      </c>
      <c r="S157" s="79"/>
      <c r="T157" s="81">
        <f t="shared" si="123"/>
        <v>0</v>
      </c>
      <c r="U157" s="80">
        <f t="shared" si="147"/>
        <v>0</v>
      </c>
      <c r="V157" s="70">
        <f t="shared" si="148"/>
        <v>0</v>
      </c>
      <c r="W157" s="80">
        <f t="shared" si="149"/>
        <v>0</v>
      </c>
      <c r="X157" s="70">
        <f t="shared" si="150"/>
        <v>0</v>
      </c>
      <c r="Y157" s="80">
        <f t="shared" si="151"/>
        <v>0</v>
      </c>
      <c r="Z157" s="70">
        <f t="shared" si="152"/>
        <v>0</v>
      </c>
      <c r="AA157" s="82"/>
      <c r="AC157" s="79">
        <v>0</v>
      </c>
      <c r="AD157" s="79">
        <v>0</v>
      </c>
      <c r="AE157" s="79">
        <v>0</v>
      </c>
      <c r="AF157" s="83">
        <f t="shared" si="153"/>
        <v>0</v>
      </c>
      <c r="AG157" s="70">
        <f t="shared" si="154"/>
        <v>0</v>
      </c>
      <c r="AH157" s="83">
        <f t="shared" si="155"/>
        <v>0</v>
      </c>
      <c r="AI157" s="70">
        <f t="shared" si="156"/>
        <v>0</v>
      </c>
      <c r="AK157" s="79">
        <v>0</v>
      </c>
      <c r="AL157" s="80">
        <f t="shared" si="130"/>
        <v>0</v>
      </c>
      <c r="AM157" s="79">
        <v>0</v>
      </c>
      <c r="AN157" s="80">
        <f t="shared" si="131"/>
        <v>0</v>
      </c>
      <c r="AO157" s="79">
        <v>0</v>
      </c>
      <c r="AP157" s="80">
        <f t="shared" si="132"/>
        <v>0</v>
      </c>
      <c r="AQ157" s="79">
        <v>0</v>
      </c>
      <c r="AR157" s="81">
        <f t="shared" si="133"/>
        <v>0</v>
      </c>
      <c r="AS157" s="80">
        <f t="shared" si="157"/>
        <v>0</v>
      </c>
      <c r="AT157" s="70">
        <f t="shared" si="158"/>
        <v>0</v>
      </c>
      <c r="AU157" s="80">
        <f t="shared" si="159"/>
        <v>0</v>
      </c>
      <c r="AV157" s="70">
        <f t="shared" si="160"/>
        <v>0</v>
      </c>
      <c r="AW157" s="80">
        <f t="shared" si="161"/>
        <v>0</v>
      </c>
      <c r="AX157" s="70">
        <f t="shared" si="162"/>
        <v>0</v>
      </c>
      <c r="AY157" s="82"/>
      <c r="BA157" s="79">
        <v>0</v>
      </c>
      <c r="BB157" s="80">
        <f t="shared" si="140"/>
        <v>0</v>
      </c>
      <c r="BC157" s="79">
        <v>0</v>
      </c>
      <c r="BD157" s="80">
        <f t="shared" si="141"/>
        <v>0</v>
      </c>
      <c r="BE157" s="79">
        <v>0</v>
      </c>
      <c r="BF157" s="81">
        <f t="shared" si="142"/>
        <v>0</v>
      </c>
      <c r="BG157" s="80">
        <f t="shared" si="163"/>
        <v>0</v>
      </c>
      <c r="BH157" s="70">
        <f t="shared" si="164"/>
        <v>0</v>
      </c>
      <c r="BI157" s="80">
        <f t="shared" si="165"/>
        <v>0</v>
      </c>
      <c r="BJ157" s="70">
        <f t="shared" si="166"/>
        <v>0</v>
      </c>
      <c r="BK157" s="82"/>
    </row>
    <row r="158" spans="2:63" ht="11.95" thickBot="1" x14ac:dyDescent="0.3">
      <c r="E158" s="3"/>
      <c r="F158" s="3"/>
      <c r="G158" s="3"/>
      <c r="H158" s="3" t="s">
        <v>208</v>
      </c>
      <c r="I158" s="18"/>
      <c r="J158" s="18"/>
      <c r="K158" s="18"/>
      <c r="L158" s="78"/>
      <c r="M158" s="79"/>
      <c r="N158" s="80">
        <f t="shared" si="120"/>
        <v>0</v>
      </c>
      <c r="O158" s="79"/>
      <c r="P158" s="80">
        <f t="shared" si="121"/>
        <v>0</v>
      </c>
      <c r="Q158" s="79"/>
      <c r="R158" s="80">
        <f t="shared" si="122"/>
        <v>0</v>
      </c>
      <c r="S158" s="79"/>
      <c r="T158" s="81">
        <f t="shared" si="123"/>
        <v>0</v>
      </c>
      <c r="U158" s="80">
        <f t="shared" si="147"/>
        <v>0</v>
      </c>
      <c r="V158" s="70">
        <f t="shared" si="148"/>
        <v>0</v>
      </c>
      <c r="W158" s="80">
        <f t="shared" si="149"/>
        <v>0</v>
      </c>
      <c r="X158" s="70">
        <f t="shared" si="150"/>
        <v>0</v>
      </c>
      <c r="Y158" s="80">
        <f t="shared" si="151"/>
        <v>0</v>
      </c>
      <c r="Z158" s="70">
        <f t="shared" si="152"/>
        <v>0</v>
      </c>
      <c r="AA158" s="82"/>
      <c r="AC158" s="79">
        <v>0</v>
      </c>
      <c r="AD158" s="79">
        <v>0</v>
      </c>
      <c r="AE158" s="79">
        <v>0</v>
      </c>
      <c r="AF158" s="83">
        <f t="shared" si="153"/>
        <v>0</v>
      </c>
      <c r="AG158" s="70">
        <f t="shared" si="154"/>
        <v>0</v>
      </c>
      <c r="AH158" s="83">
        <f t="shared" si="155"/>
        <v>0</v>
      </c>
      <c r="AI158" s="70">
        <f t="shared" si="156"/>
        <v>0</v>
      </c>
      <c r="AK158" s="79">
        <v>0</v>
      </c>
      <c r="AL158" s="80">
        <f t="shared" si="130"/>
        <v>0</v>
      </c>
      <c r="AM158" s="79">
        <v>0</v>
      </c>
      <c r="AN158" s="80">
        <f t="shared" si="131"/>
        <v>0</v>
      </c>
      <c r="AO158" s="79">
        <v>0</v>
      </c>
      <c r="AP158" s="80">
        <f t="shared" si="132"/>
        <v>0</v>
      </c>
      <c r="AQ158" s="79">
        <v>0</v>
      </c>
      <c r="AR158" s="81">
        <f t="shared" si="133"/>
        <v>0</v>
      </c>
      <c r="AS158" s="80">
        <f t="shared" si="157"/>
        <v>0</v>
      </c>
      <c r="AT158" s="70">
        <f t="shared" si="158"/>
        <v>0</v>
      </c>
      <c r="AU158" s="80">
        <f t="shared" si="159"/>
        <v>0</v>
      </c>
      <c r="AV158" s="70">
        <f t="shared" si="160"/>
        <v>0</v>
      </c>
      <c r="AW158" s="80">
        <f t="shared" si="161"/>
        <v>0</v>
      </c>
      <c r="AX158" s="70">
        <f t="shared" si="162"/>
        <v>0</v>
      </c>
      <c r="AY158" s="82"/>
      <c r="BA158" s="79">
        <v>0</v>
      </c>
      <c r="BB158" s="80">
        <f t="shared" si="140"/>
        <v>0</v>
      </c>
      <c r="BC158" s="79">
        <v>0</v>
      </c>
      <c r="BD158" s="80">
        <f t="shared" si="141"/>
        <v>0</v>
      </c>
      <c r="BE158" s="79">
        <v>0</v>
      </c>
      <c r="BF158" s="81">
        <f t="shared" si="142"/>
        <v>0</v>
      </c>
      <c r="BG158" s="80">
        <f t="shared" si="163"/>
        <v>0</v>
      </c>
      <c r="BH158" s="70">
        <f t="shared" si="164"/>
        <v>0</v>
      </c>
      <c r="BI158" s="80">
        <f t="shared" si="165"/>
        <v>0</v>
      </c>
      <c r="BJ158" s="70">
        <f t="shared" si="166"/>
        <v>0</v>
      </c>
      <c r="BK158" s="82"/>
    </row>
    <row r="159" spans="2:63" ht="11.95" thickBot="1" x14ac:dyDescent="0.3">
      <c r="E159" s="3"/>
      <c r="F159" s="3"/>
      <c r="G159" s="3"/>
      <c r="H159" s="3" t="s">
        <v>209</v>
      </c>
      <c r="I159" s="18"/>
      <c r="J159" s="18"/>
      <c r="K159" s="18"/>
      <c r="L159" s="78"/>
      <c r="M159" s="79"/>
      <c r="N159" s="80">
        <f t="shared" si="120"/>
        <v>0</v>
      </c>
      <c r="O159" s="79"/>
      <c r="P159" s="80">
        <f t="shared" si="121"/>
        <v>0</v>
      </c>
      <c r="Q159" s="79"/>
      <c r="R159" s="80">
        <f t="shared" si="122"/>
        <v>0</v>
      </c>
      <c r="S159" s="79"/>
      <c r="T159" s="81">
        <f t="shared" si="123"/>
        <v>0</v>
      </c>
      <c r="U159" s="80">
        <f t="shared" si="147"/>
        <v>0</v>
      </c>
      <c r="V159" s="70">
        <f t="shared" si="148"/>
        <v>0</v>
      </c>
      <c r="W159" s="80">
        <f t="shared" si="149"/>
        <v>0</v>
      </c>
      <c r="X159" s="70">
        <f t="shared" si="150"/>
        <v>0</v>
      </c>
      <c r="Y159" s="80">
        <f t="shared" si="151"/>
        <v>0</v>
      </c>
      <c r="Z159" s="70">
        <f t="shared" si="152"/>
        <v>0</v>
      </c>
      <c r="AA159" s="82"/>
      <c r="AC159" s="79">
        <v>0</v>
      </c>
      <c r="AD159" s="79">
        <v>0</v>
      </c>
      <c r="AE159" s="79">
        <v>0</v>
      </c>
      <c r="AF159" s="83">
        <f t="shared" si="153"/>
        <v>0</v>
      </c>
      <c r="AG159" s="70">
        <f t="shared" si="154"/>
        <v>0</v>
      </c>
      <c r="AH159" s="83">
        <f t="shared" si="155"/>
        <v>0</v>
      </c>
      <c r="AI159" s="70">
        <f t="shared" si="156"/>
        <v>0</v>
      </c>
      <c r="AK159" s="79">
        <v>0</v>
      </c>
      <c r="AL159" s="80">
        <f t="shared" si="130"/>
        <v>0</v>
      </c>
      <c r="AM159" s="79">
        <v>0</v>
      </c>
      <c r="AN159" s="80">
        <f t="shared" si="131"/>
        <v>0</v>
      </c>
      <c r="AO159" s="79">
        <v>0</v>
      </c>
      <c r="AP159" s="80">
        <f t="shared" si="132"/>
        <v>0</v>
      </c>
      <c r="AQ159" s="79">
        <v>0</v>
      </c>
      <c r="AR159" s="81">
        <f t="shared" si="133"/>
        <v>0</v>
      </c>
      <c r="AS159" s="80">
        <f t="shared" si="157"/>
        <v>0</v>
      </c>
      <c r="AT159" s="70">
        <f t="shared" si="158"/>
        <v>0</v>
      </c>
      <c r="AU159" s="80">
        <f t="shared" si="159"/>
        <v>0</v>
      </c>
      <c r="AV159" s="70">
        <f t="shared" si="160"/>
        <v>0</v>
      </c>
      <c r="AW159" s="80">
        <f t="shared" si="161"/>
        <v>0</v>
      </c>
      <c r="AX159" s="70">
        <f t="shared" si="162"/>
        <v>0</v>
      </c>
      <c r="AY159" s="82"/>
      <c r="BA159" s="79">
        <v>0</v>
      </c>
      <c r="BB159" s="80">
        <f t="shared" si="140"/>
        <v>0</v>
      </c>
      <c r="BC159" s="79">
        <v>0</v>
      </c>
      <c r="BD159" s="80">
        <f t="shared" si="141"/>
        <v>0</v>
      </c>
      <c r="BE159" s="79">
        <v>0</v>
      </c>
      <c r="BF159" s="81">
        <f t="shared" si="142"/>
        <v>0</v>
      </c>
      <c r="BG159" s="80">
        <f t="shared" si="163"/>
        <v>0</v>
      </c>
      <c r="BH159" s="70">
        <f t="shared" si="164"/>
        <v>0</v>
      </c>
      <c r="BI159" s="80">
        <f t="shared" si="165"/>
        <v>0</v>
      </c>
      <c r="BJ159" s="70">
        <f t="shared" si="166"/>
        <v>0</v>
      </c>
      <c r="BK159" s="82"/>
    </row>
    <row r="160" spans="2:63" ht="11.95" thickBot="1" x14ac:dyDescent="0.3">
      <c r="E160" s="3"/>
      <c r="F160" s="3"/>
      <c r="G160" s="3"/>
      <c r="H160" s="3" t="s">
        <v>210</v>
      </c>
      <c r="I160" s="18"/>
      <c r="J160" s="18"/>
      <c r="K160" s="18"/>
      <c r="L160" s="78"/>
      <c r="M160" s="79"/>
      <c r="N160" s="80">
        <f t="shared" si="120"/>
        <v>0</v>
      </c>
      <c r="O160" s="79"/>
      <c r="P160" s="80">
        <f t="shared" si="121"/>
        <v>0</v>
      </c>
      <c r="Q160" s="79"/>
      <c r="R160" s="80">
        <f t="shared" si="122"/>
        <v>0</v>
      </c>
      <c r="S160" s="79"/>
      <c r="T160" s="81">
        <f t="shared" si="123"/>
        <v>0</v>
      </c>
      <c r="U160" s="80">
        <f t="shared" si="147"/>
        <v>0</v>
      </c>
      <c r="V160" s="70">
        <f t="shared" si="148"/>
        <v>0</v>
      </c>
      <c r="W160" s="80">
        <f t="shared" si="149"/>
        <v>0</v>
      </c>
      <c r="X160" s="70">
        <f t="shared" si="150"/>
        <v>0</v>
      </c>
      <c r="Y160" s="80">
        <f t="shared" si="151"/>
        <v>0</v>
      </c>
      <c r="Z160" s="70">
        <f t="shared" si="152"/>
        <v>0</v>
      </c>
      <c r="AA160" s="82"/>
      <c r="AC160" s="79">
        <v>0</v>
      </c>
      <c r="AD160" s="79">
        <v>0</v>
      </c>
      <c r="AE160" s="79">
        <v>0</v>
      </c>
      <c r="AF160" s="83">
        <f t="shared" si="153"/>
        <v>0</v>
      </c>
      <c r="AG160" s="70">
        <f t="shared" si="154"/>
        <v>0</v>
      </c>
      <c r="AH160" s="83">
        <f t="shared" si="155"/>
        <v>0</v>
      </c>
      <c r="AI160" s="70">
        <f t="shared" si="156"/>
        <v>0</v>
      </c>
      <c r="AK160" s="79">
        <v>0</v>
      </c>
      <c r="AL160" s="80">
        <f t="shared" si="130"/>
        <v>0</v>
      </c>
      <c r="AM160" s="79">
        <v>0</v>
      </c>
      <c r="AN160" s="80">
        <f t="shared" si="131"/>
        <v>0</v>
      </c>
      <c r="AO160" s="79">
        <v>0</v>
      </c>
      <c r="AP160" s="80">
        <f t="shared" si="132"/>
        <v>0</v>
      </c>
      <c r="AQ160" s="79">
        <v>0</v>
      </c>
      <c r="AR160" s="81">
        <f t="shared" si="133"/>
        <v>0</v>
      </c>
      <c r="AS160" s="80">
        <f t="shared" si="157"/>
        <v>0</v>
      </c>
      <c r="AT160" s="70">
        <f t="shared" si="158"/>
        <v>0</v>
      </c>
      <c r="AU160" s="80">
        <f t="shared" si="159"/>
        <v>0</v>
      </c>
      <c r="AV160" s="70">
        <f t="shared" si="160"/>
        <v>0</v>
      </c>
      <c r="AW160" s="80">
        <f t="shared" si="161"/>
        <v>0</v>
      </c>
      <c r="AX160" s="70">
        <f t="shared" si="162"/>
        <v>0</v>
      </c>
      <c r="AY160" s="82"/>
      <c r="BA160" s="79">
        <v>0</v>
      </c>
      <c r="BB160" s="80">
        <f t="shared" si="140"/>
        <v>0</v>
      </c>
      <c r="BC160" s="79">
        <v>0</v>
      </c>
      <c r="BD160" s="80">
        <f t="shared" si="141"/>
        <v>0</v>
      </c>
      <c r="BE160" s="79">
        <v>0</v>
      </c>
      <c r="BF160" s="81">
        <f t="shared" si="142"/>
        <v>0</v>
      </c>
      <c r="BG160" s="80">
        <f t="shared" si="163"/>
        <v>0</v>
      </c>
      <c r="BH160" s="70">
        <f t="shared" si="164"/>
        <v>0</v>
      </c>
      <c r="BI160" s="80">
        <f t="shared" si="165"/>
        <v>0</v>
      </c>
      <c r="BJ160" s="70">
        <f t="shared" si="166"/>
        <v>0</v>
      </c>
      <c r="BK160" s="82"/>
    </row>
    <row r="161" spans="5:63" ht="11.95" thickBot="1" x14ac:dyDescent="0.3">
      <c r="E161" s="3"/>
      <c r="F161" s="3"/>
      <c r="G161" s="3"/>
      <c r="H161" s="3" t="s">
        <v>211</v>
      </c>
      <c r="I161" s="18"/>
      <c r="J161" s="18"/>
      <c r="K161" s="18"/>
      <c r="L161" s="78"/>
      <c r="M161" s="79"/>
      <c r="N161" s="80">
        <f t="shared" si="120"/>
        <v>0</v>
      </c>
      <c r="O161" s="79"/>
      <c r="P161" s="80">
        <f t="shared" si="121"/>
        <v>0</v>
      </c>
      <c r="Q161" s="79"/>
      <c r="R161" s="80">
        <f t="shared" si="122"/>
        <v>0</v>
      </c>
      <c r="S161" s="79"/>
      <c r="T161" s="81">
        <f t="shared" si="123"/>
        <v>0</v>
      </c>
      <c r="U161" s="80">
        <f t="shared" si="147"/>
        <v>0</v>
      </c>
      <c r="V161" s="70">
        <f t="shared" si="148"/>
        <v>0</v>
      </c>
      <c r="W161" s="80">
        <f t="shared" si="149"/>
        <v>0</v>
      </c>
      <c r="X161" s="70">
        <f t="shared" si="150"/>
        <v>0</v>
      </c>
      <c r="Y161" s="80">
        <f t="shared" si="151"/>
        <v>0</v>
      </c>
      <c r="Z161" s="70">
        <f t="shared" si="152"/>
        <v>0</v>
      </c>
      <c r="AA161" s="82"/>
      <c r="AC161" s="79">
        <v>0</v>
      </c>
      <c r="AD161" s="79">
        <v>0</v>
      </c>
      <c r="AE161" s="79">
        <v>0</v>
      </c>
      <c r="AF161" s="83">
        <f t="shared" si="153"/>
        <v>0</v>
      </c>
      <c r="AG161" s="70">
        <f t="shared" si="154"/>
        <v>0</v>
      </c>
      <c r="AH161" s="83">
        <f t="shared" si="155"/>
        <v>0</v>
      </c>
      <c r="AI161" s="70">
        <f t="shared" si="156"/>
        <v>0</v>
      </c>
      <c r="AK161" s="79">
        <v>0</v>
      </c>
      <c r="AL161" s="80">
        <f t="shared" si="130"/>
        <v>0</v>
      </c>
      <c r="AM161" s="79">
        <v>0</v>
      </c>
      <c r="AN161" s="80">
        <f t="shared" si="131"/>
        <v>0</v>
      </c>
      <c r="AO161" s="79">
        <v>0</v>
      </c>
      <c r="AP161" s="80">
        <f t="shared" si="132"/>
        <v>0</v>
      </c>
      <c r="AQ161" s="79">
        <v>0</v>
      </c>
      <c r="AR161" s="81">
        <f t="shared" si="133"/>
        <v>0</v>
      </c>
      <c r="AS161" s="80">
        <f t="shared" si="157"/>
        <v>0</v>
      </c>
      <c r="AT161" s="70">
        <f t="shared" si="158"/>
        <v>0</v>
      </c>
      <c r="AU161" s="80">
        <f t="shared" si="159"/>
        <v>0</v>
      </c>
      <c r="AV161" s="70">
        <f t="shared" si="160"/>
        <v>0</v>
      </c>
      <c r="AW161" s="80">
        <f t="shared" si="161"/>
        <v>0</v>
      </c>
      <c r="AX161" s="70">
        <f t="shared" si="162"/>
        <v>0</v>
      </c>
      <c r="AY161" s="82"/>
      <c r="BA161" s="79">
        <v>0</v>
      </c>
      <c r="BB161" s="80">
        <f t="shared" si="140"/>
        <v>0</v>
      </c>
      <c r="BC161" s="79">
        <v>0</v>
      </c>
      <c r="BD161" s="80">
        <f t="shared" si="141"/>
        <v>0</v>
      </c>
      <c r="BE161" s="79">
        <v>0</v>
      </c>
      <c r="BF161" s="81">
        <f t="shared" si="142"/>
        <v>0</v>
      </c>
      <c r="BG161" s="80">
        <f t="shared" si="163"/>
        <v>0</v>
      </c>
      <c r="BH161" s="70">
        <f t="shared" si="164"/>
        <v>0</v>
      </c>
      <c r="BI161" s="80">
        <f t="shared" si="165"/>
        <v>0</v>
      </c>
      <c r="BJ161" s="70">
        <f t="shared" si="166"/>
        <v>0</v>
      </c>
      <c r="BK161" s="82"/>
    </row>
    <row r="162" spans="5:63" ht="11.95" thickBot="1" x14ac:dyDescent="0.3">
      <c r="E162" s="3"/>
      <c r="F162" s="3"/>
      <c r="G162" s="3"/>
      <c r="H162" s="3" t="s">
        <v>212</v>
      </c>
      <c r="I162" s="18"/>
      <c r="J162" s="18"/>
      <c r="K162" s="18"/>
      <c r="L162" s="78"/>
      <c r="M162" s="79"/>
      <c r="N162" s="80">
        <f t="shared" si="120"/>
        <v>0</v>
      </c>
      <c r="O162" s="79"/>
      <c r="P162" s="80">
        <f t="shared" si="121"/>
        <v>0</v>
      </c>
      <c r="Q162" s="79"/>
      <c r="R162" s="80">
        <f t="shared" si="122"/>
        <v>0</v>
      </c>
      <c r="S162" s="79"/>
      <c r="T162" s="81">
        <f t="shared" si="123"/>
        <v>0</v>
      </c>
      <c r="U162" s="80">
        <f t="shared" si="147"/>
        <v>0</v>
      </c>
      <c r="V162" s="70">
        <f t="shared" si="148"/>
        <v>0</v>
      </c>
      <c r="W162" s="80">
        <f t="shared" si="149"/>
        <v>0</v>
      </c>
      <c r="X162" s="70">
        <f t="shared" si="150"/>
        <v>0</v>
      </c>
      <c r="Y162" s="80">
        <f t="shared" si="151"/>
        <v>0</v>
      </c>
      <c r="Z162" s="70">
        <f t="shared" si="152"/>
        <v>0</v>
      </c>
      <c r="AA162" s="82"/>
      <c r="AC162" s="79">
        <v>0</v>
      </c>
      <c r="AD162" s="79">
        <v>0</v>
      </c>
      <c r="AE162" s="79">
        <v>0</v>
      </c>
      <c r="AF162" s="83">
        <f t="shared" si="153"/>
        <v>0</v>
      </c>
      <c r="AG162" s="70">
        <f t="shared" si="154"/>
        <v>0</v>
      </c>
      <c r="AH162" s="83">
        <f t="shared" si="155"/>
        <v>0</v>
      </c>
      <c r="AI162" s="70">
        <f t="shared" si="156"/>
        <v>0</v>
      </c>
      <c r="AK162" s="79">
        <v>0</v>
      </c>
      <c r="AL162" s="80">
        <f t="shared" si="130"/>
        <v>0</v>
      </c>
      <c r="AM162" s="79">
        <v>0</v>
      </c>
      <c r="AN162" s="80">
        <f t="shared" si="131"/>
        <v>0</v>
      </c>
      <c r="AO162" s="79">
        <v>0</v>
      </c>
      <c r="AP162" s="80">
        <f t="shared" si="132"/>
        <v>0</v>
      </c>
      <c r="AQ162" s="79">
        <v>0</v>
      </c>
      <c r="AR162" s="81">
        <f t="shared" si="133"/>
        <v>0</v>
      </c>
      <c r="AS162" s="80">
        <f t="shared" si="157"/>
        <v>0</v>
      </c>
      <c r="AT162" s="70">
        <f t="shared" si="158"/>
        <v>0</v>
      </c>
      <c r="AU162" s="80">
        <f t="shared" si="159"/>
        <v>0</v>
      </c>
      <c r="AV162" s="70">
        <f t="shared" si="160"/>
        <v>0</v>
      </c>
      <c r="AW162" s="80">
        <f t="shared" si="161"/>
        <v>0</v>
      </c>
      <c r="AX162" s="70">
        <f t="shared" si="162"/>
        <v>0</v>
      </c>
      <c r="AY162" s="82"/>
      <c r="BA162" s="79">
        <v>0</v>
      </c>
      <c r="BB162" s="80">
        <f t="shared" si="140"/>
        <v>0</v>
      </c>
      <c r="BC162" s="79">
        <v>0</v>
      </c>
      <c r="BD162" s="80">
        <f t="shared" si="141"/>
        <v>0</v>
      </c>
      <c r="BE162" s="79">
        <v>0</v>
      </c>
      <c r="BF162" s="81">
        <f t="shared" si="142"/>
        <v>0</v>
      </c>
      <c r="BG162" s="80">
        <f t="shared" si="163"/>
        <v>0</v>
      </c>
      <c r="BH162" s="70">
        <f t="shared" si="164"/>
        <v>0</v>
      </c>
      <c r="BI162" s="80">
        <f t="shared" si="165"/>
        <v>0</v>
      </c>
      <c r="BJ162" s="70">
        <f t="shared" si="166"/>
        <v>0</v>
      </c>
      <c r="BK162" s="82"/>
    </row>
    <row r="163" spans="5:63" ht="11.95" thickBot="1" x14ac:dyDescent="0.3">
      <c r="E163" s="3"/>
      <c r="F163" s="3"/>
      <c r="G163" s="3"/>
      <c r="H163" s="3" t="s">
        <v>213</v>
      </c>
      <c r="I163" s="18"/>
      <c r="J163" s="18"/>
      <c r="K163" s="18"/>
      <c r="L163" s="78"/>
      <c r="M163" s="79"/>
      <c r="N163" s="80">
        <f t="shared" si="120"/>
        <v>0</v>
      </c>
      <c r="O163" s="79"/>
      <c r="P163" s="80">
        <f t="shared" si="121"/>
        <v>0</v>
      </c>
      <c r="Q163" s="79"/>
      <c r="R163" s="80">
        <f t="shared" si="122"/>
        <v>0</v>
      </c>
      <c r="S163" s="79"/>
      <c r="T163" s="81">
        <f t="shared" si="123"/>
        <v>0</v>
      </c>
      <c r="U163" s="80">
        <f t="shared" si="147"/>
        <v>0</v>
      </c>
      <c r="V163" s="70">
        <f t="shared" si="148"/>
        <v>0</v>
      </c>
      <c r="W163" s="80">
        <f t="shared" si="149"/>
        <v>0</v>
      </c>
      <c r="X163" s="70">
        <f t="shared" si="150"/>
        <v>0</v>
      </c>
      <c r="Y163" s="80">
        <f t="shared" si="151"/>
        <v>0</v>
      </c>
      <c r="Z163" s="70">
        <f t="shared" si="152"/>
        <v>0</v>
      </c>
      <c r="AA163" s="82"/>
      <c r="AC163" s="79">
        <v>0</v>
      </c>
      <c r="AD163" s="79">
        <v>0</v>
      </c>
      <c r="AE163" s="79">
        <v>0</v>
      </c>
      <c r="AF163" s="83">
        <f t="shared" si="153"/>
        <v>0</v>
      </c>
      <c r="AG163" s="70">
        <f t="shared" si="154"/>
        <v>0</v>
      </c>
      <c r="AH163" s="83">
        <f t="shared" si="155"/>
        <v>0</v>
      </c>
      <c r="AI163" s="70">
        <f t="shared" si="156"/>
        <v>0</v>
      </c>
      <c r="AK163" s="79">
        <v>0</v>
      </c>
      <c r="AL163" s="80">
        <f t="shared" si="130"/>
        <v>0</v>
      </c>
      <c r="AM163" s="79">
        <v>0</v>
      </c>
      <c r="AN163" s="80">
        <f t="shared" si="131"/>
        <v>0</v>
      </c>
      <c r="AO163" s="79">
        <v>0</v>
      </c>
      <c r="AP163" s="80">
        <f t="shared" si="132"/>
        <v>0</v>
      </c>
      <c r="AQ163" s="79">
        <v>0</v>
      </c>
      <c r="AR163" s="81">
        <f t="shared" si="133"/>
        <v>0</v>
      </c>
      <c r="AS163" s="80">
        <f t="shared" si="157"/>
        <v>0</v>
      </c>
      <c r="AT163" s="70">
        <f t="shared" si="158"/>
        <v>0</v>
      </c>
      <c r="AU163" s="80">
        <f t="shared" si="159"/>
        <v>0</v>
      </c>
      <c r="AV163" s="70">
        <f t="shared" si="160"/>
        <v>0</v>
      </c>
      <c r="AW163" s="80">
        <f t="shared" si="161"/>
        <v>0</v>
      </c>
      <c r="AX163" s="70">
        <f t="shared" si="162"/>
        <v>0</v>
      </c>
      <c r="AY163" s="82"/>
      <c r="BA163" s="79">
        <v>0</v>
      </c>
      <c r="BB163" s="80">
        <f t="shared" si="140"/>
        <v>0</v>
      </c>
      <c r="BC163" s="79">
        <v>0</v>
      </c>
      <c r="BD163" s="80">
        <f t="shared" si="141"/>
        <v>0</v>
      </c>
      <c r="BE163" s="79">
        <v>0</v>
      </c>
      <c r="BF163" s="81">
        <f t="shared" si="142"/>
        <v>0</v>
      </c>
      <c r="BG163" s="80">
        <f t="shared" si="163"/>
        <v>0</v>
      </c>
      <c r="BH163" s="70">
        <f t="shared" si="164"/>
        <v>0</v>
      </c>
      <c r="BI163" s="80">
        <f t="shared" si="165"/>
        <v>0</v>
      </c>
      <c r="BJ163" s="70">
        <f t="shared" si="166"/>
        <v>0</v>
      </c>
      <c r="BK163" s="82"/>
    </row>
    <row r="164" spans="5:63" ht="11.95" thickBot="1" x14ac:dyDescent="0.3">
      <c r="E164" s="3"/>
      <c r="F164" s="3"/>
      <c r="G164" s="3"/>
      <c r="H164" s="3" t="s">
        <v>214</v>
      </c>
      <c r="I164" s="18"/>
      <c r="J164" s="18"/>
      <c r="K164" s="18"/>
      <c r="L164" s="78"/>
      <c r="M164" s="79"/>
      <c r="N164" s="80">
        <f t="shared" si="120"/>
        <v>0</v>
      </c>
      <c r="O164" s="79"/>
      <c r="P164" s="80">
        <f t="shared" si="121"/>
        <v>0</v>
      </c>
      <c r="Q164" s="79"/>
      <c r="R164" s="80">
        <f t="shared" si="122"/>
        <v>0</v>
      </c>
      <c r="S164" s="79"/>
      <c r="T164" s="81">
        <f t="shared" si="123"/>
        <v>0</v>
      </c>
      <c r="U164" s="80">
        <f t="shared" si="147"/>
        <v>0</v>
      </c>
      <c r="V164" s="70">
        <f t="shared" si="148"/>
        <v>0</v>
      </c>
      <c r="W164" s="80">
        <f t="shared" si="149"/>
        <v>0</v>
      </c>
      <c r="X164" s="70">
        <f t="shared" si="150"/>
        <v>0</v>
      </c>
      <c r="Y164" s="80">
        <f t="shared" si="151"/>
        <v>0</v>
      </c>
      <c r="Z164" s="70">
        <f t="shared" si="152"/>
        <v>0</v>
      </c>
      <c r="AA164" s="82"/>
      <c r="AC164" s="79">
        <v>0</v>
      </c>
      <c r="AD164" s="79">
        <v>0</v>
      </c>
      <c r="AE164" s="79">
        <v>0</v>
      </c>
      <c r="AF164" s="83">
        <f t="shared" si="153"/>
        <v>0</v>
      </c>
      <c r="AG164" s="70">
        <f t="shared" si="154"/>
        <v>0</v>
      </c>
      <c r="AH164" s="83">
        <f t="shared" si="155"/>
        <v>0</v>
      </c>
      <c r="AI164" s="70">
        <f t="shared" si="156"/>
        <v>0</v>
      </c>
      <c r="AK164" s="79">
        <v>0</v>
      </c>
      <c r="AL164" s="80">
        <f t="shared" si="130"/>
        <v>0</v>
      </c>
      <c r="AM164" s="79">
        <v>0</v>
      </c>
      <c r="AN164" s="80">
        <f t="shared" si="131"/>
        <v>0</v>
      </c>
      <c r="AO164" s="79">
        <v>0</v>
      </c>
      <c r="AP164" s="80">
        <f t="shared" si="132"/>
        <v>0</v>
      </c>
      <c r="AQ164" s="79">
        <v>0</v>
      </c>
      <c r="AR164" s="81">
        <f t="shared" si="133"/>
        <v>0</v>
      </c>
      <c r="AS164" s="80">
        <f t="shared" si="157"/>
        <v>0</v>
      </c>
      <c r="AT164" s="70">
        <f t="shared" si="158"/>
        <v>0</v>
      </c>
      <c r="AU164" s="80">
        <f t="shared" si="159"/>
        <v>0</v>
      </c>
      <c r="AV164" s="70">
        <f t="shared" si="160"/>
        <v>0</v>
      </c>
      <c r="AW164" s="80">
        <f t="shared" si="161"/>
        <v>0</v>
      </c>
      <c r="AX164" s="70">
        <f t="shared" si="162"/>
        <v>0</v>
      </c>
      <c r="AY164" s="82"/>
      <c r="BA164" s="79">
        <v>0</v>
      </c>
      <c r="BB164" s="80">
        <f t="shared" si="140"/>
        <v>0</v>
      </c>
      <c r="BC164" s="79">
        <v>0</v>
      </c>
      <c r="BD164" s="80">
        <f t="shared" si="141"/>
        <v>0</v>
      </c>
      <c r="BE164" s="79">
        <v>0</v>
      </c>
      <c r="BF164" s="81">
        <f t="shared" si="142"/>
        <v>0</v>
      </c>
      <c r="BG164" s="80">
        <f t="shared" si="163"/>
        <v>0</v>
      </c>
      <c r="BH164" s="70">
        <f t="shared" si="164"/>
        <v>0</v>
      </c>
      <c r="BI164" s="80">
        <f t="shared" si="165"/>
        <v>0</v>
      </c>
      <c r="BJ164" s="70">
        <f t="shared" si="166"/>
        <v>0</v>
      </c>
      <c r="BK164" s="82"/>
    </row>
    <row r="165" spans="5:63" ht="11.95" thickBot="1" x14ac:dyDescent="0.3">
      <c r="E165" s="3"/>
      <c r="F165" s="3"/>
      <c r="G165" s="3"/>
      <c r="H165" s="3" t="s">
        <v>215</v>
      </c>
      <c r="I165" s="18"/>
      <c r="J165" s="18"/>
      <c r="K165" s="18"/>
      <c r="L165" s="78"/>
      <c r="M165" s="79"/>
      <c r="N165" s="80">
        <f t="shared" si="120"/>
        <v>0</v>
      </c>
      <c r="O165" s="79"/>
      <c r="P165" s="80">
        <f t="shared" si="121"/>
        <v>0</v>
      </c>
      <c r="Q165" s="79"/>
      <c r="R165" s="80">
        <f t="shared" si="122"/>
        <v>0</v>
      </c>
      <c r="S165" s="79"/>
      <c r="T165" s="81">
        <f t="shared" si="123"/>
        <v>0</v>
      </c>
      <c r="U165" s="80">
        <f t="shared" si="147"/>
        <v>0</v>
      </c>
      <c r="V165" s="70">
        <f t="shared" si="148"/>
        <v>0</v>
      </c>
      <c r="W165" s="80">
        <f t="shared" si="149"/>
        <v>0</v>
      </c>
      <c r="X165" s="70">
        <f t="shared" si="150"/>
        <v>0</v>
      </c>
      <c r="Y165" s="80">
        <f t="shared" si="151"/>
        <v>0</v>
      </c>
      <c r="Z165" s="70">
        <f t="shared" si="152"/>
        <v>0</v>
      </c>
      <c r="AA165" s="82"/>
      <c r="AC165" s="79">
        <v>0</v>
      </c>
      <c r="AD165" s="79">
        <v>0</v>
      </c>
      <c r="AE165" s="79">
        <v>0</v>
      </c>
      <c r="AF165" s="83">
        <f t="shared" si="153"/>
        <v>0</v>
      </c>
      <c r="AG165" s="70">
        <f t="shared" si="154"/>
        <v>0</v>
      </c>
      <c r="AH165" s="83">
        <f t="shared" si="155"/>
        <v>0</v>
      </c>
      <c r="AI165" s="70">
        <f t="shared" si="156"/>
        <v>0</v>
      </c>
      <c r="AK165" s="79">
        <v>0</v>
      </c>
      <c r="AL165" s="80">
        <f t="shared" si="130"/>
        <v>0</v>
      </c>
      <c r="AM165" s="79">
        <v>0</v>
      </c>
      <c r="AN165" s="80">
        <f t="shared" si="131"/>
        <v>0</v>
      </c>
      <c r="AO165" s="79">
        <v>0</v>
      </c>
      <c r="AP165" s="80">
        <f t="shared" si="132"/>
        <v>0</v>
      </c>
      <c r="AQ165" s="79">
        <v>0</v>
      </c>
      <c r="AR165" s="81">
        <f t="shared" si="133"/>
        <v>0</v>
      </c>
      <c r="AS165" s="80">
        <f t="shared" si="157"/>
        <v>0</v>
      </c>
      <c r="AT165" s="70">
        <f t="shared" si="158"/>
        <v>0</v>
      </c>
      <c r="AU165" s="80">
        <f t="shared" si="159"/>
        <v>0</v>
      </c>
      <c r="AV165" s="70">
        <f t="shared" si="160"/>
        <v>0</v>
      </c>
      <c r="AW165" s="80">
        <f t="shared" si="161"/>
        <v>0</v>
      </c>
      <c r="AX165" s="70">
        <f t="shared" si="162"/>
        <v>0</v>
      </c>
      <c r="AY165" s="82"/>
      <c r="BA165" s="79">
        <v>0</v>
      </c>
      <c r="BB165" s="80">
        <f t="shared" si="140"/>
        <v>0</v>
      </c>
      <c r="BC165" s="79">
        <v>0</v>
      </c>
      <c r="BD165" s="80">
        <f t="shared" si="141"/>
        <v>0</v>
      </c>
      <c r="BE165" s="79">
        <v>0</v>
      </c>
      <c r="BF165" s="81">
        <f t="shared" si="142"/>
        <v>0</v>
      </c>
      <c r="BG165" s="80">
        <f t="shared" si="163"/>
        <v>0</v>
      </c>
      <c r="BH165" s="70">
        <f t="shared" si="164"/>
        <v>0</v>
      </c>
      <c r="BI165" s="80">
        <f t="shared" si="165"/>
        <v>0</v>
      </c>
      <c r="BJ165" s="70">
        <f t="shared" si="166"/>
        <v>0</v>
      </c>
      <c r="BK165" s="82"/>
    </row>
    <row r="166" spans="5:63" ht="11.95" thickBot="1" x14ac:dyDescent="0.3">
      <c r="E166" s="3"/>
      <c r="F166" s="3"/>
      <c r="G166" s="3"/>
      <c r="H166" s="3" t="s">
        <v>216</v>
      </c>
      <c r="I166" s="18"/>
      <c r="J166" s="18"/>
      <c r="K166" s="18"/>
      <c r="L166" s="78"/>
      <c r="M166" s="79"/>
      <c r="N166" s="80">
        <f t="shared" si="120"/>
        <v>0</v>
      </c>
      <c r="O166" s="79"/>
      <c r="P166" s="80">
        <f t="shared" si="121"/>
        <v>0</v>
      </c>
      <c r="Q166" s="79"/>
      <c r="R166" s="80">
        <f t="shared" si="122"/>
        <v>0</v>
      </c>
      <c r="S166" s="79"/>
      <c r="T166" s="81">
        <f t="shared" si="123"/>
        <v>0</v>
      </c>
      <c r="U166" s="80">
        <f t="shared" si="147"/>
        <v>0</v>
      </c>
      <c r="V166" s="70">
        <f t="shared" si="148"/>
        <v>0</v>
      </c>
      <c r="W166" s="80">
        <f t="shared" si="149"/>
        <v>0</v>
      </c>
      <c r="X166" s="70">
        <f t="shared" si="150"/>
        <v>0</v>
      </c>
      <c r="Y166" s="80">
        <f t="shared" si="151"/>
        <v>0</v>
      </c>
      <c r="Z166" s="70">
        <f t="shared" si="152"/>
        <v>0</v>
      </c>
      <c r="AA166" s="82"/>
      <c r="AC166" s="79">
        <v>0</v>
      </c>
      <c r="AD166" s="79">
        <v>0</v>
      </c>
      <c r="AE166" s="79">
        <v>0</v>
      </c>
      <c r="AF166" s="83">
        <f t="shared" si="153"/>
        <v>0</v>
      </c>
      <c r="AG166" s="70">
        <f t="shared" si="154"/>
        <v>0</v>
      </c>
      <c r="AH166" s="83">
        <f t="shared" si="155"/>
        <v>0</v>
      </c>
      <c r="AI166" s="70">
        <f t="shared" si="156"/>
        <v>0</v>
      </c>
      <c r="AK166" s="79">
        <v>0</v>
      </c>
      <c r="AL166" s="80">
        <f t="shared" si="130"/>
        <v>0</v>
      </c>
      <c r="AM166" s="79">
        <v>0</v>
      </c>
      <c r="AN166" s="80">
        <f t="shared" si="131"/>
        <v>0</v>
      </c>
      <c r="AO166" s="79">
        <v>0</v>
      </c>
      <c r="AP166" s="80">
        <f t="shared" si="132"/>
        <v>0</v>
      </c>
      <c r="AQ166" s="79">
        <v>0</v>
      </c>
      <c r="AR166" s="81">
        <f t="shared" si="133"/>
        <v>0</v>
      </c>
      <c r="AS166" s="80">
        <f t="shared" si="157"/>
        <v>0</v>
      </c>
      <c r="AT166" s="70">
        <f t="shared" si="158"/>
        <v>0</v>
      </c>
      <c r="AU166" s="80">
        <f t="shared" si="159"/>
        <v>0</v>
      </c>
      <c r="AV166" s="70">
        <f t="shared" si="160"/>
        <v>0</v>
      </c>
      <c r="AW166" s="80">
        <f t="shared" si="161"/>
        <v>0</v>
      </c>
      <c r="AX166" s="70">
        <f t="shared" si="162"/>
        <v>0</v>
      </c>
      <c r="AY166" s="82"/>
      <c r="BA166" s="79">
        <v>0</v>
      </c>
      <c r="BB166" s="80">
        <f t="shared" si="140"/>
        <v>0</v>
      </c>
      <c r="BC166" s="79">
        <v>0</v>
      </c>
      <c r="BD166" s="80">
        <f t="shared" si="141"/>
        <v>0</v>
      </c>
      <c r="BE166" s="79">
        <v>52039.68</v>
      </c>
      <c r="BF166" s="81">
        <f t="shared" si="142"/>
        <v>2.590808869791264E-2</v>
      </c>
      <c r="BG166" s="80">
        <f t="shared" si="163"/>
        <v>0</v>
      </c>
      <c r="BH166" s="70">
        <f t="shared" si="164"/>
        <v>0</v>
      </c>
      <c r="BI166" s="80">
        <f t="shared" si="165"/>
        <v>0</v>
      </c>
      <c r="BJ166" s="70">
        <f t="shared" si="166"/>
        <v>52039.68</v>
      </c>
      <c r="BK166" s="82"/>
    </row>
    <row r="167" spans="5:63" ht="11.95" thickBot="1" x14ac:dyDescent="0.3">
      <c r="E167" s="3"/>
      <c r="F167" s="3"/>
      <c r="G167" s="3"/>
      <c r="H167" s="3" t="s">
        <v>217</v>
      </c>
      <c r="I167" s="18"/>
      <c r="J167" s="18"/>
      <c r="K167" s="18"/>
      <c r="L167" s="78"/>
      <c r="M167" s="79">
        <v>0</v>
      </c>
      <c r="N167" s="80">
        <f t="shared" si="120"/>
        <v>0</v>
      </c>
      <c r="O167" s="79">
        <v>0</v>
      </c>
      <c r="P167" s="80">
        <f t="shared" si="121"/>
        <v>0</v>
      </c>
      <c r="Q167" s="79">
        <v>0</v>
      </c>
      <c r="R167" s="80">
        <f t="shared" si="122"/>
        <v>0</v>
      </c>
      <c r="S167" s="79">
        <v>0</v>
      </c>
      <c r="T167" s="81">
        <f t="shared" si="123"/>
        <v>0</v>
      </c>
      <c r="U167" s="80">
        <f t="shared" si="147"/>
        <v>0</v>
      </c>
      <c r="V167" s="70">
        <f t="shared" si="148"/>
        <v>0</v>
      </c>
      <c r="W167" s="80">
        <f t="shared" si="149"/>
        <v>0</v>
      </c>
      <c r="X167" s="70">
        <f t="shared" si="150"/>
        <v>0</v>
      </c>
      <c r="Y167" s="80">
        <f t="shared" si="151"/>
        <v>0</v>
      </c>
      <c r="Z167" s="70">
        <f t="shared" si="152"/>
        <v>0</v>
      </c>
      <c r="AA167" s="82"/>
      <c r="AC167" s="79">
        <v>0</v>
      </c>
      <c r="AD167" s="79">
        <v>0</v>
      </c>
      <c r="AE167" s="79">
        <v>0</v>
      </c>
      <c r="AF167" s="83">
        <f t="shared" si="153"/>
        <v>0</v>
      </c>
      <c r="AG167" s="70">
        <f t="shared" si="154"/>
        <v>0</v>
      </c>
      <c r="AH167" s="83">
        <f t="shared" si="155"/>
        <v>0</v>
      </c>
      <c r="AI167" s="70">
        <f t="shared" si="156"/>
        <v>0</v>
      </c>
      <c r="AK167" s="79">
        <v>0</v>
      </c>
      <c r="AL167" s="80">
        <f t="shared" si="130"/>
        <v>0</v>
      </c>
      <c r="AM167" s="79">
        <v>0</v>
      </c>
      <c r="AN167" s="80">
        <f t="shared" si="131"/>
        <v>0</v>
      </c>
      <c r="AO167" s="79">
        <v>0</v>
      </c>
      <c r="AP167" s="80">
        <f t="shared" si="132"/>
        <v>0</v>
      </c>
      <c r="AQ167" s="79">
        <v>0</v>
      </c>
      <c r="AR167" s="81">
        <f t="shared" si="133"/>
        <v>0</v>
      </c>
      <c r="AS167" s="80">
        <f t="shared" si="157"/>
        <v>0</v>
      </c>
      <c r="AT167" s="70">
        <f t="shared" si="158"/>
        <v>0</v>
      </c>
      <c r="AU167" s="80">
        <f t="shared" si="159"/>
        <v>0</v>
      </c>
      <c r="AV167" s="70">
        <f t="shared" si="160"/>
        <v>0</v>
      </c>
      <c r="AW167" s="80">
        <f t="shared" si="161"/>
        <v>0</v>
      </c>
      <c r="AX167" s="70">
        <f t="shared" si="162"/>
        <v>0</v>
      </c>
      <c r="AY167" s="82"/>
      <c r="BA167" s="79">
        <v>0</v>
      </c>
      <c r="BB167" s="80">
        <f t="shared" si="140"/>
        <v>0</v>
      </c>
      <c r="BC167" s="79">
        <v>0</v>
      </c>
      <c r="BD167" s="80">
        <f t="shared" si="141"/>
        <v>0</v>
      </c>
      <c r="BE167" s="79">
        <v>5190.3100000000004</v>
      </c>
      <c r="BF167" s="81">
        <f t="shared" si="142"/>
        <v>2.5840091993198839E-3</v>
      </c>
      <c r="BG167" s="80">
        <f t="shared" si="163"/>
        <v>0</v>
      </c>
      <c r="BH167" s="70">
        <f t="shared" si="164"/>
        <v>0</v>
      </c>
      <c r="BI167" s="80">
        <f t="shared" si="165"/>
        <v>0</v>
      </c>
      <c r="BJ167" s="70">
        <f t="shared" si="166"/>
        <v>5190.3100000000004</v>
      </c>
      <c r="BK167" s="82"/>
    </row>
    <row r="168" spans="5:63" ht="11.95" thickBot="1" x14ac:dyDescent="0.3">
      <c r="E168" s="3"/>
      <c r="F168" s="3"/>
      <c r="G168" s="3"/>
      <c r="H168" s="3" t="s">
        <v>218</v>
      </c>
      <c r="I168" s="18"/>
      <c r="J168" s="18"/>
      <c r="K168" s="18"/>
      <c r="L168" s="78"/>
      <c r="M168" s="79"/>
      <c r="N168" s="80">
        <f t="shared" si="120"/>
        <v>0</v>
      </c>
      <c r="O168" s="79"/>
      <c r="P168" s="80">
        <f t="shared" si="121"/>
        <v>0</v>
      </c>
      <c r="Q168" s="79"/>
      <c r="R168" s="80">
        <f t="shared" si="122"/>
        <v>0</v>
      </c>
      <c r="S168" s="79"/>
      <c r="T168" s="81">
        <f t="shared" si="123"/>
        <v>0</v>
      </c>
      <c r="U168" s="80">
        <f t="shared" si="147"/>
        <v>0</v>
      </c>
      <c r="V168" s="70">
        <f t="shared" si="148"/>
        <v>0</v>
      </c>
      <c r="W168" s="80">
        <f t="shared" si="149"/>
        <v>0</v>
      </c>
      <c r="X168" s="70">
        <f t="shared" si="150"/>
        <v>0</v>
      </c>
      <c r="Y168" s="80">
        <f t="shared" si="151"/>
        <v>0</v>
      </c>
      <c r="Z168" s="70">
        <f t="shared" si="152"/>
        <v>0</v>
      </c>
      <c r="AA168" s="82"/>
      <c r="AC168" s="79">
        <v>0</v>
      </c>
      <c r="AD168" s="79">
        <v>0</v>
      </c>
      <c r="AE168" s="79">
        <v>0</v>
      </c>
      <c r="AF168" s="83">
        <f t="shared" si="153"/>
        <v>0</v>
      </c>
      <c r="AG168" s="70">
        <f t="shared" si="154"/>
        <v>0</v>
      </c>
      <c r="AH168" s="83">
        <f t="shared" si="155"/>
        <v>0</v>
      </c>
      <c r="AI168" s="70">
        <f t="shared" si="156"/>
        <v>0</v>
      </c>
      <c r="AK168" s="79">
        <v>0</v>
      </c>
      <c r="AL168" s="80">
        <f t="shared" si="130"/>
        <v>0</v>
      </c>
      <c r="AM168" s="79">
        <v>0</v>
      </c>
      <c r="AN168" s="80">
        <f t="shared" si="131"/>
        <v>0</v>
      </c>
      <c r="AO168" s="79">
        <v>0</v>
      </c>
      <c r="AP168" s="80">
        <f t="shared" si="132"/>
        <v>0</v>
      </c>
      <c r="AQ168" s="79">
        <v>0</v>
      </c>
      <c r="AR168" s="81">
        <f t="shared" si="133"/>
        <v>0</v>
      </c>
      <c r="AS168" s="80">
        <f t="shared" si="157"/>
        <v>0</v>
      </c>
      <c r="AT168" s="70">
        <f t="shared" si="158"/>
        <v>0</v>
      </c>
      <c r="AU168" s="80">
        <f t="shared" si="159"/>
        <v>0</v>
      </c>
      <c r="AV168" s="70">
        <f t="shared" si="160"/>
        <v>0</v>
      </c>
      <c r="AW168" s="80">
        <f t="shared" si="161"/>
        <v>0</v>
      </c>
      <c r="AX168" s="70">
        <f t="shared" si="162"/>
        <v>0</v>
      </c>
      <c r="AY168" s="82"/>
      <c r="BA168" s="79">
        <v>0</v>
      </c>
      <c r="BB168" s="80">
        <f t="shared" si="140"/>
        <v>0</v>
      </c>
      <c r="BC168" s="79">
        <v>0</v>
      </c>
      <c r="BD168" s="80">
        <f t="shared" si="141"/>
        <v>0</v>
      </c>
      <c r="BE168" s="79">
        <v>1546.16</v>
      </c>
      <c r="BF168" s="81">
        <f t="shared" si="142"/>
        <v>7.6975973759186472E-4</v>
      </c>
      <c r="BG168" s="80">
        <f t="shared" si="163"/>
        <v>0</v>
      </c>
      <c r="BH168" s="70">
        <f t="shared" si="164"/>
        <v>0</v>
      </c>
      <c r="BI168" s="80">
        <f t="shared" si="165"/>
        <v>0</v>
      </c>
      <c r="BJ168" s="70">
        <f t="shared" si="166"/>
        <v>1546.16</v>
      </c>
      <c r="BK168" s="82"/>
    </row>
    <row r="169" spans="5:63" ht="11.95" thickBot="1" x14ac:dyDescent="0.3">
      <c r="E169" s="3"/>
      <c r="F169" s="3"/>
      <c r="G169" s="3"/>
      <c r="H169" s="3" t="s">
        <v>219</v>
      </c>
      <c r="I169" s="18"/>
      <c r="J169" s="18"/>
      <c r="K169" s="18"/>
      <c r="L169" s="78"/>
      <c r="M169" s="79"/>
      <c r="N169" s="80">
        <f t="shared" si="120"/>
        <v>0</v>
      </c>
      <c r="O169" s="79"/>
      <c r="P169" s="80">
        <f t="shared" si="121"/>
        <v>0</v>
      </c>
      <c r="Q169" s="79"/>
      <c r="R169" s="80">
        <f t="shared" si="122"/>
        <v>0</v>
      </c>
      <c r="S169" s="79"/>
      <c r="T169" s="81">
        <f t="shared" si="123"/>
        <v>0</v>
      </c>
      <c r="U169" s="80">
        <f t="shared" si="147"/>
        <v>0</v>
      </c>
      <c r="V169" s="70">
        <f t="shared" si="148"/>
        <v>0</v>
      </c>
      <c r="W169" s="80">
        <f t="shared" si="149"/>
        <v>0</v>
      </c>
      <c r="X169" s="70">
        <f t="shared" si="150"/>
        <v>0</v>
      </c>
      <c r="Y169" s="80">
        <f t="shared" si="151"/>
        <v>0</v>
      </c>
      <c r="Z169" s="70">
        <f t="shared" si="152"/>
        <v>0</v>
      </c>
      <c r="AA169" s="82"/>
      <c r="AC169" s="79">
        <v>0</v>
      </c>
      <c r="AD169" s="79">
        <v>0</v>
      </c>
      <c r="AE169" s="79">
        <v>0</v>
      </c>
      <c r="AF169" s="83">
        <f t="shared" si="153"/>
        <v>0</v>
      </c>
      <c r="AG169" s="70">
        <f t="shared" si="154"/>
        <v>0</v>
      </c>
      <c r="AH169" s="83">
        <f t="shared" si="155"/>
        <v>0</v>
      </c>
      <c r="AI169" s="70">
        <f t="shared" si="156"/>
        <v>0</v>
      </c>
      <c r="AK169" s="79">
        <v>0</v>
      </c>
      <c r="AL169" s="80">
        <f t="shared" si="130"/>
        <v>0</v>
      </c>
      <c r="AM169" s="79">
        <v>0</v>
      </c>
      <c r="AN169" s="80">
        <f t="shared" si="131"/>
        <v>0</v>
      </c>
      <c r="AO169" s="79">
        <v>0</v>
      </c>
      <c r="AP169" s="80">
        <f t="shared" si="132"/>
        <v>0</v>
      </c>
      <c r="AQ169" s="79">
        <v>0</v>
      </c>
      <c r="AR169" s="81">
        <f t="shared" si="133"/>
        <v>0</v>
      </c>
      <c r="AS169" s="80">
        <f t="shared" si="157"/>
        <v>0</v>
      </c>
      <c r="AT169" s="70">
        <f t="shared" si="158"/>
        <v>0</v>
      </c>
      <c r="AU169" s="80">
        <f t="shared" si="159"/>
        <v>0</v>
      </c>
      <c r="AV169" s="70">
        <f t="shared" si="160"/>
        <v>0</v>
      </c>
      <c r="AW169" s="80">
        <f t="shared" si="161"/>
        <v>0</v>
      </c>
      <c r="AX169" s="70">
        <f t="shared" si="162"/>
        <v>0</v>
      </c>
      <c r="AY169" s="82"/>
      <c r="BA169" s="79">
        <v>0</v>
      </c>
      <c r="BB169" s="80">
        <f t="shared" si="140"/>
        <v>0</v>
      </c>
      <c r="BC169" s="79">
        <v>0</v>
      </c>
      <c r="BD169" s="80">
        <f t="shared" si="141"/>
        <v>0</v>
      </c>
      <c r="BE169" s="79">
        <v>0</v>
      </c>
      <c r="BF169" s="81">
        <f t="shared" si="142"/>
        <v>0</v>
      </c>
      <c r="BG169" s="80">
        <f t="shared" si="163"/>
        <v>0</v>
      </c>
      <c r="BH169" s="70">
        <f t="shared" si="164"/>
        <v>0</v>
      </c>
      <c r="BI169" s="80">
        <f t="shared" si="165"/>
        <v>0</v>
      </c>
      <c r="BJ169" s="70">
        <f t="shared" si="166"/>
        <v>0</v>
      </c>
      <c r="BK169" s="82"/>
    </row>
    <row r="170" spans="5:63" ht="11.95" thickBot="1" x14ac:dyDescent="0.3">
      <c r="E170" s="3"/>
      <c r="F170" s="3"/>
      <c r="G170" s="3"/>
      <c r="H170" s="3" t="s">
        <v>220</v>
      </c>
      <c r="I170" s="18"/>
      <c r="J170" s="18"/>
      <c r="K170" s="18"/>
      <c r="L170" s="78"/>
      <c r="M170" s="79"/>
      <c r="N170" s="80">
        <f t="shared" si="120"/>
        <v>0</v>
      </c>
      <c r="O170" s="79"/>
      <c r="P170" s="80">
        <f t="shared" si="121"/>
        <v>0</v>
      </c>
      <c r="Q170" s="79"/>
      <c r="R170" s="80">
        <f t="shared" si="122"/>
        <v>0</v>
      </c>
      <c r="S170" s="79"/>
      <c r="T170" s="81">
        <f t="shared" si="123"/>
        <v>0</v>
      </c>
      <c r="U170" s="80">
        <f t="shared" si="147"/>
        <v>0</v>
      </c>
      <c r="V170" s="70">
        <f t="shared" si="148"/>
        <v>0</v>
      </c>
      <c r="W170" s="80">
        <f t="shared" si="149"/>
        <v>0</v>
      </c>
      <c r="X170" s="70">
        <f t="shared" si="150"/>
        <v>0</v>
      </c>
      <c r="Y170" s="80">
        <f t="shared" si="151"/>
        <v>0</v>
      </c>
      <c r="Z170" s="70">
        <f t="shared" si="152"/>
        <v>0</v>
      </c>
      <c r="AA170" s="82"/>
      <c r="AC170" s="79">
        <v>0</v>
      </c>
      <c r="AD170" s="79">
        <v>0</v>
      </c>
      <c r="AE170" s="79">
        <v>0</v>
      </c>
      <c r="AF170" s="83">
        <f t="shared" si="153"/>
        <v>0</v>
      </c>
      <c r="AG170" s="70">
        <f t="shared" si="154"/>
        <v>0</v>
      </c>
      <c r="AH170" s="83">
        <f t="shared" si="155"/>
        <v>0</v>
      </c>
      <c r="AI170" s="70">
        <f t="shared" si="156"/>
        <v>0</v>
      </c>
      <c r="AK170" s="79">
        <v>0</v>
      </c>
      <c r="AL170" s="80">
        <f t="shared" si="130"/>
        <v>0</v>
      </c>
      <c r="AM170" s="79">
        <v>0</v>
      </c>
      <c r="AN170" s="80">
        <f t="shared" si="131"/>
        <v>0</v>
      </c>
      <c r="AO170" s="79">
        <v>0</v>
      </c>
      <c r="AP170" s="80">
        <f t="shared" si="132"/>
        <v>0</v>
      </c>
      <c r="AQ170" s="79">
        <v>0</v>
      </c>
      <c r="AR170" s="81">
        <f t="shared" si="133"/>
        <v>0</v>
      </c>
      <c r="AS170" s="80">
        <f t="shared" si="157"/>
        <v>0</v>
      </c>
      <c r="AT170" s="70">
        <f t="shared" si="158"/>
        <v>0</v>
      </c>
      <c r="AU170" s="80">
        <f t="shared" si="159"/>
        <v>0</v>
      </c>
      <c r="AV170" s="70">
        <f t="shared" si="160"/>
        <v>0</v>
      </c>
      <c r="AW170" s="80">
        <f t="shared" si="161"/>
        <v>0</v>
      </c>
      <c r="AX170" s="70">
        <f t="shared" si="162"/>
        <v>0</v>
      </c>
      <c r="AY170" s="82"/>
      <c r="BA170" s="79">
        <v>0</v>
      </c>
      <c r="BB170" s="80">
        <f t="shared" si="140"/>
        <v>0</v>
      </c>
      <c r="BC170" s="79">
        <v>0</v>
      </c>
      <c r="BD170" s="80">
        <f t="shared" si="141"/>
        <v>0</v>
      </c>
      <c r="BE170" s="79">
        <v>921.74</v>
      </c>
      <c r="BF170" s="81">
        <f t="shared" si="142"/>
        <v>4.5889063261753333E-4</v>
      </c>
      <c r="BG170" s="80">
        <f t="shared" si="163"/>
        <v>0</v>
      </c>
      <c r="BH170" s="70">
        <f t="shared" si="164"/>
        <v>0</v>
      </c>
      <c r="BI170" s="80">
        <f t="shared" si="165"/>
        <v>0</v>
      </c>
      <c r="BJ170" s="70">
        <f t="shared" si="166"/>
        <v>921.74</v>
      </c>
      <c r="BK170" s="82"/>
    </row>
    <row r="171" spans="5:63" ht="11.95" thickBot="1" x14ac:dyDescent="0.3">
      <c r="E171" s="3"/>
      <c r="F171" s="3"/>
      <c r="G171" s="3"/>
      <c r="H171" s="3" t="s">
        <v>221</v>
      </c>
      <c r="I171" s="18"/>
      <c r="J171" s="18"/>
      <c r="K171" s="18"/>
      <c r="L171" s="78"/>
      <c r="M171" s="79"/>
      <c r="N171" s="80">
        <f t="shared" si="120"/>
        <v>0</v>
      </c>
      <c r="O171" s="79"/>
      <c r="P171" s="80">
        <f t="shared" si="121"/>
        <v>0</v>
      </c>
      <c r="Q171" s="79"/>
      <c r="R171" s="80">
        <f t="shared" si="122"/>
        <v>0</v>
      </c>
      <c r="S171" s="79"/>
      <c r="T171" s="81">
        <f t="shared" si="123"/>
        <v>0</v>
      </c>
      <c r="U171" s="80">
        <f t="shared" si="147"/>
        <v>0</v>
      </c>
      <c r="V171" s="70">
        <f t="shared" si="148"/>
        <v>0</v>
      </c>
      <c r="W171" s="80">
        <f t="shared" si="149"/>
        <v>0</v>
      </c>
      <c r="X171" s="70">
        <f t="shared" si="150"/>
        <v>0</v>
      </c>
      <c r="Y171" s="80">
        <f t="shared" si="151"/>
        <v>0</v>
      </c>
      <c r="Z171" s="70">
        <f t="shared" si="152"/>
        <v>0</v>
      </c>
      <c r="AA171" s="82"/>
      <c r="AC171" s="79">
        <v>0</v>
      </c>
      <c r="AD171" s="79">
        <v>0</v>
      </c>
      <c r="AE171" s="79">
        <v>0</v>
      </c>
      <c r="AF171" s="83">
        <f t="shared" si="153"/>
        <v>0</v>
      </c>
      <c r="AG171" s="70">
        <f t="shared" si="154"/>
        <v>0</v>
      </c>
      <c r="AH171" s="83">
        <f t="shared" si="155"/>
        <v>0</v>
      </c>
      <c r="AI171" s="70">
        <f t="shared" si="156"/>
        <v>0</v>
      </c>
      <c r="AK171" s="79">
        <v>0</v>
      </c>
      <c r="AL171" s="80">
        <f t="shared" si="130"/>
        <v>0</v>
      </c>
      <c r="AM171" s="79">
        <v>0</v>
      </c>
      <c r="AN171" s="80">
        <f t="shared" si="131"/>
        <v>0</v>
      </c>
      <c r="AO171" s="79">
        <v>0</v>
      </c>
      <c r="AP171" s="80">
        <f t="shared" si="132"/>
        <v>0</v>
      </c>
      <c r="AQ171" s="79">
        <v>0</v>
      </c>
      <c r="AR171" s="81">
        <f t="shared" si="133"/>
        <v>0</v>
      </c>
      <c r="AS171" s="80">
        <f t="shared" si="157"/>
        <v>0</v>
      </c>
      <c r="AT171" s="70">
        <f t="shared" si="158"/>
        <v>0</v>
      </c>
      <c r="AU171" s="80">
        <f t="shared" si="159"/>
        <v>0</v>
      </c>
      <c r="AV171" s="70">
        <f t="shared" si="160"/>
        <v>0</v>
      </c>
      <c r="AW171" s="80">
        <f t="shared" si="161"/>
        <v>0</v>
      </c>
      <c r="AX171" s="70">
        <f t="shared" si="162"/>
        <v>0</v>
      </c>
      <c r="AY171" s="82"/>
      <c r="BA171" s="79">
        <v>0</v>
      </c>
      <c r="BB171" s="80">
        <f t="shared" si="140"/>
        <v>0</v>
      </c>
      <c r="BC171" s="79">
        <v>0</v>
      </c>
      <c r="BD171" s="80">
        <f t="shared" si="141"/>
        <v>0</v>
      </c>
      <c r="BE171" s="79">
        <v>1482.03</v>
      </c>
      <c r="BF171" s="81">
        <f t="shared" si="142"/>
        <v>7.378324519475806E-4</v>
      </c>
      <c r="BG171" s="80">
        <f t="shared" si="163"/>
        <v>0</v>
      </c>
      <c r="BH171" s="70">
        <f t="shared" si="164"/>
        <v>0</v>
      </c>
      <c r="BI171" s="80">
        <f t="shared" si="165"/>
        <v>0</v>
      </c>
      <c r="BJ171" s="70">
        <f t="shared" si="166"/>
        <v>1482.03</v>
      </c>
      <c r="BK171" s="82"/>
    </row>
    <row r="172" spans="5:63" ht="11.95" thickBot="1" x14ac:dyDescent="0.3">
      <c r="E172" s="3"/>
      <c r="F172" s="3"/>
      <c r="G172" s="3"/>
      <c r="H172" s="3" t="s">
        <v>222</v>
      </c>
      <c r="I172" s="18"/>
      <c r="J172" s="18"/>
      <c r="K172" s="18"/>
      <c r="L172" s="78"/>
      <c r="M172" s="79"/>
      <c r="N172" s="80">
        <f t="shared" si="120"/>
        <v>0</v>
      </c>
      <c r="O172" s="79"/>
      <c r="P172" s="80">
        <f t="shared" si="121"/>
        <v>0</v>
      </c>
      <c r="Q172" s="79"/>
      <c r="R172" s="80">
        <f t="shared" si="122"/>
        <v>0</v>
      </c>
      <c r="S172" s="79"/>
      <c r="T172" s="81">
        <f t="shared" si="123"/>
        <v>0</v>
      </c>
      <c r="U172" s="80">
        <f t="shared" si="147"/>
        <v>0</v>
      </c>
      <c r="V172" s="70">
        <f t="shared" si="148"/>
        <v>0</v>
      </c>
      <c r="W172" s="80">
        <f t="shared" si="149"/>
        <v>0</v>
      </c>
      <c r="X172" s="70">
        <f t="shared" si="150"/>
        <v>0</v>
      </c>
      <c r="Y172" s="80">
        <f t="shared" si="151"/>
        <v>0</v>
      </c>
      <c r="Z172" s="70">
        <f t="shared" si="152"/>
        <v>0</v>
      </c>
      <c r="AA172" s="82"/>
      <c r="AC172" s="79">
        <v>0</v>
      </c>
      <c r="AD172" s="79">
        <v>0</v>
      </c>
      <c r="AE172" s="79">
        <v>0</v>
      </c>
      <c r="AF172" s="83">
        <f t="shared" si="153"/>
        <v>0</v>
      </c>
      <c r="AG172" s="70">
        <f t="shared" si="154"/>
        <v>0</v>
      </c>
      <c r="AH172" s="83">
        <f t="shared" si="155"/>
        <v>0</v>
      </c>
      <c r="AI172" s="70">
        <f t="shared" si="156"/>
        <v>0</v>
      </c>
      <c r="AK172" s="79">
        <v>0</v>
      </c>
      <c r="AL172" s="80">
        <f t="shared" si="130"/>
        <v>0</v>
      </c>
      <c r="AM172" s="79">
        <v>0</v>
      </c>
      <c r="AN172" s="80">
        <f t="shared" si="131"/>
        <v>0</v>
      </c>
      <c r="AO172" s="79">
        <v>0</v>
      </c>
      <c r="AP172" s="80">
        <f t="shared" si="132"/>
        <v>0</v>
      </c>
      <c r="AQ172" s="79">
        <v>0</v>
      </c>
      <c r="AR172" s="81">
        <f t="shared" si="133"/>
        <v>0</v>
      </c>
      <c r="AS172" s="80">
        <f t="shared" si="157"/>
        <v>0</v>
      </c>
      <c r="AT172" s="70">
        <f t="shared" si="158"/>
        <v>0</v>
      </c>
      <c r="AU172" s="80">
        <f t="shared" si="159"/>
        <v>0</v>
      </c>
      <c r="AV172" s="70">
        <f t="shared" si="160"/>
        <v>0</v>
      </c>
      <c r="AW172" s="80">
        <f t="shared" si="161"/>
        <v>0</v>
      </c>
      <c r="AX172" s="70">
        <f t="shared" si="162"/>
        <v>0</v>
      </c>
      <c r="AY172" s="82"/>
      <c r="BA172" s="79">
        <v>0</v>
      </c>
      <c r="BB172" s="80">
        <f t="shared" si="140"/>
        <v>0</v>
      </c>
      <c r="BC172" s="79">
        <v>0</v>
      </c>
      <c r="BD172" s="80">
        <f t="shared" si="141"/>
        <v>0</v>
      </c>
      <c r="BE172" s="79">
        <v>0</v>
      </c>
      <c r="BF172" s="81">
        <f t="shared" si="142"/>
        <v>0</v>
      </c>
      <c r="BG172" s="80">
        <f t="shared" si="163"/>
        <v>0</v>
      </c>
      <c r="BH172" s="70">
        <f t="shared" si="164"/>
        <v>0</v>
      </c>
      <c r="BI172" s="80">
        <f t="shared" si="165"/>
        <v>0</v>
      </c>
      <c r="BJ172" s="70">
        <f t="shared" si="166"/>
        <v>0</v>
      </c>
      <c r="BK172" s="82"/>
    </row>
    <row r="173" spans="5:63" ht="11.95" thickBot="1" x14ac:dyDescent="0.3">
      <c r="E173" s="3"/>
      <c r="F173" s="3"/>
      <c r="G173" s="3"/>
      <c r="H173" s="3" t="s">
        <v>223</v>
      </c>
      <c r="I173" s="18"/>
      <c r="J173" s="18"/>
      <c r="K173" s="18"/>
      <c r="L173" s="78"/>
      <c r="M173" s="79"/>
      <c r="N173" s="80">
        <f t="shared" si="120"/>
        <v>0</v>
      </c>
      <c r="O173" s="79"/>
      <c r="P173" s="80">
        <f t="shared" si="121"/>
        <v>0</v>
      </c>
      <c r="Q173" s="79"/>
      <c r="R173" s="80">
        <f t="shared" si="122"/>
        <v>0</v>
      </c>
      <c r="S173" s="79"/>
      <c r="T173" s="81">
        <f t="shared" si="123"/>
        <v>0</v>
      </c>
      <c r="U173" s="80">
        <f t="shared" si="147"/>
        <v>0</v>
      </c>
      <c r="V173" s="70">
        <f t="shared" si="148"/>
        <v>0</v>
      </c>
      <c r="W173" s="80">
        <f t="shared" si="149"/>
        <v>0</v>
      </c>
      <c r="X173" s="70">
        <f t="shared" si="150"/>
        <v>0</v>
      </c>
      <c r="Y173" s="80">
        <f t="shared" si="151"/>
        <v>0</v>
      </c>
      <c r="Z173" s="70">
        <f t="shared" si="152"/>
        <v>0</v>
      </c>
      <c r="AA173" s="82"/>
      <c r="AC173" s="79">
        <v>0</v>
      </c>
      <c r="AD173" s="79">
        <v>0</v>
      </c>
      <c r="AE173" s="79">
        <v>0</v>
      </c>
      <c r="AF173" s="83">
        <f t="shared" si="153"/>
        <v>0</v>
      </c>
      <c r="AG173" s="70">
        <f t="shared" si="154"/>
        <v>0</v>
      </c>
      <c r="AH173" s="83">
        <f t="shared" si="155"/>
        <v>0</v>
      </c>
      <c r="AI173" s="70">
        <f t="shared" si="156"/>
        <v>0</v>
      </c>
      <c r="AK173" s="79">
        <v>0</v>
      </c>
      <c r="AL173" s="80">
        <f t="shared" si="130"/>
        <v>0</v>
      </c>
      <c r="AM173" s="79">
        <v>0</v>
      </c>
      <c r="AN173" s="80">
        <f t="shared" si="131"/>
        <v>0</v>
      </c>
      <c r="AO173" s="79">
        <v>0</v>
      </c>
      <c r="AP173" s="80">
        <f t="shared" si="132"/>
        <v>0</v>
      </c>
      <c r="AQ173" s="79">
        <v>0</v>
      </c>
      <c r="AR173" s="81">
        <f t="shared" si="133"/>
        <v>0</v>
      </c>
      <c r="AS173" s="80">
        <f t="shared" si="157"/>
        <v>0</v>
      </c>
      <c r="AT173" s="70">
        <f t="shared" si="158"/>
        <v>0</v>
      </c>
      <c r="AU173" s="80">
        <f t="shared" si="159"/>
        <v>0</v>
      </c>
      <c r="AV173" s="70">
        <f t="shared" si="160"/>
        <v>0</v>
      </c>
      <c r="AW173" s="80">
        <f t="shared" si="161"/>
        <v>0</v>
      </c>
      <c r="AX173" s="70">
        <f t="shared" si="162"/>
        <v>0</v>
      </c>
      <c r="AY173" s="82"/>
      <c r="BA173" s="79">
        <v>0</v>
      </c>
      <c r="BB173" s="80">
        <f t="shared" si="140"/>
        <v>0</v>
      </c>
      <c r="BC173" s="79">
        <v>0</v>
      </c>
      <c r="BD173" s="80">
        <f t="shared" si="141"/>
        <v>0</v>
      </c>
      <c r="BE173" s="79">
        <v>0</v>
      </c>
      <c r="BF173" s="81">
        <f t="shared" si="142"/>
        <v>0</v>
      </c>
      <c r="BG173" s="80">
        <f t="shared" si="163"/>
        <v>0</v>
      </c>
      <c r="BH173" s="70">
        <f t="shared" si="164"/>
        <v>0</v>
      </c>
      <c r="BI173" s="80">
        <f t="shared" si="165"/>
        <v>0</v>
      </c>
      <c r="BJ173" s="70">
        <f t="shared" si="166"/>
        <v>0</v>
      </c>
      <c r="BK173" s="82"/>
    </row>
    <row r="174" spans="5:63" ht="11.95" thickBot="1" x14ac:dyDescent="0.3">
      <c r="E174" s="3"/>
      <c r="F174" s="3"/>
      <c r="G174" s="3"/>
      <c r="H174" s="3" t="s">
        <v>224</v>
      </c>
      <c r="I174" s="18"/>
      <c r="J174" s="18"/>
      <c r="K174" s="18"/>
      <c r="L174" s="78"/>
      <c r="M174" s="79"/>
      <c r="N174" s="80">
        <f t="shared" si="120"/>
        <v>0</v>
      </c>
      <c r="O174" s="79"/>
      <c r="P174" s="80">
        <f t="shared" si="121"/>
        <v>0</v>
      </c>
      <c r="Q174" s="79"/>
      <c r="R174" s="80">
        <f t="shared" si="122"/>
        <v>0</v>
      </c>
      <c r="S174" s="79"/>
      <c r="T174" s="81">
        <f t="shared" si="123"/>
        <v>0</v>
      </c>
      <c r="U174" s="80">
        <f t="shared" si="147"/>
        <v>0</v>
      </c>
      <c r="V174" s="70">
        <f t="shared" si="148"/>
        <v>0</v>
      </c>
      <c r="W174" s="80">
        <f t="shared" si="149"/>
        <v>0</v>
      </c>
      <c r="X174" s="70">
        <f t="shared" si="150"/>
        <v>0</v>
      </c>
      <c r="Y174" s="80">
        <f t="shared" si="151"/>
        <v>0</v>
      </c>
      <c r="Z174" s="70">
        <f t="shared" si="152"/>
        <v>0</v>
      </c>
      <c r="AA174" s="82"/>
      <c r="AC174" s="79">
        <v>0</v>
      </c>
      <c r="AD174" s="79">
        <v>0</v>
      </c>
      <c r="AE174" s="79">
        <v>0</v>
      </c>
      <c r="AF174" s="83">
        <f t="shared" si="153"/>
        <v>0</v>
      </c>
      <c r="AG174" s="70">
        <f t="shared" si="154"/>
        <v>0</v>
      </c>
      <c r="AH174" s="83">
        <f t="shared" si="155"/>
        <v>0</v>
      </c>
      <c r="AI174" s="70">
        <f t="shared" si="156"/>
        <v>0</v>
      </c>
      <c r="AK174" s="79">
        <v>0</v>
      </c>
      <c r="AL174" s="80">
        <f t="shared" si="130"/>
        <v>0</v>
      </c>
      <c r="AM174" s="79">
        <v>0</v>
      </c>
      <c r="AN174" s="80">
        <f t="shared" si="131"/>
        <v>0</v>
      </c>
      <c r="AO174" s="79">
        <v>0</v>
      </c>
      <c r="AP174" s="80">
        <f t="shared" si="132"/>
        <v>0</v>
      </c>
      <c r="AQ174" s="79">
        <v>0</v>
      </c>
      <c r="AR174" s="81">
        <f t="shared" si="133"/>
        <v>0</v>
      </c>
      <c r="AS174" s="80">
        <f t="shared" si="157"/>
        <v>0</v>
      </c>
      <c r="AT174" s="70">
        <f t="shared" si="158"/>
        <v>0</v>
      </c>
      <c r="AU174" s="80">
        <f t="shared" si="159"/>
        <v>0</v>
      </c>
      <c r="AV174" s="70">
        <f t="shared" si="160"/>
        <v>0</v>
      </c>
      <c r="AW174" s="80">
        <f t="shared" si="161"/>
        <v>0</v>
      </c>
      <c r="AX174" s="70">
        <f t="shared" si="162"/>
        <v>0</v>
      </c>
      <c r="AY174" s="82"/>
      <c r="BA174" s="79">
        <v>0</v>
      </c>
      <c r="BB174" s="80">
        <f t="shared" si="140"/>
        <v>0</v>
      </c>
      <c r="BC174" s="79">
        <v>0</v>
      </c>
      <c r="BD174" s="80">
        <f t="shared" si="141"/>
        <v>0</v>
      </c>
      <c r="BE174" s="79">
        <v>0</v>
      </c>
      <c r="BF174" s="81">
        <f t="shared" si="142"/>
        <v>0</v>
      </c>
      <c r="BG174" s="80">
        <f t="shared" si="163"/>
        <v>0</v>
      </c>
      <c r="BH174" s="70">
        <f t="shared" si="164"/>
        <v>0</v>
      </c>
      <c r="BI174" s="80">
        <f t="shared" si="165"/>
        <v>0</v>
      </c>
      <c r="BJ174" s="70">
        <f t="shared" si="166"/>
        <v>0</v>
      </c>
      <c r="BK174" s="82"/>
    </row>
    <row r="175" spans="5:63" ht="11.95" thickBot="1" x14ac:dyDescent="0.3">
      <c r="E175" s="3"/>
      <c r="F175" s="3"/>
      <c r="G175" s="3"/>
      <c r="H175" s="3" t="s">
        <v>225</v>
      </c>
      <c r="I175" s="18"/>
      <c r="J175" s="18"/>
      <c r="K175" s="18"/>
      <c r="L175" s="78"/>
      <c r="M175" s="79"/>
      <c r="N175" s="80">
        <f t="shared" si="120"/>
        <v>0</v>
      </c>
      <c r="O175" s="79"/>
      <c r="P175" s="80">
        <f t="shared" si="121"/>
        <v>0</v>
      </c>
      <c r="Q175" s="79"/>
      <c r="R175" s="80">
        <f t="shared" si="122"/>
        <v>0</v>
      </c>
      <c r="S175" s="79"/>
      <c r="T175" s="81">
        <f t="shared" si="123"/>
        <v>0</v>
      </c>
      <c r="U175" s="80">
        <f t="shared" si="147"/>
        <v>0</v>
      </c>
      <c r="V175" s="70">
        <f t="shared" si="148"/>
        <v>0</v>
      </c>
      <c r="W175" s="80">
        <f t="shared" si="149"/>
        <v>0</v>
      </c>
      <c r="X175" s="70">
        <f t="shared" si="150"/>
        <v>0</v>
      </c>
      <c r="Y175" s="80">
        <f t="shared" si="151"/>
        <v>0</v>
      </c>
      <c r="Z175" s="70">
        <f t="shared" si="152"/>
        <v>0</v>
      </c>
      <c r="AA175" s="82"/>
      <c r="AC175" s="79">
        <v>0</v>
      </c>
      <c r="AD175" s="79">
        <v>0</v>
      </c>
      <c r="AE175" s="79">
        <v>0</v>
      </c>
      <c r="AF175" s="83">
        <f t="shared" si="153"/>
        <v>0</v>
      </c>
      <c r="AG175" s="70">
        <f t="shared" si="154"/>
        <v>0</v>
      </c>
      <c r="AH175" s="83">
        <f t="shared" si="155"/>
        <v>0</v>
      </c>
      <c r="AI175" s="70">
        <f t="shared" si="156"/>
        <v>0</v>
      </c>
      <c r="AK175" s="79">
        <v>0</v>
      </c>
      <c r="AL175" s="80">
        <f t="shared" si="130"/>
        <v>0</v>
      </c>
      <c r="AM175" s="79">
        <v>0</v>
      </c>
      <c r="AN175" s="80">
        <f t="shared" si="131"/>
        <v>0</v>
      </c>
      <c r="AO175" s="79">
        <v>0</v>
      </c>
      <c r="AP175" s="80">
        <f t="shared" si="132"/>
        <v>0</v>
      </c>
      <c r="AQ175" s="79">
        <v>0</v>
      </c>
      <c r="AR175" s="81">
        <f t="shared" si="133"/>
        <v>0</v>
      </c>
      <c r="AS175" s="80">
        <f t="shared" si="157"/>
        <v>0</v>
      </c>
      <c r="AT175" s="70">
        <f t="shared" si="158"/>
        <v>0</v>
      </c>
      <c r="AU175" s="80">
        <f t="shared" si="159"/>
        <v>0</v>
      </c>
      <c r="AV175" s="70">
        <f t="shared" si="160"/>
        <v>0</v>
      </c>
      <c r="AW175" s="80">
        <f t="shared" si="161"/>
        <v>0</v>
      </c>
      <c r="AX175" s="70">
        <f t="shared" si="162"/>
        <v>0</v>
      </c>
      <c r="AY175" s="82"/>
      <c r="BA175" s="79">
        <v>0</v>
      </c>
      <c r="BB175" s="80">
        <f t="shared" si="140"/>
        <v>0</v>
      </c>
      <c r="BC175" s="79">
        <v>0</v>
      </c>
      <c r="BD175" s="80">
        <f t="shared" si="141"/>
        <v>0</v>
      </c>
      <c r="BE175" s="79">
        <v>624.91</v>
      </c>
      <c r="BF175" s="81">
        <f t="shared" si="142"/>
        <v>3.1111305273615416E-4</v>
      </c>
      <c r="BG175" s="80">
        <f t="shared" si="163"/>
        <v>0</v>
      </c>
      <c r="BH175" s="70">
        <f t="shared" si="164"/>
        <v>0</v>
      </c>
      <c r="BI175" s="80">
        <f t="shared" si="165"/>
        <v>0</v>
      </c>
      <c r="BJ175" s="70">
        <f t="shared" si="166"/>
        <v>624.91</v>
      </c>
      <c r="BK175" s="82"/>
    </row>
    <row r="176" spans="5:63" ht="11.95" thickBot="1" x14ac:dyDescent="0.3">
      <c r="E176" s="3"/>
      <c r="F176" s="3"/>
      <c r="G176" s="3"/>
      <c r="H176" s="3" t="s">
        <v>226</v>
      </c>
      <c r="I176" s="18"/>
      <c r="J176" s="18"/>
      <c r="K176" s="18"/>
      <c r="L176" s="78"/>
      <c r="M176" s="79"/>
      <c r="N176" s="80">
        <f t="shared" si="120"/>
        <v>0</v>
      </c>
      <c r="O176" s="79"/>
      <c r="P176" s="80">
        <f t="shared" si="121"/>
        <v>0</v>
      </c>
      <c r="Q176" s="79"/>
      <c r="R176" s="80">
        <f t="shared" si="122"/>
        <v>0</v>
      </c>
      <c r="S176" s="79"/>
      <c r="T176" s="81">
        <f t="shared" si="123"/>
        <v>0</v>
      </c>
      <c r="U176" s="80">
        <f t="shared" si="147"/>
        <v>0</v>
      </c>
      <c r="V176" s="70">
        <f t="shared" si="148"/>
        <v>0</v>
      </c>
      <c r="W176" s="80">
        <f t="shared" si="149"/>
        <v>0</v>
      </c>
      <c r="X176" s="70">
        <f t="shared" si="150"/>
        <v>0</v>
      </c>
      <c r="Y176" s="80">
        <f t="shared" si="151"/>
        <v>0</v>
      </c>
      <c r="Z176" s="70">
        <f t="shared" si="152"/>
        <v>0</v>
      </c>
      <c r="AA176" s="82"/>
      <c r="AC176" s="79">
        <v>0</v>
      </c>
      <c r="AD176" s="79">
        <v>0</v>
      </c>
      <c r="AE176" s="79">
        <v>0</v>
      </c>
      <c r="AF176" s="83">
        <f t="shared" si="153"/>
        <v>0</v>
      </c>
      <c r="AG176" s="70">
        <f t="shared" si="154"/>
        <v>0</v>
      </c>
      <c r="AH176" s="83">
        <f t="shared" si="155"/>
        <v>0</v>
      </c>
      <c r="AI176" s="70">
        <f t="shared" si="156"/>
        <v>0</v>
      </c>
      <c r="AK176" s="79">
        <v>0</v>
      </c>
      <c r="AL176" s="80">
        <f t="shared" si="130"/>
        <v>0</v>
      </c>
      <c r="AM176" s="79">
        <v>0</v>
      </c>
      <c r="AN176" s="80">
        <f t="shared" si="131"/>
        <v>0</v>
      </c>
      <c r="AO176" s="79">
        <v>0</v>
      </c>
      <c r="AP176" s="80">
        <f t="shared" si="132"/>
        <v>0</v>
      </c>
      <c r="AQ176" s="79">
        <v>0</v>
      </c>
      <c r="AR176" s="81">
        <f t="shared" si="133"/>
        <v>0</v>
      </c>
      <c r="AS176" s="80">
        <f t="shared" si="157"/>
        <v>0</v>
      </c>
      <c r="AT176" s="70">
        <f t="shared" si="158"/>
        <v>0</v>
      </c>
      <c r="AU176" s="80">
        <f t="shared" si="159"/>
        <v>0</v>
      </c>
      <c r="AV176" s="70">
        <f t="shared" si="160"/>
        <v>0</v>
      </c>
      <c r="AW176" s="80">
        <f t="shared" si="161"/>
        <v>0</v>
      </c>
      <c r="AX176" s="70">
        <f t="shared" si="162"/>
        <v>0</v>
      </c>
      <c r="AY176" s="82"/>
      <c r="BA176" s="79">
        <v>0</v>
      </c>
      <c r="BB176" s="80">
        <f t="shared" si="140"/>
        <v>0</v>
      </c>
      <c r="BC176" s="79">
        <v>0</v>
      </c>
      <c r="BD176" s="80">
        <f t="shared" si="141"/>
        <v>0</v>
      </c>
      <c r="BE176" s="79">
        <v>0</v>
      </c>
      <c r="BF176" s="81">
        <f t="shared" si="142"/>
        <v>0</v>
      </c>
      <c r="BG176" s="80">
        <f t="shared" si="163"/>
        <v>0</v>
      </c>
      <c r="BH176" s="70">
        <f t="shared" si="164"/>
        <v>0</v>
      </c>
      <c r="BI176" s="80">
        <f t="shared" si="165"/>
        <v>0</v>
      </c>
      <c r="BJ176" s="70">
        <f t="shared" si="166"/>
        <v>0</v>
      </c>
      <c r="BK176" s="82"/>
    </row>
    <row r="177" spans="5:63" ht="11.95" thickBot="1" x14ac:dyDescent="0.3">
      <c r="E177" s="3"/>
      <c r="F177" s="3"/>
      <c r="G177" s="3"/>
      <c r="H177" s="3" t="s">
        <v>227</v>
      </c>
      <c r="I177" s="18"/>
      <c r="J177" s="18"/>
      <c r="K177" s="18"/>
      <c r="L177" s="78"/>
      <c r="M177" s="79"/>
      <c r="N177" s="80">
        <f t="shared" ref="N177:N208" si="167">IFERROR(M177/SUMIFS(M:M, $H:$H, "[+] Net Sales"),0)</f>
        <v>0</v>
      </c>
      <c r="O177" s="79"/>
      <c r="P177" s="80">
        <f t="shared" ref="P177:P208" si="168">IFERROR(O177/SUMIFS(O:O, $H:$H, "[+] Net Sales"),0)</f>
        <v>0</v>
      </c>
      <c r="Q177" s="79"/>
      <c r="R177" s="80">
        <f t="shared" ref="R177:R208" si="169">IFERROR(Q177/SUMIFS(Q:Q, $H:$H, "[+] Net Sales"),0)</f>
        <v>0</v>
      </c>
      <c r="S177" s="79"/>
      <c r="T177" s="81">
        <f t="shared" ref="T177:T208" si="170">IFERROR(S177/SUMIFS(S:S, $H:$H, "[+] Net Sales"),0)</f>
        <v>0</v>
      </c>
      <c r="U177" s="80">
        <f t="shared" si="147"/>
        <v>0</v>
      </c>
      <c r="V177" s="70">
        <f t="shared" si="148"/>
        <v>0</v>
      </c>
      <c r="W177" s="80">
        <f t="shared" si="149"/>
        <v>0</v>
      </c>
      <c r="X177" s="70">
        <f t="shared" si="150"/>
        <v>0</v>
      </c>
      <c r="Y177" s="80">
        <f t="shared" si="151"/>
        <v>0</v>
      </c>
      <c r="Z177" s="70">
        <f t="shared" si="152"/>
        <v>0</v>
      </c>
      <c r="AA177" s="82"/>
      <c r="AC177" s="79">
        <v>0</v>
      </c>
      <c r="AD177" s="79">
        <v>0</v>
      </c>
      <c r="AE177" s="79">
        <v>0</v>
      </c>
      <c r="AF177" s="83">
        <f t="shared" si="153"/>
        <v>0</v>
      </c>
      <c r="AG177" s="70">
        <f t="shared" si="154"/>
        <v>0</v>
      </c>
      <c r="AH177" s="83">
        <f t="shared" si="155"/>
        <v>0</v>
      </c>
      <c r="AI177" s="70">
        <f t="shared" si="156"/>
        <v>0</v>
      </c>
      <c r="AK177" s="79">
        <v>0</v>
      </c>
      <c r="AL177" s="80">
        <f t="shared" ref="AL177:AL208" si="171">IFERROR(AK177/SUMIFS(AK:AK, $H:$H, "[+] Net Sales"),0)</f>
        <v>0</v>
      </c>
      <c r="AM177" s="79">
        <v>0</v>
      </c>
      <c r="AN177" s="80">
        <f t="shared" ref="AN177:AN208" si="172">IFERROR(AM177/SUMIFS(AM:AM, $H:$H, "[+] Net Sales"),0)</f>
        <v>0</v>
      </c>
      <c r="AO177" s="79">
        <v>0</v>
      </c>
      <c r="AP177" s="80">
        <f t="shared" ref="AP177:AP208" si="173">IFERROR(AO177/SUMIFS(AO:AO, $H:$H, "[+] Net Sales"),0)</f>
        <v>0</v>
      </c>
      <c r="AQ177" s="79">
        <v>0</v>
      </c>
      <c r="AR177" s="81">
        <f t="shared" ref="AR177:AR208" si="174">IFERROR(AQ177/SUMIFS(AQ:AQ, $H:$H, "[+] Net Sales"),0)</f>
        <v>0</v>
      </c>
      <c r="AS177" s="80">
        <f t="shared" si="157"/>
        <v>0</v>
      </c>
      <c r="AT177" s="70">
        <f t="shared" si="158"/>
        <v>0</v>
      </c>
      <c r="AU177" s="80">
        <f t="shared" si="159"/>
        <v>0</v>
      </c>
      <c r="AV177" s="70">
        <f t="shared" si="160"/>
        <v>0</v>
      </c>
      <c r="AW177" s="80">
        <f t="shared" si="161"/>
        <v>0</v>
      </c>
      <c r="AX177" s="70">
        <f t="shared" si="162"/>
        <v>0</v>
      </c>
      <c r="AY177" s="82"/>
      <c r="BA177" s="79">
        <v>0</v>
      </c>
      <c r="BB177" s="80">
        <f t="shared" ref="BB177:BB208" si="175">IFERROR(BA177/SUMIFS(BA:BA, $H:$H, "[+] Net Sales"),0)</f>
        <v>0</v>
      </c>
      <c r="BC177" s="79">
        <v>0</v>
      </c>
      <c r="BD177" s="80">
        <f t="shared" ref="BD177:BD208" si="176">IFERROR(BC177/SUMIFS(BC:BC, $H:$H, "[+] Net Sales"),0)</f>
        <v>0</v>
      </c>
      <c r="BE177" s="79">
        <v>0</v>
      </c>
      <c r="BF177" s="81">
        <f t="shared" ref="BF177:BF208" si="177">IFERROR(BE177/SUMIFS(BE:BE, $H:$H, "[+] Net Sales"),0)</f>
        <v>0</v>
      </c>
      <c r="BG177" s="80">
        <f t="shared" si="163"/>
        <v>0</v>
      </c>
      <c r="BH177" s="70">
        <f t="shared" si="164"/>
        <v>0</v>
      </c>
      <c r="BI177" s="80">
        <f t="shared" si="165"/>
        <v>0</v>
      </c>
      <c r="BJ177" s="70">
        <f t="shared" si="166"/>
        <v>0</v>
      </c>
      <c r="BK177" s="82"/>
    </row>
    <row r="178" spans="5:63" ht="11.95" thickBot="1" x14ac:dyDescent="0.3">
      <c r="E178" s="3"/>
      <c r="F178" s="3"/>
      <c r="G178" s="3"/>
      <c r="H178" s="3" t="s">
        <v>228</v>
      </c>
      <c r="I178" s="18"/>
      <c r="J178" s="18"/>
      <c r="K178" s="18"/>
      <c r="L178" s="78"/>
      <c r="M178" s="79"/>
      <c r="N178" s="80">
        <f t="shared" si="167"/>
        <v>0</v>
      </c>
      <c r="O178" s="79"/>
      <c r="P178" s="80">
        <f t="shared" si="168"/>
        <v>0</v>
      </c>
      <c r="Q178" s="79"/>
      <c r="R178" s="80">
        <f t="shared" si="169"/>
        <v>0</v>
      </c>
      <c r="S178" s="79"/>
      <c r="T178" s="81">
        <f t="shared" si="170"/>
        <v>0</v>
      </c>
      <c r="U178" s="80">
        <f t="shared" si="147"/>
        <v>0</v>
      </c>
      <c r="V178" s="70">
        <f t="shared" si="148"/>
        <v>0</v>
      </c>
      <c r="W178" s="80">
        <f t="shared" si="149"/>
        <v>0</v>
      </c>
      <c r="X178" s="70">
        <f t="shared" si="150"/>
        <v>0</v>
      </c>
      <c r="Y178" s="80">
        <f t="shared" si="151"/>
        <v>0</v>
      </c>
      <c r="Z178" s="70">
        <f t="shared" si="152"/>
        <v>0</v>
      </c>
      <c r="AA178" s="82"/>
      <c r="AC178" s="79">
        <v>0</v>
      </c>
      <c r="AD178" s="79">
        <v>0</v>
      </c>
      <c r="AE178" s="79">
        <v>0</v>
      </c>
      <c r="AF178" s="83">
        <f t="shared" si="153"/>
        <v>0</v>
      </c>
      <c r="AG178" s="70">
        <f t="shared" si="154"/>
        <v>0</v>
      </c>
      <c r="AH178" s="83">
        <f t="shared" si="155"/>
        <v>0</v>
      </c>
      <c r="AI178" s="70">
        <f t="shared" si="156"/>
        <v>0</v>
      </c>
      <c r="AK178" s="79">
        <v>0</v>
      </c>
      <c r="AL178" s="80">
        <f t="shared" si="171"/>
        <v>0</v>
      </c>
      <c r="AM178" s="79">
        <v>0</v>
      </c>
      <c r="AN178" s="80">
        <f t="shared" si="172"/>
        <v>0</v>
      </c>
      <c r="AO178" s="79">
        <v>0</v>
      </c>
      <c r="AP178" s="80">
        <f t="shared" si="173"/>
        <v>0</v>
      </c>
      <c r="AQ178" s="79">
        <v>0</v>
      </c>
      <c r="AR178" s="81">
        <f t="shared" si="174"/>
        <v>0</v>
      </c>
      <c r="AS178" s="80">
        <f t="shared" si="157"/>
        <v>0</v>
      </c>
      <c r="AT178" s="70">
        <f t="shared" si="158"/>
        <v>0</v>
      </c>
      <c r="AU178" s="80">
        <f t="shared" si="159"/>
        <v>0</v>
      </c>
      <c r="AV178" s="70">
        <f t="shared" si="160"/>
        <v>0</v>
      </c>
      <c r="AW178" s="80">
        <f t="shared" si="161"/>
        <v>0</v>
      </c>
      <c r="AX178" s="70">
        <f t="shared" si="162"/>
        <v>0</v>
      </c>
      <c r="AY178" s="82"/>
      <c r="BA178" s="79">
        <v>0</v>
      </c>
      <c r="BB178" s="80">
        <f t="shared" si="175"/>
        <v>0</v>
      </c>
      <c r="BC178" s="79">
        <v>0</v>
      </c>
      <c r="BD178" s="80">
        <f t="shared" si="176"/>
        <v>0</v>
      </c>
      <c r="BE178" s="79">
        <v>0</v>
      </c>
      <c r="BF178" s="81">
        <f t="shared" si="177"/>
        <v>0</v>
      </c>
      <c r="BG178" s="80">
        <f t="shared" si="163"/>
        <v>0</v>
      </c>
      <c r="BH178" s="70">
        <f t="shared" si="164"/>
        <v>0</v>
      </c>
      <c r="BI178" s="80">
        <f t="shared" si="165"/>
        <v>0</v>
      </c>
      <c r="BJ178" s="70">
        <f t="shared" si="166"/>
        <v>0</v>
      </c>
      <c r="BK178" s="82"/>
    </row>
    <row r="179" spans="5:63" ht="11.95" thickBot="1" x14ac:dyDescent="0.3">
      <c r="E179" s="3"/>
      <c r="F179" s="3"/>
      <c r="G179" s="3"/>
      <c r="H179" s="3" t="s">
        <v>229</v>
      </c>
      <c r="I179" s="18"/>
      <c r="J179" s="18"/>
      <c r="K179" s="18"/>
      <c r="L179" s="78"/>
      <c r="M179" s="79"/>
      <c r="N179" s="80">
        <f t="shared" si="167"/>
        <v>0</v>
      </c>
      <c r="O179" s="79"/>
      <c r="P179" s="80">
        <f t="shared" si="168"/>
        <v>0</v>
      </c>
      <c r="Q179" s="79"/>
      <c r="R179" s="80">
        <f t="shared" si="169"/>
        <v>0</v>
      </c>
      <c r="S179" s="79"/>
      <c r="T179" s="81">
        <f t="shared" si="170"/>
        <v>0</v>
      </c>
      <c r="U179" s="80">
        <f t="shared" si="147"/>
        <v>0</v>
      </c>
      <c r="V179" s="70">
        <f t="shared" si="148"/>
        <v>0</v>
      </c>
      <c r="W179" s="80">
        <f t="shared" si="149"/>
        <v>0</v>
      </c>
      <c r="X179" s="70">
        <f t="shared" si="150"/>
        <v>0</v>
      </c>
      <c r="Y179" s="80">
        <f t="shared" si="151"/>
        <v>0</v>
      </c>
      <c r="Z179" s="70">
        <f t="shared" si="152"/>
        <v>0</v>
      </c>
      <c r="AA179" s="82"/>
      <c r="AC179" s="79">
        <v>0</v>
      </c>
      <c r="AD179" s="79">
        <v>0</v>
      </c>
      <c r="AE179" s="79">
        <v>0</v>
      </c>
      <c r="AF179" s="83">
        <f t="shared" si="153"/>
        <v>0</v>
      </c>
      <c r="AG179" s="70">
        <f t="shared" si="154"/>
        <v>0</v>
      </c>
      <c r="AH179" s="83">
        <f t="shared" si="155"/>
        <v>0</v>
      </c>
      <c r="AI179" s="70">
        <f t="shared" si="156"/>
        <v>0</v>
      </c>
      <c r="AK179" s="79">
        <v>0</v>
      </c>
      <c r="AL179" s="80">
        <f t="shared" si="171"/>
        <v>0</v>
      </c>
      <c r="AM179" s="79">
        <v>0</v>
      </c>
      <c r="AN179" s="80">
        <f t="shared" si="172"/>
        <v>0</v>
      </c>
      <c r="AO179" s="79">
        <v>0</v>
      </c>
      <c r="AP179" s="80">
        <f t="shared" si="173"/>
        <v>0</v>
      </c>
      <c r="AQ179" s="79">
        <v>0</v>
      </c>
      <c r="AR179" s="81">
        <f t="shared" si="174"/>
        <v>0</v>
      </c>
      <c r="AS179" s="80">
        <f t="shared" si="157"/>
        <v>0</v>
      </c>
      <c r="AT179" s="70">
        <f t="shared" si="158"/>
        <v>0</v>
      </c>
      <c r="AU179" s="80">
        <f t="shared" si="159"/>
        <v>0</v>
      </c>
      <c r="AV179" s="70">
        <f t="shared" si="160"/>
        <v>0</v>
      </c>
      <c r="AW179" s="80">
        <f t="shared" si="161"/>
        <v>0</v>
      </c>
      <c r="AX179" s="70">
        <f t="shared" si="162"/>
        <v>0</v>
      </c>
      <c r="AY179" s="82"/>
      <c r="BA179" s="79">
        <v>0</v>
      </c>
      <c r="BB179" s="80">
        <f t="shared" si="175"/>
        <v>0</v>
      </c>
      <c r="BC179" s="79">
        <v>0</v>
      </c>
      <c r="BD179" s="80">
        <f t="shared" si="176"/>
        <v>0</v>
      </c>
      <c r="BE179" s="79">
        <v>37.71</v>
      </c>
      <c r="BF179" s="81">
        <f t="shared" si="177"/>
        <v>1.8774020608856276E-5</v>
      </c>
      <c r="BG179" s="80">
        <f t="shared" si="163"/>
        <v>0</v>
      </c>
      <c r="BH179" s="70">
        <f t="shared" si="164"/>
        <v>0</v>
      </c>
      <c r="BI179" s="80">
        <f t="shared" si="165"/>
        <v>0</v>
      </c>
      <c r="BJ179" s="70">
        <f t="shared" si="166"/>
        <v>37.71</v>
      </c>
      <c r="BK179" s="82"/>
    </row>
    <row r="180" spans="5:63" ht="11.95" thickBot="1" x14ac:dyDescent="0.3">
      <c r="E180" s="3"/>
      <c r="F180" s="3"/>
      <c r="G180" s="3"/>
      <c r="H180" s="3" t="s">
        <v>230</v>
      </c>
      <c r="I180" s="18"/>
      <c r="J180" s="18"/>
      <c r="K180" s="18"/>
      <c r="L180" s="78"/>
      <c r="M180" s="79"/>
      <c r="N180" s="80">
        <f t="shared" si="167"/>
        <v>0</v>
      </c>
      <c r="O180" s="79"/>
      <c r="P180" s="80">
        <f t="shared" si="168"/>
        <v>0</v>
      </c>
      <c r="Q180" s="79"/>
      <c r="R180" s="80">
        <f t="shared" si="169"/>
        <v>0</v>
      </c>
      <c r="S180" s="79"/>
      <c r="T180" s="81">
        <f t="shared" si="170"/>
        <v>0</v>
      </c>
      <c r="U180" s="80">
        <f t="shared" si="147"/>
        <v>0</v>
      </c>
      <c r="V180" s="70">
        <f t="shared" si="148"/>
        <v>0</v>
      </c>
      <c r="W180" s="80">
        <f t="shared" si="149"/>
        <v>0</v>
      </c>
      <c r="X180" s="70">
        <f t="shared" si="150"/>
        <v>0</v>
      </c>
      <c r="Y180" s="80">
        <f t="shared" si="151"/>
        <v>0</v>
      </c>
      <c r="Z180" s="70">
        <f t="shared" si="152"/>
        <v>0</v>
      </c>
      <c r="AA180" s="82"/>
      <c r="AC180" s="79">
        <v>0</v>
      </c>
      <c r="AD180" s="79">
        <v>0</v>
      </c>
      <c r="AE180" s="79">
        <v>0</v>
      </c>
      <c r="AF180" s="83">
        <f t="shared" si="153"/>
        <v>0</v>
      </c>
      <c r="AG180" s="70">
        <f t="shared" si="154"/>
        <v>0</v>
      </c>
      <c r="AH180" s="83">
        <f t="shared" si="155"/>
        <v>0</v>
      </c>
      <c r="AI180" s="70">
        <f t="shared" si="156"/>
        <v>0</v>
      </c>
      <c r="AK180" s="79">
        <v>0</v>
      </c>
      <c r="AL180" s="80">
        <f t="shared" si="171"/>
        <v>0</v>
      </c>
      <c r="AM180" s="79">
        <v>0</v>
      </c>
      <c r="AN180" s="80">
        <f t="shared" si="172"/>
        <v>0</v>
      </c>
      <c r="AO180" s="79">
        <v>0</v>
      </c>
      <c r="AP180" s="80">
        <f t="shared" si="173"/>
        <v>0</v>
      </c>
      <c r="AQ180" s="79">
        <v>0</v>
      </c>
      <c r="AR180" s="81">
        <f t="shared" si="174"/>
        <v>0</v>
      </c>
      <c r="AS180" s="80">
        <f t="shared" si="157"/>
        <v>0</v>
      </c>
      <c r="AT180" s="70">
        <f t="shared" si="158"/>
        <v>0</v>
      </c>
      <c r="AU180" s="80">
        <f t="shared" si="159"/>
        <v>0</v>
      </c>
      <c r="AV180" s="70">
        <f t="shared" si="160"/>
        <v>0</v>
      </c>
      <c r="AW180" s="80">
        <f t="shared" si="161"/>
        <v>0</v>
      </c>
      <c r="AX180" s="70">
        <f t="shared" si="162"/>
        <v>0</v>
      </c>
      <c r="AY180" s="82"/>
      <c r="BA180" s="79">
        <v>0</v>
      </c>
      <c r="BB180" s="80">
        <f t="shared" si="175"/>
        <v>0</v>
      </c>
      <c r="BC180" s="79">
        <v>0</v>
      </c>
      <c r="BD180" s="80">
        <f t="shared" si="176"/>
        <v>0</v>
      </c>
      <c r="BE180" s="79">
        <v>0</v>
      </c>
      <c r="BF180" s="81">
        <f t="shared" si="177"/>
        <v>0</v>
      </c>
      <c r="BG180" s="80">
        <f t="shared" si="163"/>
        <v>0</v>
      </c>
      <c r="BH180" s="70">
        <f t="shared" si="164"/>
        <v>0</v>
      </c>
      <c r="BI180" s="80">
        <f t="shared" si="165"/>
        <v>0</v>
      </c>
      <c r="BJ180" s="70">
        <f t="shared" si="166"/>
        <v>0</v>
      </c>
      <c r="BK180" s="82"/>
    </row>
    <row r="181" spans="5:63" ht="11.95" thickBot="1" x14ac:dyDescent="0.3">
      <c r="E181" s="3"/>
      <c r="F181" s="3"/>
      <c r="G181" s="3"/>
      <c r="H181" s="3" t="s">
        <v>231</v>
      </c>
      <c r="I181" s="18"/>
      <c r="J181" s="18"/>
      <c r="K181" s="18"/>
      <c r="L181" s="78"/>
      <c r="M181" s="79"/>
      <c r="N181" s="80">
        <f t="shared" si="167"/>
        <v>0</v>
      </c>
      <c r="O181" s="79"/>
      <c r="P181" s="80">
        <f t="shared" si="168"/>
        <v>0</v>
      </c>
      <c r="Q181" s="79"/>
      <c r="R181" s="80">
        <f t="shared" si="169"/>
        <v>0</v>
      </c>
      <c r="S181" s="79"/>
      <c r="T181" s="81">
        <f t="shared" si="170"/>
        <v>0</v>
      </c>
      <c r="U181" s="80">
        <f t="shared" si="147"/>
        <v>0</v>
      </c>
      <c r="V181" s="70">
        <f t="shared" si="148"/>
        <v>0</v>
      </c>
      <c r="W181" s="80">
        <f t="shared" si="149"/>
        <v>0</v>
      </c>
      <c r="X181" s="70">
        <f t="shared" si="150"/>
        <v>0</v>
      </c>
      <c r="Y181" s="80">
        <f t="shared" si="151"/>
        <v>0</v>
      </c>
      <c r="Z181" s="70">
        <f t="shared" si="152"/>
        <v>0</v>
      </c>
      <c r="AA181" s="82"/>
      <c r="AC181" s="79">
        <v>0</v>
      </c>
      <c r="AD181" s="79">
        <v>0</v>
      </c>
      <c r="AE181" s="79">
        <v>0</v>
      </c>
      <c r="AF181" s="83">
        <f t="shared" si="153"/>
        <v>0</v>
      </c>
      <c r="AG181" s="70">
        <f t="shared" si="154"/>
        <v>0</v>
      </c>
      <c r="AH181" s="83">
        <f t="shared" si="155"/>
        <v>0</v>
      </c>
      <c r="AI181" s="70">
        <f t="shared" si="156"/>
        <v>0</v>
      </c>
      <c r="AK181" s="79">
        <v>0</v>
      </c>
      <c r="AL181" s="80">
        <f t="shared" si="171"/>
        <v>0</v>
      </c>
      <c r="AM181" s="79">
        <v>0</v>
      </c>
      <c r="AN181" s="80">
        <f t="shared" si="172"/>
        <v>0</v>
      </c>
      <c r="AO181" s="79">
        <v>0</v>
      </c>
      <c r="AP181" s="80">
        <f t="shared" si="173"/>
        <v>0</v>
      </c>
      <c r="AQ181" s="79">
        <v>0</v>
      </c>
      <c r="AR181" s="81">
        <f t="shared" si="174"/>
        <v>0</v>
      </c>
      <c r="AS181" s="80">
        <f t="shared" si="157"/>
        <v>0</v>
      </c>
      <c r="AT181" s="70">
        <f t="shared" si="158"/>
        <v>0</v>
      </c>
      <c r="AU181" s="80">
        <f t="shared" si="159"/>
        <v>0</v>
      </c>
      <c r="AV181" s="70">
        <f t="shared" si="160"/>
        <v>0</v>
      </c>
      <c r="AW181" s="80">
        <f t="shared" si="161"/>
        <v>0</v>
      </c>
      <c r="AX181" s="70">
        <f t="shared" si="162"/>
        <v>0</v>
      </c>
      <c r="AY181" s="82"/>
      <c r="BA181" s="79">
        <v>0</v>
      </c>
      <c r="BB181" s="80">
        <f t="shared" si="175"/>
        <v>0</v>
      </c>
      <c r="BC181" s="79">
        <v>0</v>
      </c>
      <c r="BD181" s="80">
        <f t="shared" si="176"/>
        <v>0</v>
      </c>
      <c r="BE181" s="79">
        <v>0</v>
      </c>
      <c r="BF181" s="81">
        <f t="shared" si="177"/>
        <v>0</v>
      </c>
      <c r="BG181" s="80">
        <f t="shared" si="163"/>
        <v>0</v>
      </c>
      <c r="BH181" s="70">
        <f t="shared" si="164"/>
        <v>0</v>
      </c>
      <c r="BI181" s="80">
        <f t="shared" si="165"/>
        <v>0</v>
      </c>
      <c r="BJ181" s="70">
        <f t="shared" si="166"/>
        <v>0</v>
      </c>
      <c r="BK181" s="82"/>
    </row>
    <row r="182" spans="5:63" ht="11.95" thickBot="1" x14ac:dyDescent="0.3">
      <c r="E182" s="3"/>
      <c r="F182" s="3"/>
      <c r="G182" s="3"/>
      <c r="H182" s="3" t="s">
        <v>232</v>
      </c>
      <c r="I182" s="18"/>
      <c r="J182" s="18"/>
      <c r="K182" s="18"/>
      <c r="L182" s="78"/>
      <c r="M182" s="79"/>
      <c r="N182" s="80">
        <f t="shared" si="167"/>
        <v>0</v>
      </c>
      <c r="O182" s="79"/>
      <c r="P182" s="80">
        <f t="shared" si="168"/>
        <v>0</v>
      </c>
      <c r="Q182" s="79"/>
      <c r="R182" s="80">
        <f t="shared" si="169"/>
        <v>0</v>
      </c>
      <c r="S182" s="79"/>
      <c r="T182" s="81">
        <f t="shared" si="170"/>
        <v>0</v>
      </c>
      <c r="U182" s="80">
        <f t="shared" si="147"/>
        <v>0</v>
      </c>
      <c r="V182" s="70">
        <f t="shared" si="148"/>
        <v>0</v>
      </c>
      <c r="W182" s="80">
        <f t="shared" si="149"/>
        <v>0</v>
      </c>
      <c r="X182" s="70">
        <f t="shared" si="150"/>
        <v>0</v>
      </c>
      <c r="Y182" s="80">
        <f t="shared" si="151"/>
        <v>0</v>
      </c>
      <c r="Z182" s="70">
        <f t="shared" si="152"/>
        <v>0</v>
      </c>
      <c r="AA182" s="82"/>
      <c r="AC182" s="79">
        <v>0</v>
      </c>
      <c r="AD182" s="79">
        <v>0</v>
      </c>
      <c r="AE182" s="79">
        <v>0</v>
      </c>
      <c r="AF182" s="83">
        <f t="shared" si="153"/>
        <v>0</v>
      </c>
      <c r="AG182" s="70">
        <f t="shared" si="154"/>
        <v>0</v>
      </c>
      <c r="AH182" s="83">
        <f t="shared" si="155"/>
        <v>0</v>
      </c>
      <c r="AI182" s="70">
        <f t="shared" si="156"/>
        <v>0</v>
      </c>
      <c r="AK182" s="79">
        <v>0</v>
      </c>
      <c r="AL182" s="80">
        <f t="shared" si="171"/>
        <v>0</v>
      </c>
      <c r="AM182" s="79">
        <v>0</v>
      </c>
      <c r="AN182" s="80">
        <f t="shared" si="172"/>
        <v>0</v>
      </c>
      <c r="AO182" s="79">
        <v>0</v>
      </c>
      <c r="AP182" s="80">
        <f t="shared" si="173"/>
        <v>0</v>
      </c>
      <c r="AQ182" s="79">
        <v>0</v>
      </c>
      <c r="AR182" s="81">
        <f t="shared" si="174"/>
        <v>0</v>
      </c>
      <c r="AS182" s="80">
        <f t="shared" si="157"/>
        <v>0</v>
      </c>
      <c r="AT182" s="70">
        <f t="shared" si="158"/>
        <v>0</v>
      </c>
      <c r="AU182" s="80">
        <f t="shared" si="159"/>
        <v>0</v>
      </c>
      <c r="AV182" s="70">
        <f t="shared" si="160"/>
        <v>0</v>
      </c>
      <c r="AW182" s="80">
        <f t="shared" si="161"/>
        <v>0</v>
      </c>
      <c r="AX182" s="70">
        <f t="shared" si="162"/>
        <v>0</v>
      </c>
      <c r="AY182" s="82"/>
      <c r="BA182" s="79">
        <v>0</v>
      </c>
      <c r="BB182" s="80">
        <f t="shared" si="175"/>
        <v>0</v>
      </c>
      <c r="BC182" s="79">
        <v>0</v>
      </c>
      <c r="BD182" s="80">
        <f t="shared" si="176"/>
        <v>0</v>
      </c>
      <c r="BE182" s="79">
        <v>577.76</v>
      </c>
      <c r="BF182" s="81">
        <f t="shared" si="177"/>
        <v>2.8763930381789447E-4</v>
      </c>
      <c r="BG182" s="80">
        <f t="shared" si="163"/>
        <v>0</v>
      </c>
      <c r="BH182" s="70">
        <f t="shared" si="164"/>
        <v>0</v>
      </c>
      <c r="BI182" s="80">
        <f t="shared" si="165"/>
        <v>0</v>
      </c>
      <c r="BJ182" s="70">
        <f t="shared" si="166"/>
        <v>577.76</v>
      </c>
      <c r="BK182" s="82"/>
    </row>
    <row r="183" spans="5:63" ht="11.95" thickBot="1" x14ac:dyDescent="0.3">
      <c r="E183" s="3"/>
      <c r="F183" s="3"/>
      <c r="G183" s="3"/>
      <c r="H183" s="3" t="s">
        <v>233</v>
      </c>
      <c r="I183" s="18"/>
      <c r="J183" s="18"/>
      <c r="K183" s="18"/>
      <c r="L183" s="78"/>
      <c r="M183" s="79"/>
      <c r="N183" s="80">
        <f t="shared" si="167"/>
        <v>0</v>
      </c>
      <c r="O183" s="79"/>
      <c r="P183" s="80">
        <f t="shared" si="168"/>
        <v>0</v>
      </c>
      <c r="Q183" s="79"/>
      <c r="R183" s="80">
        <f t="shared" si="169"/>
        <v>0</v>
      </c>
      <c r="S183" s="79"/>
      <c r="T183" s="81">
        <f t="shared" si="170"/>
        <v>0</v>
      </c>
      <c r="U183" s="80">
        <f t="shared" si="147"/>
        <v>0</v>
      </c>
      <c r="V183" s="70">
        <f t="shared" si="148"/>
        <v>0</v>
      </c>
      <c r="W183" s="80">
        <f t="shared" si="149"/>
        <v>0</v>
      </c>
      <c r="X183" s="70">
        <f t="shared" si="150"/>
        <v>0</v>
      </c>
      <c r="Y183" s="80">
        <f t="shared" si="151"/>
        <v>0</v>
      </c>
      <c r="Z183" s="70">
        <f t="shared" si="152"/>
        <v>0</v>
      </c>
      <c r="AA183" s="82"/>
      <c r="AC183" s="79">
        <v>0</v>
      </c>
      <c r="AD183" s="79">
        <v>0</v>
      </c>
      <c r="AE183" s="79">
        <v>0</v>
      </c>
      <c r="AF183" s="83">
        <f t="shared" si="153"/>
        <v>0</v>
      </c>
      <c r="AG183" s="70">
        <f t="shared" si="154"/>
        <v>0</v>
      </c>
      <c r="AH183" s="83">
        <f t="shared" si="155"/>
        <v>0</v>
      </c>
      <c r="AI183" s="70">
        <f t="shared" si="156"/>
        <v>0</v>
      </c>
      <c r="AK183" s="79">
        <v>0</v>
      </c>
      <c r="AL183" s="80">
        <f t="shared" si="171"/>
        <v>0</v>
      </c>
      <c r="AM183" s="79">
        <v>0</v>
      </c>
      <c r="AN183" s="80">
        <f t="shared" si="172"/>
        <v>0</v>
      </c>
      <c r="AO183" s="79">
        <v>0</v>
      </c>
      <c r="AP183" s="80">
        <f t="shared" si="173"/>
        <v>0</v>
      </c>
      <c r="AQ183" s="79">
        <v>0</v>
      </c>
      <c r="AR183" s="81">
        <f t="shared" si="174"/>
        <v>0</v>
      </c>
      <c r="AS183" s="80">
        <f t="shared" si="157"/>
        <v>0</v>
      </c>
      <c r="AT183" s="70">
        <f t="shared" si="158"/>
        <v>0</v>
      </c>
      <c r="AU183" s="80">
        <f t="shared" si="159"/>
        <v>0</v>
      </c>
      <c r="AV183" s="70">
        <f t="shared" si="160"/>
        <v>0</v>
      </c>
      <c r="AW183" s="80">
        <f t="shared" si="161"/>
        <v>0</v>
      </c>
      <c r="AX183" s="70">
        <f t="shared" si="162"/>
        <v>0</v>
      </c>
      <c r="AY183" s="82"/>
      <c r="BA183" s="79">
        <v>0</v>
      </c>
      <c r="BB183" s="80">
        <f t="shared" si="175"/>
        <v>0</v>
      </c>
      <c r="BC183" s="79">
        <v>0</v>
      </c>
      <c r="BD183" s="80">
        <f t="shared" si="176"/>
        <v>0</v>
      </c>
      <c r="BE183" s="79">
        <v>0</v>
      </c>
      <c r="BF183" s="81">
        <f t="shared" si="177"/>
        <v>0</v>
      </c>
      <c r="BG183" s="80">
        <f t="shared" si="163"/>
        <v>0</v>
      </c>
      <c r="BH183" s="70">
        <f t="shared" si="164"/>
        <v>0</v>
      </c>
      <c r="BI183" s="80">
        <f t="shared" si="165"/>
        <v>0</v>
      </c>
      <c r="BJ183" s="70">
        <f t="shared" si="166"/>
        <v>0</v>
      </c>
      <c r="BK183" s="82"/>
    </row>
    <row r="184" spans="5:63" ht="11.95" thickBot="1" x14ac:dyDescent="0.3">
      <c r="E184" s="3"/>
      <c r="F184" s="3"/>
      <c r="G184" s="3"/>
      <c r="H184" s="3" t="s">
        <v>234</v>
      </c>
      <c r="I184" s="18"/>
      <c r="J184" s="18"/>
      <c r="K184" s="18"/>
      <c r="L184" s="78"/>
      <c r="M184" s="79"/>
      <c r="N184" s="80">
        <f t="shared" si="167"/>
        <v>0</v>
      </c>
      <c r="O184" s="79"/>
      <c r="P184" s="80">
        <f t="shared" si="168"/>
        <v>0</v>
      </c>
      <c r="Q184" s="79"/>
      <c r="R184" s="80">
        <f t="shared" si="169"/>
        <v>0</v>
      </c>
      <c r="S184" s="79"/>
      <c r="T184" s="81">
        <f t="shared" si="170"/>
        <v>0</v>
      </c>
      <c r="U184" s="80">
        <f t="shared" si="147"/>
        <v>0</v>
      </c>
      <c r="V184" s="70">
        <f t="shared" si="148"/>
        <v>0</v>
      </c>
      <c r="W184" s="80">
        <f t="shared" si="149"/>
        <v>0</v>
      </c>
      <c r="X184" s="70">
        <f t="shared" si="150"/>
        <v>0</v>
      </c>
      <c r="Y184" s="80">
        <f t="shared" si="151"/>
        <v>0</v>
      </c>
      <c r="Z184" s="70">
        <f t="shared" si="152"/>
        <v>0</v>
      </c>
      <c r="AA184" s="82"/>
      <c r="AC184" s="79">
        <v>0</v>
      </c>
      <c r="AD184" s="79">
        <v>0</v>
      </c>
      <c r="AE184" s="79">
        <v>0</v>
      </c>
      <c r="AF184" s="83">
        <f t="shared" si="153"/>
        <v>0</v>
      </c>
      <c r="AG184" s="70">
        <f t="shared" si="154"/>
        <v>0</v>
      </c>
      <c r="AH184" s="83">
        <f t="shared" si="155"/>
        <v>0</v>
      </c>
      <c r="AI184" s="70">
        <f t="shared" si="156"/>
        <v>0</v>
      </c>
      <c r="AK184" s="79">
        <v>0</v>
      </c>
      <c r="AL184" s="80">
        <f t="shared" si="171"/>
        <v>0</v>
      </c>
      <c r="AM184" s="79">
        <v>0</v>
      </c>
      <c r="AN184" s="80">
        <f t="shared" si="172"/>
        <v>0</v>
      </c>
      <c r="AO184" s="79">
        <v>0</v>
      </c>
      <c r="AP184" s="80">
        <f t="shared" si="173"/>
        <v>0</v>
      </c>
      <c r="AQ184" s="79">
        <v>0</v>
      </c>
      <c r="AR184" s="81">
        <f t="shared" si="174"/>
        <v>0</v>
      </c>
      <c r="AS184" s="80">
        <f t="shared" si="157"/>
        <v>0</v>
      </c>
      <c r="AT184" s="70">
        <f t="shared" si="158"/>
        <v>0</v>
      </c>
      <c r="AU184" s="80">
        <f t="shared" si="159"/>
        <v>0</v>
      </c>
      <c r="AV184" s="70">
        <f t="shared" si="160"/>
        <v>0</v>
      </c>
      <c r="AW184" s="80">
        <f t="shared" si="161"/>
        <v>0</v>
      </c>
      <c r="AX184" s="70">
        <f t="shared" si="162"/>
        <v>0</v>
      </c>
      <c r="AY184" s="82"/>
      <c r="BA184" s="79">
        <v>0</v>
      </c>
      <c r="BB184" s="80">
        <f t="shared" si="175"/>
        <v>0</v>
      </c>
      <c r="BC184" s="79">
        <v>0</v>
      </c>
      <c r="BD184" s="80">
        <f t="shared" si="176"/>
        <v>0</v>
      </c>
      <c r="BE184" s="79">
        <v>0</v>
      </c>
      <c r="BF184" s="81">
        <f t="shared" si="177"/>
        <v>0</v>
      </c>
      <c r="BG184" s="80">
        <f t="shared" si="163"/>
        <v>0</v>
      </c>
      <c r="BH184" s="70">
        <f t="shared" si="164"/>
        <v>0</v>
      </c>
      <c r="BI184" s="80">
        <f t="shared" si="165"/>
        <v>0</v>
      </c>
      <c r="BJ184" s="70">
        <f t="shared" si="166"/>
        <v>0</v>
      </c>
      <c r="BK184" s="82"/>
    </row>
    <row r="185" spans="5:63" ht="11.95" thickBot="1" x14ac:dyDescent="0.3">
      <c r="E185" s="3"/>
      <c r="F185" s="3"/>
      <c r="G185" s="3"/>
      <c r="H185" s="3" t="s">
        <v>235</v>
      </c>
      <c r="I185" s="18"/>
      <c r="J185" s="18"/>
      <c r="K185" s="18"/>
      <c r="L185" s="78"/>
      <c r="M185" s="79"/>
      <c r="N185" s="80">
        <f t="shared" si="167"/>
        <v>0</v>
      </c>
      <c r="O185" s="79"/>
      <c r="P185" s="80">
        <f t="shared" si="168"/>
        <v>0</v>
      </c>
      <c r="Q185" s="79"/>
      <c r="R185" s="80">
        <f t="shared" si="169"/>
        <v>0</v>
      </c>
      <c r="S185" s="79"/>
      <c r="T185" s="81">
        <f t="shared" si="170"/>
        <v>0</v>
      </c>
      <c r="U185" s="80">
        <f t="shared" si="147"/>
        <v>0</v>
      </c>
      <c r="V185" s="70">
        <f t="shared" si="148"/>
        <v>0</v>
      </c>
      <c r="W185" s="80">
        <f t="shared" si="149"/>
        <v>0</v>
      </c>
      <c r="X185" s="70">
        <f t="shared" si="150"/>
        <v>0</v>
      </c>
      <c r="Y185" s="80">
        <f t="shared" si="151"/>
        <v>0</v>
      </c>
      <c r="Z185" s="70">
        <f t="shared" si="152"/>
        <v>0</v>
      </c>
      <c r="AA185" s="82"/>
      <c r="AC185" s="79">
        <v>0</v>
      </c>
      <c r="AD185" s="79">
        <v>0</v>
      </c>
      <c r="AE185" s="79">
        <v>0</v>
      </c>
      <c r="AF185" s="83">
        <f t="shared" si="153"/>
        <v>0</v>
      </c>
      <c r="AG185" s="70">
        <f t="shared" si="154"/>
        <v>0</v>
      </c>
      <c r="AH185" s="83">
        <f t="shared" si="155"/>
        <v>0</v>
      </c>
      <c r="AI185" s="70">
        <f t="shared" si="156"/>
        <v>0</v>
      </c>
      <c r="AK185" s="79">
        <v>0</v>
      </c>
      <c r="AL185" s="80">
        <f t="shared" si="171"/>
        <v>0</v>
      </c>
      <c r="AM185" s="79">
        <v>0</v>
      </c>
      <c r="AN185" s="80">
        <f t="shared" si="172"/>
        <v>0</v>
      </c>
      <c r="AO185" s="79">
        <v>0</v>
      </c>
      <c r="AP185" s="80">
        <f t="shared" si="173"/>
        <v>0</v>
      </c>
      <c r="AQ185" s="79">
        <v>0</v>
      </c>
      <c r="AR185" s="81">
        <f t="shared" si="174"/>
        <v>0</v>
      </c>
      <c r="AS185" s="80">
        <f t="shared" si="157"/>
        <v>0</v>
      </c>
      <c r="AT185" s="70">
        <f t="shared" si="158"/>
        <v>0</v>
      </c>
      <c r="AU185" s="80">
        <f t="shared" si="159"/>
        <v>0</v>
      </c>
      <c r="AV185" s="70">
        <f t="shared" si="160"/>
        <v>0</v>
      </c>
      <c r="AW185" s="80">
        <f t="shared" si="161"/>
        <v>0</v>
      </c>
      <c r="AX185" s="70">
        <f t="shared" si="162"/>
        <v>0</v>
      </c>
      <c r="AY185" s="82"/>
      <c r="BA185" s="79">
        <v>0</v>
      </c>
      <c r="BB185" s="80">
        <f t="shared" si="175"/>
        <v>0</v>
      </c>
      <c r="BC185" s="79">
        <v>0</v>
      </c>
      <c r="BD185" s="80">
        <f t="shared" si="176"/>
        <v>0</v>
      </c>
      <c r="BE185" s="79">
        <v>0</v>
      </c>
      <c r="BF185" s="81">
        <f t="shared" si="177"/>
        <v>0</v>
      </c>
      <c r="BG185" s="80">
        <f t="shared" si="163"/>
        <v>0</v>
      </c>
      <c r="BH185" s="70">
        <f t="shared" si="164"/>
        <v>0</v>
      </c>
      <c r="BI185" s="80">
        <f t="shared" si="165"/>
        <v>0</v>
      </c>
      <c r="BJ185" s="70">
        <f t="shared" si="166"/>
        <v>0</v>
      </c>
      <c r="BK185" s="82"/>
    </row>
    <row r="186" spans="5:63" ht="11.95" thickBot="1" x14ac:dyDescent="0.3">
      <c r="E186" s="3"/>
      <c r="F186" s="3"/>
      <c r="G186" s="3"/>
      <c r="H186" s="3" t="s">
        <v>236</v>
      </c>
      <c r="I186" s="18"/>
      <c r="J186" s="18"/>
      <c r="K186" s="18"/>
      <c r="L186" s="78"/>
      <c r="M186" s="79">
        <v>0</v>
      </c>
      <c r="N186" s="80">
        <f t="shared" si="167"/>
        <v>0</v>
      </c>
      <c r="O186" s="79">
        <v>0</v>
      </c>
      <c r="P186" s="80">
        <f t="shared" si="168"/>
        <v>0</v>
      </c>
      <c r="Q186" s="79">
        <v>0</v>
      </c>
      <c r="R186" s="80">
        <f t="shared" si="169"/>
        <v>0</v>
      </c>
      <c r="S186" s="79">
        <v>0</v>
      </c>
      <c r="T186" s="81">
        <f t="shared" si="170"/>
        <v>0</v>
      </c>
      <c r="U186" s="80">
        <f t="shared" si="147"/>
        <v>0</v>
      </c>
      <c r="V186" s="70">
        <f t="shared" si="148"/>
        <v>0</v>
      </c>
      <c r="W186" s="80">
        <f t="shared" si="149"/>
        <v>0</v>
      </c>
      <c r="X186" s="70">
        <f t="shared" si="150"/>
        <v>0</v>
      </c>
      <c r="Y186" s="80">
        <f t="shared" si="151"/>
        <v>0</v>
      </c>
      <c r="Z186" s="70">
        <f t="shared" si="152"/>
        <v>0</v>
      </c>
      <c r="AA186" s="82"/>
      <c r="AC186" s="79">
        <v>0</v>
      </c>
      <c r="AD186" s="79">
        <v>0</v>
      </c>
      <c r="AE186" s="79">
        <v>0</v>
      </c>
      <c r="AF186" s="83">
        <f t="shared" si="153"/>
        <v>0</v>
      </c>
      <c r="AG186" s="70">
        <f t="shared" si="154"/>
        <v>0</v>
      </c>
      <c r="AH186" s="83">
        <f t="shared" si="155"/>
        <v>0</v>
      </c>
      <c r="AI186" s="70">
        <f t="shared" si="156"/>
        <v>0</v>
      </c>
      <c r="AK186" s="79">
        <v>0</v>
      </c>
      <c r="AL186" s="80">
        <f t="shared" si="171"/>
        <v>0</v>
      </c>
      <c r="AM186" s="79">
        <v>0</v>
      </c>
      <c r="AN186" s="80">
        <f t="shared" si="172"/>
        <v>0</v>
      </c>
      <c r="AO186" s="79">
        <v>0</v>
      </c>
      <c r="AP186" s="80">
        <f t="shared" si="173"/>
        <v>0</v>
      </c>
      <c r="AQ186" s="79">
        <v>0</v>
      </c>
      <c r="AR186" s="81">
        <f t="shared" si="174"/>
        <v>0</v>
      </c>
      <c r="AS186" s="80">
        <f t="shared" si="157"/>
        <v>0</v>
      </c>
      <c r="AT186" s="70">
        <f t="shared" si="158"/>
        <v>0</v>
      </c>
      <c r="AU186" s="80">
        <f t="shared" si="159"/>
        <v>0</v>
      </c>
      <c r="AV186" s="70">
        <f t="shared" si="160"/>
        <v>0</v>
      </c>
      <c r="AW186" s="80">
        <f t="shared" si="161"/>
        <v>0</v>
      </c>
      <c r="AX186" s="70">
        <f t="shared" si="162"/>
        <v>0</v>
      </c>
      <c r="AY186" s="82"/>
      <c r="BA186" s="79">
        <v>0</v>
      </c>
      <c r="BB186" s="80">
        <f t="shared" si="175"/>
        <v>0</v>
      </c>
      <c r="BC186" s="79">
        <v>0</v>
      </c>
      <c r="BD186" s="80">
        <f t="shared" si="176"/>
        <v>0</v>
      </c>
      <c r="BE186" s="79">
        <v>-2027880.81</v>
      </c>
      <c r="BF186" s="81">
        <f t="shared" si="177"/>
        <v>-1.009585683353067</v>
      </c>
      <c r="BG186" s="80">
        <f t="shared" si="163"/>
        <v>0</v>
      </c>
      <c r="BH186" s="70">
        <f t="shared" si="164"/>
        <v>0</v>
      </c>
      <c r="BI186" s="80">
        <f t="shared" si="165"/>
        <v>0</v>
      </c>
      <c r="BJ186" s="70">
        <f t="shared" si="166"/>
        <v>-2027880.81</v>
      </c>
      <c r="BK186" s="82"/>
    </row>
    <row r="187" spans="5:63" ht="11.95" thickBot="1" x14ac:dyDescent="0.3">
      <c r="E187" s="3"/>
      <c r="F187" s="3"/>
      <c r="G187" s="3"/>
      <c r="H187" s="3" t="s">
        <v>237</v>
      </c>
      <c r="I187" s="18"/>
      <c r="J187" s="18"/>
      <c r="K187" s="18"/>
      <c r="L187" s="78"/>
      <c r="M187" s="79"/>
      <c r="N187" s="80">
        <f t="shared" si="167"/>
        <v>0</v>
      </c>
      <c r="O187" s="79"/>
      <c r="P187" s="80">
        <f t="shared" si="168"/>
        <v>0</v>
      </c>
      <c r="Q187" s="79"/>
      <c r="R187" s="80">
        <f t="shared" si="169"/>
        <v>0</v>
      </c>
      <c r="S187" s="79"/>
      <c r="T187" s="81">
        <f t="shared" si="170"/>
        <v>0</v>
      </c>
      <c r="U187" s="80">
        <f t="shared" si="147"/>
        <v>0</v>
      </c>
      <c r="V187" s="70">
        <f t="shared" si="148"/>
        <v>0</v>
      </c>
      <c r="W187" s="80">
        <f t="shared" si="149"/>
        <v>0</v>
      </c>
      <c r="X187" s="70">
        <f t="shared" si="150"/>
        <v>0</v>
      </c>
      <c r="Y187" s="80">
        <f t="shared" si="151"/>
        <v>0</v>
      </c>
      <c r="Z187" s="70">
        <f t="shared" si="152"/>
        <v>0</v>
      </c>
      <c r="AA187" s="82"/>
      <c r="AC187" s="79">
        <v>0</v>
      </c>
      <c r="AD187" s="79">
        <v>0</v>
      </c>
      <c r="AE187" s="79">
        <v>0</v>
      </c>
      <c r="AF187" s="83">
        <f t="shared" si="153"/>
        <v>0</v>
      </c>
      <c r="AG187" s="70">
        <f t="shared" si="154"/>
        <v>0</v>
      </c>
      <c r="AH187" s="83">
        <f t="shared" si="155"/>
        <v>0</v>
      </c>
      <c r="AI187" s="70">
        <f t="shared" si="156"/>
        <v>0</v>
      </c>
      <c r="AK187" s="79">
        <v>0</v>
      </c>
      <c r="AL187" s="80">
        <f t="shared" si="171"/>
        <v>0</v>
      </c>
      <c r="AM187" s="79">
        <v>0</v>
      </c>
      <c r="AN187" s="80">
        <f t="shared" si="172"/>
        <v>0</v>
      </c>
      <c r="AO187" s="79">
        <v>0</v>
      </c>
      <c r="AP187" s="80">
        <f t="shared" si="173"/>
        <v>0</v>
      </c>
      <c r="AQ187" s="79">
        <v>0</v>
      </c>
      <c r="AR187" s="81">
        <f t="shared" si="174"/>
        <v>0</v>
      </c>
      <c r="AS187" s="80">
        <f t="shared" si="157"/>
        <v>0</v>
      </c>
      <c r="AT187" s="70">
        <f t="shared" si="158"/>
        <v>0</v>
      </c>
      <c r="AU187" s="80">
        <f t="shared" si="159"/>
        <v>0</v>
      </c>
      <c r="AV187" s="70">
        <f t="shared" si="160"/>
        <v>0</v>
      </c>
      <c r="AW187" s="80">
        <f t="shared" si="161"/>
        <v>0</v>
      </c>
      <c r="AX187" s="70">
        <f t="shared" si="162"/>
        <v>0</v>
      </c>
      <c r="AY187" s="82"/>
      <c r="BA187" s="79">
        <v>0</v>
      </c>
      <c r="BB187" s="80">
        <f t="shared" si="175"/>
        <v>0</v>
      </c>
      <c r="BC187" s="79">
        <v>0</v>
      </c>
      <c r="BD187" s="80">
        <f t="shared" si="176"/>
        <v>0</v>
      </c>
      <c r="BE187" s="79">
        <v>-2027880.81</v>
      </c>
      <c r="BF187" s="81">
        <f t="shared" si="177"/>
        <v>-1.009585683353067</v>
      </c>
      <c r="BG187" s="80">
        <f t="shared" si="163"/>
        <v>0</v>
      </c>
      <c r="BH187" s="70">
        <f t="shared" si="164"/>
        <v>0</v>
      </c>
      <c r="BI187" s="80">
        <f t="shared" si="165"/>
        <v>0</v>
      </c>
      <c r="BJ187" s="70">
        <f t="shared" si="166"/>
        <v>-2027880.81</v>
      </c>
      <c r="BK187" s="82"/>
    </row>
    <row r="188" spans="5:63" ht="11.95" thickBot="1" x14ac:dyDescent="0.3">
      <c r="E188" s="3"/>
      <c r="F188" s="3"/>
      <c r="G188" s="3"/>
      <c r="H188" s="3" t="s">
        <v>238</v>
      </c>
      <c r="I188" s="18"/>
      <c r="J188" s="18"/>
      <c r="K188" s="18"/>
      <c r="L188" s="78"/>
      <c r="M188" s="79">
        <v>380113.48</v>
      </c>
      <c r="N188" s="80">
        <f t="shared" si="167"/>
        <v>0.58082270886440779</v>
      </c>
      <c r="O188" s="79">
        <v>0</v>
      </c>
      <c r="P188" s="80">
        <f t="shared" si="168"/>
        <v>0</v>
      </c>
      <c r="Q188" s="79">
        <v>444896.26906666602</v>
      </c>
      <c r="R188" s="80">
        <f t="shared" si="169"/>
        <v>0.80317718940529748</v>
      </c>
      <c r="S188" s="79">
        <v>433436.3</v>
      </c>
      <c r="T188" s="81">
        <f t="shared" si="170"/>
        <v>0.84993007684948085</v>
      </c>
      <c r="U188" s="80">
        <f t="shared" si="147"/>
        <v>-1</v>
      </c>
      <c r="V188" s="70">
        <f t="shared" si="148"/>
        <v>-380113.48</v>
      </c>
      <c r="W188" s="80">
        <f t="shared" si="149"/>
        <v>0.17043012804141028</v>
      </c>
      <c r="X188" s="70">
        <f t="shared" si="150"/>
        <v>64782.789066666039</v>
      </c>
      <c r="Y188" s="80">
        <f t="shared" si="151"/>
        <v>0.14028131809479635</v>
      </c>
      <c r="Z188" s="70">
        <f t="shared" si="152"/>
        <v>53322.820000000007</v>
      </c>
      <c r="AA188" s="82"/>
      <c r="AC188" s="79">
        <v>380113.48</v>
      </c>
      <c r="AD188" s="79">
        <v>433436.3</v>
      </c>
      <c r="AE188" s="79">
        <v>444896.26906666602</v>
      </c>
      <c r="AF188" s="83">
        <f t="shared" si="153"/>
        <v>0.14028131809479635</v>
      </c>
      <c r="AG188" s="70">
        <f t="shared" si="154"/>
        <v>53322.820000000007</v>
      </c>
      <c r="AH188" s="83">
        <f t="shared" si="155"/>
        <v>0.17043012804141028</v>
      </c>
      <c r="AI188" s="70">
        <f t="shared" si="156"/>
        <v>64782.789066666039</v>
      </c>
      <c r="AK188" s="79">
        <v>380113.48</v>
      </c>
      <c r="AL188" s="80">
        <f t="shared" si="171"/>
        <v>0.58082270886440779</v>
      </c>
      <c r="AM188" s="79">
        <v>0</v>
      </c>
      <c r="AN188" s="80">
        <f t="shared" si="172"/>
        <v>0</v>
      </c>
      <c r="AO188" s="79">
        <v>444896.26906666602</v>
      </c>
      <c r="AP188" s="80">
        <f t="shared" si="173"/>
        <v>0.80317718940529748</v>
      </c>
      <c r="AQ188" s="79">
        <v>433436.3</v>
      </c>
      <c r="AR188" s="81">
        <f t="shared" si="174"/>
        <v>0.84993007684948085</v>
      </c>
      <c r="AS188" s="80">
        <f t="shared" si="157"/>
        <v>-1</v>
      </c>
      <c r="AT188" s="70">
        <f t="shared" si="158"/>
        <v>-380113.48</v>
      </c>
      <c r="AU188" s="80">
        <f t="shared" si="159"/>
        <v>0.14561324418964408</v>
      </c>
      <c r="AV188" s="70">
        <f t="shared" si="160"/>
        <v>64782.789066666039</v>
      </c>
      <c r="AW188" s="80">
        <f t="shared" si="161"/>
        <v>0.14028131809479635</v>
      </c>
      <c r="AX188" s="70">
        <f t="shared" si="162"/>
        <v>53322.820000000007</v>
      </c>
      <c r="AY188" s="82"/>
      <c r="BA188" s="79">
        <v>1389928</v>
      </c>
      <c r="BB188" s="80">
        <f t="shared" si="175"/>
        <v>0.62295115765111042</v>
      </c>
      <c r="BC188" s="79">
        <v>1389928</v>
      </c>
      <c r="BD188" s="80">
        <f t="shared" si="176"/>
        <v>0.62295115765111042</v>
      </c>
      <c r="BE188" s="79">
        <v>4069333.96</v>
      </c>
      <c r="BF188" s="81">
        <f t="shared" si="177"/>
        <v>2.0259283911259272</v>
      </c>
      <c r="BG188" s="80">
        <f t="shared" si="163"/>
        <v>0</v>
      </c>
      <c r="BH188" s="70">
        <f t="shared" si="164"/>
        <v>0</v>
      </c>
      <c r="BI188" s="80">
        <f t="shared" si="165"/>
        <v>1.9277300406927553</v>
      </c>
      <c r="BJ188" s="70">
        <f t="shared" si="166"/>
        <v>2679405.96</v>
      </c>
      <c r="BK188" s="82"/>
    </row>
    <row r="189" spans="5:63" ht="11.95" thickBot="1" x14ac:dyDescent="0.3">
      <c r="E189" s="3"/>
      <c r="F189" s="3"/>
      <c r="G189" s="3"/>
      <c r="H189" s="3" t="s">
        <v>239</v>
      </c>
      <c r="I189" s="18"/>
      <c r="J189" s="18"/>
      <c r="K189" s="18"/>
      <c r="L189" s="78"/>
      <c r="M189" s="79"/>
      <c r="N189" s="80">
        <f t="shared" si="167"/>
        <v>0</v>
      </c>
      <c r="O189" s="79"/>
      <c r="P189" s="80">
        <f t="shared" si="168"/>
        <v>0</v>
      </c>
      <c r="Q189" s="79"/>
      <c r="R189" s="80">
        <f t="shared" si="169"/>
        <v>0</v>
      </c>
      <c r="S189" s="79"/>
      <c r="T189" s="81">
        <f t="shared" si="170"/>
        <v>0</v>
      </c>
      <c r="U189" s="80">
        <f t="shared" si="147"/>
        <v>0</v>
      </c>
      <c r="V189" s="70">
        <f t="shared" si="148"/>
        <v>0</v>
      </c>
      <c r="W189" s="80">
        <f t="shared" si="149"/>
        <v>0</v>
      </c>
      <c r="X189" s="70">
        <f t="shared" si="150"/>
        <v>0</v>
      </c>
      <c r="Y189" s="80">
        <f t="shared" si="151"/>
        <v>0</v>
      </c>
      <c r="Z189" s="70">
        <f t="shared" si="152"/>
        <v>0</v>
      </c>
      <c r="AA189" s="82"/>
      <c r="AC189" s="79">
        <v>0</v>
      </c>
      <c r="AD189" s="79">
        <v>0</v>
      </c>
      <c r="AE189" s="79">
        <v>0</v>
      </c>
      <c r="AF189" s="83">
        <f t="shared" si="153"/>
        <v>0</v>
      </c>
      <c r="AG189" s="70">
        <f t="shared" si="154"/>
        <v>0</v>
      </c>
      <c r="AH189" s="83">
        <f t="shared" si="155"/>
        <v>0</v>
      </c>
      <c r="AI189" s="70">
        <f t="shared" si="156"/>
        <v>0</v>
      </c>
      <c r="AK189" s="79">
        <v>0</v>
      </c>
      <c r="AL189" s="80">
        <f t="shared" si="171"/>
        <v>0</v>
      </c>
      <c r="AM189" s="79">
        <v>0</v>
      </c>
      <c r="AN189" s="80">
        <f t="shared" si="172"/>
        <v>0</v>
      </c>
      <c r="AO189" s="79">
        <v>0</v>
      </c>
      <c r="AP189" s="80">
        <f t="shared" si="173"/>
        <v>0</v>
      </c>
      <c r="AQ189" s="79">
        <v>0</v>
      </c>
      <c r="AR189" s="81">
        <f t="shared" si="174"/>
        <v>0</v>
      </c>
      <c r="AS189" s="80">
        <f t="shared" si="157"/>
        <v>0</v>
      </c>
      <c r="AT189" s="70">
        <f t="shared" si="158"/>
        <v>0</v>
      </c>
      <c r="AU189" s="80">
        <f t="shared" si="159"/>
        <v>0</v>
      </c>
      <c r="AV189" s="70">
        <f t="shared" si="160"/>
        <v>0</v>
      </c>
      <c r="AW189" s="80">
        <f t="shared" si="161"/>
        <v>0</v>
      </c>
      <c r="AX189" s="70">
        <f t="shared" si="162"/>
        <v>0</v>
      </c>
      <c r="AY189" s="82"/>
      <c r="BA189" s="79">
        <v>0</v>
      </c>
      <c r="BB189" s="80">
        <f t="shared" si="175"/>
        <v>0</v>
      </c>
      <c r="BC189" s="79">
        <v>0</v>
      </c>
      <c r="BD189" s="80">
        <f t="shared" si="176"/>
        <v>0</v>
      </c>
      <c r="BE189" s="79">
        <v>0</v>
      </c>
      <c r="BF189" s="81">
        <f t="shared" si="177"/>
        <v>0</v>
      </c>
      <c r="BG189" s="80">
        <f t="shared" si="163"/>
        <v>0</v>
      </c>
      <c r="BH189" s="70">
        <f t="shared" si="164"/>
        <v>0</v>
      </c>
      <c r="BI189" s="80">
        <f t="shared" si="165"/>
        <v>0</v>
      </c>
      <c r="BJ189" s="70">
        <f t="shared" si="166"/>
        <v>0</v>
      </c>
      <c r="BK189" s="82"/>
    </row>
    <row r="190" spans="5:63" ht="11.95" thickBot="1" x14ac:dyDescent="0.3">
      <c r="E190" s="3"/>
      <c r="F190" s="3"/>
      <c r="G190" s="3"/>
      <c r="H190" s="3" t="s">
        <v>240</v>
      </c>
      <c r="I190" s="18"/>
      <c r="J190" s="18"/>
      <c r="K190" s="18"/>
      <c r="L190" s="78"/>
      <c r="M190" s="79"/>
      <c r="N190" s="80">
        <f t="shared" si="167"/>
        <v>0</v>
      </c>
      <c r="O190" s="79"/>
      <c r="P190" s="80">
        <f t="shared" si="168"/>
        <v>0</v>
      </c>
      <c r="Q190" s="79"/>
      <c r="R190" s="80">
        <f t="shared" si="169"/>
        <v>0</v>
      </c>
      <c r="S190" s="79"/>
      <c r="T190" s="81">
        <f t="shared" si="170"/>
        <v>0</v>
      </c>
      <c r="U190" s="80">
        <f t="shared" si="147"/>
        <v>0</v>
      </c>
      <c r="V190" s="70">
        <f t="shared" si="148"/>
        <v>0</v>
      </c>
      <c r="W190" s="80">
        <f t="shared" si="149"/>
        <v>0</v>
      </c>
      <c r="X190" s="70">
        <f t="shared" si="150"/>
        <v>0</v>
      </c>
      <c r="Y190" s="80">
        <f t="shared" si="151"/>
        <v>0</v>
      </c>
      <c r="Z190" s="70">
        <f t="shared" si="152"/>
        <v>0</v>
      </c>
      <c r="AA190" s="82"/>
      <c r="AC190" s="79">
        <v>0</v>
      </c>
      <c r="AD190" s="79">
        <v>0</v>
      </c>
      <c r="AE190" s="79">
        <v>0</v>
      </c>
      <c r="AF190" s="83">
        <f t="shared" si="153"/>
        <v>0</v>
      </c>
      <c r="AG190" s="70">
        <f t="shared" si="154"/>
        <v>0</v>
      </c>
      <c r="AH190" s="83">
        <f t="shared" si="155"/>
        <v>0</v>
      </c>
      <c r="AI190" s="70">
        <f t="shared" si="156"/>
        <v>0</v>
      </c>
      <c r="AK190" s="79">
        <v>0</v>
      </c>
      <c r="AL190" s="80">
        <f t="shared" si="171"/>
        <v>0</v>
      </c>
      <c r="AM190" s="79">
        <v>0</v>
      </c>
      <c r="AN190" s="80">
        <f t="shared" si="172"/>
        <v>0</v>
      </c>
      <c r="AO190" s="79">
        <v>0</v>
      </c>
      <c r="AP190" s="80">
        <f t="shared" si="173"/>
        <v>0</v>
      </c>
      <c r="AQ190" s="79">
        <v>0</v>
      </c>
      <c r="AR190" s="81">
        <f t="shared" si="174"/>
        <v>0</v>
      </c>
      <c r="AS190" s="80">
        <f t="shared" si="157"/>
        <v>0</v>
      </c>
      <c r="AT190" s="70">
        <f t="shared" si="158"/>
        <v>0</v>
      </c>
      <c r="AU190" s="80">
        <f t="shared" si="159"/>
        <v>0</v>
      </c>
      <c r="AV190" s="70">
        <f t="shared" si="160"/>
        <v>0</v>
      </c>
      <c r="AW190" s="80">
        <f t="shared" si="161"/>
        <v>0</v>
      </c>
      <c r="AX190" s="70">
        <f t="shared" si="162"/>
        <v>0</v>
      </c>
      <c r="AY190" s="82"/>
      <c r="BA190" s="79">
        <v>0</v>
      </c>
      <c r="BB190" s="80">
        <f t="shared" si="175"/>
        <v>0</v>
      </c>
      <c r="BC190" s="79">
        <v>0</v>
      </c>
      <c r="BD190" s="80">
        <f t="shared" si="176"/>
        <v>0</v>
      </c>
      <c r="BE190" s="79">
        <v>0</v>
      </c>
      <c r="BF190" s="81">
        <f t="shared" si="177"/>
        <v>0</v>
      </c>
      <c r="BG190" s="80">
        <f t="shared" si="163"/>
        <v>0</v>
      </c>
      <c r="BH190" s="70">
        <f t="shared" si="164"/>
        <v>0</v>
      </c>
      <c r="BI190" s="80">
        <f t="shared" si="165"/>
        <v>0</v>
      </c>
      <c r="BJ190" s="70">
        <f t="shared" si="166"/>
        <v>0</v>
      </c>
      <c r="BK190" s="82"/>
    </row>
    <row r="191" spans="5:63" ht="11.95" thickBot="1" x14ac:dyDescent="0.3">
      <c r="E191" s="3"/>
      <c r="F191" s="3"/>
      <c r="G191" s="3"/>
      <c r="H191" s="3" t="s">
        <v>241</v>
      </c>
      <c r="I191" s="18"/>
      <c r="J191" s="18"/>
      <c r="K191" s="18"/>
      <c r="L191" s="78"/>
      <c r="M191" s="79">
        <v>3234.28</v>
      </c>
      <c r="N191" s="80">
        <f t="shared" si="167"/>
        <v>4.9420590683234306E-3</v>
      </c>
      <c r="O191" s="79"/>
      <c r="P191" s="80">
        <f t="shared" si="168"/>
        <v>0</v>
      </c>
      <c r="Q191" s="79">
        <v>7916.6666666666697</v>
      </c>
      <c r="R191" s="80">
        <f t="shared" si="169"/>
        <v>1.4292064296540877E-2</v>
      </c>
      <c r="S191" s="79"/>
      <c r="T191" s="81">
        <f t="shared" si="170"/>
        <v>0</v>
      </c>
      <c r="U191" s="80">
        <f t="shared" si="147"/>
        <v>-1</v>
      </c>
      <c r="V191" s="70">
        <f t="shared" si="148"/>
        <v>-3234.28</v>
      </c>
      <c r="W191" s="80">
        <f t="shared" si="149"/>
        <v>1.4477369512431417</v>
      </c>
      <c r="X191" s="70">
        <f t="shared" si="150"/>
        <v>4682.386666666669</v>
      </c>
      <c r="Y191" s="80">
        <f t="shared" si="151"/>
        <v>-1</v>
      </c>
      <c r="Z191" s="70">
        <f t="shared" si="152"/>
        <v>-3234.28</v>
      </c>
      <c r="AA191" s="82"/>
      <c r="AC191" s="79">
        <v>3234.28</v>
      </c>
      <c r="AD191" s="79">
        <v>0</v>
      </c>
      <c r="AE191" s="79">
        <v>7916.6666666666697</v>
      </c>
      <c r="AF191" s="83">
        <f t="shared" si="153"/>
        <v>-1</v>
      </c>
      <c r="AG191" s="70">
        <f t="shared" si="154"/>
        <v>-3234.28</v>
      </c>
      <c r="AH191" s="83">
        <f t="shared" si="155"/>
        <v>1.4477369512431417</v>
      </c>
      <c r="AI191" s="70">
        <f t="shared" si="156"/>
        <v>4682.386666666669</v>
      </c>
      <c r="AK191" s="79">
        <v>3234.28</v>
      </c>
      <c r="AL191" s="80">
        <f t="shared" si="171"/>
        <v>4.9420590683234306E-3</v>
      </c>
      <c r="AM191" s="79">
        <v>0</v>
      </c>
      <c r="AN191" s="80">
        <f t="shared" si="172"/>
        <v>0</v>
      </c>
      <c r="AO191" s="79">
        <v>7916.6666666666697</v>
      </c>
      <c r="AP191" s="80">
        <f t="shared" si="173"/>
        <v>1.4292064296540877E-2</v>
      </c>
      <c r="AQ191" s="79">
        <v>0</v>
      </c>
      <c r="AR191" s="81">
        <f t="shared" si="174"/>
        <v>0</v>
      </c>
      <c r="AS191" s="80">
        <f t="shared" si="157"/>
        <v>-1</v>
      </c>
      <c r="AT191" s="70">
        <f t="shared" si="158"/>
        <v>-3234.28</v>
      </c>
      <c r="AU191" s="80">
        <f t="shared" si="159"/>
        <v>0.59145936842105273</v>
      </c>
      <c r="AV191" s="70">
        <f t="shared" si="160"/>
        <v>4682.386666666669</v>
      </c>
      <c r="AW191" s="80">
        <f t="shared" si="161"/>
        <v>-1</v>
      </c>
      <c r="AX191" s="70">
        <f t="shared" si="162"/>
        <v>-3234.28</v>
      </c>
      <c r="AY191" s="82"/>
      <c r="BA191" s="79">
        <v>36000</v>
      </c>
      <c r="BB191" s="80">
        <f t="shared" si="175"/>
        <v>1.6134822577457231E-2</v>
      </c>
      <c r="BC191" s="79">
        <v>36000</v>
      </c>
      <c r="BD191" s="80">
        <f t="shared" si="176"/>
        <v>1.6134822577457231E-2</v>
      </c>
      <c r="BE191" s="79">
        <v>23429.47</v>
      </c>
      <c r="BF191" s="81">
        <f t="shared" si="177"/>
        <v>1.1664421973868466E-2</v>
      </c>
      <c r="BG191" s="80">
        <f t="shared" si="163"/>
        <v>0</v>
      </c>
      <c r="BH191" s="70">
        <f t="shared" si="164"/>
        <v>0</v>
      </c>
      <c r="BI191" s="80">
        <f t="shared" si="165"/>
        <v>-0.34918138888888883</v>
      </c>
      <c r="BJ191" s="70">
        <f t="shared" si="166"/>
        <v>-12570.529999999999</v>
      </c>
      <c r="BK191" s="82"/>
    </row>
    <row r="192" spans="5:63" ht="11.95" thickBot="1" x14ac:dyDescent="0.3">
      <c r="E192" s="3"/>
      <c r="F192" s="3"/>
      <c r="G192" s="3"/>
      <c r="H192" s="3" t="s">
        <v>242</v>
      </c>
      <c r="I192" s="18"/>
      <c r="J192" s="18"/>
      <c r="K192" s="18"/>
      <c r="L192" s="78"/>
      <c r="M192" s="79">
        <v>302326.7</v>
      </c>
      <c r="N192" s="80">
        <f t="shared" si="167"/>
        <v>0.46196260352576068</v>
      </c>
      <c r="O192" s="79"/>
      <c r="P192" s="80">
        <f t="shared" si="168"/>
        <v>0</v>
      </c>
      <c r="Q192" s="79">
        <v>364035.92239999998</v>
      </c>
      <c r="R192" s="80">
        <f t="shared" si="169"/>
        <v>0.65719892326627738</v>
      </c>
      <c r="S192" s="79">
        <v>369010.3</v>
      </c>
      <c r="T192" s="81">
        <f t="shared" si="170"/>
        <v>0.72359641459944635</v>
      </c>
      <c r="U192" s="80">
        <f t="shared" si="147"/>
        <v>-1</v>
      </c>
      <c r="V192" s="70">
        <f t="shared" si="148"/>
        <v>-302326.7</v>
      </c>
      <c r="W192" s="80">
        <f t="shared" si="149"/>
        <v>0.20411436502300315</v>
      </c>
      <c r="X192" s="70">
        <f t="shared" si="150"/>
        <v>61709.22239999997</v>
      </c>
      <c r="Y192" s="80">
        <f t="shared" si="151"/>
        <v>0.22056801466757642</v>
      </c>
      <c r="Z192" s="70">
        <f t="shared" si="152"/>
        <v>66683.599999999977</v>
      </c>
      <c r="AA192" s="82"/>
      <c r="AC192" s="79">
        <v>302326.7</v>
      </c>
      <c r="AD192" s="79">
        <v>369010.3</v>
      </c>
      <c r="AE192" s="79">
        <v>364035.92239999998</v>
      </c>
      <c r="AF192" s="83">
        <f t="shared" si="153"/>
        <v>0.22056801466757642</v>
      </c>
      <c r="AG192" s="70">
        <f t="shared" si="154"/>
        <v>66683.599999999977</v>
      </c>
      <c r="AH192" s="83">
        <f t="shared" si="155"/>
        <v>0.20411436502300315</v>
      </c>
      <c r="AI192" s="70">
        <f t="shared" si="156"/>
        <v>61709.22239999997</v>
      </c>
      <c r="AK192" s="79">
        <v>302326.7</v>
      </c>
      <c r="AL192" s="80">
        <f t="shared" si="171"/>
        <v>0.46196260352576068</v>
      </c>
      <c r="AM192" s="79">
        <v>0</v>
      </c>
      <c r="AN192" s="80">
        <f t="shared" si="172"/>
        <v>0</v>
      </c>
      <c r="AO192" s="79">
        <v>364035.92239999998</v>
      </c>
      <c r="AP192" s="80">
        <f t="shared" si="173"/>
        <v>0.65719892326627738</v>
      </c>
      <c r="AQ192" s="79">
        <v>369010.3</v>
      </c>
      <c r="AR192" s="81">
        <f t="shared" si="174"/>
        <v>0.72359641459944635</v>
      </c>
      <c r="AS192" s="80">
        <f t="shared" si="157"/>
        <v>-1</v>
      </c>
      <c r="AT192" s="70">
        <f t="shared" si="158"/>
        <v>-302326.7</v>
      </c>
      <c r="AU192" s="80">
        <f t="shared" si="159"/>
        <v>0.16951410177645693</v>
      </c>
      <c r="AV192" s="70">
        <f t="shared" si="160"/>
        <v>61709.22239999997</v>
      </c>
      <c r="AW192" s="80">
        <f t="shared" si="161"/>
        <v>0.22056801466757642</v>
      </c>
      <c r="AX192" s="70">
        <f t="shared" si="162"/>
        <v>66683.599999999977</v>
      </c>
      <c r="AY192" s="82"/>
      <c r="BA192" s="79">
        <v>1013928</v>
      </c>
      <c r="BB192" s="80">
        <f t="shared" si="175"/>
        <v>0.45443189961989044</v>
      </c>
      <c r="BC192" s="79">
        <v>1013928</v>
      </c>
      <c r="BD192" s="80">
        <f t="shared" si="176"/>
        <v>0.45443189961989044</v>
      </c>
      <c r="BE192" s="79">
        <v>1450468.72</v>
      </c>
      <c r="BF192" s="81">
        <f t="shared" si="177"/>
        <v>0.72211958742459248</v>
      </c>
      <c r="BG192" s="80">
        <f t="shared" si="163"/>
        <v>0</v>
      </c>
      <c r="BH192" s="70">
        <f t="shared" si="164"/>
        <v>0</v>
      </c>
      <c r="BI192" s="80">
        <f t="shared" si="165"/>
        <v>0.43054410175081465</v>
      </c>
      <c r="BJ192" s="70">
        <f t="shared" si="166"/>
        <v>436540.72</v>
      </c>
      <c r="BK192" s="82"/>
    </row>
    <row r="193" spans="5:63" ht="11.95" thickBot="1" x14ac:dyDescent="0.3">
      <c r="E193" s="3"/>
      <c r="F193" s="3"/>
      <c r="G193" s="3"/>
      <c r="H193" s="3" t="s">
        <v>243</v>
      </c>
      <c r="I193" s="18"/>
      <c r="J193" s="18"/>
      <c r="K193" s="18"/>
      <c r="L193" s="78"/>
      <c r="M193" s="79"/>
      <c r="N193" s="80">
        <f t="shared" si="167"/>
        <v>0</v>
      </c>
      <c r="O193" s="79"/>
      <c r="P193" s="80">
        <f t="shared" si="168"/>
        <v>0</v>
      </c>
      <c r="Q193" s="79"/>
      <c r="R193" s="80">
        <f t="shared" si="169"/>
        <v>0</v>
      </c>
      <c r="S193" s="79"/>
      <c r="T193" s="81">
        <f t="shared" si="170"/>
        <v>0</v>
      </c>
      <c r="U193" s="80">
        <f t="shared" si="147"/>
        <v>0</v>
      </c>
      <c r="V193" s="70">
        <f t="shared" si="148"/>
        <v>0</v>
      </c>
      <c r="W193" s="80">
        <f t="shared" si="149"/>
        <v>0</v>
      </c>
      <c r="X193" s="70">
        <f t="shared" si="150"/>
        <v>0</v>
      </c>
      <c r="Y193" s="80">
        <f t="shared" si="151"/>
        <v>0</v>
      </c>
      <c r="Z193" s="70">
        <f t="shared" si="152"/>
        <v>0</v>
      </c>
      <c r="AA193" s="82"/>
      <c r="AC193" s="79">
        <v>0</v>
      </c>
      <c r="AD193" s="79">
        <v>0</v>
      </c>
      <c r="AE193" s="79">
        <v>0</v>
      </c>
      <c r="AF193" s="83">
        <f t="shared" si="153"/>
        <v>0</v>
      </c>
      <c r="AG193" s="70">
        <f t="shared" si="154"/>
        <v>0</v>
      </c>
      <c r="AH193" s="83">
        <f t="shared" si="155"/>
        <v>0</v>
      </c>
      <c r="AI193" s="70">
        <f t="shared" si="156"/>
        <v>0</v>
      </c>
      <c r="AK193" s="79">
        <v>0</v>
      </c>
      <c r="AL193" s="80">
        <f t="shared" si="171"/>
        <v>0</v>
      </c>
      <c r="AM193" s="79">
        <v>0</v>
      </c>
      <c r="AN193" s="80">
        <f t="shared" si="172"/>
        <v>0</v>
      </c>
      <c r="AO193" s="79">
        <v>0</v>
      </c>
      <c r="AP193" s="80">
        <f t="shared" si="173"/>
        <v>0</v>
      </c>
      <c r="AQ193" s="79">
        <v>0</v>
      </c>
      <c r="AR193" s="81">
        <f t="shared" si="174"/>
        <v>0</v>
      </c>
      <c r="AS193" s="80">
        <f t="shared" si="157"/>
        <v>0</v>
      </c>
      <c r="AT193" s="70">
        <f t="shared" si="158"/>
        <v>0</v>
      </c>
      <c r="AU193" s="80">
        <f t="shared" si="159"/>
        <v>0</v>
      </c>
      <c r="AV193" s="70">
        <f t="shared" si="160"/>
        <v>0</v>
      </c>
      <c r="AW193" s="80">
        <f t="shared" si="161"/>
        <v>0</v>
      </c>
      <c r="AX193" s="70">
        <f t="shared" si="162"/>
        <v>0</v>
      </c>
      <c r="AY193" s="82"/>
      <c r="BA193" s="79">
        <v>0</v>
      </c>
      <c r="BB193" s="80">
        <f t="shared" si="175"/>
        <v>0</v>
      </c>
      <c r="BC193" s="79">
        <v>0</v>
      </c>
      <c r="BD193" s="80">
        <f t="shared" si="176"/>
        <v>0</v>
      </c>
      <c r="BE193" s="79">
        <v>2346566.4900000002</v>
      </c>
      <c r="BF193" s="81">
        <f t="shared" si="177"/>
        <v>1.1682441698040715</v>
      </c>
      <c r="BG193" s="80">
        <f t="shared" si="163"/>
        <v>0</v>
      </c>
      <c r="BH193" s="70">
        <f t="shared" si="164"/>
        <v>0</v>
      </c>
      <c r="BI193" s="80">
        <f t="shared" si="165"/>
        <v>0</v>
      </c>
      <c r="BJ193" s="70">
        <f t="shared" si="166"/>
        <v>2346566.4900000002</v>
      </c>
      <c r="BK193" s="82"/>
    </row>
    <row r="194" spans="5:63" ht="11.95" thickBot="1" x14ac:dyDescent="0.3">
      <c r="E194" s="3"/>
      <c r="F194" s="3"/>
      <c r="G194" s="3"/>
      <c r="H194" s="3" t="s">
        <v>244</v>
      </c>
      <c r="I194" s="18"/>
      <c r="J194" s="18"/>
      <c r="K194" s="18"/>
      <c r="L194" s="78"/>
      <c r="M194" s="79"/>
      <c r="N194" s="80">
        <f t="shared" si="167"/>
        <v>0</v>
      </c>
      <c r="O194" s="79"/>
      <c r="P194" s="80">
        <f t="shared" si="168"/>
        <v>0</v>
      </c>
      <c r="Q194" s="79"/>
      <c r="R194" s="80">
        <f t="shared" si="169"/>
        <v>0</v>
      </c>
      <c r="S194" s="79"/>
      <c r="T194" s="81">
        <f t="shared" si="170"/>
        <v>0</v>
      </c>
      <c r="U194" s="80">
        <f t="shared" si="147"/>
        <v>0</v>
      </c>
      <c r="V194" s="70">
        <f t="shared" si="148"/>
        <v>0</v>
      </c>
      <c r="W194" s="80">
        <f t="shared" si="149"/>
        <v>0</v>
      </c>
      <c r="X194" s="70">
        <f t="shared" si="150"/>
        <v>0</v>
      </c>
      <c r="Y194" s="80">
        <f t="shared" si="151"/>
        <v>0</v>
      </c>
      <c r="Z194" s="70">
        <f t="shared" si="152"/>
        <v>0</v>
      </c>
      <c r="AA194" s="82"/>
      <c r="AC194" s="79">
        <v>0</v>
      </c>
      <c r="AD194" s="79">
        <v>0</v>
      </c>
      <c r="AE194" s="79">
        <v>0</v>
      </c>
      <c r="AF194" s="83">
        <f t="shared" si="153"/>
        <v>0</v>
      </c>
      <c r="AG194" s="70">
        <f t="shared" si="154"/>
        <v>0</v>
      </c>
      <c r="AH194" s="83">
        <f t="shared" si="155"/>
        <v>0</v>
      </c>
      <c r="AI194" s="70">
        <f t="shared" si="156"/>
        <v>0</v>
      </c>
      <c r="AK194" s="79">
        <v>0</v>
      </c>
      <c r="AL194" s="80">
        <f t="shared" si="171"/>
        <v>0</v>
      </c>
      <c r="AM194" s="79">
        <v>0</v>
      </c>
      <c r="AN194" s="80">
        <f t="shared" si="172"/>
        <v>0</v>
      </c>
      <c r="AO194" s="79">
        <v>0</v>
      </c>
      <c r="AP194" s="80">
        <f t="shared" si="173"/>
        <v>0</v>
      </c>
      <c r="AQ194" s="79">
        <v>0</v>
      </c>
      <c r="AR194" s="81">
        <f t="shared" si="174"/>
        <v>0</v>
      </c>
      <c r="AS194" s="80">
        <f t="shared" si="157"/>
        <v>0</v>
      </c>
      <c r="AT194" s="70">
        <f t="shared" si="158"/>
        <v>0</v>
      </c>
      <c r="AU194" s="80">
        <f t="shared" si="159"/>
        <v>0</v>
      </c>
      <c r="AV194" s="70">
        <f t="shared" si="160"/>
        <v>0</v>
      </c>
      <c r="AW194" s="80">
        <f t="shared" si="161"/>
        <v>0</v>
      </c>
      <c r="AX194" s="70">
        <f t="shared" si="162"/>
        <v>0</v>
      </c>
      <c r="AY194" s="82"/>
      <c r="BA194" s="79">
        <v>0</v>
      </c>
      <c r="BB194" s="80">
        <f t="shared" si="175"/>
        <v>0</v>
      </c>
      <c r="BC194" s="79">
        <v>0</v>
      </c>
      <c r="BD194" s="80">
        <f t="shared" si="176"/>
        <v>0</v>
      </c>
      <c r="BE194" s="79">
        <v>0</v>
      </c>
      <c r="BF194" s="81">
        <f t="shared" si="177"/>
        <v>0</v>
      </c>
      <c r="BG194" s="80">
        <f t="shared" si="163"/>
        <v>0</v>
      </c>
      <c r="BH194" s="70">
        <f t="shared" si="164"/>
        <v>0</v>
      </c>
      <c r="BI194" s="80">
        <f t="shared" si="165"/>
        <v>0</v>
      </c>
      <c r="BJ194" s="70">
        <f t="shared" si="166"/>
        <v>0</v>
      </c>
      <c r="BK194" s="82"/>
    </row>
    <row r="195" spans="5:63" ht="11.95" thickBot="1" x14ac:dyDescent="0.3">
      <c r="E195" s="3"/>
      <c r="F195" s="3"/>
      <c r="G195" s="3"/>
      <c r="H195" s="3" t="s">
        <v>245</v>
      </c>
      <c r="I195" s="18"/>
      <c r="J195" s="18"/>
      <c r="K195" s="18"/>
      <c r="L195" s="78"/>
      <c r="M195" s="79"/>
      <c r="N195" s="80">
        <f t="shared" si="167"/>
        <v>0</v>
      </c>
      <c r="O195" s="79"/>
      <c r="P195" s="80">
        <f t="shared" si="168"/>
        <v>0</v>
      </c>
      <c r="Q195" s="79"/>
      <c r="R195" s="80">
        <f t="shared" si="169"/>
        <v>0</v>
      </c>
      <c r="S195" s="79"/>
      <c r="T195" s="81">
        <f t="shared" si="170"/>
        <v>0</v>
      </c>
      <c r="U195" s="80">
        <f t="shared" si="147"/>
        <v>0</v>
      </c>
      <c r="V195" s="70">
        <f t="shared" si="148"/>
        <v>0</v>
      </c>
      <c r="W195" s="80">
        <f t="shared" si="149"/>
        <v>0</v>
      </c>
      <c r="X195" s="70">
        <f t="shared" si="150"/>
        <v>0</v>
      </c>
      <c r="Y195" s="80">
        <f t="shared" si="151"/>
        <v>0</v>
      </c>
      <c r="Z195" s="70">
        <f t="shared" si="152"/>
        <v>0</v>
      </c>
      <c r="AA195" s="82"/>
      <c r="AC195" s="79">
        <v>0</v>
      </c>
      <c r="AD195" s="79">
        <v>0</v>
      </c>
      <c r="AE195" s="79">
        <v>0</v>
      </c>
      <c r="AF195" s="83">
        <f t="shared" si="153"/>
        <v>0</v>
      </c>
      <c r="AG195" s="70">
        <f t="shared" si="154"/>
        <v>0</v>
      </c>
      <c r="AH195" s="83">
        <f t="shared" si="155"/>
        <v>0</v>
      </c>
      <c r="AI195" s="70">
        <f t="shared" si="156"/>
        <v>0</v>
      </c>
      <c r="AK195" s="79">
        <v>0</v>
      </c>
      <c r="AL195" s="80">
        <f t="shared" si="171"/>
        <v>0</v>
      </c>
      <c r="AM195" s="79">
        <v>0</v>
      </c>
      <c r="AN195" s="80">
        <f t="shared" si="172"/>
        <v>0</v>
      </c>
      <c r="AO195" s="79">
        <v>0</v>
      </c>
      <c r="AP195" s="80">
        <f t="shared" si="173"/>
        <v>0</v>
      </c>
      <c r="AQ195" s="79">
        <v>0</v>
      </c>
      <c r="AR195" s="81">
        <f t="shared" si="174"/>
        <v>0</v>
      </c>
      <c r="AS195" s="80">
        <f t="shared" si="157"/>
        <v>0</v>
      </c>
      <c r="AT195" s="70">
        <f t="shared" si="158"/>
        <v>0</v>
      </c>
      <c r="AU195" s="80">
        <f t="shared" si="159"/>
        <v>0</v>
      </c>
      <c r="AV195" s="70">
        <f t="shared" si="160"/>
        <v>0</v>
      </c>
      <c r="AW195" s="80">
        <f t="shared" si="161"/>
        <v>0</v>
      </c>
      <c r="AX195" s="70">
        <f t="shared" si="162"/>
        <v>0</v>
      </c>
      <c r="AY195" s="82"/>
      <c r="BA195" s="79">
        <v>0</v>
      </c>
      <c r="BB195" s="80">
        <f t="shared" si="175"/>
        <v>0</v>
      </c>
      <c r="BC195" s="79">
        <v>0</v>
      </c>
      <c r="BD195" s="80">
        <f t="shared" si="176"/>
        <v>0</v>
      </c>
      <c r="BE195" s="79">
        <v>0</v>
      </c>
      <c r="BF195" s="81">
        <f t="shared" si="177"/>
        <v>0</v>
      </c>
      <c r="BG195" s="80">
        <f t="shared" si="163"/>
        <v>0</v>
      </c>
      <c r="BH195" s="70">
        <f t="shared" si="164"/>
        <v>0</v>
      </c>
      <c r="BI195" s="80">
        <f t="shared" si="165"/>
        <v>0</v>
      </c>
      <c r="BJ195" s="70">
        <f t="shared" si="166"/>
        <v>0</v>
      </c>
      <c r="BK195" s="82"/>
    </row>
    <row r="196" spans="5:63" ht="11.95" thickBot="1" x14ac:dyDescent="0.3">
      <c r="E196" s="3"/>
      <c r="F196" s="3"/>
      <c r="G196" s="3"/>
      <c r="H196" s="3" t="s">
        <v>246</v>
      </c>
      <c r="I196" s="18"/>
      <c r="J196" s="18"/>
      <c r="K196" s="18"/>
      <c r="L196" s="78"/>
      <c r="M196" s="79"/>
      <c r="N196" s="80">
        <f t="shared" si="167"/>
        <v>0</v>
      </c>
      <c r="O196" s="79"/>
      <c r="P196" s="80">
        <f t="shared" si="168"/>
        <v>0</v>
      </c>
      <c r="Q196" s="79"/>
      <c r="R196" s="80">
        <f t="shared" si="169"/>
        <v>0</v>
      </c>
      <c r="S196" s="79"/>
      <c r="T196" s="81">
        <f t="shared" si="170"/>
        <v>0</v>
      </c>
      <c r="U196" s="80">
        <f t="shared" si="147"/>
        <v>0</v>
      </c>
      <c r="V196" s="70">
        <f t="shared" si="148"/>
        <v>0</v>
      </c>
      <c r="W196" s="80">
        <f t="shared" si="149"/>
        <v>0</v>
      </c>
      <c r="X196" s="70">
        <f t="shared" si="150"/>
        <v>0</v>
      </c>
      <c r="Y196" s="80">
        <f t="shared" si="151"/>
        <v>0</v>
      </c>
      <c r="Z196" s="70">
        <f t="shared" si="152"/>
        <v>0</v>
      </c>
      <c r="AA196" s="82"/>
      <c r="AC196" s="79">
        <v>0</v>
      </c>
      <c r="AD196" s="79">
        <v>0</v>
      </c>
      <c r="AE196" s="79">
        <v>0</v>
      </c>
      <c r="AF196" s="83">
        <f t="shared" si="153"/>
        <v>0</v>
      </c>
      <c r="AG196" s="70">
        <f t="shared" si="154"/>
        <v>0</v>
      </c>
      <c r="AH196" s="83">
        <f t="shared" si="155"/>
        <v>0</v>
      </c>
      <c r="AI196" s="70">
        <f t="shared" si="156"/>
        <v>0</v>
      </c>
      <c r="AK196" s="79">
        <v>0</v>
      </c>
      <c r="AL196" s="80">
        <f t="shared" si="171"/>
        <v>0</v>
      </c>
      <c r="AM196" s="79">
        <v>0</v>
      </c>
      <c r="AN196" s="80">
        <f t="shared" si="172"/>
        <v>0</v>
      </c>
      <c r="AO196" s="79">
        <v>0</v>
      </c>
      <c r="AP196" s="80">
        <f t="shared" si="173"/>
        <v>0</v>
      </c>
      <c r="AQ196" s="79">
        <v>0</v>
      </c>
      <c r="AR196" s="81">
        <f t="shared" si="174"/>
        <v>0</v>
      </c>
      <c r="AS196" s="80">
        <f t="shared" si="157"/>
        <v>0</v>
      </c>
      <c r="AT196" s="70">
        <f t="shared" si="158"/>
        <v>0</v>
      </c>
      <c r="AU196" s="80">
        <f t="shared" si="159"/>
        <v>0</v>
      </c>
      <c r="AV196" s="70">
        <f t="shared" si="160"/>
        <v>0</v>
      </c>
      <c r="AW196" s="80">
        <f t="shared" si="161"/>
        <v>0</v>
      </c>
      <c r="AX196" s="70">
        <f t="shared" si="162"/>
        <v>0</v>
      </c>
      <c r="AY196" s="82"/>
      <c r="BA196" s="79">
        <v>0</v>
      </c>
      <c r="BB196" s="80">
        <f t="shared" si="175"/>
        <v>0</v>
      </c>
      <c r="BC196" s="79">
        <v>0</v>
      </c>
      <c r="BD196" s="80">
        <f t="shared" si="176"/>
        <v>0</v>
      </c>
      <c r="BE196" s="79">
        <v>0</v>
      </c>
      <c r="BF196" s="81">
        <f t="shared" si="177"/>
        <v>0</v>
      </c>
      <c r="BG196" s="80">
        <f t="shared" si="163"/>
        <v>0</v>
      </c>
      <c r="BH196" s="70">
        <f t="shared" si="164"/>
        <v>0</v>
      </c>
      <c r="BI196" s="80">
        <f t="shared" si="165"/>
        <v>0</v>
      </c>
      <c r="BJ196" s="70">
        <f t="shared" si="166"/>
        <v>0</v>
      </c>
      <c r="BK196" s="82"/>
    </row>
    <row r="197" spans="5:63" ht="11.95" thickBot="1" x14ac:dyDescent="0.3">
      <c r="E197" s="3"/>
      <c r="F197" s="3"/>
      <c r="G197" s="3"/>
      <c r="H197" s="3" t="s">
        <v>247</v>
      </c>
      <c r="I197" s="18"/>
      <c r="J197" s="18"/>
      <c r="K197" s="18"/>
      <c r="L197" s="78"/>
      <c r="M197" s="79"/>
      <c r="N197" s="80">
        <f t="shared" si="167"/>
        <v>0</v>
      </c>
      <c r="O197" s="79"/>
      <c r="P197" s="80">
        <f t="shared" si="168"/>
        <v>0</v>
      </c>
      <c r="Q197" s="79"/>
      <c r="R197" s="80">
        <f t="shared" si="169"/>
        <v>0</v>
      </c>
      <c r="S197" s="79"/>
      <c r="T197" s="81">
        <f t="shared" si="170"/>
        <v>0</v>
      </c>
      <c r="U197" s="80">
        <f t="shared" si="147"/>
        <v>0</v>
      </c>
      <c r="V197" s="70">
        <f t="shared" si="148"/>
        <v>0</v>
      </c>
      <c r="W197" s="80">
        <f t="shared" si="149"/>
        <v>0</v>
      </c>
      <c r="X197" s="70">
        <f t="shared" si="150"/>
        <v>0</v>
      </c>
      <c r="Y197" s="80">
        <f t="shared" si="151"/>
        <v>0</v>
      </c>
      <c r="Z197" s="70">
        <f t="shared" si="152"/>
        <v>0</v>
      </c>
      <c r="AA197" s="82"/>
      <c r="AC197" s="79">
        <v>0</v>
      </c>
      <c r="AD197" s="79">
        <v>0</v>
      </c>
      <c r="AE197" s="79">
        <v>0</v>
      </c>
      <c r="AF197" s="83">
        <f t="shared" si="153"/>
        <v>0</v>
      </c>
      <c r="AG197" s="70">
        <f t="shared" si="154"/>
        <v>0</v>
      </c>
      <c r="AH197" s="83">
        <f t="shared" si="155"/>
        <v>0</v>
      </c>
      <c r="AI197" s="70">
        <f t="shared" si="156"/>
        <v>0</v>
      </c>
      <c r="AK197" s="79">
        <v>0</v>
      </c>
      <c r="AL197" s="80">
        <f t="shared" si="171"/>
        <v>0</v>
      </c>
      <c r="AM197" s="79">
        <v>0</v>
      </c>
      <c r="AN197" s="80">
        <f t="shared" si="172"/>
        <v>0</v>
      </c>
      <c r="AO197" s="79">
        <v>0</v>
      </c>
      <c r="AP197" s="80">
        <f t="shared" si="173"/>
        <v>0</v>
      </c>
      <c r="AQ197" s="79">
        <v>0</v>
      </c>
      <c r="AR197" s="81">
        <f t="shared" si="174"/>
        <v>0</v>
      </c>
      <c r="AS197" s="80">
        <f t="shared" si="157"/>
        <v>0</v>
      </c>
      <c r="AT197" s="70">
        <f t="shared" si="158"/>
        <v>0</v>
      </c>
      <c r="AU197" s="80">
        <f t="shared" si="159"/>
        <v>0</v>
      </c>
      <c r="AV197" s="70">
        <f t="shared" si="160"/>
        <v>0</v>
      </c>
      <c r="AW197" s="80">
        <f t="shared" si="161"/>
        <v>0</v>
      </c>
      <c r="AX197" s="70">
        <f t="shared" si="162"/>
        <v>0</v>
      </c>
      <c r="AY197" s="82"/>
      <c r="BA197" s="79">
        <v>0</v>
      </c>
      <c r="BB197" s="80">
        <f t="shared" si="175"/>
        <v>0</v>
      </c>
      <c r="BC197" s="79">
        <v>0</v>
      </c>
      <c r="BD197" s="80">
        <f t="shared" si="176"/>
        <v>0</v>
      </c>
      <c r="BE197" s="79">
        <v>0</v>
      </c>
      <c r="BF197" s="81">
        <f t="shared" si="177"/>
        <v>0</v>
      </c>
      <c r="BG197" s="80">
        <f t="shared" si="163"/>
        <v>0</v>
      </c>
      <c r="BH197" s="70">
        <f t="shared" si="164"/>
        <v>0</v>
      </c>
      <c r="BI197" s="80">
        <f t="shared" si="165"/>
        <v>0</v>
      </c>
      <c r="BJ197" s="70">
        <f t="shared" si="166"/>
        <v>0</v>
      </c>
      <c r="BK197" s="82"/>
    </row>
    <row r="198" spans="5:63" ht="11.95" thickBot="1" x14ac:dyDescent="0.3">
      <c r="E198" s="3"/>
      <c r="F198" s="3"/>
      <c r="G198" s="3"/>
      <c r="H198" s="3" t="s">
        <v>248</v>
      </c>
      <c r="I198" s="18"/>
      <c r="J198" s="18"/>
      <c r="K198" s="18"/>
      <c r="L198" s="78"/>
      <c r="M198" s="79"/>
      <c r="N198" s="80">
        <f t="shared" si="167"/>
        <v>0</v>
      </c>
      <c r="O198" s="79"/>
      <c r="P198" s="80">
        <f t="shared" si="168"/>
        <v>0</v>
      </c>
      <c r="Q198" s="79"/>
      <c r="R198" s="80">
        <f t="shared" si="169"/>
        <v>0</v>
      </c>
      <c r="S198" s="79"/>
      <c r="T198" s="81">
        <f t="shared" si="170"/>
        <v>0</v>
      </c>
      <c r="U198" s="80">
        <f t="shared" si="147"/>
        <v>0</v>
      </c>
      <c r="V198" s="70">
        <f t="shared" si="148"/>
        <v>0</v>
      </c>
      <c r="W198" s="80">
        <f t="shared" si="149"/>
        <v>0</v>
      </c>
      <c r="X198" s="70">
        <f t="shared" si="150"/>
        <v>0</v>
      </c>
      <c r="Y198" s="80">
        <f t="shared" si="151"/>
        <v>0</v>
      </c>
      <c r="Z198" s="70">
        <f t="shared" si="152"/>
        <v>0</v>
      </c>
      <c r="AA198" s="82"/>
      <c r="AC198" s="79">
        <v>0</v>
      </c>
      <c r="AD198" s="79">
        <v>0</v>
      </c>
      <c r="AE198" s="79">
        <v>0</v>
      </c>
      <c r="AF198" s="83">
        <f t="shared" si="153"/>
        <v>0</v>
      </c>
      <c r="AG198" s="70">
        <f t="shared" si="154"/>
        <v>0</v>
      </c>
      <c r="AH198" s="83">
        <f t="shared" si="155"/>
        <v>0</v>
      </c>
      <c r="AI198" s="70">
        <f t="shared" si="156"/>
        <v>0</v>
      </c>
      <c r="AK198" s="79">
        <v>0</v>
      </c>
      <c r="AL198" s="80">
        <f t="shared" si="171"/>
        <v>0</v>
      </c>
      <c r="AM198" s="79">
        <v>0</v>
      </c>
      <c r="AN198" s="80">
        <f t="shared" si="172"/>
        <v>0</v>
      </c>
      <c r="AO198" s="79">
        <v>0</v>
      </c>
      <c r="AP198" s="80">
        <f t="shared" si="173"/>
        <v>0</v>
      </c>
      <c r="AQ198" s="79">
        <v>0</v>
      </c>
      <c r="AR198" s="81">
        <f t="shared" si="174"/>
        <v>0</v>
      </c>
      <c r="AS198" s="80">
        <f t="shared" si="157"/>
        <v>0</v>
      </c>
      <c r="AT198" s="70">
        <f t="shared" si="158"/>
        <v>0</v>
      </c>
      <c r="AU198" s="80">
        <f t="shared" si="159"/>
        <v>0</v>
      </c>
      <c r="AV198" s="70">
        <f t="shared" si="160"/>
        <v>0</v>
      </c>
      <c r="AW198" s="80">
        <f t="shared" si="161"/>
        <v>0</v>
      </c>
      <c r="AX198" s="70">
        <f t="shared" si="162"/>
        <v>0</v>
      </c>
      <c r="AY198" s="82"/>
      <c r="BA198" s="79">
        <v>0</v>
      </c>
      <c r="BB198" s="80">
        <f t="shared" si="175"/>
        <v>0</v>
      </c>
      <c r="BC198" s="79">
        <v>0</v>
      </c>
      <c r="BD198" s="80">
        <f t="shared" si="176"/>
        <v>0</v>
      </c>
      <c r="BE198" s="79">
        <v>0</v>
      </c>
      <c r="BF198" s="81">
        <f t="shared" si="177"/>
        <v>0</v>
      </c>
      <c r="BG198" s="80">
        <f t="shared" si="163"/>
        <v>0</v>
      </c>
      <c r="BH198" s="70">
        <f t="shared" si="164"/>
        <v>0</v>
      </c>
      <c r="BI198" s="80">
        <f t="shared" si="165"/>
        <v>0</v>
      </c>
      <c r="BJ198" s="70">
        <f t="shared" si="166"/>
        <v>0</v>
      </c>
      <c r="BK198" s="82"/>
    </row>
    <row r="199" spans="5:63" ht="11.95" thickBot="1" x14ac:dyDescent="0.3">
      <c r="E199" s="3"/>
      <c r="F199" s="3"/>
      <c r="G199" s="3"/>
      <c r="H199" s="3" t="s">
        <v>249</v>
      </c>
      <c r="I199" s="18"/>
      <c r="J199" s="18"/>
      <c r="K199" s="18"/>
      <c r="L199" s="78"/>
      <c r="M199" s="79"/>
      <c r="N199" s="80">
        <f t="shared" si="167"/>
        <v>0</v>
      </c>
      <c r="O199" s="79"/>
      <c r="P199" s="80">
        <f t="shared" si="168"/>
        <v>0</v>
      </c>
      <c r="Q199" s="79"/>
      <c r="R199" s="80">
        <f t="shared" si="169"/>
        <v>0</v>
      </c>
      <c r="S199" s="79"/>
      <c r="T199" s="81">
        <f t="shared" si="170"/>
        <v>0</v>
      </c>
      <c r="U199" s="80">
        <f t="shared" si="147"/>
        <v>0</v>
      </c>
      <c r="V199" s="70">
        <f t="shared" si="148"/>
        <v>0</v>
      </c>
      <c r="W199" s="80">
        <f t="shared" si="149"/>
        <v>0</v>
      </c>
      <c r="X199" s="70">
        <f t="shared" si="150"/>
        <v>0</v>
      </c>
      <c r="Y199" s="80">
        <f t="shared" si="151"/>
        <v>0</v>
      </c>
      <c r="Z199" s="70">
        <f t="shared" si="152"/>
        <v>0</v>
      </c>
      <c r="AA199" s="82"/>
      <c r="AC199" s="79">
        <v>0</v>
      </c>
      <c r="AD199" s="79">
        <v>0</v>
      </c>
      <c r="AE199" s="79">
        <v>0</v>
      </c>
      <c r="AF199" s="83">
        <f t="shared" si="153"/>
        <v>0</v>
      </c>
      <c r="AG199" s="70">
        <f t="shared" si="154"/>
        <v>0</v>
      </c>
      <c r="AH199" s="83">
        <f t="shared" si="155"/>
        <v>0</v>
      </c>
      <c r="AI199" s="70">
        <f t="shared" si="156"/>
        <v>0</v>
      </c>
      <c r="AK199" s="79">
        <v>0</v>
      </c>
      <c r="AL199" s="80">
        <f t="shared" si="171"/>
        <v>0</v>
      </c>
      <c r="AM199" s="79">
        <v>0</v>
      </c>
      <c r="AN199" s="80">
        <f t="shared" si="172"/>
        <v>0</v>
      </c>
      <c r="AO199" s="79">
        <v>0</v>
      </c>
      <c r="AP199" s="80">
        <f t="shared" si="173"/>
        <v>0</v>
      </c>
      <c r="AQ199" s="79">
        <v>0</v>
      </c>
      <c r="AR199" s="81">
        <f t="shared" si="174"/>
        <v>0</v>
      </c>
      <c r="AS199" s="80">
        <f t="shared" si="157"/>
        <v>0</v>
      </c>
      <c r="AT199" s="70">
        <f t="shared" si="158"/>
        <v>0</v>
      </c>
      <c r="AU199" s="80">
        <f t="shared" si="159"/>
        <v>0</v>
      </c>
      <c r="AV199" s="70">
        <f t="shared" si="160"/>
        <v>0</v>
      </c>
      <c r="AW199" s="80">
        <f t="shared" si="161"/>
        <v>0</v>
      </c>
      <c r="AX199" s="70">
        <f t="shared" si="162"/>
        <v>0</v>
      </c>
      <c r="AY199" s="82"/>
      <c r="BA199" s="79">
        <v>0</v>
      </c>
      <c r="BB199" s="80">
        <f t="shared" si="175"/>
        <v>0</v>
      </c>
      <c r="BC199" s="79">
        <v>0</v>
      </c>
      <c r="BD199" s="80">
        <f t="shared" si="176"/>
        <v>0</v>
      </c>
      <c r="BE199" s="79">
        <v>0</v>
      </c>
      <c r="BF199" s="81">
        <f t="shared" si="177"/>
        <v>0</v>
      </c>
      <c r="BG199" s="80">
        <f t="shared" si="163"/>
        <v>0</v>
      </c>
      <c r="BH199" s="70">
        <f t="shared" si="164"/>
        <v>0</v>
      </c>
      <c r="BI199" s="80">
        <f t="shared" si="165"/>
        <v>0</v>
      </c>
      <c r="BJ199" s="70">
        <f t="shared" si="166"/>
        <v>0</v>
      </c>
      <c r="BK199" s="82"/>
    </row>
    <row r="200" spans="5:63" ht="11.95" thickBot="1" x14ac:dyDescent="0.3">
      <c r="E200" s="3"/>
      <c r="F200" s="3"/>
      <c r="G200" s="3"/>
      <c r="H200" s="3" t="s">
        <v>250</v>
      </c>
      <c r="I200" s="18"/>
      <c r="J200" s="18"/>
      <c r="K200" s="18"/>
      <c r="L200" s="78"/>
      <c r="M200" s="79"/>
      <c r="N200" s="80">
        <f t="shared" si="167"/>
        <v>0</v>
      </c>
      <c r="O200" s="79"/>
      <c r="P200" s="80">
        <f t="shared" si="168"/>
        <v>0</v>
      </c>
      <c r="Q200" s="79"/>
      <c r="R200" s="80">
        <f t="shared" si="169"/>
        <v>0</v>
      </c>
      <c r="S200" s="79"/>
      <c r="T200" s="81">
        <f t="shared" si="170"/>
        <v>0</v>
      </c>
      <c r="U200" s="80">
        <f t="shared" si="147"/>
        <v>0</v>
      </c>
      <c r="V200" s="70">
        <f t="shared" si="148"/>
        <v>0</v>
      </c>
      <c r="W200" s="80">
        <f t="shared" si="149"/>
        <v>0</v>
      </c>
      <c r="X200" s="70">
        <f t="shared" si="150"/>
        <v>0</v>
      </c>
      <c r="Y200" s="80">
        <f t="shared" si="151"/>
        <v>0</v>
      </c>
      <c r="Z200" s="70">
        <f t="shared" si="152"/>
        <v>0</v>
      </c>
      <c r="AA200" s="82"/>
      <c r="AC200" s="79">
        <v>0</v>
      </c>
      <c r="AD200" s="79">
        <v>0</v>
      </c>
      <c r="AE200" s="79">
        <v>0</v>
      </c>
      <c r="AF200" s="83">
        <f t="shared" si="153"/>
        <v>0</v>
      </c>
      <c r="AG200" s="70">
        <f t="shared" si="154"/>
        <v>0</v>
      </c>
      <c r="AH200" s="83">
        <f t="shared" si="155"/>
        <v>0</v>
      </c>
      <c r="AI200" s="70">
        <f t="shared" si="156"/>
        <v>0</v>
      </c>
      <c r="AK200" s="79">
        <v>0</v>
      </c>
      <c r="AL200" s="80">
        <f t="shared" si="171"/>
        <v>0</v>
      </c>
      <c r="AM200" s="79">
        <v>0</v>
      </c>
      <c r="AN200" s="80">
        <f t="shared" si="172"/>
        <v>0</v>
      </c>
      <c r="AO200" s="79">
        <v>0</v>
      </c>
      <c r="AP200" s="80">
        <f t="shared" si="173"/>
        <v>0</v>
      </c>
      <c r="AQ200" s="79">
        <v>0</v>
      </c>
      <c r="AR200" s="81">
        <f t="shared" si="174"/>
        <v>0</v>
      </c>
      <c r="AS200" s="80">
        <f t="shared" si="157"/>
        <v>0</v>
      </c>
      <c r="AT200" s="70">
        <f t="shared" si="158"/>
        <v>0</v>
      </c>
      <c r="AU200" s="80">
        <f t="shared" si="159"/>
        <v>0</v>
      </c>
      <c r="AV200" s="70">
        <f t="shared" si="160"/>
        <v>0</v>
      </c>
      <c r="AW200" s="80">
        <f t="shared" si="161"/>
        <v>0</v>
      </c>
      <c r="AX200" s="70">
        <f t="shared" si="162"/>
        <v>0</v>
      </c>
      <c r="AY200" s="82"/>
      <c r="BA200" s="79">
        <v>0</v>
      </c>
      <c r="BB200" s="80">
        <f t="shared" si="175"/>
        <v>0</v>
      </c>
      <c r="BC200" s="79">
        <v>0</v>
      </c>
      <c r="BD200" s="80">
        <f t="shared" si="176"/>
        <v>0</v>
      </c>
      <c r="BE200" s="79">
        <v>0</v>
      </c>
      <c r="BF200" s="81">
        <f t="shared" si="177"/>
        <v>0</v>
      </c>
      <c r="BG200" s="80">
        <f t="shared" si="163"/>
        <v>0</v>
      </c>
      <c r="BH200" s="70">
        <f t="shared" si="164"/>
        <v>0</v>
      </c>
      <c r="BI200" s="80">
        <f t="shared" si="165"/>
        <v>0</v>
      </c>
      <c r="BJ200" s="70">
        <f t="shared" si="166"/>
        <v>0</v>
      </c>
      <c r="BK200" s="82"/>
    </row>
    <row r="201" spans="5:63" ht="11.95" thickBot="1" x14ac:dyDescent="0.3">
      <c r="E201" s="3"/>
      <c r="F201" s="3"/>
      <c r="G201" s="3"/>
      <c r="H201" s="3" t="s">
        <v>251</v>
      </c>
      <c r="I201" s="18"/>
      <c r="J201" s="18"/>
      <c r="K201" s="18"/>
      <c r="L201" s="78"/>
      <c r="M201" s="79"/>
      <c r="N201" s="80">
        <f t="shared" si="167"/>
        <v>0</v>
      </c>
      <c r="O201" s="79"/>
      <c r="P201" s="80">
        <f t="shared" si="168"/>
        <v>0</v>
      </c>
      <c r="Q201" s="79"/>
      <c r="R201" s="80">
        <f t="shared" si="169"/>
        <v>0</v>
      </c>
      <c r="S201" s="79"/>
      <c r="T201" s="81">
        <f t="shared" si="170"/>
        <v>0</v>
      </c>
      <c r="U201" s="80">
        <f t="shared" si="147"/>
        <v>0</v>
      </c>
      <c r="V201" s="70">
        <f t="shared" si="148"/>
        <v>0</v>
      </c>
      <c r="W201" s="80">
        <f t="shared" si="149"/>
        <v>0</v>
      </c>
      <c r="X201" s="70">
        <f t="shared" si="150"/>
        <v>0</v>
      </c>
      <c r="Y201" s="80">
        <f t="shared" si="151"/>
        <v>0</v>
      </c>
      <c r="Z201" s="70">
        <f t="shared" si="152"/>
        <v>0</v>
      </c>
      <c r="AA201" s="82"/>
      <c r="AC201" s="79">
        <v>0</v>
      </c>
      <c r="AD201" s="79">
        <v>0</v>
      </c>
      <c r="AE201" s="79">
        <v>0</v>
      </c>
      <c r="AF201" s="83">
        <f t="shared" si="153"/>
        <v>0</v>
      </c>
      <c r="AG201" s="70">
        <f t="shared" si="154"/>
        <v>0</v>
      </c>
      <c r="AH201" s="83">
        <f t="shared" si="155"/>
        <v>0</v>
      </c>
      <c r="AI201" s="70">
        <f t="shared" si="156"/>
        <v>0</v>
      </c>
      <c r="AK201" s="79">
        <v>0</v>
      </c>
      <c r="AL201" s="80">
        <f t="shared" si="171"/>
        <v>0</v>
      </c>
      <c r="AM201" s="79">
        <v>0</v>
      </c>
      <c r="AN201" s="80">
        <f t="shared" si="172"/>
        <v>0</v>
      </c>
      <c r="AO201" s="79">
        <v>0</v>
      </c>
      <c r="AP201" s="80">
        <f t="shared" si="173"/>
        <v>0</v>
      </c>
      <c r="AQ201" s="79">
        <v>0</v>
      </c>
      <c r="AR201" s="81">
        <f t="shared" si="174"/>
        <v>0</v>
      </c>
      <c r="AS201" s="80">
        <f t="shared" si="157"/>
        <v>0</v>
      </c>
      <c r="AT201" s="70">
        <f t="shared" si="158"/>
        <v>0</v>
      </c>
      <c r="AU201" s="80">
        <f t="shared" si="159"/>
        <v>0</v>
      </c>
      <c r="AV201" s="70">
        <f t="shared" si="160"/>
        <v>0</v>
      </c>
      <c r="AW201" s="80">
        <f t="shared" si="161"/>
        <v>0</v>
      </c>
      <c r="AX201" s="70">
        <f t="shared" si="162"/>
        <v>0</v>
      </c>
      <c r="AY201" s="82"/>
      <c r="BA201" s="79">
        <v>0</v>
      </c>
      <c r="BB201" s="80">
        <f t="shared" si="175"/>
        <v>0</v>
      </c>
      <c r="BC201" s="79">
        <v>0</v>
      </c>
      <c r="BD201" s="80">
        <f t="shared" si="176"/>
        <v>0</v>
      </c>
      <c r="BE201" s="79">
        <v>1011</v>
      </c>
      <c r="BF201" s="81">
        <f t="shared" si="177"/>
        <v>5.0332895347530342E-4</v>
      </c>
      <c r="BG201" s="80">
        <f t="shared" si="163"/>
        <v>0</v>
      </c>
      <c r="BH201" s="70">
        <f t="shared" si="164"/>
        <v>0</v>
      </c>
      <c r="BI201" s="80">
        <f t="shared" si="165"/>
        <v>0</v>
      </c>
      <c r="BJ201" s="70">
        <f t="shared" si="166"/>
        <v>1011</v>
      </c>
      <c r="BK201" s="82"/>
    </row>
    <row r="202" spans="5:63" ht="11.95" thickBot="1" x14ac:dyDescent="0.3">
      <c r="E202" s="3"/>
      <c r="F202" s="3"/>
      <c r="G202" s="3"/>
      <c r="H202" s="3" t="s">
        <v>252</v>
      </c>
      <c r="I202" s="18"/>
      <c r="J202" s="18"/>
      <c r="K202" s="18"/>
      <c r="L202" s="78"/>
      <c r="M202" s="79"/>
      <c r="N202" s="80">
        <f t="shared" si="167"/>
        <v>0</v>
      </c>
      <c r="O202" s="79"/>
      <c r="P202" s="80">
        <f t="shared" si="168"/>
        <v>0</v>
      </c>
      <c r="Q202" s="79"/>
      <c r="R202" s="80">
        <f t="shared" si="169"/>
        <v>0</v>
      </c>
      <c r="S202" s="79"/>
      <c r="T202" s="81">
        <f t="shared" si="170"/>
        <v>0</v>
      </c>
      <c r="U202" s="80">
        <f t="shared" si="147"/>
        <v>0</v>
      </c>
      <c r="V202" s="70">
        <f t="shared" si="148"/>
        <v>0</v>
      </c>
      <c r="W202" s="80">
        <f t="shared" si="149"/>
        <v>0</v>
      </c>
      <c r="X202" s="70">
        <f t="shared" si="150"/>
        <v>0</v>
      </c>
      <c r="Y202" s="80">
        <f t="shared" si="151"/>
        <v>0</v>
      </c>
      <c r="Z202" s="70">
        <f t="shared" si="152"/>
        <v>0</v>
      </c>
      <c r="AA202" s="82"/>
      <c r="AC202" s="79">
        <v>0</v>
      </c>
      <c r="AD202" s="79">
        <v>0</v>
      </c>
      <c r="AE202" s="79">
        <v>0</v>
      </c>
      <c r="AF202" s="83">
        <f t="shared" si="153"/>
        <v>0</v>
      </c>
      <c r="AG202" s="70">
        <f t="shared" si="154"/>
        <v>0</v>
      </c>
      <c r="AH202" s="83">
        <f t="shared" si="155"/>
        <v>0</v>
      </c>
      <c r="AI202" s="70">
        <f t="shared" si="156"/>
        <v>0</v>
      </c>
      <c r="AK202" s="79">
        <v>0</v>
      </c>
      <c r="AL202" s="80">
        <f t="shared" si="171"/>
        <v>0</v>
      </c>
      <c r="AM202" s="79">
        <v>0</v>
      </c>
      <c r="AN202" s="80">
        <f t="shared" si="172"/>
        <v>0</v>
      </c>
      <c r="AO202" s="79">
        <v>0</v>
      </c>
      <c r="AP202" s="80">
        <f t="shared" si="173"/>
        <v>0</v>
      </c>
      <c r="AQ202" s="79">
        <v>0</v>
      </c>
      <c r="AR202" s="81">
        <f t="shared" si="174"/>
        <v>0</v>
      </c>
      <c r="AS202" s="80">
        <f t="shared" si="157"/>
        <v>0</v>
      </c>
      <c r="AT202" s="70">
        <f t="shared" si="158"/>
        <v>0</v>
      </c>
      <c r="AU202" s="80">
        <f t="shared" si="159"/>
        <v>0</v>
      </c>
      <c r="AV202" s="70">
        <f t="shared" si="160"/>
        <v>0</v>
      </c>
      <c r="AW202" s="80">
        <f t="shared" si="161"/>
        <v>0</v>
      </c>
      <c r="AX202" s="70">
        <f t="shared" si="162"/>
        <v>0</v>
      </c>
      <c r="AY202" s="82"/>
      <c r="BA202" s="79">
        <v>0</v>
      </c>
      <c r="BB202" s="80">
        <f t="shared" si="175"/>
        <v>0</v>
      </c>
      <c r="BC202" s="79">
        <v>0</v>
      </c>
      <c r="BD202" s="80">
        <f t="shared" si="176"/>
        <v>0</v>
      </c>
      <c r="BE202" s="79">
        <v>7.57</v>
      </c>
      <c r="BF202" s="81">
        <f t="shared" si="177"/>
        <v>3.7687439938754177E-6</v>
      </c>
      <c r="BG202" s="80">
        <f t="shared" si="163"/>
        <v>0</v>
      </c>
      <c r="BH202" s="70">
        <f t="shared" si="164"/>
        <v>0</v>
      </c>
      <c r="BI202" s="80">
        <f t="shared" si="165"/>
        <v>0</v>
      </c>
      <c r="BJ202" s="70">
        <f t="shared" si="166"/>
        <v>7.57</v>
      </c>
      <c r="BK202" s="82"/>
    </row>
    <row r="203" spans="5:63" ht="11.95" thickBot="1" x14ac:dyDescent="0.3">
      <c r="E203" s="3"/>
      <c r="F203" s="3"/>
      <c r="G203" s="3"/>
      <c r="H203" s="3" t="s">
        <v>253</v>
      </c>
      <c r="I203" s="18"/>
      <c r="J203" s="18"/>
      <c r="K203" s="18"/>
      <c r="L203" s="78"/>
      <c r="M203" s="79"/>
      <c r="N203" s="80">
        <f t="shared" si="167"/>
        <v>0</v>
      </c>
      <c r="O203" s="79"/>
      <c r="P203" s="80">
        <f t="shared" si="168"/>
        <v>0</v>
      </c>
      <c r="Q203" s="79"/>
      <c r="R203" s="80">
        <f t="shared" si="169"/>
        <v>0</v>
      </c>
      <c r="S203" s="79"/>
      <c r="T203" s="81">
        <f t="shared" si="170"/>
        <v>0</v>
      </c>
      <c r="U203" s="80">
        <f t="shared" si="147"/>
        <v>0</v>
      </c>
      <c r="V203" s="70">
        <f t="shared" si="148"/>
        <v>0</v>
      </c>
      <c r="W203" s="80">
        <f t="shared" si="149"/>
        <v>0</v>
      </c>
      <c r="X203" s="70">
        <f t="shared" si="150"/>
        <v>0</v>
      </c>
      <c r="Y203" s="80">
        <f t="shared" si="151"/>
        <v>0</v>
      </c>
      <c r="Z203" s="70">
        <f t="shared" si="152"/>
        <v>0</v>
      </c>
      <c r="AA203" s="82"/>
      <c r="AC203" s="79">
        <v>0</v>
      </c>
      <c r="AD203" s="79">
        <v>0</v>
      </c>
      <c r="AE203" s="79">
        <v>0</v>
      </c>
      <c r="AF203" s="83">
        <f t="shared" si="153"/>
        <v>0</v>
      </c>
      <c r="AG203" s="70">
        <f t="shared" si="154"/>
        <v>0</v>
      </c>
      <c r="AH203" s="83">
        <f t="shared" si="155"/>
        <v>0</v>
      </c>
      <c r="AI203" s="70">
        <f t="shared" si="156"/>
        <v>0</v>
      </c>
      <c r="AK203" s="79">
        <v>0</v>
      </c>
      <c r="AL203" s="80">
        <f t="shared" si="171"/>
        <v>0</v>
      </c>
      <c r="AM203" s="79">
        <v>0</v>
      </c>
      <c r="AN203" s="80">
        <f t="shared" si="172"/>
        <v>0</v>
      </c>
      <c r="AO203" s="79">
        <v>0</v>
      </c>
      <c r="AP203" s="80">
        <f t="shared" si="173"/>
        <v>0</v>
      </c>
      <c r="AQ203" s="79">
        <v>0</v>
      </c>
      <c r="AR203" s="81">
        <f t="shared" si="174"/>
        <v>0</v>
      </c>
      <c r="AS203" s="80">
        <f t="shared" si="157"/>
        <v>0</v>
      </c>
      <c r="AT203" s="70">
        <f t="shared" si="158"/>
        <v>0</v>
      </c>
      <c r="AU203" s="80">
        <f t="shared" si="159"/>
        <v>0</v>
      </c>
      <c r="AV203" s="70">
        <f t="shared" si="160"/>
        <v>0</v>
      </c>
      <c r="AW203" s="80">
        <f t="shared" si="161"/>
        <v>0</v>
      </c>
      <c r="AX203" s="70">
        <f t="shared" si="162"/>
        <v>0</v>
      </c>
      <c r="AY203" s="82"/>
      <c r="BA203" s="79">
        <v>0</v>
      </c>
      <c r="BB203" s="80">
        <f t="shared" si="175"/>
        <v>0</v>
      </c>
      <c r="BC203" s="79">
        <v>0</v>
      </c>
      <c r="BD203" s="80">
        <f t="shared" si="176"/>
        <v>0</v>
      </c>
      <c r="BE203" s="79">
        <v>0</v>
      </c>
      <c r="BF203" s="81">
        <f t="shared" si="177"/>
        <v>0</v>
      </c>
      <c r="BG203" s="80">
        <f t="shared" si="163"/>
        <v>0</v>
      </c>
      <c r="BH203" s="70">
        <f t="shared" si="164"/>
        <v>0</v>
      </c>
      <c r="BI203" s="80">
        <f t="shared" si="165"/>
        <v>0</v>
      </c>
      <c r="BJ203" s="70">
        <f t="shared" si="166"/>
        <v>0</v>
      </c>
      <c r="BK203" s="82"/>
    </row>
    <row r="204" spans="5:63" ht="11.95" thickBot="1" x14ac:dyDescent="0.3">
      <c r="E204" s="3"/>
      <c r="F204" s="3"/>
      <c r="G204" s="3"/>
      <c r="H204" s="3" t="s">
        <v>254</v>
      </c>
      <c r="I204" s="18"/>
      <c r="J204" s="18"/>
      <c r="K204" s="18"/>
      <c r="L204" s="78"/>
      <c r="M204" s="79">
        <v>74000</v>
      </c>
      <c r="N204" s="80">
        <f t="shared" si="167"/>
        <v>0.11307381273604444</v>
      </c>
      <c r="O204" s="79"/>
      <c r="P204" s="80">
        <f t="shared" si="168"/>
        <v>0</v>
      </c>
      <c r="Q204" s="79">
        <v>72943.679999999993</v>
      </c>
      <c r="R204" s="80">
        <f t="shared" si="169"/>
        <v>0.13168620184248028</v>
      </c>
      <c r="S204" s="79">
        <v>64426</v>
      </c>
      <c r="T204" s="81">
        <f t="shared" si="170"/>
        <v>0.12633366225003456</v>
      </c>
      <c r="U204" s="80">
        <f t="shared" si="147"/>
        <v>-1</v>
      </c>
      <c r="V204" s="70">
        <f t="shared" si="148"/>
        <v>-74000</v>
      </c>
      <c r="W204" s="80">
        <f t="shared" si="149"/>
        <v>-1.4274594594594689E-2</v>
      </c>
      <c r="X204" s="70">
        <f t="shared" si="150"/>
        <v>-1056.320000000007</v>
      </c>
      <c r="Y204" s="80">
        <f t="shared" si="151"/>
        <v>-0.12937837837837837</v>
      </c>
      <c r="Z204" s="70">
        <f t="shared" si="152"/>
        <v>-9574</v>
      </c>
      <c r="AA204" s="82"/>
      <c r="AC204" s="79">
        <v>74000</v>
      </c>
      <c r="AD204" s="79">
        <v>64426</v>
      </c>
      <c r="AE204" s="79">
        <v>72943.679999999993</v>
      </c>
      <c r="AF204" s="83">
        <f t="shared" si="153"/>
        <v>-0.12937837837837837</v>
      </c>
      <c r="AG204" s="70">
        <f t="shared" si="154"/>
        <v>-9574</v>
      </c>
      <c r="AH204" s="83">
        <f t="shared" si="155"/>
        <v>-1.4274594594594689E-2</v>
      </c>
      <c r="AI204" s="70">
        <f t="shared" si="156"/>
        <v>-1056.320000000007</v>
      </c>
      <c r="AK204" s="79">
        <v>74000</v>
      </c>
      <c r="AL204" s="80">
        <f t="shared" si="171"/>
        <v>0.11307381273604444</v>
      </c>
      <c r="AM204" s="79">
        <v>0</v>
      </c>
      <c r="AN204" s="80">
        <f t="shared" si="172"/>
        <v>0</v>
      </c>
      <c r="AO204" s="79">
        <v>72943.679999999993</v>
      </c>
      <c r="AP204" s="80">
        <f t="shared" si="173"/>
        <v>0.13168620184248028</v>
      </c>
      <c r="AQ204" s="79">
        <v>64426</v>
      </c>
      <c r="AR204" s="81">
        <f t="shared" si="174"/>
        <v>0.12633366225003456</v>
      </c>
      <c r="AS204" s="80">
        <f t="shared" si="157"/>
        <v>-1</v>
      </c>
      <c r="AT204" s="70">
        <f t="shared" si="158"/>
        <v>-74000</v>
      </c>
      <c r="AU204" s="80">
        <f t="shared" si="159"/>
        <v>-1.4481309415702732E-2</v>
      </c>
      <c r="AV204" s="70">
        <f t="shared" si="160"/>
        <v>-1056.320000000007</v>
      </c>
      <c r="AW204" s="80">
        <f t="shared" si="161"/>
        <v>-0.12937837837837837</v>
      </c>
      <c r="AX204" s="70">
        <f t="shared" si="162"/>
        <v>-9574</v>
      </c>
      <c r="AY204" s="82"/>
      <c r="BA204" s="79">
        <v>340000</v>
      </c>
      <c r="BB204" s="80">
        <f t="shared" si="175"/>
        <v>0.15238443545376276</v>
      </c>
      <c r="BC204" s="79">
        <v>340000</v>
      </c>
      <c r="BD204" s="80">
        <f t="shared" si="176"/>
        <v>0.15238443545376276</v>
      </c>
      <c r="BE204" s="79">
        <v>245118</v>
      </c>
      <c r="BF204" s="81">
        <f t="shared" si="177"/>
        <v>0.12203262751529123</v>
      </c>
      <c r="BG204" s="80">
        <f t="shared" si="163"/>
        <v>0</v>
      </c>
      <c r="BH204" s="70">
        <f t="shared" si="164"/>
        <v>0</v>
      </c>
      <c r="BI204" s="80">
        <f t="shared" si="165"/>
        <v>-0.27906470588235294</v>
      </c>
      <c r="BJ204" s="70">
        <f t="shared" si="166"/>
        <v>-94882</v>
      </c>
      <c r="BK204" s="82"/>
    </row>
    <row r="205" spans="5:63" ht="11.95" thickBot="1" x14ac:dyDescent="0.3">
      <c r="E205" s="3"/>
      <c r="F205" s="3"/>
      <c r="G205" s="3"/>
      <c r="H205" s="3" t="s">
        <v>255</v>
      </c>
      <c r="I205" s="18"/>
      <c r="J205" s="18"/>
      <c r="K205" s="18"/>
      <c r="L205" s="78"/>
      <c r="M205" s="79"/>
      <c r="N205" s="80">
        <f t="shared" si="167"/>
        <v>0</v>
      </c>
      <c r="O205" s="79"/>
      <c r="P205" s="80">
        <f t="shared" si="168"/>
        <v>0</v>
      </c>
      <c r="Q205" s="79"/>
      <c r="R205" s="80">
        <f t="shared" si="169"/>
        <v>0</v>
      </c>
      <c r="S205" s="79"/>
      <c r="T205" s="81">
        <f t="shared" si="170"/>
        <v>0</v>
      </c>
      <c r="U205" s="80">
        <f t="shared" si="147"/>
        <v>0</v>
      </c>
      <c r="V205" s="70">
        <f t="shared" si="148"/>
        <v>0</v>
      </c>
      <c r="W205" s="80">
        <f t="shared" si="149"/>
        <v>0</v>
      </c>
      <c r="X205" s="70">
        <f t="shared" si="150"/>
        <v>0</v>
      </c>
      <c r="Y205" s="80">
        <f t="shared" si="151"/>
        <v>0</v>
      </c>
      <c r="Z205" s="70">
        <f t="shared" si="152"/>
        <v>0</v>
      </c>
      <c r="AA205" s="82"/>
      <c r="AC205" s="79">
        <v>0</v>
      </c>
      <c r="AD205" s="79">
        <v>0</v>
      </c>
      <c r="AE205" s="79">
        <v>0</v>
      </c>
      <c r="AF205" s="83">
        <f t="shared" si="153"/>
        <v>0</v>
      </c>
      <c r="AG205" s="70">
        <f t="shared" si="154"/>
        <v>0</v>
      </c>
      <c r="AH205" s="83">
        <f t="shared" si="155"/>
        <v>0</v>
      </c>
      <c r="AI205" s="70">
        <f t="shared" si="156"/>
        <v>0</v>
      </c>
      <c r="AK205" s="79">
        <v>0</v>
      </c>
      <c r="AL205" s="80">
        <f t="shared" si="171"/>
        <v>0</v>
      </c>
      <c r="AM205" s="79">
        <v>0</v>
      </c>
      <c r="AN205" s="80">
        <f t="shared" si="172"/>
        <v>0</v>
      </c>
      <c r="AO205" s="79">
        <v>0</v>
      </c>
      <c r="AP205" s="80">
        <f t="shared" si="173"/>
        <v>0</v>
      </c>
      <c r="AQ205" s="79">
        <v>0</v>
      </c>
      <c r="AR205" s="81">
        <f t="shared" si="174"/>
        <v>0</v>
      </c>
      <c r="AS205" s="80">
        <f t="shared" si="157"/>
        <v>0</v>
      </c>
      <c r="AT205" s="70">
        <f t="shared" si="158"/>
        <v>0</v>
      </c>
      <c r="AU205" s="80">
        <f t="shared" si="159"/>
        <v>0</v>
      </c>
      <c r="AV205" s="70">
        <f t="shared" si="160"/>
        <v>0</v>
      </c>
      <c r="AW205" s="80">
        <f t="shared" si="161"/>
        <v>0</v>
      </c>
      <c r="AX205" s="70">
        <f t="shared" si="162"/>
        <v>0</v>
      </c>
      <c r="AY205" s="82"/>
      <c r="BA205" s="79">
        <v>0</v>
      </c>
      <c r="BB205" s="80">
        <f t="shared" si="175"/>
        <v>0</v>
      </c>
      <c r="BC205" s="79">
        <v>0</v>
      </c>
      <c r="BD205" s="80">
        <f t="shared" si="176"/>
        <v>0</v>
      </c>
      <c r="BE205" s="79">
        <v>0</v>
      </c>
      <c r="BF205" s="81">
        <f t="shared" si="177"/>
        <v>0</v>
      </c>
      <c r="BG205" s="80">
        <f t="shared" si="163"/>
        <v>0</v>
      </c>
      <c r="BH205" s="70">
        <f t="shared" si="164"/>
        <v>0</v>
      </c>
      <c r="BI205" s="80">
        <f t="shared" si="165"/>
        <v>0</v>
      </c>
      <c r="BJ205" s="70">
        <f t="shared" si="166"/>
        <v>0</v>
      </c>
      <c r="BK205" s="82"/>
    </row>
    <row r="206" spans="5:63" ht="11.95" thickBot="1" x14ac:dyDescent="0.3">
      <c r="E206" s="3"/>
      <c r="F206" s="3"/>
      <c r="G206" s="3"/>
      <c r="H206" s="3" t="s">
        <v>256</v>
      </c>
      <c r="I206" s="18"/>
      <c r="J206" s="18"/>
      <c r="K206" s="18"/>
      <c r="L206" s="78"/>
      <c r="M206" s="79"/>
      <c r="N206" s="80">
        <f t="shared" si="167"/>
        <v>0</v>
      </c>
      <c r="O206" s="79"/>
      <c r="P206" s="80">
        <f t="shared" si="168"/>
        <v>0</v>
      </c>
      <c r="Q206" s="79"/>
      <c r="R206" s="80">
        <f t="shared" si="169"/>
        <v>0</v>
      </c>
      <c r="S206" s="79"/>
      <c r="T206" s="81">
        <f t="shared" si="170"/>
        <v>0</v>
      </c>
      <c r="U206" s="80">
        <f t="shared" si="147"/>
        <v>0</v>
      </c>
      <c r="V206" s="70">
        <f t="shared" si="148"/>
        <v>0</v>
      </c>
      <c r="W206" s="80">
        <f t="shared" si="149"/>
        <v>0</v>
      </c>
      <c r="X206" s="70">
        <f t="shared" si="150"/>
        <v>0</v>
      </c>
      <c r="Y206" s="80">
        <f t="shared" si="151"/>
        <v>0</v>
      </c>
      <c r="Z206" s="70">
        <f t="shared" si="152"/>
        <v>0</v>
      </c>
      <c r="AA206" s="82"/>
      <c r="AC206" s="79">
        <v>0</v>
      </c>
      <c r="AD206" s="79">
        <v>0</v>
      </c>
      <c r="AE206" s="79">
        <v>0</v>
      </c>
      <c r="AF206" s="83">
        <f t="shared" si="153"/>
        <v>0</v>
      </c>
      <c r="AG206" s="70">
        <f t="shared" si="154"/>
        <v>0</v>
      </c>
      <c r="AH206" s="83">
        <f t="shared" si="155"/>
        <v>0</v>
      </c>
      <c r="AI206" s="70">
        <f t="shared" si="156"/>
        <v>0</v>
      </c>
      <c r="AK206" s="79">
        <v>0</v>
      </c>
      <c r="AL206" s="80">
        <f t="shared" si="171"/>
        <v>0</v>
      </c>
      <c r="AM206" s="79">
        <v>0</v>
      </c>
      <c r="AN206" s="80">
        <f t="shared" si="172"/>
        <v>0</v>
      </c>
      <c r="AO206" s="79">
        <v>0</v>
      </c>
      <c r="AP206" s="80">
        <f t="shared" si="173"/>
        <v>0</v>
      </c>
      <c r="AQ206" s="79">
        <v>0</v>
      </c>
      <c r="AR206" s="81">
        <f t="shared" si="174"/>
        <v>0</v>
      </c>
      <c r="AS206" s="80">
        <f t="shared" si="157"/>
        <v>0</v>
      </c>
      <c r="AT206" s="70">
        <f t="shared" si="158"/>
        <v>0</v>
      </c>
      <c r="AU206" s="80">
        <f t="shared" si="159"/>
        <v>0</v>
      </c>
      <c r="AV206" s="70">
        <f t="shared" si="160"/>
        <v>0</v>
      </c>
      <c r="AW206" s="80">
        <f t="shared" si="161"/>
        <v>0</v>
      </c>
      <c r="AX206" s="70">
        <f t="shared" si="162"/>
        <v>0</v>
      </c>
      <c r="AY206" s="82"/>
      <c r="BA206" s="79">
        <v>0</v>
      </c>
      <c r="BB206" s="80">
        <f t="shared" si="175"/>
        <v>0</v>
      </c>
      <c r="BC206" s="79">
        <v>0</v>
      </c>
      <c r="BD206" s="80">
        <f t="shared" si="176"/>
        <v>0</v>
      </c>
      <c r="BE206" s="79">
        <v>1228.0999999999999</v>
      </c>
      <c r="BF206" s="81">
        <f t="shared" si="177"/>
        <v>6.114127475400793E-4</v>
      </c>
      <c r="BG206" s="80">
        <f t="shared" si="163"/>
        <v>0</v>
      </c>
      <c r="BH206" s="70">
        <f t="shared" si="164"/>
        <v>0</v>
      </c>
      <c r="BI206" s="80">
        <f t="shared" si="165"/>
        <v>0</v>
      </c>
      <c r="BJ206" s="70">
        <f t="shared" si="166"/>
        <v>1228.0999999999999</v>
      </c>
      <c r="BK206" s="82"/>
    </row>
    <row r="207" spans="5:63" ht="11.95" thickBot="1" x14ac:dyDescent="0.3">
      <c r="E207" s="3"/>
      <c r="F207" s="3"/>
      <c r="G207" s="3"/>
      <c r="H207" s="3" t="s">
        <v>257</v>
      </c>
      <c r="I207" s="18"/>
      <c r="J207" s="18"/>
      <c r="K207" s="18"/>
      <c r="L207" s="78"/>
      <c r="M207" s="79"/>
      <c r="N207" s="80">
        <f t="shared" si="167"/>
        <v>0</v>
      </c>
      <c r="O207" s="79"/>
      <c r="P207" s="80">
        <f t="shared" si="168"/>
        <v>0</v>
      </c>
      <c r="Q207" s="79"/>
      <c r="R207" s="80">
        <f t="shared" si="169"/>
        <v>0</v>
      </c>
      <c r="S207" s="79"/>
      <c r="T207" s="81">
        <f t="shared" si="170"/>
        <v>0</v>
      </c>
      <c r="U207" s="80">
        <f t="shared" si="147"/>
        <v>0</v>
      </c>
      <c r="V207" s="70">
        <f t="shared" si="148"/>
        <v>0</v>
      </c>
      <c r="W207" s="80">
        <f t="shared" si="149"/>
        <v>0</v>
      </c>
      <c r="X207" s="70">
        <f t="shared" si="150"/>
        <v>0</v>
      </c>
      <c r="Y207" s="80">
        <f t="shared" si="151"/>
        <v>0</v>
      </c>
      <c r="Z207" s="70">
        <f t="shared" si="152"/>
        <v>0</v>
      </c>
      <c r="AA207" s="82"/>
      <c r="AC207" s="79">
        <v>0</v>
      </c>
      <c r="AD207" s="79">
        <v>0</v>
      </c>
      <c r="AE207" s="79">
        <v>0</v>
      </c>
      <c r="AF207" s="83">
        <f t="shared" si="153"/>
        <v>0</v>
      </c>
      <c r="AG207" s="70">
        <f t="shared" si="154"/>
        <v>0</v>
      </c>
      <c r="AH207" s="83">
        <f t="shared" si="155"/>
        <v>0</v>
      </c>
      <c r="AI207" s="70">
        <f t="shared" si="156"/>
        <v>0</v>
      </c>
      <c r="AK207" s="79">
        <v>0</v>
      </c>
      <c r="AL207" s="80">
        <f t="shared" si="171"/>
        <v>0</v>
      </c>
      <c r="AM207" s="79">
        <v>0</v>
      </c>
      <c r="AN207" s="80">
        <f t="shared" si="172"/>
        <v>0</v>
      </c>
      <c r="AO207" s="79">
        <v>0</v>
      </c>
      <c r="AP207" s="80">
        <f t="shared" si="173"/>
        <v>0</v>
      </c>
      <c r="AQ207" s="79">
        <v>0</v>
      </c>
      <c r="AR207" s="81">
        <f t="shared" si="174"/>
        <v>0</v>
      </c>
      <c r="AS207" s="80">
        <f t="shared" si="157"/>
        <v>0</v>
      </c>
      <c r="AT207" s="70">
        <f t="shared" si="158"/>
        <v>0</v>
      </c>
      <c r="AU207" s="80">
        <f t="shared" si="159"/>
        <v>0</v>
      </c>
      <c r="AV207" s="70">
        <f t="shared" si="160"/>
        <v>0</v>
      </c>
      <c r="AW207" s="80">
        <f t="shared" si="161"/>
        <v>0</v>
      </c>
      <c r="AX207" s="70">
        <f t="shared" si="162"/>
        <v>0</v>
      </c>
      <c r="AY207" s="82"/>
      <c r="BA207" s="79">
        <v>0</v>
      </c>
      <c r="BB207" s="80">
        <f t="shared" si="175"/>
        <v>0</v>
      </c>
      <c r="BC207" s="79">
        <v>0</v>
      </c>
      <c r="BD207" s="80">
        <f t="shared" si="176"/>
        <v>0</v>
      </c>
      <c r="BE207" s="79">
        <v>37.5</v>
      </c>
      <c r="BF207" s="81">
        <f t="shared" si="177"/>
        <v>1.8669471568075056E-5</v>
      </c>
      <c r="BG207" s="80">
        <f t="shared" si="163"/>
        <v>0</v>
      </c>
      <c r="BH207" s="70">
        <f t="shared" si="164"/>
        <v>0</v>
      </c>
      <c r="BI207" s="80">
        <f t="shared" si="165"/>
        <v>0</v>
      </c>
      <c r="BJ207" s="70">
        <f t="shared" si="166"/>
        <v>37.5</v>
      </c>
      <c r="BK207" s="82"/>
    </row>
    <row r="208" spans="5:63" ht="11.95" thickBot="1" x14ac:dyDescent="0.3">
      <c r="E208" s="3"/>
      <c r="F208" s="3"/>
      <c r="G208" s="3"/>
      <c r="H208" s="3" t="s">
        <v>258</v>
      </c>
      <c r="I208" s="18"/>
      <c r="J208" s="18"/>
      <c r="K208" s="18"/>
      <c r="L208" s="78"/>
      <c r="M208" s="79"/>
      <c r="N208" s="80">
        <f t="shared" si="167"/>
        <v>0</v>
      </c>
      <c r="O208" s="79"/>
      <c r="P208" s="80">
        <f t="shared" si="168"/>
        <v>0</v>
      </c>
      <c r="Q208" s="79"/>
      <c r="R208" s="80">
        <f t="shared" si="169"/>
        <v>0</v>
      </c>
      <c r="S208" s="79"/>
      <c r="T208" s="81">
        <f t="shared" si="170"/>
        <v>0</v>
      </c>
      <c r="U208" s="80">
        <f t="shared" si="147"/>
        <v>0</v>
      </c>
      <c r="V208" s="70">
        <f t="shared" si="148"/>
        <v>0</v>
      </c>
      <c r="W208" s="80">
        <f t="shared" si="149"/>
        <v>0</v>
      </c>
      <c r="X208" s="70">
        <f t="shared" si="150"/>
        <v>0</v>
      </c>
      <c r="Y208" s="80">
        <f t="shared" si="151"/>
        <v>0</v>
      </c>
      <c r="Z208" s="70">
        <f t="shared" si="152"/>
        <v>0</v>
      </c>
      <c r="AA208" s="82"/>
      <c r="AC208" s="79">
        <v>0</v>
      </c>
      <c r="AD208" s="79">
        <v>0</v>
      </c>
      <c r="AE208" s="79">
        <v>0</v>
      </c>
      <c r="AF208" s="83">
        <f t="shared" si="153"/>
        <v>0</v>
      </c>
      <c r="AG208" s="70">
        <f t="shared" si="154"/>
        <v>0</v>
      </c>
      <c r="AH208" s="83">
        <f t="shared" si="155"/>
        <v>0</v>
      </c>
      <c r="AI208" s="70">
        <f t="shared" si="156"/>
        <v>0</v>
      </c>
      <c r="AK208" s="79">
        <v>0</v>
      </c>
      <c r="AL208" s="80">
        <f t="shared" si="171"/>
        <v>0</v>
      </c>
      <c r="AM208" s="79">
        <v>0</v>
      </c>
      <c r="AN208" s="80">
        <f t="shared" si="172"/>
        <v>0</v>
      </c>
      <c r="AO208" s="79">
        <v>0</v>
      </c>
      <c r="AP208" s="80">
        <f t="shared" si="173"/>
        <v>0</v>
      </c>
      <c r="AQ208" s="79">
        <v>0</v>
      </c>
      <c r="AR208" s="81">
        <f t="shared" si="174"/>
        <v>0</v>
      </c>
      <c r="AS208" s="80">
        <f t="shared" si="157"/>
        <v>0</v>
      </c>
      <c r="AT208" s="70">
        <f t="shared" si="158"/>
        <v>0</v>
      </c>
      <c r="AU208" s="80">
        <f t="shared" si="159"/>
        <v>0</v>
      </c>
      <c r="AV208" s="70">
        <f t="shared" si="160"/>
        <v>0</v>
      </c>
      <c r="AW208" s="80">
        <f t="shared" si="161"/>
        <v>0</v>
      </c>
      <c r="AX208" s="70">
        <f t="shared" si="162"/>
        <v>0</v>
      </c>
      <c r="AY208" s="82"/>
      <c r="BA208" s="79">
        <v>0</v>
      </c>
      <c r="BB208" s="80">
        <f t="shared" si="175"/>
        <v>0</v>
      </c>
      <c r="BC208" s="79">
        <v>0</v>
      </c>
      <c r="BD208" s="80">
        <f t="shared" si="176"/>
        <v>0</v>
      </c>
      <c r="BE208" s="79">
        <v>0</v>
      </c>
      <c r="BF208" s="81">
        <f t="shared" si="177"/>
        <v>0</v>
      </c>
      <c r="BG208" s="80">
        <f t="shared" si="163"/>
        <v>0</v>
      </c>
      <c r="BH208" s="70">
        <f t="shared" si="164"/>
        <v>0</v>
      </c>
      <c r="BI208" s="80">
        <f t="shared" si="165"/>
        <v>0</v>
      </c>
      <c r="BJ208" s="70">
        <f t="shared" si="166"/>
        <v>0</v>
      </c>
      <c r="BK208" s="82"/>
    </row>
    <row r="209" spans="5:63" ht="11.95" thickBot="1" x14ac:dyDescent="0.3">
      <c r="E209" s="3"/>
      <c r="F209" s="3"/>
      <c r="G209" s="3"/>
      <c r="H209" s="3" t="s">
        <v>259</v>
      </c>
      <c r="I209" s="18"/>
      <c r="J209" s="18"/>
      <c r="K209" s="18"/>
      <c r="L209" s="78"/>
      <c r="M209" s="79"/>
      <c r="N209" s="80">
        <f t="shared" ref="N209:N240" si="178">IFERROR(M209/SUMIFS(M:M, $H:$H, "[+] Net Sales"),0)</f>
        <v>0</v>
      </c>
      <c r="O209" s="79"/>
      <c r="P209" s="80">
        <f t="shared" ref="P209:P240" si="179">IFERROR(O209/SUMIFS(O:O, $H:$H, "[+] Net Sales"),0)</f>
        <v>0</v>
      </c>
      <c r="Q209" s="79"/>
      <c r="R209" s="80">
        <f t="shared" ref="R209:R240" si="180">IFERROR(Q209/SUMIFS(Q:Q, $H:$H, "[+] Net Sales"),0)</f>
        <v>0</v>
      </c>
      <c r="S209" s="79"/>
      <c r="T209" s="81">
        <f t="shared" ref="T209:T240" si="181">IFERROR(S209/SUMIFS(S:S, $H:$H, "[+] Net Sales"),0)</f>
        <v>0</v>
      </c>
      <c r="U209" s="80">
        <f t="shared" si="147"/>
        <v>0</v>
      </c>
      <c r="V209" s="70">
        <f t="shared" si="148"/>
        <v>0</v>
      </c>
      <c r="W209" s="80">
        <f t="shared" si="149"/>
        <v>0</v>
      </c>
      <c r="X209" s="70">
        <f t="shared" si="150"/>
        <v>0</v>
      </c>
      <c r="Y209" s="80">
        <f t="shared" si="151"/>
        <v>0</v>
      </c>
      <c r="Z209" s="70">
        <f t="shared" si="152"/>
        <v>0</v>
      </c>
      <c r="AA209" s="82"/>
      <c r="AC209" s="79">
        <v>0</v>
      </c>
      <c r="AD209" s="79">
        <v>0</v>
      </c>
      <c r="AE209" s="79">
        <v>0</v>
      </c>
      <c r="AF209" s="83">
        <f t="shared" si="153"/>
        <v>0</v>
      </c>
      <c r="AG209" s="70">
        <f t="shared" si="154"/>
        <v>0</v>
      </c>
      <c r="AH209" s="83">
        <f t="shared" si="155"/>
        <v>0</v>
      </c>
      <c r="AI209" s="70">
        <f t="shared" si="156"/>
        <v>0</v>
      </c>
      <c r="AK209" s="79">
        <v>0</v>
      </c>
      <c r="AL209" s="80">
        <f t="shared" ref="AL209:AL240" si="182">IFERROR(AK209/SUMIFS(AK:AK, $H:$H, "[+] Net Sales"),0)</f>
        <v>0</v>
      </c>
      <c r="AM209" s="79">
        <v>0</v>
      </c>
      <c r="AN209" s="80">
        <f t="shared" ref="AN209:AN240" si="183">IFERROR(AM209/SUMIFS(AM:AM, $H:$H, "[+] Net Sales"),0)</f>
        <v>0</v>
      </c>
      <c r="AO209" s="79">
        <v>0</v>
      </c>
      <c r="AP209" s="80">
        <f t="shared" ref="AP209:AP240" si="184">IFERROR(AO209/SUMIFS(AO:AO, $H:$H, "[+] Net Sales"),0)</f>
        <v>0</v>
      </c>
      <c r="AQ209" s="79">
        <v>0</v>
      </c>
      <c r="AR209" s="81">
        <f t="shared" ref="AR209:AR240" si="185">IFERROR(AQ209/SUMIFS(AQ:AQ, $H:$H, "[+] Net Sales"),0)</f>
        <v>0</v>
      </c>
      <c r="AS209" s="80">
        <f t="shared" si="157"/>
        <v>0</v>
      </c>
      <c r="AT209" s="70">
        <f t="shared" si="158"/>
        <v>0</v>
      </c>
      <c r="AU209" s="80">
        <f t="shared" si="159"/>
        <v>0</v>
      </c>
      <c r="AV209" s="70">
        <f t="shared" si="160"/>
        <v>0</v>
      </c>
      <c r="AW209" s="80">
        <f t="shared" si="161"/>
        <v>0</v>
      </c>
      <c r="AX209" s="70">
        <f t="shared" si="162"/>
        <v>0</v>
      </c>
      <c r="AY209" s="82"/>
      <c r="BA209" s="79">
        <v>0</v>
      </c>
      <c r="BB209" s="80">
        <f t="shared" ref="BB209:BB240" si="186">IFERROR(BA209/SUMIFS(BA:BA, $H:$H, "[+] Net Sales"),0)</f>
        <v>0</v>
      </c>
      <c r="BC209" s="79">
        <v>0</v>
      </c>
      <c r="BD209" s="80">
        <f t="shared" ref="BD209:BD240" si="187">IFERROR(BC209/SUMIFS(BC:BC, $H:$H, "[+] Net Sales"),0)</f>
        <v>0</v>
      </c>
      <c r="BE209" s="79">
        <v>615.02</v>
      </c>
      <c r="BF209" s="81">
        <f t="shared" ref="BF209:BF240" si="188">IFERROR(BE209/SUMIFS(BE:BE, $H:$H, "[+] Net Sales"),0)</f>
        <v>3.0618929076793388E-4</v>
      </c>
      <c r="BG209" s="80">
        <f t="shared" si="163"/>
        <v>0</v>
      </c>
      <c r="BH209" s="70">
        <f t="shared" si="164"/>
        <v>0</v>
      </c>
      <c r="BI209" s="80">
        <f t="shared" si="165"/>
        <v>0</v>
      </c>
      <c r="BJ209" s="70">
        <f t="shared" si="166"/>
        <v>615.02</v>
      </c>
      <c r="BK209" s="82"/>
    </row>
    <row r="210" spans="5:63" ht="11.95" thickBot="1" x14ac:dyDescent="0.3">
      <c r="E210" s="3"/>
      <c r="F210" s="3"/>
      <c r="G210" s="3"/>
      <c r="H210" s="3" t="s">
        <v>260</v>
      </c>
      <c r="I210" s="18"/>
      <c r="J210" s="18"/>
      <c r="K210" s="18"/>
      <c r="L210" s="78"/>
      <c r="M210" s="79"/>
      <c r="N210" s="80">
        <f t="shared" si="178"/>
        <v>0</v>
      </c>
      <c r="O210" s="79"/>
      <c r="P210" s="80">
        <f t="shared" si="179"/>
        <v>0</v>
      </c>
      <c r="Q210" s="79"/>
      <c r="R210" s="80">
        <f t="shared" si="180"/>
        <v>0</v>
      </c>
      <c r="S210" s="79"/>
      <c r="T210" s="81">
        <f t="shared" si="181"/>
        <v>0</v>
      </c>
      <c r="U210" s="80">
        <f t="shared" ref="U210:U273" si="189">IFERROR(($O210-M210)/ABS(M210),0)</f>
        <v>0</v>
      </c>
      <c r="V210" s="70">
        <f t="shared" ref="V210:V273" si="190">IFERROR((O210-$M210), 0-$M210)</f>
        <v>0</v>
      </c>
      <c r="W210" s="80">
        <f t="shared" ref="W210:W273" si="191">IFERROR((Q210-$M210)/ABS($M210),0)</f>
        <v>0</v>
      </c>
      <c r="X210" s="70">
        <f t="shared" ref="X210:X273" si="192">IFERROR((Q210-$M210), 0 -$M210)</f>
        <v>0</v>
      </c>
      <c r="Y210" s="80">
        <f t="shared" ref="Y210:Y273" si="193">IFERROR((S210-$M210)/ABS($M210),0)</f>
        <v>0</v>
      </c>
      <c r="Z210" s="70">
        <f t="shared" ref="Z210:Z273" si="194">IFERROR((S210-$M210),0-$M210)</f>
        <v>0</v>
      </c>
      <c r="AA210" s="82"/>
      <c r="AC210" s="79">
        <v>0</v>
      </c>
      <c r="AD210" s="79">
        <v>0</v>
      </c>
      <c r="AE210" s="79">
        <v>0</v>
      </c>
      <c r="AF210" s="83">
        <f t="shared" ref="AF210:AF273" si="195">IFERROR((AD210-$AC210)/ABS($AC210),0)</f>
        <v>0</v>
      </c>
      <c r="AG210" s="70">
        <f t="shared" ref="AG210:AG273" si="196">(AD210-$AC210)</f>
        <v>0</v>
      </c>
      <c r="AH210" s="83">
        <f t="shared" ref="AH210:AH273" si="197">IFERROR((AE210-$AC210)/ABS($AC210),0)</f>
        <v>0</v>
      </c>
      <c r="AI210" s="70">
        <f t="shared" ref="AI210:AI273" si="198">(AE210-$AC210)</f>
        <v>0</v>
      </c>
      <c r="AK210" s="79">
        <v>0</v>
      </c>
      <c r="AL210" s="80">
        <f t="shared" si="182"/>
        <v>0</v>
      </c>
      <c r="AM210" s="79">
        <v>0</v>
      </c>
      <c r="AN210" s="80">
        <f t="shared" si="183"/>
        <v>0</v>
      </c>
      <c r="AO210" s="79">
        <v>0</v>
      </c>
      <c r="AP210" s="80">
        <f t="shared" si="184"/>
        <v>0</v>
      </c>
      <c r="AQ210" s="79">
        <v>0</v>
      </c>
      <c r="AR210" s="81">
        <f t="shared" si="185"/>
        <v>0</v>
      </c>
      <c r="AS210" s="80">
        <f t="shared" ref="AS210:AS273" si="199">IFERROR((AM210-$AK210)/ABS($AK210),0)</f>
        <v>0</v>
      </c>
      <c r="AT210" s="70">
        <f t="shared" ref="AT210:AT273" si="200">(AM210-$AK210)</f>
        <v>0</v>
      </c>
      <c r="AU210" s="80">
        <f t="shared" ref="AU210:AU273" si="201">IFERROR((AO210-$AK210)/ABS($AO210),0)</f>
        <v>0</v>
      </c>
      <c r="AV210" s="70">
        <f t="shared" ref="AV210:AV273" si="202">(AO210-$AK210)</f>
        <v>0</v>
      </c>
      <c r="AW210" s="80">
        <f t="shared" ref="AW210:AW273" si="203">IFERROR((AQ210-$AK210)/ABS($AK210),0)</f>
        <v>0</v>
      </c>
      <c r="AX210" s="70">
        <f t="shared" ref="AX210:AX273" si="204">(AQ210-$AK210)</f>
        <v>0</v>
      </c>
      <c r="AY210" s="82"/>
      <c r="BA210" s="79">
        <v>0</v>
      </c>
      <c r="BB210" s="80">
        <f t="shared" si="186"/>
        <v>0</v>
      </c>
      <c r="BC210" s="79">
        <v>0</v>
      </c>
      <c r="BD210" s="80">
        <f t="shared" si="187"/>
        <v>0</v>
      </c>
      <c r="BE210" s="79">
        <v>0</v>
      </c>
      <c r="BF210" s="81">
        <f t="shared" si="188"/>
        <v>0</v>
      </c>
      <c r="BG210" s="80">
        <f t="shared" ref="BG210:BG273" si="205">IFERROR((BC210-$BA210)/ABS($BA210),0)</f>
        <v>0</v>
      </c>
      <c r="BH210" s="70">
        <f t="shared" ref="BH210:BH273" si="206">(BC210-$BA210)</f>
        <v>0</v>
      </c>
      <c r="BI210" s="80">
        <f t="shared" ref="BI210:BI273" si="207">IFERROR((BE210-$BA210)/ABS($BA210),0)</f>
        <v>0</v>
      </c>
      <c r="BJ210" s="70">
        <f t="shared" ref="BJ210:BJ273" si="208">(BE210-$BA210)</f>
        <v>0</v>
      </c>
      <c r="BK210" s="82"/>
    </row>
    <row r="211" spans="5:63" ht="11.95" thickBot="1" x14ac:dyDescent="0.3">
      <c r="E211" s="3"/>
      <c r="F211" s="3"/>
      <c r="G211" s="3"/>
      <c r="H211" s="3" t="s">
        <v>261</v>
      </c>
      <c r="I211" s="18"/>
      <c r="J211" s="18"/>
      <c r="K211" s="18"/>
      <c r="L211" s="78"/>
      <c r="M211" s="79"/>
      <c r="N211" s="80">
        <f t="shared" si="178"/>
        <v>0</v>
      </c>
      <c r="O211" s="79"/>
      <c r="P211" s="80">
        <f t="shared" si="179"/>
        <v>0</v>
      </c>
      <c r="Q211" s="79"/>
      <c r="R211" s="80">
        <f t="shared" si="180"/>
        <v>0</v>
      </c>
      <c r="S211" s="79"/>
      <c r="T211" s="81">
        <f t="shared" si="181"/>
        <v>0</v>
      </c>
      <c r="U211" s="80">
        <f t="shared" si="189"/>
        <v>0</v>
      </c>
      <c r="V211" s="70">
        <f t="shared" si="190"/>
        <v>0</v>
      </c>
      <c r="W211" s="80">
        <f t="shared" si="191"/>
        <v>0</v>
      </c>
      <c r="X211" s="70">
        <f t="shared" si="192"/>
        <v>0</v>
      </c>
      <c r="Y211" s="80">
        <f t="shared" si="193"/>
        <v>0</v>
      </c>
      <c r="Z211" s="70">
        <f t="shared" si="194"/>
        <v>0</v>
      </c>
      <c r="AA211" s="82"/>
      <c r="AC211" s="79">
        <v>0</v>
      </c>
      <c r="AD211" s="79">
        <v>0</v>
      </c>
      <c r="AE211" s="79">
        <v>0</v>
      </c>
      <c r="AF211" s="83">
        <f t="shared" si="195"/>
        <v>0</v>
      </c>
      <c r="AG211" s="70">
        <f t="shared" si="196"/>
        <v>0</v>
      </c>
      <c r="AH211" s="83">
        <f t="shared" si="197"/>
        <v>0</v>
      </c>
      <c r="AI211" s="70">
        <f t="shared" si="198"/>
        <v>0</v>
      </c>
      <c r="AK211" s="79">
        <v>0</v>
      </c>
      <c r="AL211" s="80">
        <f t="shared" si="182"/>
        <v>0</v>
      </c>
      <c r="AM211" s="79">
        <v>0</v>
      </c>
      <c r="AN211" s="80">
        <f t="shared" si="183"/>
        <v>0</v>
      </c>
      <c r="AO211" s="79">
        <v>0</v>
      </c>
      <c r="AP211" s="80">
        <f t="shared" si="184"/>
        <v>0</v>
      </c>
      <c r="AQ211" s="79">
        <v>0</v>
      </c>
      <c r="AR211" s="81">
        <f t="shared" si="185"/>
        <v>0</v>
      </c>
      <c r="AS211" s="80">
        <f t="shared" si="199"/>
        <v>0</v>
      </c>
      <c r="AT211" s="70">
        <f t="shared" si="200"/>
        <v>0</v>
      </c>
      <c r="AU211" s="80">
        <f t="shared" si="201"/>
        <v>0</v>
      </c>
      <c r="AV211" s="70">
        <f t="shared" si="202"/>
        <v>0</v>
      </c>
      <c r="AW211" s="80">
        <f t="shared" si="203"/>
        <v>0</v>
      </c>
      <c r="AX211" s="70">
        <f t="shared" si="204"/>
        <v>0</v>
      </c>
      <c r="AY211" s="82"/>
      <c r="BA211" s="79">
        <v>0</v>
      </c>
      <c r="BB211" s="80">
        <f t="shared" si="186"/>
        <v>0</v>
      </c>
      <c r="BC211" s="79">
        <v>0</v>
      </c>
      <c r="BD211" s="80">
        <f t="shared" si="187"/>
        <v>0</v>
      </c>
      <c r="BE211" s="79">
        <v>69.989999999999995</v>
      </c>
      <c r="BF211" s="81">
        <f t="shared" si="188"/>
        <v>3.4844701734655282E-5</v>
      </c>
      <c r="BG211" s="80">
        <f t="shared" si="205"/>
        <v>0</v>
      </c>
      <c r="BH211" s="70">
        <f t="shared" si="206"/>
        <v>0</v>
      </c>
      <c r="BI211" s="80">
        <f t="shared" si="207"/>
        <v>0</v>
      </c>
      <c r="BJ211" s="70">
        <f t="shared" si="208"/>
        <v>69.989999999999995</v>
      </c>
      <c r="BK211" s="82"/>
    </row>
    <row r="212" spans="5:63" ht="11.95" thickBot="1" x14ac:dyDescent="0.3">
      <c r="E212" s="3"/>
      <c r="F212" s="3"/>
      <c r="G212" s="3"/>
      <c r="H212" s="3" t="s">
        <v>262</v>
      </c>
      <c r="I212" s="18"/>
      <c r="J212" s="18"/>
      <c r="K212" s="18"/>
      <c r="L212" s="78"/>
      <c r="M212" s="79">
        <v>552.5</v>
      </c>
      <c r="N212" s="80">
        <f t="shared" si="178"/>
        <v>8.4423353427925073E-4</v>
      </c>
      <c r="O212" s="79"/>
      <c r="P212" s="80">
        <f t="shared" si="179"/>
        <v>0</v>
      </c>
      <c r="Q212" s="79"/>
      <c r="R212" s="80">
        <f t="shared" si="180"/>
        <v>0</v>
      </c>
      <c r="S212" s="79"/>
      <c r="T212" s="81">
        <f t="shared" si="181"/>
        <v>0</v>
      </c>
      <c r="U212" s="80">
        <f t="shared" si="189"/>
        <v>-1</v>
      </c>
      <c r="V212" s="70">
        <f t="shared" si="190"/>
        <v>-552.5</v>
      </c>
      <c r="W212" s="80">
        <f t="shared" si="191"/>
        <v>-1</v>
      </c>
      <c r="X212" s="70">
        <f t="shared" si="192"/>
        <v>-552.5</v>
      </c>
      <c r="Y212" s="80">
        <f t="shared" si="193"/>
        <v>-1</v>
      </c>
      <c r="Z212" s="70">
        <f t="shared" si="194"/>
        <v>-552.5</v>
      </c>
      <c r="AA212" s="82"/>
      <c r="AC212" s="79">
        <v>552.5</v>
      </c>
      <c r="AD212" s="79">
        <v>0</v>
      </c>
      <c r="AE212" s="79">
        <v>0</v>
      </c>
      <c r="AF212" s="83">
        <f t="shared" si="195"/>
        <v>-1</v>
      </c>
      <c r="AG212" s="70">
        <f t="shared" si="196"/>
        <v>-552.5</v>
      </c>
      <c r="AH212" s="83">
        <f t="shared" si="197"/>
        <v>-1</v>
      </c>
      <c r="AI212" s="70">
        <f t="shared" si="198"/>
        <v>-552.5</v>
      </c>
      <c r="AK212" s="79">
        <v>552.5</v>
      </c>
      <c r="AL212" s="80">
        <f t="shared" si="182"/>
        <v>8.4423353427925073E-4</v>
      </c>
      <c r="AM212" s="79">
        <v>0</v>
      </c>
      <c r="AN212" s="80">
        <f t="shared" si="183"/>
        <v>0</v>
      </c>
      <c r="AO212" s="79">
        <v>0</v>
      </c>
      <c r="AP212" s="80">
        <f t="shared" si="184"/>
        <v>0</v>
      </c>
      <c r="AQ212" s="79">
        <v>0</v>
      </c>
      <c r="AR212" s="81">
        <f t="shared" si="185"/>
        <v>0</v>
      </c>
      <c r="AS212" s="80">
        <f t="shared" si="199"/>
        <v>-1</v>
      </c>
      <c r="AT212" s="70">
        <f t="shared" si="200"/>
        <v>-552.5</v>
      </c>
      <c r="AU212" s="80">
        <f t="shared" si="201"/>
        <v>0</v>
      </c>
      <c r="AV212" s="70">
        <f t="shared" si="202"/>
        <v>-552.5</v>
      </c>
      <c r="AW212" s="80">
        <f t="shared" si="203"/>
        <v>-1</v>
      </c>
      <c r="AX212" s="70">
        <f t="shared" si="204"/>
        <v>-552.5</v>
      </c>
      <c r="AY212" s="82"/>
      <c r="BA212" s="79">
        <v>0</v>
      </c>
      <c r="BB212" s="80">
        <f t="shared" si="186"/>
        <v>0</v>
      </c>
      <c r="BC212" s="79">
        <v>0</v>
      </c>
      <c r="BD212" s="80">
        <f t="shared" si="187"/>
        <v>0</v>
      </c>
      <c r="BE212" s="79">
        <v>727.05</v>
      </c>
      <c r="BF212" s="81">
        <f t="shared" si="188"/>
        <v>3.6196371476183916E-4</v>
      </c>
      <c r="BG212" s="80">
        <f t="shared" si="205"/>
        <v>0</v>
      </c>
      <c r="BH212" s="70">
        <f t="shared" si="206"/>
        <v>0</v>
      </c>
      <c r="BI212" s="80">
        <f t="shared" si="207"/>
        <v>0</v>
      </c>
      <c r="BJ212" s="70">
        <f t="shared" si="208"/>
        <v>727.05</v>
      </c>
      <c r="BK212" s="82"/>
    </row>
    <row r="213" spans="5:63" ht="11.95" thickBot="1" x14ac:dyDescent="0.3">
      <c r="E213" s="3"/>
      <c r="F213" s="3"/>
      <c r="G213" s="3"/>
      <c r="H213" s="3" t="s">
        <v>263</v>
      </c>
      <c r="I213" s="18"/>
      <c r="J213" s="18"/>
      <c r="K213" s="18"/>
      <c r="L213" s="78"/>
      <c r="M213" s="79"/>
      <c r="N213" s="80">
        <f t="shared" si="178"/>
        <v>0</v>
      </c>
      <c r="O213" s="79"/>
      <c r="P213" s="80">
        <f t="shared" si="179"/>
        <v>0</v>
      </c>
      <c r="Q213" s="79"/>
      <c r="R213" s="80">
        <f t="shared" si="180"/>
        <v>0</v>
      </c>
      <c r="S213" s="79"/>
      <c r="T213" s="81">
        <f t="shared" si="181"/>
        <v>0</v>
      </c>
      <c r="U213" s="80">
        <f t="shared" si="189"/>
        <v>0</v>
      </c>
      <c r="V213" s="70">
        <f t="shared" si="190"/>
        <v>0</v>
      </c>
      <c r="W213" s="80">
        <f t="shared" si="191"/>
        <v>0</v>
      </c>
      <c r="X213" s="70">
        <f t="shared" si="192"/>
        <v>0</v>
      </c>
      <c r="Y213" s="80">
        <f t="shared" si="193"/>
        <v>0</v>
      </c>
      <c r="Z213" s="70">
        <f t="shared" si="194"/>
        <v>0</v>
      </c>
      <c r="AA213" s="82"/>
      <c r="AC213" s="79">
        <v>0</v>
      </c>
      <c r="AD213" s="79">
        <v>0</v>
      </c>
      <c r="AE213" s="79">
        <v>0</v>
      </c>
      <c r="AF213" s="83">
        <f t="shared" si="195"/>
        <v>0</v>
      </c>
      <c r="AG213" s="70">
        <f t="shared" si="196"/>
        <v>0</v>
      </c>
      <c r="AH213" s="83">
        <f t="shared" si="197"/>
        <v>0</v>
      </c>
      <c r="AI213" s="70">
        <f t="shared" si="198"/>
        <v>0</v>
      </c>
      <c r="AK213" s="79">
        <v>0</v>
      </c>
      <c r="AL213" s="80">
        <f t="shared" si="182"/>
        <v>0</v>
      </c>
      <c r="AM213" s="79">
        <v>0</v>
      </c>
      <c r="AN213" s="80">
        <f t="shared" si="183"/>
        <v>0</v>
      </c>
      <c r="AO213" s="79">
        <v>0</v>
      </c>
      <c r="AP213" s="80">
        <f t="shared" si="184"/>
        <v>0</v>
      </c>
      <c r="AQ213" s="79">
        <v>0</v>
      </c>
      <c r="AR213" s="81">
        <f t="shared" si="185"/>
        <v>0</v>
      </c>
      <c r="AS213" s="80">
        <f t="shared" si="199"/>
        <v>0</v>
      </c>
      <c r="AT213" s="70">
        <f t="shared" si="200"/>
        <v>0</v>
      </c>
      <c r="AU213" s="80">
        <f t="shared" si="201"/>
        <v>0</v>
      </c>
      <c r="AV213" s="70">
        <f t="shared" si="202"/>
        <v>0</v>
      </c>
      <c r="AW213" s="80">
        <f t="shared" si="203"/>
        <v>0</v>
      </c>
      <c r="AX213" s="70">
        <f t="shared" si="204"/>
        <v>0</v>
      </c>
      <c r="AY213" s="82"/>
      <c r="BA213" s="79">
        <v>0</v>
      </c>
      <c r="BB213" s="80">
        <f t="shared" si="186"/>
        <v>0</v>
      </c>
      <c r="BC213" s="79">
        <v>0</v>
      </c>
      <c r="BD213" s="80">
        <f t="shared" si="187"/>
        <v>0</v>
      </c>
      <c r="BE213" s="79">
        <v>0</v>
      </c>
      <c r="BF213" s="81">
        <f t="shared" si="188"/>
        <v>0</v>
      </c>
      <c r="BG213" s="80">
        <f t="shared" si="205"/>
        <v>0</v>
      </c>
      <c r="BH213" s="70">
        <f t="shared" si="206"/>
        <v>0</v>
      </c>
      <c r="BI213" s="80">
        <f t="shared" si="207"/>
        <v>0</v>
      </c>
      <c r="BJ213" s="70">
        <f t="shared" si="208"/>
        <v>0</v>
      </c>
      <c r="BK213" s="82"/>
    </row>
    <row r="214" spans="5:63" ht="11.95" thickBot="1" x14ac:dyDescent="0.3">
      <c r="E214" s="3"/>
      <c r="F214" s="3"/>
      <c r="G214" s="3"/>
      <c r="H214" s="3" t="s">
        <v>264</v>
      </c>
      <c r="I214" s="18"/>
      <c r="J214" s="18"/>
      <c r="K214" s="18"/>
      <c r="L214" s="78"/>
      <c r="M214" s="79"/>
      <c r="N214" s="80">
        <f t="shared" si="178"/>
        <v>0</v>
      </c>
      <c r="O214" s="79"/>
      <c r="P214" s="80">
        <f t="shared" si="179"/>
        <v>0</v>
      </c>
      <c r="Q214" s="79"/>
      <c r="R214" s="80">
        <f t="shared" si="180"/>
        <v>0</v>
      </c>
      <c r="S214" s="79"/>
      <c r="T214" s="81">
        <f t="shared" si="181"/>
        <v>0</v>
      </c>
      <c r="U214" s="80">
        <f t="shared" si="189"/>
        <v>0</v>
      </c>
      <c r="V214" s="70">
        <f t="shared" si="190"/>
        <v>0</v>
      </c>
      <c r="W214" s="80">
        <f t="shared" si="191"/>
        <v>0</v>
      </c>
      <c r="X214" s="70">
        <f t="shared" si="192"/>
        <v>0</v>
      </c>
      <c r="Y214" s="80">
        <f t="shared" si="193"/>
        <v>0</v>
      </c>
      <c r="Z214" s="70">
        <f t="shared" si="194"/>
        <v>0</v>
      </c>
      <c r="AA214" s="82"/>
      <c r="AC214" s="79">
        <v>0</v>
      </c>
      <c r="AD214" s="79">
        <v>0</v>
      </c>
      <c r="AE214" s="79">
        <v>0</v>
      </c>
      <c r="AF214" s="83">
        <f t="shared" si="195"/>
        <v>0</v>
      </c>
      <c r="AG214" s="70">
        <f t="shared" si="196"/>
        <v>0</v>
      </c>
      <c r="AH214" s="83">
        <f t="shared" si="197"/>
        <v>0</v>
      </c>
      <c r="AI214" s="70">
        <f t="shared" si="198"/>
        <v>0</v>
      </c>
      <c r="AK214" s="79">
        <v>0</v>
      </c>
      <c r="AL214" s="80">
        <f t="shared" si="182"/>
        <v>0</v>
      </c>
      <c r="AM214" s="79">
        <v>0</v>
      </c>
      <c r="AN214" s="80">
        <f t="shared" si="183"/>
        <v>0</v>
      </c>
      <c r="AO214" s="79">
        <v>0</v>
      </c>
      <c r="AP214" s="80">
        <f t="shared" si="184"/>
        <v>0</v>
      </c>
      <c r="AQ214" s="79">
        <v>0</v>
      </c>
      <c r="AR214" s="81">
        <f t="shared" si="185"/>
        <v>0</v>
      </c>
      <c r="AS214" s="80">
        <f t="shared" si="199"/>
        <v>0</v>
      </c>
      <c r="AT214" s="70">
        <f t="shared" si="200"/>
        <v>0</v>
      </c>
      <c r="AU214" s="80">
        <f t="shared" si="201"/>
        <v>0</v>
      </c>
      <c r="AV214" s="70">
        <f t="shared" si="202"/>
        <v>0</v>
      </c>
      <c r="AW214" s="80">
        <f t="shared" si="203"/>
        <v>0</v>
      </c>
      <c r="AX214" s="70">
        <f t="shared" si="204"/>
        <v>0</v>
      </c>
      <c r="AY214" s="82"/>
      <c r="BA214" s="79">
        <v>0</v>
      </c>
      <c r="BB214" s="80">
        <f t="shared" si="186"/>
        <v>0</v>
      </c>
      <c r="BC214" s="79">
        <v>0</v>
      </c>
      <c r="BD214" s="80">
        <f t="shared" si="187"/>
        <v>0</v>
      </c>
      <c r="BE214" s="79">
        <v>0</v>
      </c>
      <c r="BF214" s="81">
        <f t="shared" si="188"/>
        <v>0</v>
      </c>
      <c r="BG214" s="80">
        <f t="shared" si="205"/>
        <v>0</v>
      </c>
      <c r="BH214" s="70">
        <f t="shared" si="206"/>
        <v>0</v>
      </c>
      <c r="BI214" s="80">
        <f t="shared" si="207"/>
        <v>0</v>
      </c>
      <c r="BJ214" s="70">
        <f t="shared" si="208"/>
        <v>0</v>
      </c>
      <c r="BK214" s="82"/>
    </row>
    <row r="215" spans="5:63" ht="11.95" thickBot="1" x14ac:dyDescent="0.3">
      <c r="E215" s="3"/>
      <c r="F215" s="3"/>
      <c r="G215" s="3"/>
      <c r="H215" s="3" t="s">
        <v>265</v>
      </c>
      <c r="I215" s="18"/>
      <c r="J215" s="18"/>
      <c r="K215" s="18"/>
      <c r="L215" s="78"/>
      <c r="M215" s="79"/>
      <c r="N215" s="80">
        <f t="shared" si="178"/>
        <v>0</v>
      </c>
      <c r="O215" s="79"/>
      <c r="P215" s="80">
        <f t="shared" si="179"/>
        <v>0</v>
      </c>
      <c r="Q215" s="79"/>
      <c r="R215" s="80">
        <f t="shared" si="180"/>
        <v>0</v>
      </c>
      <c r="S215" s="79"/>
      <c r="T215" s="81">
        <f t="shared" si="181"/>
        <v>0</v>
      </c>
      <c r="U215" s="80">
        <f t="shared" si="189"/>
        <v>0</v>
      </c>
      <c r="V215" s="70">
        <f t="shared" si="190"/>
        <v>0</v>
      </c>
      <c r="W215" s="80">
        <f t="shared" si="191"/>
        <v>0</v>
      </c>
      <c r="X215" s="70">
        <f t="shared" si="192"/>
        <v>0</v>
      </c>
      <c r="Y215" s="80">
        <f t="shared" si="193"/>
        <v>0</v>
      </c>
      <c r="Z215" s="70">
        <f t="shared" si="194"/>
        <v>0</v>
      </c>
      <c r="AA215" s="82"/>
      <c r="AC215" s="79">
        <v>0</v>
      </c>
      <c r="AD215" s="79">
        <v>0</v>
      </c>
      <c r="AE215" s="79">
        <v>0</v>
      </c>
      <c r="AF215" s="83">
        <f t="shared" si="195"/>
        <v>0</v>
      </c>
      <c r="AG215" s="70">
        <f t="shared" si="196"/>
        <v>0</v>
      </c>
      <c r="AH215" s="83">
        <f t="shared" si="197"/>
        <v>0</v>
      </c>
      <c r="AI215" s="70">
        <f t="shared" si="198"/>
        <v>0</v>
      </c>
      <c r="AK215" s="79">
        <v>0</v>
      </c>
      <c r="AL215" s="80">
        <f t="shared" si="182"/>
        <v>0</v>
      </c>
      <c r="AM215" s="79">
        <v>0</v>
      </c>
      <c r="AN215" s="80">
        <f t="shared" si="183"/>
        <v>0</v>
      </c>
      <c r="AO215" s="79">
        <v>0</v>
      </c>
      <c r="AP215" s="80">
        <f t="shared" si="184"/>
        <v>0</v>
      </c>
      <c r="AQ215" s="79">
        <v>0</v>
      </c>
      <c r="AR215" s="81">
        <f t="shared" si="185"/>
        <v>0</v>
      </c>
      <c r="AS215" s="80">
        <f t="shared" si="199"/>
        <v>0</v>
      </c>
      <c r="AT215" s="70">
        <f t="shared" si="200"/>
        <v>0</v>
      </c>
      <c r="AU215" s="80">
        <f t="shared" si="201"/>
        <v>0</v>
      </c>
      <c r="AV215" s="70">
        <f t="shared" si="202"/>
        <v>0</v>
      </c>
      <c r="AW215" s="80">
        <f t="shared" si="203"/>
        <v>0</v>
      </c>
      <c r="AX215" s="70">
        <f t="shared" si="204"/>
        <v>0</v>
      </c>
      <c r="AY215" s="82"/>
      <c r="BA215" s="79">
        <v>0</v>
      </c>
      <c r="BB215" s="80">
        <f t="shared" si="186"/>
        <v>0</v>
      </c>
      <c r="BC215" s="79">
        <v>0</v>
      </c>
      <c r="BD215" s="80">
        <f t="shared" si="187"/>
        <v>0</v>
      </c>
      <c r="BE215" s="79">
        <v>0</v>
      </c>
      <c r="BF215" s="81">
        <f t="shared" si="188"/>
        <v>0</v>
      </c>
      <c r="BG215" s="80">
        <f t="shared" si="205"/>
        <v>0</v>
      </c>
      <c r="BH215" s="70">
        <f t="shared" si="206"/>
        <v>0</v>
      </c>
      <c r="BI215" s="80">
        <f t="shared" si="207"/>
        <v>0</v>
      </c>
      <c r="BJ215" s="70">
        <f t="shared" si="208"/>
        <v>0</v>
      </c>
      <c r="BK215" s="82"/>
    </row>
    <row r="216" spans="5:63" ht="11.95" thickBot="1" x14ac:dyDescent="0.3">
      <c r="E216" s="3"/>
      <c r="F216" s="3"/>
      <c r="G216" s="3"/>
      <c r="H216" s="3" t="s">
        <v>266</v>
      </c>
      <c r="I216" s="18"/>
      <c r="J216" s="18"/>
      <c r="K216" s="18"/>
      <c r="L216" s="78"/>
      <c r="M216" s="79"/>
      <c r="N216" s="80">
        <f t="shared" si="178"/>
        <v>0</v>
      </c>
      <c r="O216" s="79"/>
      <c r="P216" s="80">
        <f t="shared" si="179"/>
        <v>0</v>
      </c>
      <c r="Q216" s="79"/>
      <c r="R216" s="80">
        <f t="shared" si="180"/>
        <v>0</v>
      </c>
      <c r="S216" s="79"/>
      <c r="T216" s="81">
        <f t="shared" si="181"/>
        <v>0</v>
      </c>
      <c r="U216" s="80">
        <f t="shared" si="189"/>
        <v>0</v>
      </c>
      <c r="V216" s="70">
        <f t="shared" si="190"/>
        <v>0</v>
      </c>
      <c r="W216" s="80">
        <f t="shared" si="191"/>
        <v>0</v>
      </c>
      <c r="X216" s="70">
        <f t="shared" si="192"/>
        <v>0</v>
      </c>
      <c r="Y216" s="80">
        <f t="shared" si="193"/>
        <v>0</v>
      </c>
      <c r="Z216" s="70">
        <f t="shared" si="194"/>
        <v>0</v>
      </c>
      <c r="AA216" s="82"/>
      <c r="AC216" s="79">
        <v>0</v>
      </c>
      <c r="AD216" s="79">
        <v>0</v>
      </c>
      <c r="AE216" s="79">
        <v>0</v>
      </c>
      <c r="AF216" s="83">
        <f t="shared" si="195"/>
        <v>0</v>
      </c>
      <c r="AG216" s="70">
        <f t="shared" si="196"/>
        <v>0</v>
      </c>
      <c r="AH216" s="83">
        <f t="shared" si="197"/>
        <v>0</v>
      </c>
      <c r="AI216" s="70">
        <f t="shared" si="198"/>
        <v>0</v>
      </c>
      <c r="AK216" s="79">
        <v>0</v>
      </c>
      <c r="AL216" s="80">
        <f t="shared" si="182"/>
        <v>0</v>
      </c>
      <c r="AM216" s="79">
        <v>0</v>
      </c>
      <c r="AN216" s="80">
        <f t="shared" si="183"/>
        <v>0</v>
      </c>
      <c r="AO216" s="79">
        <v>0</v>
      </c>
      <c r="AP216" s="80">
        <f t="shared" si="184"/>
        <v>0</v>
      </c>
      <c r="AQ216" s="79">
        <v>0</v>
      </c>
      <c r="AR216" s="81">
        <f t="shared" si="185"/>
        <v>0</v>
      </c>
      <c r="AS216" s="80">
        <f t="shared" si="199"/>
        <v>0</v>
      </c>
      <c r="AT216" s="70">
        <f t="shared" si="200"/>
        <v>0</v>
      </c>
      <c r="AU216" s="80">
        <f t="shared" si="201"/>
        <v>0</v>
      </c>
      <c r="AV216" s="70">
        <f t="shared" si="202"/>
        <v>0</v>
      </c>
      <c r="AW216" s="80">
        <f t="shared" si="203"/>
        <v>0</v>
      </c>
      <c r="AX216" s="70">
        <f t="shared" si="204"/>
        <v>0</v>
      </c>
      <c r="AY216" s="82"/>
      <c r="BA216" s="79">
        <v>0</v>
      </c>
      <c r="BB216" s="80">
        <f t="shared" si="186"/>
        <v>0</v>
      </c>
      <c r="BC216" s="79">
        <v>0</v>
      </c>
      <c r="BD216" s="80">
        <f t="shared" si="187"/>
        <v>0</v>
      </c>
      <c r="BE216" s="79">
        <v>0</v>
      </c>
      <c r="BF216" s="81">
        <f t="shared" si="188"/>
        <v>0</v>
      </c>
      <c r="BG216" s="80">
        <f t="shared" si="205"/>
        <v>0</v>
      </c>
      <c r="BH216" s="70">
        <f t="shared" si="206"/>
        <v>0</v>
      </c>
      <c r="BI216" s="80">
        <f t="shared" si="207"/>
        <v>0</v>
      </c>
      <c r="BJ216" s="70">
        <f t="shared" si="208"/>
        <v>0</v>
      </c>
      <c r="BK216" s="82"/>
    </row>
    <row r="217" spans="5:63" ht="11.95" thickBot="1" x14ac:dyDescent="0.3">
      <c r="E217" s="3"/>
      <c r="F217" s="3"/>
      <c r="G217" s="3"/>
      <c r="H217" s="3" t="s">
        <v>267</v>
      </c>
      <c r="I217" s="18"/>
      <c r="J217" s="18"/>
      <c r="K217" s="18"/>
      <c r="L217" s="78"/>
      <c r="M217" s="79"/>
      <c r="N217" s="80">
        <f t="shared" si="178"/>
        <v>0</v>
      </c>
      <c r="O217" s="79"/>
      <c r="P217" s="80">
        <f t="shared" si="179"/>
        <v>0</v>
      </c>
      <c r="Q217" s="79"/>
      <c r="R217" s="80">
        <f t="shared" si="180"/>
        <v>0</v>
      </c>
      <c r="S217" s="79"/>
      <c r="T217" s="81">
        <f t="shared" si="181"/>
        <v>0</v>
      </c>
      <c r="U217" s="80">
        <f t="shared" si="189"/>
        <v>0</v>
      </c>
      <c r="V217" s="70">
        <f t="shared" si="190"/>
        <v>0</v>
      </c>
      <c r="W217" s="80">
        <f t="shared" si="191"/>
        <v>0</v>
      </c>
      <c r="X217" s="70">
        <f t="shared" si="192"/>
        <v>0</v>
      </c>
      <c r="Y217" s="80">
        <f t="shared" si="193"/>
        <v>0</v>
      </c>
      <c r="Z217" s="70">
        <f t="shared" si="194"/>
        <v>0</v>
      </c>
      <c r="AA217" s="82"/>
      <c r="AC217" s="79">
        <v>0</v>
      </c>
      <c r="AD217" s="79">
        <v>0</v>
      </c>
      <c r="AE217" s="79">
        <v>0</v>
      </c>
      <c r="AF217" s="83">
        <f t="shared" si="195"/>
        <v>0</v>
      </c>
      <c r="AG217" s="70">
        <f t="shared" si="196"/>
        <v>0</v>
      </c>
      <c r="AH217" s="83">
        <f t="shared" si="197"/>
        <v>0</v>
      </c>
      <c r="AI217" s="70">
        <f t="shared" si="198"/>
        <v>0</v>
      </c>
      <c r="AK217" s="79">
        <v>0</v>
      </c>
      <c r="AL217" s="80">
        <f t="shared" si="182"/>
        <v>0</v>
      </c>
      <c r="AM217" s="79">
        <v>0</v>
      </c>
      <c r="AN217" s="80">
        <f t="shared" si="183"/>
        <v>0</v>
      </c>
      <c r="AO217" s="79">
        <v>0</v>
      </c>
      <c r="AP217" s="80">
        <f t="shared" si="184"/>
        <v>0</v>
      </c>
      <c r="AQ217" s="79">
        <v>0</v>
      </c>
      <c r="AR217" s="81">
        <f t="shared" si="185"/>
        <v>0</v>
      </c>
      <c r="AS217" s="80">
        <f t="shared" si="199"/>
        <v>0</v>
      </c>
      <c r="AT217" s="70">
        <f t="shared" si="200"/>
        <v>0</v>
      </c>
      <c r="AU217" s="80">
        <f t="shared" si="201"/>
        <v>0</v>
      </c>
      <c r="AV217" s="70">
        <f t="shared" si="202"/>
        <v>0</v>
      </c>
      <c r="AW217" s="80">
        <f t="shared" si="203"/>
        <v>0</v>
      </c>
      <c r="AX217" s="70">
        <f t="shared" si="204"/>
        <v>0</v>
      </c>
      <c r="AY217" s="82"/>
      <c r="BA217" s="79">
        <v>0</v>
      </c>
      <c r="BB217" s="80">
        <f t="shared" si="186"/>
        <v>0</v>
      </c>
      <c r="BC217" s="79">
        <v>0</v>
      </c>
      <c r="BD217" s="80">
        <f t="shared" si="187"/>
        <v>0</v>
      </c>
      <c r="BE217" s="79">
        <v>55.05</v>
      </c>
      <c r="BF217" s="81">
        <f t="shared" si="188"/>
        <v>2.7406784261934178E-5</v>
      </c>
      <c r="BG217" s="80">
        <f t="shared" si="205"/>
        <v>0</v>
      </c>
      <c r="BH217" s="70">
        <f t="shared" si="206"/>
        <v>0</v>
      </c>
      <c r="BI217" s="80">
        <f t="shared" si="207"/>
        <v>0</v>
      </c>
      <c r="BJ217" s="70">
        <f t="shared" si="208"/>
        <v>55.05</v>
      </c>
      <c r="BK217" s="82"/>
    </row>
    <row r="218" spans="5:63" ht="11.95" thickBot="1" x14ac:dyDescent="0.3">
      <c r="E218" s="3"/>
      <c r="F218" s="3"/>
      <c r="G218" s="3"/>
      <c r="H218" s="3" t="s">
        <v>268</v>
      </c>
      <c r="I218" s="18"/>
      <c r="J218" s="18"/>
      <c r="K218" s="18"/>
      <c r="L218" s="78"/>
      <c r="M218" s="79">
        <v>48357.06</v>
      </c>
      <c r="N218" s="80">
        <f t="shared" si="178"/>
        <v>7.3890772255481962E-2</v>
      </c>
      <c r="O218" s="79">
        <v>0</v>
      </c>
      <c r="P218" s="80">
        <f t="shared" si="179"/>
        <v>0</v>
      </c>
      <c r="Q218" s="79">
        <v>47500</v>
      </c>
      <c r="R218" s="80">
        <f t="shared" si="180"/>
        <v>8.5752385779245224E-2</v>
      </c>
      <c r="S218" s="79">
        <v>10500.5</v>
      </c>
      <c r="T218" s="81">
        <f t="shared" si="181"/>
        <v>2.0590547612089654E-2</v>
      </c>
      <c r="U218" s="80">
        <f t="shared" si="189"/>
        <v>-1</v>
      </c>
      <c r="V218" s="70">
        <f t="shared" si="190"/>
        <v>-48357.06</v>
      </c>
      <c r="W218" s="80">
        <f t="shared" si="191"/>
        <v>-1.772357542001101E-2</v>
      </c>
      <c r="X218" s="70">
        <f t="shared" si="192"/>
        <v>-857.05999999999767</v>
      </c>
      <c r="Y218" s="80">
        <f t="shared" si="193"/>
        <v>-0.78285487165679635</v>
      </c>
      <c r="Z218" s="70">
        <f t="shared" si="194"/>
        <v>-37856.559999999998</v>
      </c>
      <c r="AA218" s="82"/>
      <c r="AC218" s="79">
        <v>48357.06</v>
      </c>
      <c r="AD218" s="79">
        <v>10500.5</v>
      </c>
      <c r="AE218" s="79">
        <v>47500</v>
      </c>
      <c r="AF218" s="83">
        <f t="shared" si="195"/>
        <v>-0.78285487165679635</v>
      </c>
      <c r="AG218" s="70">
        <f t="shared" si="196"/>
        <v>-37856.559999999998</v>
      </c>
      <c r="AH218" s="83">
        <f t="shared" si="197"/>
        <v>-1.772357542001101E-2</v>
      </c>
      <c r="AI218" s="70">
        <f t="shared" si="198"/>
        <v>-857.05999999999767</v>
      </c>
      <c r="AK218" s="79">
        <v>48357.06</v>
      </c>
      <c r="AL218" s="80">
        <f t="shared" si="182"/>
        <v>7.3890772255481962E-2</v>
      </c>
      <c r="AM218" s="79">
        <v>0</v>
      </c>
      <c r="AN218" s="80">
        <f t="shared" si="183"/>
        <v>0</v>
      </c>
      <c r="AO218" s="79">
        <v>47500</v>
      </c>
      <c r="AP218" s="80">
        <f t="shared" si="184"/>
        <v>8.5752385779245224E-2</v>
      </c>
      <c r="AQ218" s="79">
        <v>10500.5</v>
      </c>
      <c r="AR218" s="81">
        <f t="shared" si="185"/>
        <v>2.0590547612089654E-2</v>
      </c>
      <c r="AS218" s="80">
        <f t="shared" si="199"/>
        <v>-1</v>
      </c>
      <c r="AT218" s="70">
        <f t="shared" si="200"/>
        <v>-48357.06</v>
      </c>
      <c r="AU218" s="80">
        <f t="shared" si="201"/>
        <v>-1.8043368421052582E-2</v>
      </c>
      <c r="AV218" s="70">
        <f t="shared" si="202"/>
        <v>-857.05999999999767</v>
      </c>
      <c r="AW218" s="80">
        <f t="shared" si="203"/>
        <v>-0.78285487165679635</v>
      </c>
      <c r="AX218" s="70">
        <f t="shared" si="204"/>
        <v>-37856.559999999998</v>
      </c>
      <c r="AY218" s="82"/>
      <c r="BA218" s="79">
        <v>210000</v>
      </c>
      <c r="BB218" s="80">
        <f t="shared" si="186"/>
        <v>9.4119798368500526E-2</v>
      </c>
      <c r="BC218" s="79">
        <v>210000</v>
      </c>
      <c r="BD218" s="80">
        <f t="shared" si="187"/>
        <v>9.4119798368500526E-2</v>
      </c>
      <c r="BE218" s="79">
        <v>142809.97</v>
      </c>
      <c r="BF218" s="81">
        <f t="shared" si="188"/>
        <v>7.109831132140404E-2</v>
      </c>
      <c r="BG218" s="80">
        <f t="shared" si="205"/>
        <v>0</v>
      </c>
      <c r="BH218" s="70">
        <f t="shared" si="206"/>
        <v>0</v>
      </c>
      <c r="BI218" s="80">
        <f t="shared" si="207"/>
        <v>-0.31995252380952383</v>
      </c>
      <c r="BJ218" s="70">
        <f t="shared" si="208"/>
        <v>-67190.03</v>
      </c>
      <c r="BK218" s="82"/>
    </row>
    <row r="219" spans="5:63" ht="11.95" thickBot="1" x14ac:dyDescent="0.3">
      <c r="E219" s="3"/>
      <c r="F219" s="3"/>
      <c r="G219" s="3"/>
      <c r="H219" s="3" t="s">
        <v>269</v>
      </c>
      <c r="I219" s="18"/>
      <c r="J219" s="18"/>
      <c r="K219" s="18"/>
      <c r="L219" s="78"/>
      <c r="M219" s="79"/>
      <c r="N219" s="80">
        <f t="shared" si="178"/>
        <v>0</v>
      </c>
      <c r="O219" s="79"/>
      <c r="P219" s="80">
        <f t="shared" si="179"/>
        <v>0</v>
      </c>
      <c r="Q219" s="79"/>
      <c r="R219" s="80">
        <f t="shared" si="180"/>
        <v>0</v>
      </c>
      <c r="S219" s="79"/>
      <c r="T219" s="81">
        <f t="shared" si="181"/>
        <v>0</v>
      </c>
      <c r="U219" s="80">
        <f t="shared" si="189"/>
        <v>0</v>
      </c>
      <c r="V219" s="70">
        <f t="shared" si="190"/>
        <v>0</v>
      </c>
      <c r="W219" s="80">
        <f t="shared" si="191"/>
        <v>0</v>
      </c>
      <c r="X219" s="70">
        <f t="shared" si="192"/>
        <v>0</v>
      </c>
      <c r="Y219" s="80">
        <f t="shared" si="193"/>
        <v>0</v>
      </c>
      <c r="Z219" s="70">
        <f t="shared" si="194"/>
        <v>0</v>
      </c>
      <c r="AA219" s="82"/>
      <c r="AC219" s="79">
        <v>0</v>
      </c>
      <c r="AD219" s="79">
        <v>0</v>
      </c>
      <c r="AE219" s="79">
        <v>0</v>
      </c>
      <c r="AF219" s="83">
        <f t="shared" si="195"/>
        <v>0</v>
      </c>
      <c r="AG219" s="70">
        <f t="shared" si="196"/>
        <v>0</v>
      </c>
      <c r="AH219" s="83">
        <f t="shared" si="197"/>
        <v>0</v>
      </c>
      <c r="AI219" s="70">
        <f t="shared" si="198"/>
        <v>0</v>
      </c>
      <c r="AK219" s="79">
        <v>0</v>
      </c>
      <c r="AL219" s="80">
        <f t="shared" si="182"/>
        <v>0</v>
      </c>
      <c r="AM219" s="79">
        <v>0</v>
      </c>
      <c r="AN219" s="80">
        <f t="shared" si="183"/>
        <v>0</v>
      </c>
      <c r="AO219" s="79">
        <v>0</v>
      </c>
      <c r="AP219" s="80">
        <f t="shared" si="184"/>
        <v>0</v>
      </c>
      <c r="AQ219" s="79">
        <v>0</v>
      </c>
      <c r="AR219" s="81">
        <f t="shared" si="185"/>
        <v>0</v>
      </c>
      <c r="AS219" s="80">
        <f t="shared" si="199"/>
        <v>0</v>
      </c>
      <c r="AT219" s="70">
        <f t="shared" si="200"/>
        <v>0</v>
      </c>
      <c r="AU219" s="80">
        <f t="shared" si="201"/>
        <v>0</v>
      </c>
      <c r="AV219" s="70">
        <f t="shared" si="202"/>
        <v>0</v>
      </c>
      <c r="AW219" s="80">
        <f t="shared" si="203"/>
        <v>0</v>
      </c>
      <c r="AX219" s="70">
        <f t="shared" si="204"/>
        <v>0</v>
      </c>
      <c r="AY219" s="82"/>
      <c r="BA219" s="79">
        <v>0</v>
      </c>
      <c r="BB219" s="80">
        <f t="shared" si="186"/>
        <v>0</v>
      </c>
      <c r="BC219" s="79">
        <v>0</v>
      </c>
      <c r="BD219" s="80">
        <f t="shared" si="187"/>
        <v>0</v>
      </c>
      <c r="BE219" s="79">
        <v>0</v>
      </c>
      <c r="BF219" s="81">
        <f t="shared" si="188"/>
        <v>0</v>
      </c>
      <c r="BG219" s="80">
        <f t="shared" si="205"/>
        <v>0</v>
      </c>
      <c r="BH219" s="70">
        <f t="shared" si="206"/>
        <v>0</v>
      </c>
      <c r="BI219" s="80">
        <f t="shared" si="207"/>
        <v>0</v>
      </c>
      <c r="BJ219" s="70">
        <f t="shared" si="208"/>
        <v>0</v>
      </c>
      <c r="BK219" s="82"/>
    </row>
    <row r="220" spans="5:63" ht="11.95" thickBot="1" x14ac:dyDescent="0.3">
      <c r="E220" s="3"/>
      <c r="F220" s="3"/>
      <c r="G220" s="3"/>
      <c r="H220" s="3" t="s">
        <v>270</v>
      </c>
      <c r="I220" s="18"/>
      <c r="J220" s="18"/>
      <c r="K220" s="18"/>
      <c r="L220" s="78"/>
      <c r="M220" s="79"/>
      <c r="N220" s="80">
        <f t="shared" si="178"/>
        <v>0</v>
      </c>
      <c r="O220" s="79"/>
      <c r="P220" s="80">
        <f t="shared" si="179"/>
        <v>0</v>
      </c>
      <c r="Q220" s="79"/>
      <c r="R220" s="80">
        <f t="shared" si="180"/>
        <v>0</v>
      </c>
      <c r="S220" s="79"/>
      <c r="T220" s="81">
        <f t="shared" si="181"/>
        <v>0</v>
      </c>
      <c r="U220" s="80">
        <f t="shared" si="189"/>
        <v>0</v>
      </c>
      <c r="V220" s="70">
        <f t="shared" si="190"/>
        <v>0</v>
      </c>
      <c r="W220" s="80">
        <f t="shared" si="191"/>
        <v>0</v>
      </c>
      <c r="X220" s="70">
        <f t="shared" si="192"/>
        <v>0</v>
      </c>
      <c r="Y220" s="80">
        <f t="shared" si="193"/>
        <v>0</v>
      </c>
      <c r="Z220" s="70">
        <f t="shared" si="194"/>
        <v>0</v>
      </c>
      <c r="AA220" s="82"/>
      <c r="AC220" s="79">
        <v>0</v>
      </c>
      <c r="AD220" s="79">
        <v>0</v>
      </c>
      <c r="AE220" s="79">
        <v>0</v>
      </c>
      <c r="AF220" s="83">
        <f t="shared" si="195"/>
        <v>0</v>
      </c>
      <c r="AG220" s="70">
        <f t="shared" si="196"/>
        <v>0</v>
      </c>
      <c r="AH220" s="83">
        <f t="shared" si="197"/>
        <v>0</v>
      </c>
      <c r="AI220" s="70">
        <f t="shared" si="198"/>
        <v>0</v>
      </c>
      <c r="AK220" s="79">
        <v>0</v>
      </c>
      <c r="AL220" s="80">
        <f t="shared" si="182"/>
        <v>0</v>
      </c>
      <c r="AM220" s="79">
        <v>0</v>
      </c>
      <c r="AN220" s="80">
        <f t="shared" si="183"/>
        <v>0</v>
      </c>
      <c r="AO220" s="79">
        <v>0</v>
      </c>
      <c r="AP220" s="80">
        <f t="shared" si="184"/>
        <v>0</v>
      </c>
      <c r="AQ220" s="79">
        <v>0</v>
      </c>
      <c r="AR220" s="81">
        <f t="shared" si="185"/>
        <v>0</v>
      </c>
      <c r="AS220" s="80">
        <f t="shared" si="199"/>
        <v>0</v>
      </c>
      <c r="AT220" s="70">
        <f t="shared" si="200"/>
        <v>0</v>
      </c>
      <c r="AU220" s="80">
        <f t="shared" si="201"/>
        <v>0</v>
      </c>
      <c r="AV220" s="70">
        <f t="shared" si="202"/>
        <v>0</v>
      </c>
      <c r="AW220" s="80">
        <f t="shared" si="203"/>
        <v>0</v>
      </c>
      <c r="AX220" s="70">
        <f t="shared" si="204"/>
        <v>0</v>
      </c>
      <c r="AY220" s="82"/>
      <c r="BA220" s="79">
        <v>0</v>
      </c>
      <c r="BB220" s="80">
        <f t="shared" si="186"/>
        <v>0</v>
      </c>
      <c r="BC220" s="79">
        <v>0</v>
      </c>
      <c r="BD220" s="80">
        <f t="shared" si="187"/>
        <v>0</v>
      </c>
      <c r="BE220" s="79">
        <v>0</v>
      </c>
      <c r="BF220" s="81">
        <f t="shared" si="188"/>
        <v>0</v>
      </c>
      <c r="BG220" s="80">
        <f t="shared" si="205"/>
        <v>0</v>
      </c>
      <c r="BH220" s="70">
        <f t="shared" si="206"/>
        <v>0</v>
      </c>
      <c r="BI220" s="80">
        <f t="shared" si="207"/>
        <v>0</v>
      </c>
      <c r="BJ220" s="70">
        <f t="shared" si="208"/>
        <v>0</v>
      </c>
      <c r="BK220" s="82"/>
    </row>
    <row r="221" spans="5:63" ht="11.95" thickBot="1" x14ac:dyDescent="0.3">
      <c r="E221" s="3"/>
      <c r="F221" s="3"/>
      <c r="G221" s="3"/>
      <c r="H221" s="3" t="s">
        <v>271</v>
      </c>
      <c r="I221" s="18"/>
      <c r="J221" s="18"/>
      <c r="K221" s="18"/>
      <c r="L221" s="78"/>
      <c r="M221" s="79"/>
      <c r="N221" s="80">
        <f t="shared" si="178"/>
        <v>0</v>
      </c>
      <c r="O221" s="79"/>
      <c r="P221" s="80">
        <f t="shared" si="179"/>
        <v>0</v>
      </c>
      <c r="Q221" s="79"/>
      <c r="R221" s="80">
        <f t="shared" si="180"/>
        <v>0</v>
      </c>
      <c r="S221" s="79"/>
      <c r="T221" s="81">
        <f t="shared" si="181"/>
        <v>0</v>
      </c>
      <c r="U221" s="80">
        <f t="shared" si="189"/>
        <v>0</v>
      </c>
      <c r="V221" s="70">
        <f t="shared" si="190"/>
        <v>0</v>
      </c>
      <c r="W221" s="80">
        <f t="shared" si="191"/>
        <v>0</v>
      </c>
      <c r="X221" s="70">
        <f t="shared" si="192"/>
        <v>0</v>
      </c>
      <c r="Y221" s="80">
        <f t="shared" si="193"/>
        <v>0</v>
      </c>
      <c r="Z221" s="70">
        <f t="shared" si="194"/>
        <v>0</v>
      </c>
      <c r="AA221" s="82"/>
      <c r="AC221" s="79">
        <v>0</v>
      </c>
      <c r="AD221" s="79">
        <v>0</v>
      </c>
      <c r="AE221" s="79">
        <v>0</v>
      </c>
      <c r="AF221" s="83">
        <f t="shared" si="195"/>
        <v>0</v>
      </c>
      <c r="AG221" s="70">
        <f t="shared" si="196"/>
        <v>0</v>
      </c>
      <c r="AH221" s="83">
        <f t="shared" si="197"/>
        <v>0</v>
      </c>
      <c r="AI221" s="70">
        <f t="shared" si="198"/>
        <v>0</v>
      </c>
      <c r="AK221" s="79">
        <v>0</v>
      </c>
      <c r="AL221" s="80">
        <f t="shared" si="182"/>
        <v>0</v>
      </c>
      <c r="AM221" s="79">
        <v>0</v>
      </c>
      <c r="AN221" s="80">
        <f t="shared" si="183"/>
        <v>0</v>
      </c>
      <c r="AO221" s="79">
        <v>0</v>
      </c>
      <c r="AP221" s="80">
        <f t="shared" si="184"/>
        <v>0</v>
      </c>
      <c r="AQ221" s="79">
        <v>0</v>
      </c>
      <c r="AR221" s="81">
        <f t="shared" si="185"/>
        <v>0</v>
      </c>
      <c r="AS221" s="80">
        <f t="shared" si="199"/>
        <v>0</v>
      </c>
      <c r="AT221" s="70">
        <f t="shared" si="200"/>
        <v>0</v>
      </c>
      <c r="AU221" s="80">
        <f t="shared" si="201"/>
        <v>0</v>
      </c>
      <c r="AV221" s="70">
        <f t="shared" si="202"/>
        <v>0</v>
      </c>
      <c r="AW221" s="80">
        <f t="shared" si="203"/>
        <v>0</v>
      </c>
      <c r="AX221" s="70">
        <f t="shared" si="204"/>
        <v>0</v>
      </c>
      <c r="AY221" s="82"/>
      <c r="BA221" s="79">
        <v>0</v>
      </c>
      <c r="BB221" s="80">
        <f t="shared" si="186"/>
        <v>0</v>
      </c>
      <c r="BC221" s="79">
        <v>0</v>
      </c>
      <c r="BD221" s="80">
        <f t="shared" si="187"/>
        <v>0</v>
      </c>
      <c r="BE221" s="79">
        <v>0</v>
      </c>
      <c r="BF221" s="81">
        <f t="shared" si="188"/>
        <v>0</v>
      </c>
      <c r="BG221" s="80">
        <f t="shared" si="205"/>
        <v>0</v>
      </c>
      <c r="BH221" s="70">
        <f t="shared" si="206"/>
        <v>0</v>
      </c>
      <c r="BI221" s="80">
        <f t="shared" si="207"/>
        <v>0</v>
      </c>
      <c r="BJ221" s="70">
        <f t="shared" si="208"/>
        <v>0</v>
      </c>
      <c r="BK221" s="82"/>
    </row>
    <row r="222" spans="5:63" ht="11.95" thickBot="1" x14ac:dyDescent="0.3">
      <c r="E222" s="3"/>
      <c r="F222" s="3"/>
      <c r="G222" s="3"/>
      <c r="H222" s="3" t="s">
        <v>272</v>
      </c>
      <c r="I222" s="18"/>
      <c r="J222" s="18"/>
      <c r="K222" s="18"/>
      <c r="L222" s="78"/>
      <c r="M222" s="79"/>
      <c r="N222" s="80">
        <f t="shared" si="178"/>
        <v>0</v>
      </c>
      <c r="O222" s="79"/>
      <c r="P222" s="80">
        <f t="shared" si="179"/>
        <v>0</v>
      </c>
      <c r="Q222" s="79"/>
      <c r="R222" s="80">
        <f t="shared" si="180"/>
        <v>0</v>
      </c>
      <c r="S222" s="79"/>
      <c r="T222" s="81">
        <f t="shared" si="181"/>
        <v>0</v>
      </c>
      <c r="U222" s="80">
        <f t="shared" si="189"/>
        <v>0</v>
      </c>
      <c r="V222" s="70">
        <f t="shared" si="190"/>
        <v>0</v>
      </c>
      <c r="W222" s="80">
        <f t="shared" si="191"/>
        <v>0</v>
      </c>
      <c r="X222" s="70">
        <f t="shared" si="192"/>
        <v>0</v>
      </c>
      <c r="Y222" s="80">
        <f t="shared" si="193"/>
        <v>0</v>
      </c>
      <c r="Z222" s="70">
        <f t="shared" si="194"/>
        <v>0</v>
      </c>
      <c r="AA222" s="82"/>
      <c r="AC222" s="79">
        <v>0</v>
      </c>
      <c r="AD222" s="79">
        <v>0</v>
      </c>
      <c r="AE222" s="79">
        <v>0</v>
      </c>
      <c r="AF222" s="83">
        <f t="shared" si="195"/>
        <v>0</v>
      </c>
      <c r="AG222" s="70">
        <f t="shared" si="196"/>
        <v>0</v>
      </c>
      <c r="AH222" s="83">
        <f t="shared" si="197"/>
        <v>0</v>
      </c>
      <c r="AI222" s="70">
        <f t="shared" si="198"/>
        <v>0</v>
      </c>
      <c r="AK222" s="79">
        <v>0</v>
      </c>
      <c r="AL222" s="80">
        <f t="shared" si="182"/>
        <v>0</v>
      </c>
      <c r="AM222" s="79">
        <v>0</v>
      </c>
      <c r="AN222" s="80">
        <f t="shared" si="183"/>
        <v>0</v>
      </c>
      <c r="AO222" s="79">
        <v>0</v>
      </c>
      <c r="AP222" s="80">
        <f t="shared" si="184"/>
        <v>0</v>
      </c>
      <c r="AQ222" s="79">
        <v>0</v>
      </c>
      <c r="AR222" s="81">
        <f t="shared" si="185"/>
        <v>0</v>
      </c>
      <c r="AS222" s="80">
        <f t="shared" si="199"/>
        <v>0</v>
      </c>
      <c r="AT222" s="70">
        <f t="shared" si="200"/>
        <v>0</v>
      </c>
      <c r="AU222" s="80">
        <f t="shared" si="201"/>
        <v>0</v>
      </c>
      <c r="AV222" s="70">
        <f t="shared" si="202"/>
        <v>0</v>
      </c>
      <c r="AW222" s="80">
        <f t="shared" si="203"/>
        <v>0</v>
      </c>
      <c r="AX222" s="70">
        <f t="shared" si="204"/>
        <v>0</v>
      </c>
      <c r="AY222" s="82"/>
      <c r="BA222" s="79">
        <v>0</v>
      </c>
      <c r="BB222" s="80">
        <f t="shared" si="186"/>
        <v>0</v>
      </c>
      <c r="BC222" s="79">
        <v>0</v>
      </c>
      <c r="BD222" s="80">
        <f t="shared" si="187"/>
        <v>0</v>
      </c>
      <c r="BE222" s="79">
        <v>0</v>
      </c>
      <c r="BF222" s="81">
        <f t="shared" si="188"/>
        <v>0</v>
      </c>
      <c r="BG222" s="80">
        <f t="shared" si="205"/>
        <v>0</v>
      </c>
      <c r="BH222" s="70">
        <f t="shared" si="206"/>
        <v>0</v>
      </c>
      <c r="BI222" s="80">
        <f t="shared" si="207"/>
        <v>0</v>
      </c>
      <c r="BJ222" s="70">
        <f t="shared" si="208"/>
        <v>0</v>
      </c>
      <c r="BK222" s="82"/>
    </row>
    <row r="223" spans="5:63" ht="11.95" thickBot="1" x14ac:dyDescent="0.3">
      <c r="E223" s="3"/>
      <c r="F223" s="3"/>
      <c r="G223" s="3"/>
      <c r="H223" s="3" t="s">
        <v>273</v>
      </c>
      <c r="I223" s="18"/>
      <c r="J223" s="18"/>
      <c r="K223" s="18"/>
      <c r="L223" s="78"/>
      <c r="M223" s="79"/>
      <c r="N223" s="80">
        <f t="shared" si="178"/>
        <v>0</v>
      </c>
      <c r="O223" s="79"/>
      <c r="P223" s="80">
        <f t="shared" si="179"/>
        <v>0</v>
      </c>
      <c r="Q223" s="79"/>
      <c r="R223" s="80">
        <f t="shared" si="180"/>
        <v>0</v>
      </c>
      <c r="S223" s="79"/>
      <c r="T223" s="81">
        <f t="shared" si="181"/>
        <v>0</v>
      </c>
      <c r="U223" s="80">
        <f t="shared" si="189"/>
        <v>0</v>
      </c>
      <c r="V223" s="70">
        <f t="shared" si="190"/>
        <v>0</v>
      </c>
      <c r="W223" s="80">
        <f t="shared" si="191"/>
        <v>0</v>
      </c>
      <c r="X223" s="70">
        <f t="shared" si="192"/>
        <v>0</v>
      </c>
      <c r="Y223" s="80">
        <f t="shared" si="193"/>
        <v>0</v>
      </c>
      <c r="Z223" s="70">
        <f t="shared" si="194"/>
        <v>0</v>
      </c>
      <c r="AA223" s="82"/>
      <c r="AC223" s="79">
        <v>0</v>
      </c>
      <c r="AD223" s="79">
        <v>0</v>
      </c>
      <c r="AE223" s="79">
        <v>0</v>
      </c>
      <c r="AF223" s="83">
        <f t="shared" si="195"/>
        <v>0</v>
      </c>
      <c r="AG223" s="70">
        <f t="shared" si="196"/>
        <v>0</v>
      </c>
      <c r="AH223" s="83">
        <f t="shared" si="197"/>
        <v>0</v>
      </c>
      <c r="AI223" s="70">
        <f t="shared" si="198"/>
        <v>0</v>
      </c>
      <c r="AK223" s="79">
        <v>0</v>
      </c>
      <c r="AL223" s="80">
        <f t="shared" si="182"/>
        <v>0</v>
      </c>
      <c r="AM223" s="79">
        <v>0</v>
      </c>
      <c r="AN223" s="80">
        <f t="shared" si="183"/>
        <v>0</v>
      </c>
      <c r="AO223" s="79">
        <v>0</v>
      </c>
      <c r="AP223" s="80">
        <f t="shared" si="184"/>
        <v>0</v>
      </c>
      <c r="AQ223" s="79">
        <v>0</v>
      </c>
      <c r="AR223" s="81">
        <f t="shared" si="185"/>
        <v>0</v>
      </c>
      <c r="AS223" s="80">
        <f t="shared" si="199"/>
        <v>0</v>
      </c>
      <c r="AT223" s="70">
        <f t="shared" si="200"/>
        <v>0</v>
      </c>
      <c r="AU223" s="80">
        <f t="shared" si="201"/>
        <v>0</v>
      </c>
      <c r="AV223" s="70">
        <f t="shared" si="202"/>
        <v>0</v>
      </c>
      <c r="AW223" s="80">
        <f t="shared" si="203"/>
        <v>0</v>
      </c>
      <c r="AX223" s="70">
        <f t="shared" si="204"/>
        <v>0</v>
      </c>
      <c r="AY223" s="82"/>
      <c r="BA223" s="79">
        <v>0</v>
      </c>
      <c r="BB223" s="80">
        <f t="shared" si="186"/>
        <v>0</v>
      </c>
      <c r="BC223" s="79">
        <v>0</v>
      </c>
      <c r="BD223" s="80">
        <f t="shared" si="187"/>
        <v>0</v>
      </c>
      <c r="BE223" s="79">
        <v>0</v>
      </c>
      <c r="BF223" s="81">
        <f t="shared" si="188"/>
        <v>0</v>
      </c>
      <c r="BG223" s="80">
        <f t="shared" si="205"/>
        <v>0</v>
      </c>
      <c r="BH223" s="70">
        <f t="shared" si="206"/>
        <v>0</v>
      </c>
      <c r="BI223" s="80">
        <f t="shared" si="207"/>
        <v>0</v>
      </c>
      <c r="BJ223" s="70">
        <f t="shared" si="208"/>
        <v>0</v>
      </c>
      <c r="BK223" s="82"/>
    </row>
    <row r="224" spans="5:63" ht="11.95" thickBot="1" x14ac:dyDescent="0.3">
      <c r="E224" s="3"/>
      <c r="F224" s="3"/>
      <c r="G224" s="3"/>
      <c r="H224" s="3" t="s">
        <v>274</v>
      </c>
      <c r="I224" s="18"/>
      <c r="J224" s="18"/>
      <c r="K224" s="18"/>
      <c r="L224" s="78"/>
      <c r="M224" s="79"/>
      <c r="N224" s="80">
        <f t="shared" si="178"/>
        <v>0</v>
      </c>
      <c r="O224" s="79"/>
      <c r="P224" s="80">
        <f t="shared" si="179"/>
        <v>0</v>
      </c>
      <c r="Q224" s="79"/>
      <c r="R224" s="80">
        <f t="shared" si="180"/>
        <v>0</v>
      </c>
      <c r="S224" s="79"/>
      <c r="T224" s="81">
        <f t="shared" si="181"/>
        <v>0</v>
      </c>
      <c r="U224" s="80">
        <f t="shared" si="189"/>
        <v>0</v>
      </c>
      <c r="V224" s="70">
        <f t="shared" si="190"/>
        <v>0</v>
      </c>
      <c r="W224" s="80">
        <f t="shared" si="191"/>
        <v>0</v>
      </c>
      <c r="X224" s="70">
        <f t="shared" si="192"/>
        <v>0</v>
      </c>
      <c r="Y224" s="80">
        <f t="shared" si="193"/>
        <v>0</v>
      </c>
      <c r="Z224" s="70">
        <f t="shared" si="194"/>
        <v>0</v>
      </c>
      <c r="AA224" s="82"/>
      <c r="AC224" s="79">
        <v>0</v>
      </c>
      <c r="AD224" s="79">
        <v>0</v>
      </c>
      <c r="AE224" s="79">
        <v>0</v>
      </c>
      <c r="AF224" s="83">
        <f t="shared" si="195"/>
        <v>0</v>
      </c>
      <c r="AG224" s="70">
        <f t="shared" si="196"/>
        <v>0</v>
      </c>
      <c r="AH224" s="83">
        <f t="shared" si="197"/>
        <v>0</v>
      </c>
      <c r="AI224" s="70">
        <f t="shared" si="198"/>
        <v>0</v>
      </c>
      <c r="AK224" s="79">
        <v>0</v>
      </c>
      <c r="AL224" s="80">
        <f t="shared" si="182"/>
        <v>0</v>
      </c>
      <c r="AM224" s="79">
        <v>0</v>
      </c>
      <c r="AN224" s="80">
        <f t="shared" si="183"/>
        <v>0</v>
      </c>
      <c r="AO224" s="79">
        <v>0</v>
      </c>
      <c r="AP224" s="80">
        <f t="shared" si="184"/>
        <v>0</v>
      </c>
      <c r="AQ224" s="79">
        <v>0</v>
      </c>
      <c r="AR224" s="81">
        <f t="shared" si="185"/>
        <v>0</v>
      </c>
      <c r="AS224" s="80">
        <f t="shared" si="199"/>
        <v>0</v>
      </c>
      <c r="AT224" s="70">
        <f t="shared" si="200"/>
        <v>0</v>
      </c>
      <c r="AU224" s="80">
        <f t="shared" si="201"/>
        <v>0</v>
      </c>
      <c r="AV224" s="70">
        <f t="shared" si="202"/>
        <v>0</v>
      </c>
      <c r="AW224" s="80">
        <f t="shared" si="203"/>
        <v>0</v>
      </c>
      <c r="AX224" s="70">
        <f t="shared" si="204"/>
        <v>0</v>
      </c>
      <c r="AY224" s="82"/>
      <c r="BA224" s="79">
        <v>0</v>
      </c>
      <c r="BB224" s="80">
        <f t="shared" si="186"/>
        <v>0</v>
      </c>
      <c r="BC224" s="79">
        <v>0</v>
      </c>
      <c r="BD224" s="80">
        <f t="shared" si="187"/>
        <v>0</v>
      </c>
      <c r="BE224" s="79">
        <v>0</v>
      </c>
      <c r="BF224" s="81">
        <f t="shared" si="188"/>
        <v>0</v>
      </c>
      <c r="BG224" s="80">
        <f t="shared" si="205"/>
        <v>0</v>
      </c>
      <c r="BH224" s="70">
        <f t="shared" si="206"/>
        <v>0</v>
      </c>
      <c r="BI224" s="80">
        <f t="shared" si="207"/>
        <v>0</v>
      </c>
      <c r="BJ224" s="70">
        <f t="shared" si="208"/>
        <v>0</v>
      </c>
      <c r="BK224" s="82"/>
    </row>
    <row r="225" spans="5:63" ht="11.95" thickBot="1" x14ac:dyDescent="0.3">
      <c r="E225" s="3"/>
      <c r="F225" s="3"/>
      <c r="G225" s="3"/>
      <c r="H225" s="3" t="s">
        <v>275</v>
      </c>
      <c r="I225" s="18"/>
      <c r="J225" s="18"/>
      <c r="K225" s="18"/>
      <c r="L225" s="78"/>
      <c r="M225" s="79">
        <v>5000</v>
      </c>
      <c r="N225" s="80">
        <f t="shared" si="178"/>
        <v>7.6401224821651655E-3</v>
      </c>
      <c r="O225" s="79"/>
      <c r="P225" s="80">
        <f t="shared" si="179"/>
        <v>0</v>
      </c>
      <c r="Q225" s="79"/>
      <c r="R225" s="80">
        <f t="shared" si="180"/>
        <v>0</v>
      </c>
      <c r="S225" s="79"/>
      <c r="T225" s="81">
        <f t="shared" si="181"/>
        <v>0</v>
      </c>
      <c r="U225" s="80">
        <f t="shared" si="189"/>
        <v>-1</v>
      </c>
      <c r="V225" s="70">
        <f t="shared" si="190"/>
        <v>-5000</v>
      </c>
      <c r="W225" s="80">
        <f t="shared" si="191"/>
        <v>-1</v>
      </c>
      <c r="X225" s="70">
        <f t="shared" si="192"/>
        <v>-5000</v>
      </c>
      <c r="Y225" s="80">
        <f t="shared" si="193"/>
        <v>-1</v>
      </c>
      <c r="Z225" s="70">
        <f t="shared" si="194"/>
        <v>-5000</v>
      </c>
      <c r="AA225" s="82"/>
      <c r="AC225" s="79">
        <v>5000</v>
      </c>
      <c r="AD225" s="79">
        <v>0</v>
      </c>
      <c r="AE225" s="79">
        <v>0</v>
      </c>
      <c r="AF225" s="83">
        <f t="shared" si="195"/>
        <v>-1</v>
      </c>
      <c r="AG225" s="70">
        <f t="shared" si="196"/>
        <v>-5000</v>
      </c>
      <c r="AH225" s="83">
        <f t="shared" si="197"/>
        <v>-1</v>
      </c>
      <c r="AI225" s="70">
        <f t="shared" si="198"/>
        <v>-5000</v>
      </c>
      <c r="AK225" s="79">
        <v>5000</v>
      </c>
      <c r="AL225" s="80">
        <f t="shared" si="182"/>
        <v>7.6401224821651655E-3</v>
      </c>
      <c r="AM225" s="79">
        <v>0</v>
      </c>
      <c r="AN225" s="80">
        <f t="shared" si="183"/>
        <v>0</v>
      </c>
      <c r="AO225" s="79">
        <v>0</v>
      </c>
      <c r="AP225" s="80">
        <f t="shared" si="184"/>
        <v>0</v>
      </c>
      <c r="AQ225" s="79">
        <v>0</v>
      </c>
      <c r="AR225" s="81">
        <f t="shared" si="185"/>
        <v>0</v>
      </c>
      <c r="AS225" s="80">
        <f t="shared" si="199"/>
        <v>-1</v>
      </c>
      <c r="AT225" s="70">
        <f t="shared" si="200"/>
        <v>-5000</v>
      </c>
      <c r="AU225" s="80">
        <f t="shared" si="201"/>
        <v>0</v>
      </c>
      <c r="AV225" s="70">
        <f t="shared" si="202"/>
        <v>-5000</v>
      </c>
      <c r="AW225" s="80">
        <f t="shared" si="203"/>
        <v>-1</v>
      </c>
      <c r="AX225" s="70">
        <f t="shared" si="204"/>
        <v>-5000</v>
      </c>
      <c r="AY225" s="82"/>
      <c r="BA225" s="79">
        <v>0</v>
      </c>
      <c r="BB225" s="80">
        <f t="shared" si="186"/>
        <v>0</v>
      </c>
      <c r="BC225" s="79">
        <v>0</v>
      </c>
      <c r="BD225" s="80">
        <f t="shared" si="187"/>
        <v>0</v>
      </c>
      <c r="BE225" s="79">
        <v>2191.62</v>
      </c>
      <c r="BF225" s="81">
        <f t="shared" si="188"/>
        <v>1.091103660747324E-3</v>
      </c>
      <c r="BG225" s="80">
        <f t="shared" si="205"/>
        <v>0</v>
      </c>
      <c r="BH225" s="70">
        <f t="shared" si="206"/>
        <v>0</v>
      </c>
      <c r="BI225" s="80">
        <f t="shared" si="207"/>
        <v>0</v>
      </c>
      <c r="BJ225" s="70">
        <f t="shared" si="208"/>
        <v>2191.62</v>
      </c>
      <c r="BK225" s="82"/>
    </row>
    <row r="226" spans="5:63" ht="11.95" thickBot="1" x14ac:dyDescent="0.3">
      <c r="E226" s="3"/>
      <c r="F226" s="3"/>
      <c r="G226" s="3"/>
      <c r="H226" s="3" t="s">
        <v>276</v>
      </c>
      <c r="I226" s="18"/>
      <c r="J226" s="18"/>
      <c r="K226" s="18"/>
      <c r="L226" s="78"/>
      <c r="M226" s="79">
        <v>43357.06</v>
      </c>
      <c r="N226" s="80">
        <f t="shared" si="178"/>
        <v>6.6250649773316794E-2</v>
      </c>
      <c r="O226" s="79"/>
      <c r="P226" s="80">
        <f t="shared" si="179"/>
        <v>0</v>
      </c>
      <c r="Q226" s="79">
        <v>47500</v>
      </c>
      <c r="R226" s="80">
        <f t="shared" si="180"/>
        <v>8.5752385779245224E-2</v>
      </c>
      <c r="S226" s="79">
        <v>10500.5</v>
      </c>
      <c r="T226" s="81">
        <f t="shared" si="181"/>
        <v>2.0590547612089654E-2</v>
      </c>
      <c r="U226" s="80">
        <f t="shared" si="189"/>
        <v>-1</v>
      </c>
      <c r="V226" s="70">
        <f t="shared" si="190"/>
        <v>-43357.06</v>
      </c>
      <c r="W226" s="80">
        <f t="shared" si="191"/>
        <v>9.5553988208610149E-2</v>
      </c>
      <c r="X226" s="70">
        <f t="shared" si="192"/>
        <v>4142.9400000000023</v>
      </c>
      <c r="Y226" s="80">
        <f t="shared" si="193"/>
        <v>-0.75781337572243135</v>
      </c>
      <c r="Z226" s="70">
        <f t="shared" si="194"/>
        <v>-32856.559999999998</v>
      </c>
      <c r="AA226" s="82"/>
      <c r="AC226" s="79">
        <v>43357.06</v>
      </c>
      <c r="AD226" s="79">
        <v>10500.5</v>
      </c>
      <c r="AE226" s="79">
        <v>47500</v>
      </c>
      <c r="AF226" s="83">
        <f t="shared" si="195"/>
        <v>-0.75781337572243135</v>
      </c>
      <c r="AG226" s="70">
        <f t="shared" si="196"/>
        <v>-32856.559999999998</v>
      </c>
      <c r="AH226" s="83">
        <f t="shared" si="197"/>
        <v>9.5553988208610149E-2</v>
      </c>
      <c r="AI226" s="70">
        <f t="shared" si="198"/>
        <v>4142.9400000000023</v>
      </c>
      <c r="AK226" s="79">
        <v>43357.06</v>
      </c>
      <c r="AL226" s="80">
        <f t="shared" si="182"/>
        <v>6.6250649773316794E-2</v>
      </c>
      <c r="AM226" s="79">
        <v>0</v>
      </c>
      <c r="AN226" s="80">
        <f t="shared" si="183"/>
        <v>0</v>
      </c>
      <c r="AO226" s="79">
        <v>47500</v>
      </c>
      <c r="AP226" s="80">
        <f t="shared" si="184"/>
        <v>8.5752385779245224E-2</v>
      </c>
      <c r="AQ226" s="79">
        <v>10500.5</v>
      </c>
      <c r="AR226" s="81">
        <f t="shared" si="185"/>
        <v>2.0590547612089654E-2</v>
      </c>
      <c r="AS226" s="80">
        <f t="shared" si="199"/>
        <v>-1</v>
      </c>
      <c r="AT226" s="70">
        <f t="shared" si="200"/>
        <v>-43357.06</v>
      </c>
      <c r="AU226" s="80">
        <f t="shared" si="201"/>
        <v>8.7219789473684264E-2</v>
      </c>
      <c r="AV226" s="70">
        <f t="shared" si="202"/>
        <v>4142.9400000000023</v>
      </c>
      <c r="AW226" s="80">
        <f t="shared" si="203"/>
        <v>-0.75781337572243135</v>
      </c>
      <c r="AX226" s="70">
        <f t="shared" si="204"/>
        <v>-32856.559999999998</v>
      </c>
      <c r="AY226" s="82"/>
      <c r="BA226" s="79">
        <v>210000</v>
      </c>
      <c r="BB226" s="80">
        <f t="shared" si="186"/>
        <v>9.4119798368500526E-2</v>
      </c>
      <c r="BC226" s="79">
        <v>210000</v>
      </c>
      <c r="BD226" s="80">
        <f t="shared" si="187"/>
        <v>9.4119798368500526E-2</v>
      </c>
      <c r="BE226" s="79">
        <v>140022.29999999999</v>
      </c>
      <c r="BF226" s="81">
        <f t="shared" si="188"/>
        <v>6.9710462633239351E-2</v>
      </c>
      <c r="BG226" s="80">
        <f t="shared" si="205"/>
        <v>0</v>
      </c>
      <c r="BH226" s="70">
        <f t="shared" si="206"/>
        <v>0</v>
      </c>
      <c r="BI226" s="80">
        <f t="shared" si="207"/>
        <v>-0.33322714285714289</v>
      </c>
      <c r="BJ226" s="70">
        <f t="shared" si="208"/>
        <v>-69977.700000000012</v>
      </c>
      <c r="BK226" s="82"/>
    </row>
    <row r="227" spans="5:63" ht="11.95" thickBot="1" x14ac:dyDescent="0.3">
      <c r="E227" s="3"/>
      <c r="F227" s="3"/>
      <c r="G227" s="3"/>
      <c r="H227" s="3" t="s">
        <v>277</v>
      </c>
      <c r="I227" s="18"/>
      <c r="J227" s="18"/>
      <c r="K227" s="18"/>
      <c r="L227" s="78"/>
      <c r="M227" s="79"/>
      <c r="N227" s="80">
        <f t="shared" si="178"/>
        <v>0</v>
      </c>
      <c r="O227" s="79"/>
      <c r="P227" s="80">
        <f t="shared" si="179"/>
        <v>0</v>
      </c>
      <c r="Q227" s="79"/>
      <c r="R227" s="80">
        <f t="shared" si="180"/>
        <v>0</v>
      </c>
      <c r="S227" s="79"/>
      <c r="T227" s="81">
        <f t="shared" si="181"/>
        <v>0</v>
      </c>
      <c r="U227" s="80">
        <f t="shared" si="189"/>
        <v>0</v>
      </c>
      <c r="V227" s="70">
        <f t="shared" si="190"/>
        <v>0</v>
      </c>
      <c r="W227" s="80">
        <f t="shared" si="191"/>
        <v>0</v>
      </c>
      <c r="X227" s="70">
        <f t="shared" si="192"/>
        <v>0</v>
      </c>
      <c r="Y227" s="80">
        <f t="shared" si="193"/>
        <v>0</v>
      </c>
      <c r="Z227" s="70">
        <f t="shared" si="194"/>
        <v>0</v>
      </c>
      <c r="AA227" s="82"/>
      <c r="AC227" s="79">
        <v>0</v>
      </c>
      <c r="AD227" s="79">
        <v>0</v>
      </c>
      <c r="AE227" s="79">
        <v>0</v>
      </c>
      <c r="AF227" s="83">
        <f t="shared" si="195"/>
        <v>0</v>
      </c>
      <c r="AG227" s="70">
        <f t="shared" si="196"/>
        <v>0</v>
      </c>
      <c r="AH227" s="83">
        <f t="shared" si="197"/>
        <v>0</v>
      </c>
      <c r="AI227" s="70">
        <f t="shared" si="198"/>
        <v>0</v>
      </c>
      <c r="AK227" s="79">
        <v>0</v>
      </c>
      <c r="AL227" s="80">
        <f t="shared" si="182"/>
        <v>0</v>
      </c>
      <c r="AM227" s="79">
        <v>0</v>
      </c>
      <c r="AN227" s="80">
        <f t="shared" si="183"/>
        <v>0</v>
      </c>
      <c r="AO227" s="79">
        <v>0</v>
      </c>
      <c r="AP227" s="80">
        <f t="shared" si="184"/>
        <v>0</v>
      </c>
      <c r="AQ227" s="79">
        <v>0</v>
      </c>
      <c r="AR227" s="81">
        <f t="shared" si="185"/>
        <v>0</v>
      </c>
      <c r="AS227" s="80">
        <f t="shared" si="199"/>
        <v>0</v>
      </c>
      <c r="AT227" s="70">
        <f t="shared" si="200"/>
        <v>0</v>
      </c>
      <c r="AU227" s="80">
        <f t="shared" si="201"/>
        <v>0</v>
      </c>
      <c r="AV227" s="70">
        <f t="shared" si="202"/>
        <v>0</v>
      </c>
      <c r="AW227" s="80">
        <f t="shared" si="203"/>
        <v>0</v>
      </c>
      <c r="AX227" s="70">
        <f t="shared" si="204"/>
        <v>0</v>
      </c>
      <c r="AY227" s="82"/>
      <c r="BA227" s="79">
        <v>0</v>
      </c>
      <c r="BB227" s="80">
        <f t="shared" si="186"/>
        <v>0</v>
      </c>
      <c r="BC227" s="79">
        <v>0</v>
      </c>
      <c r="BD227" s="80">
        <f t="shared" si="187"/>
        <v>0</v>
      </c>
      <c r="BE227" s="79">
        <v>0</v>
      </c>
      <c r="BF227" s="81">
        <f t="shared" si="188"/>
        <v>0</v>
      </c>
      <c r="BG227" s="80">
        <f t="shared" si="205"/>
        <v>0</v>
      </c>
      <c r="BH227" s="70">
        <f t="shared" si="206"/>
        <v>0</v>
      </c>
      <c r="BI227" s="80">
        <f t="shared" si="207"/>
        <v>0</v>
      </c>
      <c r="BJ227" s="70">
        <f t="shared" si="208"/>
        <v>0</v>
      </c>
      <c r="BK227" s="82"/>
    </row>
    <row r="228" spans="5:63" ht="11.95" thickBot="1" x14ac:dyDescent="0.3">
      <c r="E228" s="3"/>
      <c r="F228" s="3"/>
      <c r="G228" s="3"/>
      <c r="H228" s="3" t="s">
        <v>278</v>
      </c>
      <c r="I228" s="18"/>
      <c r="J228" s="18"/>
      <c r="K228" s="18"/>
      <c r="L228" s="78"/>
      <c r="M228" s="79"/>
      <c r="N228" s="80">
        <f t="shared" si="178"/>
        <v>0</v>
      </c>
      <c r="O228" s="79"/>
      <c r="P228" s="80">
        <f t="shared" si="179"/>
        <v>0</v>
      </c>
      <c r="Q228" s="79"/>
      <c r="R228" s="80">
        <f t="shared" si="180"/>
        <v>0</v>
      </c>
      <c r="S228" s="79"/>
      <c r="T228" s="81">
        <f t="shared" si="181"/>
        <v>0</v>
      </c>
      <c r="U228" s="80">
        <f t="shared" si="189"/>
        <v>0</v>
      </c>
      <c r="V228" s="70">
        <f t="shared" si="190"/>
        <v>0</v>
      </c>
      <c r="W228" s="80">
        <f t="shared" si="191"/>
        <v>0</v>
      </c>
      <c r="X228" s="70">
        <f t="shared" si="192"/>
        <v>0</v>
      </c>
      <c r="Y228" s="80">
        <f t="shared" si="193"/>
        <v>0</v>
      </c>
      <c r="Z228" s="70">
        <f t="shared" si="194"/>
        <v>0</v>
      </c>
      <c r="AA228" s="82"/>
      <c r="AC228" s="79">
        <v>0</v>
      </c>
      <c r="AD228" s="79">
        <v>0</v>
      </c>
      <c r="AE228" s="79">
        <v>0</v>
      </c>
      <c r="AF228" s="83">
        <f t="shared" si="195"/>
        <v>0</v>
      </c>
      <c r="AG228" s="70">
        <f t="shared" si="196"/>
        <v>0</v>
      </c>
      <c r="AH228" s="83">
        <f t="shared" si="197"/>
        <v>0</v>
      </c>
      <c r="AI228" s="70">
        <f t="shared" si="198"/>
        <v>0</v>
      </c>
      <c r="AK228" s="79">
        <v>0</v>
      </c>
      <c r="AL228" s="80">
        <f t="shared" si="182"/>
        <v>0</v>
      </c>
      <c r="AM228" s="79">
        <v>0</v>
      </c>
      <c r="AN228" s="80">
        <f t="shared" si="183"/>
        <v>0</v>
      </c>
      <c r="AO228" s="79">
        <v>0</v>
      </c>
      <c r="AP228" s="80">
        <f t="shared" si="184"/>
        <v>0</v>
      </c>
      <c r="AQ228" s="79">
        <v>0</v>
      </c>
      <c r="AR228" s="81">
        <f t="shared" si="185"/>
        <v>0</v>
      </c>
      <c r="AS228" s="80">
        <f t="shared" si="199"/>
        <v>0</v>
      </c>
      <c r="AT228" s="70">
        <f t="shared" si="200"/>
        <v>0</v>
      </c>
      <c r="AU228" s="80">
        <f t="shared" si="201"/>
        <v>0</v>
      </c>
      <c r="AV228" s="70">
        <f t="shared" si="202"/>
        <v>0</v>
      </c>
      <c r="AW228" s="80">
        <f t="shared" si="203"/>
        <v>0</v>
      </c>
      <c r="AX228" s="70">
        <f t="shared" si="204"/>
        <v>0</v>
      </c>
      <c r="AY228" s="82"/>
      <c r="BA228" s="79">
        <v>0</v>
      </c>
      <c r="BB228" s="80">
        <f t="shared" si="186"/>
        <v>0</v>
      </c>
      <c r="BC228" s="79">
        <v>0</v>
      </c>
      <c r="BD228" s="80">
        <f t="shared" si="187"/>
        <v>0</v>
      </c>
      <c r="BE228" s="79">
        <v>0</v>
      </c>
      <c r="BF228" s="81">
        <f t="shared" si="188"/>
        <v>0</v>
      </c>
      <c r="BG228" s="80">
        <f t="shared" si="205"/>
        <v>0</v>
      </c>
      <c r="BH228" s="70">
        <f t="shared" si="206"/>
        <v>0</v>
      </c>
      <c r="BI228" s="80">
        <f t="shared" si="207"/>
        <v>0</v>
      </c>
      <c r="BJ228" s="70">
        <f t="shared" si="208"/>
        <v>0</v>
      </c>
      <c r="BK228" s="82"/>
    </row>
    <row r="229" spans="5:63" ht="11.95" thickBot="1" x14ac:dyDescent="0.3">
      <c r="E229" s="3"/>
      <c r="F229" s="3"/>
      <c r="G229" s="3"/>
      <c r="H229" s="3" t="s">
        <v>279</v>
      </c>
      <c r="I229" s="18"/>
      <c r="J229" s="18"/>
      <c r="K229" s="18"/>
      <c r="L229" s="78"/>
      <c r="M229" s="79"/>
      <c r="N229" s="80">
        <f t="shared" si="178"/>
        <v>0</v>
      </c>
      <c r="O229" s="79"/>
      <c r="P229" s="80">
        <f t="shared" si="179"/>
        <v>0</v>
      </c>
      <c r="Q229" s="79"/>
      <c r="R229" s="80">
        <f t="shared" si="180"/>
        <v>0</v>
      </c>
      <c r="S229" s="79"/>
      <c r="T229" s="81">
        <f t="shared" si="181"/>
        <v>0</v>
      </c>
      <c r="U229" s="80">
        <f t="shared" si="189"/>
        <v>0</v>
      </c>
      <c r="V229" s="70">
        <f t="shared" si="190"/>
        <v>0</v>
      </c>
      <c r="W229" s="80">
        <f t="shared" si="191"/>
        <v>0</v>
      </c>
      <c r="X229" s="70">
        <f t="shared" si="192"/>
        <v>0</v>
      </c>
      <c r="Y229" s="80">
        <f t="shared" si="193"/>
        <v>0</v>
      </c>
      <c r="Z229" s="70">
        <f t="shared" si="194"/>
        <v>0</v>
      </c>
      <c r="AA229" s="82"/>
      <c r="AC229" s="79">
        <v>0</v>
      </c>
      <c r="AD229" s="79">
        <v>0</v>
      </c>
      <c r="AE229" s="79">
        <v>0</v>
      </c>
      <c r="AF229" s="83">
        <f t="shared" si="195"/>
        <v>0</v>
      </c>
      <c r="AG229" s="70">
        <f t="shared" si="196"/>
        <v>0</v>
      </c>
      <c r="AH229" s="83">
        <f t="shared" si="197"/>
        <v>0</v>
      </c>
      <c r="AI229" s="70">
        <f t="shared" si="198"/>
        <v>0</v>
      </c>
      <c r="AK229" s="79">
        <v>0</v>
      </c>
      <c r="AL229" s="80">
        <f t="shared" si="182"/>
        <v>0</v>
      </c>
      <c r="AM229" s="79">
        <v>0</v>
      </c>
      <c r="AN229" s="80">
        <f t="shared" si="183"/>
        <v>0</v>
      </c>
      <c r="AO229" s="79">
        <v>0</v>
      </c>
      <c r="AP229" s="80">
        <f t="shared" si="184"/>
        <v>0</v>
      </c>
      <c r="AQ229" s="79">
        <v>0</v>
      </c>
      <c r="AR229" s="81">
        <f t="shared" si="185"/>
        <v>0</v>
      </c>
      <c r="AS229" s="80">
        <f t="shared" si="199"/>
        <v>0</v>
      </c>
      <c r="AT229" s="70">
        <f t="shared" si="200"/>
        <v>0</v>
      </c>
      <c r="AU229" s="80">
        <f t="shared" si="201"/>
        <v>0</v>
      </c>
      <c r="AV229" s="70">
        <f t="shared" si="202"/>
        <v>0</v>
      </c>
      <c r="AW229" s="80">
        <f t="shared" si="203"/>
        <v>0</v>
      </c>
      <c r="AX229" s="70">
        <f t="shared" si="204"/>
        <v>0</v>
      </c>
      <c r="AY229" s="82"/>
      <c r="BA229" s="79">
        <v>0</v>
      </c>
      <c r="BB229" s="80">
        <f t="shared" si="186"/>
        <v>0</v>
      </c>
      <c r="BC229" s="79">
        <v>0</v>
      </c>
      <c r="BD229" s="80">
        <f t="shared" si="187"/>
        <v>0</v>
      </c>
      <c r="BE229" s="79">
        <v>0</v>
      </c>
      <c r="BF229" s="81">
        <f t="shared" si="188"/>
        <v>0</v>
      </c>
      <c r="BG229" s="80">
        <f t="shared" si="205"/>
        <v>0</v>
      </c>
      <c r="BH229" s="70">
        <f t="shared" si="206"/>
        <v>0</v>
      </c>
      <c r="BI229" s="80">
        <f t="shared" si="207"/>
        <v>0</v>
      </c>
      <c r="BJ229" s="70">
        <f t="shared" si="208"/>
        <v>0</v>
      </c>
      <c r="BK229" s="82"/>
    </row>
    <row r="230" spans="5:63" ht="11.95" thickBot="1" x14ac:dyDescent="0.3">
      <c r="E230" s="3"/>
      <c r="F230" s="3"/>
      <c r="G230" s="3"/>
      <c r="H230" s="3" t="s">
        <v>280</v>
      </c>
      <c r="I230" s="18"/>
      <c r="J230" s="18"/>
      <c r="K230" s="18"/>
      <c r="L230" s="78"/>
      <c r="M230" s="79"/>
      <c r="N230" s="80">
        <f t="shared" si="178"/>
        <v>0</v>
      </c>
      <c r="O230" s="79"/>
      <c r="P230" s="80">
        <f t="shared" si="179"/>
        <v>0</v>
      </c>
      <c r="Q230" s="79"/>
      <c r="R230" s="80">
        <f t="shared" si="180"/>
        <v>0</v>
      </c>
      <c r="S230" s="79"/>
      <c r="T230" s="81">
        <f t="shared" si="181"/>
        <v>0</v>
      </c>
      <c r="U230" s="80">
        <f t="shared" si="189"/>
        <v>0</v>
      </c>
      <c r="V230" s="70">
        <f t="shared" si="190"/>
        <v>0</v>
      </c>
      <c r="W230" s="80">
        <f t="shared" si="191"/>
        <v>0</v>
      </c>
      <c r="X230" s="70">
        <f t="shared" si="192"/>
        <v>0</v>
      </c>
      <c r="Y230" s="80">
        <f t="shared" si="193"/>
        <v>0</v>
      </c>
      <c r="Z230" s="70">
        <f t="shared" si="194"/>
        <v>0</v>
      </c>
      <c r="AA230" s="82"/>
      <c r="AC230" s="79">
        <v>0</v>
      </c>
      <c r="AD230" s="79">
        <v>0</v>
      </c>
      <c r="AE230" s="79">
        <v>0</v>
      </c>
      <c r="AF230" s="83">
        <f t="shared" si="195"/>
        <v>0</v>
      </c>
      <c r="AG230" s="70">
        <f t="shared" si="196"/>
        <v>0</v>
      </c>
      <c r="AH230" s="83">
        <f t="shared" si="197"/>
        <v>0</v>
      </c>
      <c r="AI230" s="70">
        <f t="shared" si="198"/>
        <v>0</v>
      </c>
      <c r="AK230" s="79">
        <v>0</v>
      </c>
      <c r="AL230" s="80">
        <f t="shared" si="182"/>
        <v>0</v>
      </c>
      <c r="AM230" s="79">
        <v>0</v>
      </c>
      <c r="AN230" s="80">
        <f t="shared" si="183"/>
        <v>0</v>
      </c>
      <c r="AO230" s="79">
        <v>0</v>
      </c>
      <c r="AP230" s="80">
        <f t="shared" si="184"/>
        <v>0</v>
      </c>
      <c r="AQ230" s="79">
        <v>0</v>
      </c>
      <c r="AR230" s="81">
        <f t="shared" si="185"/>
        <v>0</v>
      </c>
      <c r="AS230" s="80">
        <f t="shared" si="199"/>
        <v>0</v>
      </c>
      <c r="AT230" s="70">
        <f t="shared" si="200"/>
        <v>0</v>
      </c>
      <c r="AU230" s="80">
        <f t="shared" si="201"/>
        <v>0</v>
      </c>
      <c r="AV230" s="70">
        <f t="shared" si="202"/>
        <v>0</v>
      </c>
      <c r="AW230" s="80">
        <f t="shared" si="203"/>
        <v>0</v>
      </c>
      <c r="AX230" s="70">
        <f t="shared" si="204"/>
        <v>0</v>
      </c>
      <c r="AY230" s="82"/>
      <c r="BA230" s="79">
        <v>0</v>
      </c>
      <c r="BB230" s="80">
        <f t="shared" si="186"/>
        <v>0</v>
      </c>
      <c r="BC230" s="79">
        <v>0</v>
      </c>
      <c r="BD230" s="80">
        <f t="shared" si="187"/>
        <v>0</v>
      </c>
      <c r="BE230" s="79">
        <v>0</v>
      </c>
      <c r="BF230" s="81">
        <f t="shared" si="188"/>
        <v>0</v>
      </c>
      <c r="BG230" s="80">
        <f t="shared" si="205"/>
        <v>0</v>
      </c>
      <c r="BH230" s="70">
        <f t="shared" si="206"/>
        <v>0</v>
      </c>
      <c r="BI230" s="80">
        <f t="shared" si="207"/>
        <v>0</v>
      </c>
      <c r="BJ230" s="70">
        <f t="shared" si="208"/>
        <v>0</v>
      </c>
      <c r="BK230" s="82"/>
    </row>
    <row r="231" spans="5:63" ht="11.95" thickBot="1" x14ac:dyDescent="0.3">
      <c r="E231" s="3"/>
      <c r="F231" s="3"/>
      <c r="G231" s="3"/>
      <c r="H231" s="3" t="s">
        <v>281</v>
      </c>
      <c r="I231" s="18"/>
      <c r="J231" s="18"/>
      <c r="K231" s="18"/>
      <c r="L231" s="78"/>
      <c r="M231" s="79"/>
      <c r="N231" s="80">
        <f t="shared" si="178"/>
        <v>0</v>
      </c>
      <c r="O231" s="79"/>
      <c r="P231" s="80">
        <f t="shared" si="179"/>
        <v>0</v>
      </c>
      <c r="Q231" s="79"/>
      <c r="R231" s="80">
        <f t="shared" si="180"/>
        <v>0</v>
      </c>
      <c r="S231" s="79"/>
      <c r="T231" s="81">
        <f t="shared" si="181"/>
        <v>0</v>
      </c>
      <c r="U231" s="80">
        <f t="shared" si="189"/>
        <v>0</v>
      </c>
      <c r="V231" s="70">
        <f t="shared" si="190"/>
        <v>0</v>
      </c>
      <c r="W231" s="80">
        <f t="shared" si="191"/>
        <v>0</v>
      </c>
      <c r="X231" s="70">
        <f t="shared" si="192"/>
        <v>0</v>
      </c>
      <c r="Y231" s="80">
        <f t="shared" si="193"/>
        <v>0</v>
      </c>
      <c r="Z231" s="70">
        <f t="shared" si="194"/>
        <v>0</v>
      </c>
      <c r="AA231" s="82"/>
      <c r="AC231" s="79">
        <v>0</v>
      </c>
      <c r="AD231" s="79">
        <v>0</v>
      </c>
      <c r="AE231" s="79">
        <v>0</v>
      </c>
      <c r="AF231" s="83">
        <f t="shared" si="195"/>
        <v>0</v>
      </c>
      <c r="AG231" s="70">
        <f t="shared" si="196"/>
        <v>0</v>
      </c>
      <c r="AH231" s="83">
        <f t="shared" si="197"/>
        <v>0</v>
      </c>
      <c r="AI231" s="70">
        <f t="shared" si="198"/>
        <v>0</v>
      </c>
      <c r="AK231" s="79">
        <v>0</v>
      </c>
      <c r="AL231" s="80">
        <f t="shared" si="182"/>
        <v>0</v>
      </c>
      <c r="AM231" s="79">
        <v>0</v>
      </c>
      <c r="AN231" s="80">
        <f t="shared" si="183"/>
        <v>0</v>
      </c>
      <c r="AO231" s="79">
        <v>0</v>
      </c>
      <c r="AP231" s="80">
        <f t="shared" si="184"/>
        <v>0</v>
      </c>
      <c r="AQ231" s="79">
        <v>0</v>
      </c>
      <c r="AR231" s="81">
        <f t="shared" si="185"/>
        <v>0</v>
      </c>
      <c r="AS231" s="80">
        <f t="shared" si="199"/>
        <v>0</v>
      </c>
      <c r="AT231" s="70">
        <f t="shared" si="200"/>
        <v>0</v>
      </c>
      <c r="AU231" s="80">
        <f t="shared" si="201"/>
        <v>0</v>
      </c>
      <c r="AV231" s="70">
        <f t="shared" si="202"/>
        <v>0</v>
      </c>
      <c r="AW231" s="80">
        <f t="shared" si="203"/>
        <v>0</v>
      </c>
      <c r="AX231" s="70">
        <f t="shared" si="204"/>
        <v>0</v>
      </c>
      <c r="AY231" s="82"/>
      <c r="BA231" s="79">
        <v>0</v>
      </c>
      <c r="BB231" s="80">
        <f t="shared" si="186"/>
        <v>0</v>
      </c>
      <c r="BC231" s="79">
        <v>0</v>
      </c>
      <c r="BD231" s="80">
        <f t="shared" si="187"/>
        <v>0</v>
      </c>
      <c r="BE231" s="79">
        <v>596.04999999999995</v>
      </c>
      <c r="BF231" s="81">
        <f t="shared" si="188"/>
        <v>2.9674502741736363E-4</v>
      </c>
      <c r="BG231" s="80">
        <f t="shared" si="205"/>
        <v>0</v>
      </c>
      <c r="BH231" s="70">
        <f t="shared" si="206"/>
        <v>0</v>
      </c>
      <c r="BI231" s="80">
        <f t="shared" si="207"/>
        <v>0</v>
      </c>
      <c r="BJ231" s="70">
        <f t="shared" si="208"/>
        <v>596.04999999999995</v>
      </c>
      <c r="BK231" s="82"/>
    </row>
    <row r="232" spans="5:63" ht="11.95" thickBot="1" x14ac:dyDescent="0.3">
      <c r="E232" s="3"/>
      <c r="F232" s="3"/>
      <c r="G232" s="3"/>
      <c r="H232" s="3" t="s">
        <v>282</v>
      </c>
      <c r="I232" s="18"/>
      <c r="J232" s="18"/>
      <c r="K232" s="18"/>
      <c r="L232" s="78"/>
      <c r="M232" s="79"/>
      <c r="N232" s="80">
        <f t="shared" si="178"/>
        <v>0</v>
      </c>
      <c r="O232" s="79"/>
      <c r="P232" s="80">
        <f t="shared" si="179"/>
        <v>0</v>
      </c>
      <c r="Q232" s="79"/>
      <c r="R232" s="80">
        <f t="shared" si="180"/>
        <v>0</v>
      </c>
      <c r="S232" s="79"/>
      <c r="T232" s="81">
        <f t="shared" si="181"/>
        <v>0</v>
      </c>
      <c r="U232" s="80">
        <f t="shared" si="189"/>
        <v>0</v>
      </c>
      <c r="V232" s="70">
        <f t="shared" si="190"/>
        <v>0</v>
      </c>
      <c r="W232" s="80">
        <f t="shared" si="191"/>
        <v>0</v>
      </c>
      <c r="X232" s="70">
        <f t="shared" si="192"/>
        <v>0</v>
      </c>
      <c r="Y232" s="80">
        <f t="shared" si="193"/>
        <v>0</v>
      </c>
      <c r="Z232" s="70">
        <f t="shared" si="194"/>
        <v>0</v>
      </c>
      <c r="AA232" s="82"/>
      <c r="AC232" s="79">
        <v>0</v>
      </c>
      <c r="AD232" s="79">
        <v>0</v>
      </c>
      <c r="AE232" s="79">
        <v>0</v>
      </c>
      <c r="AF232" s="83">
        <f t="shared" si="195"/>
        <v>0</v>
      </c>
      <c r="AG232" s="70">
        <f t="shared" si="196"/>
        <v>0</v>
      </c>
      <c r="AH232" s="83">
        <f t="shared" si="197"/>
        <v>0</v>
      </c>
      <c r="AI232" s="70">
        <f t="shared" si="198"/>
        <v>0</v>
      </c>
      <c r="AK232" s="79">
        <v>0</v>
      </c>
      <c r="AL232" s="80">
        <f t="shared" si="182"/>
        <v>0</v>
      </c>
      <c r="AM232" s="79">
        <v>0</v>
      </c>
      <c r="AN232" s="80">
        <f t="shared" si="183"/>
        <v>0</v>
      </c>
      <c r="AO232" s="79">
        <v>0</v>
      </c>
      <c r="AP232" s="80">
        <f t="shared" si="184"/>
        <v>0</v>
      </c>
      <c r="AQ232" s="79">
        <v>0</v>
      </c>
      <c r="AR232" s="81">
        <f t="shared" si="185"/>
        <v>0</v>
      </c>
      <c r="AS232" s="80">
        <f t="shared" si="199"/>
        <v>0</v>
      </c>
      <c r="AT232" s="70">
        <f t="shared" si="200"/>
        <v>0</v>
      </c>
      <c r="AU232" s="80">
        <f t="shared" si="201"/>
        <v>0</v>
      </c>
      <c r="AV232" s="70">
        <f t="shared" si="202"/>
        <v>0</v>
      </c>
      <c r="AW232" s="80">
        <f t="shared" si="203"/>
        <v>0</v>
      </c>
      <c r="AX232" s="70">
        <f t="shared" si="204"/>
        <v>0</v>
      </c>
      <c r="AY232" s="82"/>
      <c r="BA232" s="79">
        <v>0</v>
      </c>
      <c r="BB232" s="80">
        <f t="shared" si="186"/>
        <v>0</v>
      </c>
      <c r="BC232" s="79">
        <v>0</v>
      </c>
      <c r="BD232" s="80">
        <f t="shared" si="187"/>
        <v>0</v>
      </c>
      <c r="BE232" s="79">
        <v>0</v>
      </c>
      <c r="BF232" s="81">
        <f t="shared" si="188"/>
        <v>0</v>
      </c>
      <c r="BG232" s="80">
        <f t="shared" si="205"/>
        <v>0</v>
      </c>
      <c r="BH232" s="70">
        <f t="shared" si="206"/>
        <v>0</v>
      </c>
      <c r="BI232" s="80">
        <f t="shared" si="207"/>
        <v>0</v>
      </c>
      <c r="BJ232" s="70">
        <f t="shared" si="208"/>
        <v>0</v>
      </c>
      <c r="BK232" s="82"/>
    </row>
    <row r="233" spans="5:63" ht="11.95" thickBot="1" x14ac:dyDescent="0.3">
      <c r="E233" s="3"/>
      <c r="F233" s="3"/>
      <c r="G233" s="3"/>
      <c r="H233" s="3" t="s">
        <v>283</v>
      </c>
      <c r="I233" s="18"/>
      <c r="J233" s="18"/>
      <c r="K233" s="18"/>
      <c r="L233" s="78"/>
      <c r="M233" s="79">
        <v>2077.1</v>
      </c>
      <c r="N233" s="80">
        <f t="shared" si="178"/>
        <v>3.173859681541053E-3</v>
      </c>
      <c r="O233" s="79">
        <v>0</v>
      </c>
      <c r="P233" s="80">
        <f t="shared" si="179"/>
        <v>0</v>
      </c>
      <c r="Q233" s="79">
        <v>2409.26125</v>
      </c>
      <c r="R233" s="80">
        <f t="shared" si="180"/>
        <v>4.3494715821681389E-3</v>
      </c>
      <c r="S233" s="79">
        <v>999.98</v>
      </c>
      <c r="T233" s="81">
        <f t="shared" si="181"/>
        <v>1.9608719395397753E-3</v>
      </c>
      <c r="U233" s="80">
        <f t="shared" si="189"/>
        <v>-1</v>
      </c>
      <c r="V233" s="70">
        <f t="shared" si="190"/>
        <v>-2077.1</v>
      </c>
      <c r="W233" s="80">
        <f t="shared" si="191"/>
        <v>0.15991586827788751</v>
      </c>
      <c r="X233" s="70">
        <f t="shared" si="192"/>
        <v>332.16125000000011</v>
      </c>
      <c r="Y233" s="80">
        <f t="shared" si="193"/>
        <v>-0.51856915892349909</v>
      </c>
      <c r="Z233" s="70">
        <f t="shared" si="194"/>
        <v>-1077.1199999999999</v>
      </c>
      <c r="AA233" s="82"/>
      <c r="AC233" s="79">
        <v>2077.1</v>
      </c>
      <c r="AD233" s="79">
        <v>999.98</v>
      </c>
      <c r="AE233" s="79">
        <v>2409.26125</v>
      </c>
      <c r="AF233" s="83">
        <f t="shared" si="195"/>
        <v>-0.51856915892349909</v>
      </c>
      <c r="AG233" s="70">
        <f t="shared" si="196"/>
        <v>-1077.1199999999999</v>
      </c>
      <c r="AH233" s="83">
        <f t="shared" si="197"/>
        <v>0.15991586827788751</v>
      </c>
      <c r="AI233" s="70">
        <f t="shared" si="198"/>
        <v>332.16125000000011</v>
      </c>
      <c r="AK233" s="79">
        <v>2077.1</v>
      </c>
      <c r="AL233" s="80">
        <f t="shared" si="182"/>
        <v>3.173859681541053E-3</v>
      </c>
      <c r="AM233" s="79">
        <v>0</v>
      </c>
      <c r="AN233" s="80">
        <f t="shared" si="183"/>
        <v>0</v>
      </c>
      <c r="AO233" s="79">
        <v>2409.26125</v>
      </c>
      <c r="AP233" s="80">
        <f t="shared" si="184"/>
        <v>4.3494715821681389E-3</v>
      </c>
      <c r="AQ233" s="79">
        <v>999.98</v>
      </c>
      <c r="AR233" s="81">
        <f t="shared" si="185"/>
        <v>1.9608719395397753E-3</v>
      </c>
      <c r="AS233" s="80">
        <f t="shared" si="199"/>
        <v>-1</v>
      </c>
      <c r="AT233" s="70">
        <f t="shared" si="200"/>
        <v>-2077.1</v>
      </c>
      <c r="AU233" s="80">
        <f t="shared" si="201"/>
        <v>0.13786850637306358</v>
      </c>
      <c r="AV233" s="70">
        <f t="shared" si="202"/>
        <v>332.16125000000011</v>
      </c>
      <c r="AW233" s="80">
        <f t="shared" si="203"/>
        <v>-0.51856915892349909</v>
      </c>
      <c r="AX233" s="70">
        <f t="shared" si="204"/>
        <v>-1077.1199999999999</v>
      </c>
      <c r="AY233" s="82"/>
      <c r="BA233" s="79">
        <v>18000</v>
      </c>
      <c r="BB233" s="80">
        <f t="shared" si="186"/>
        <v>8.0674112887286157E-3</v>
      </c>
      <c r="BC233" s="79">
        <v>18000</v>
      </c>
      <c r="BD233" s="80">
        <f t="shared" si="187"/>
        <v>8.0674112887286157E-3</v>
      </c>
      <c r="BE233" s="79">
        <v>38786.85</v>
      </c>
      <c r="BF233" s="81">
        <f t="shared" si="188"/>
        <v>1.9310133154405117E-2</v>
      </c>
      <c r="BG233" s="80">
        <f t="shared" si="205"/>
        <v>0</v>
      </c>
      <c r="BH233" s="70">
        <f t="shared" si="206"/>
        <v>0</v>
      </c>
      <c r="BI233" s="80">
        <f t="shared" si="207"/>
        <v>1.154825</v>
      </c>
      <c r="BJ233" s="70">
        <f t="shared" si="208"/>
        <v>20786.849999999999</v>
      </c>
      <c r="BK233" s="82"/>
    </row>
    <row r="234" spans="5:63" ht="11.95" thickBot="1" x14ac:dyDescent="0.3">
      <c r="E234" s="3"/>
      <c r="F234" s="3"/>
      <c r="G234" s="3"/>
      <c r="H234" s="3" t="s">
        <v>284</v>
      </c>
      <c r="I234" s="18"/>
      <c r="J234" s="18"/>
      <c r="K234" s="18"/>
      <c r="L234" s="78"/>
      <c r="M234" s="79"/>
      <c r="N234" s="80">
        <f t="shared" si="178"/>
        <v>0</v>
      </c>
      <c r="O234" s="79"/>
      <c r="P234" s="80">
        <f t="shared" si="179"/>
        <v>0</v>
      </c>
      <c r="Q234" s="79"/>
      <c r="R234" s="80">
        <f t="shared" si="180"/>
        <v>0</v>
      </c>
      <c r="S234" s="79"/>
      <c r="T234" s="81">
        <f t="shared" si="181"/>
        <v>0</v>
      </c>
      <c r="U234" s="80">
        <f t="shared" si="189"/>
        <v>0</v>
      </c>
      <c r="V234" s="70">
        <f t="shared" si="190"/>
        <v>0</v>
      </c>
      <c r="W234" s="80">
        <f t="shared" si="191"/>
        <v>0</v>
      </c>
      <c r="X234" s="70">
        <f t="shared" si="192"/>
        <v>0</v>
      </c>
      <c r="Y234" s="80">
        <f t="shared" si="193"/>
        <v>0</v>
      </c>
      <c r="Z234" s="70">
        <f t="shared" si="194"/>
        <v>0</v>
      </c>
      <c r="AA234" s="82"/>
      <c r="AC234" s="79">
        <v>0</v>
      </c>
      <c r="AD234" s="79">
        <v>0</v>
      </c>
      <c r="AE234" s="79">
        <v>0</v>
      </c>
      <c r="AF234" s="83">
        <f t="shared" si="195"/>
        <v>0</v>
      </c>
      <c r="AG234" s="70">
        <f t="shared" si="196"/>
        <v>0</v>
      </c>
      <c r="AH234" s="83">
        <f t="shared" si="197"/>
        <v>0</v>
      </c>
      <c r="AI234" s="70">
        <f t="shared" si="198"/>
        <v>0</v>
      </c>
      <c r="AK234" s="79">
        <v>0</v>
      </c>
      <c r="AL234" s="80">
        <f t="shared" si="182"/>
        <v>0</v>
      </c>
      <c r="AM234" s="79">
        <v>0</v>
      </c>
      <c r="AN234" s="80">
        <f t="shared" si="183"/>
        <v>0</v>
      </c>
      <c r="AO234" s="79">
        <v>0</v>
      </c>
      <c r="AP234" s="80">
        <f t="shared" si="184"/>
        <v>0</v>
      </c>
      <c r="AQ234" s="79">
        <v>0</v>
      </c>
      <c r="AR234" s="81">
        <f t="shared" si="185"/>
        <v>0</v>
      </c>
      <c r="AS234" s="80">
        <f t="shared" si="199"/>
        <v>0</v>
      </c>
      <c r="AT234" s="70">
        <f t="shared" si="200"/>
        <v>0</v>
      </c>
      <c r="AU234" s="80">
        <f t="shared" si="201"/>
        <v>0</v>
      </c>
      <c r="AV234" s="70">
        <f t="shared" si="202"/>
        <v>0</v>
      </c>
      <c r="AW234" s="80">
        <f t="shared" si="203"/>
        <v>0</v>
      </c>
      <c r="AX234" s="70">
        <f t="shared" si="204"/>
        <v>0</v>
      </c>
      <c r="AY234" s="82"/>
      <c r="BA234" s="79">
        <v>0</v>
      </c>
      <c r="BB234" s="80">
        <f t="shared" si="186"/>
        <v>0</v>
      </c>
      <c r="BC234" s="79">
        <v>0</v>
      </c>
      <c r="BD234" s="80">
        <f t="shared" si="187"/>
        <v>0</v>
      </c>
      <c r="BE234" s="79">
        <v>0</v>
      </c>
      <c r="BF234" s="81">
        <f t="shared" si="188"/>
        <v>0</v>
      </c>
      <c r="BG234" s="80">
        <f t="shared" si="205"/>
        <v>0</v>
      </c>
      <c r="BH234" s="70">
        <f t="shared" si="206"/>
        <v>0</v>
      </c>
      <c r="BI234" s="80">
        <f t="shared" si="207"/>
        <v>0</v>
      </c>
      <c r="BJ234" s="70">
        <f t="shared" si="208"/>
        <v>0</v>
      </c>
      <c r="BK234" s="82"/>
    </row>
    <row r="235" spans="5:63" ht="11.95" thickBot="1" x14ac:dyDescent="0.3">
      <c r="E235" s="3"/>
      <c r="F235" s="3"/>
      <c r="G235" s="3"/>
      <c r="H235" s="3" t="s">
        <v>285</v>
      </c>
      <c r="I235" s="18"/>
      <c r="J235" s="18"/>
      <c r="K235" s="18"/>
      <c r="L235" s="78"/>
      <c r="M235" s="79"/>
      <c r="N235" s="80">
        <f t="shared" si="178"/>
        <v>0</v>
      </c>
      <c r="O235" s="79"/>
      <c r="P235" s="80">
        <f t="shared" si="179"/>
        <v>0</v>
      </c>
      <c r="Q235" s="79"/>
      <c r="R235" s="80">
        <f t="shared" si="180"/>
        <v>0</v>
      </c>
      <c r="S235" s="79"/>
      <c r="T235" s="81">
        <f t="shared" si="181"/>
        <v>0</v>
      </c>
      <c r="U235" s="80">
        <f t="shared" si="189"/>
        <v>0</v>
      </c>
      <c r="V235" s="70">
        <f t="shared" si="190"/>
        <v>0</v>
      </c>
      <c r="W235" s="80">
        <f t="shared" si="191"/>
        <v>0</v>
      </c>
      <c r="X235" s="70">
        <f t="shared" si="192"/>
        <v>0</v>
      </c>
      <c r="Y235" s="80">
        <f t="shared" si="193"/>
        <v>0</v>
      </c>
      <c r="Z235" s="70">
        <f t="shared" si="194"/>
        <v>0</v>
      </c>
      <c r="AA235" s="82"/>
      <c r="AC235" s="79">
        <v>0</v>
      </c>
      <c r="AD235" s="79">
        <v>0</v>
      </c>
      <c r="AE235" s="79">
        <v>0</v>
      </c>
      <c r="AF235" s="83">
        <f t="shared" si="195"/>
        <v>0</v>
      </c>
      <c r="AG235" s="70">
        <f t="shared" si="196"/>
        <v>0</v>
      </c>
      <c r="AH235" s="83">
        <f t="shared" si="197"/>
        <v>0</v>
      </c>
      <c r="AI235" s="70">
        <f t="shared" si="198"/>
        <v>0</v>
      </c>
      <c r="AK235" s="79">
        <v>0</v>
      </c>
      <c r="AL235" s="80">
        <f t="shared" si="182"/>
        <v>0</v>
      </c>
      <c r="AM235" s="79">
        <v>0</v>
      </c>
      <c r="AN235" s="80">
        <f t="shared" si="183"/>
        <v>0</v>
      </c>
      <c r="AO235" s="79">
        <v>0</v>
      </c>
      <c r="AP235" s="80">
        <f t="shared" si="184"/>
        <v>0</v>
      </c>
      <c r="AQ235" s="79">
        <v>0</v>
      </c>
      <c r="AR235" s="81">
        <f t="shared" si="185"/>
        <v>0</v>
      </c>
      <c r="AS235" s="80">
        <f t="shared" si="199"/>
        <v>0</v>
      </c>
      <c r="AT235" s="70">
        <f t="shared" si="200"/>
        <v>0</v>
      </c>
      <c r="AU235" s="80">
        <f t="shared" si="201"/>
        <v>0</v>
      </c>
      <c r="AV235" s="70">
        <f t="shared" si="202"/>
        <v>0</v>
      </c>
      <c r="AW235" s="80">
        <f t="shared" si="203"/>
        <v>0</v>
      </c>
      <c r="AX235" s="70">
        <f t="shared" si="204"/>
        <v>0</v>
      </c>
      <c r="AY235" s="82"/>
      <c r="BA235" s="79">
        <v>0</v>
      </c>
      <c r="BB235" s="80">
        <f t="shared" si="186"/>
        <v>0</v>
      </c>
      <c r="BC235" s="79">
        <v>0</v>
      </c>
      <c r="BD235" s="80">
        <f t="shared" si="187"/>
        <v>0</v>
      </c>
      <c r="BE235" s="79">
        <v>201.67</v>
      </c>
      <c r="BF235" s="81">
        <f t="shared" si="188"/>
        <v>1.0040192883023189E-4</v>
      </c>
      <c r="BG235" s="80">
        <f t="shared" si="205"/>
        <v>0</v>
      </c>
      <c r="BH235" s="70">
        <f t="shared" si="206"/>
        <v>0</v>
      </c>
      <c r="BI235" s="80">
        <f t="shared" si="207"/>
        <v>0</v>
      </c>
      <c r="BJ235" s="70">
        <f t="shared" si="208"/>
        <v>201.67</v>
      </c>
      <c r="BK235" s="82"/>
    </row>
    <row r="236" spans="5:63" ht="11.95" thickBot="1" x14ac:dyDescent="0.3">
      <c r="E236" s="3"/>
      <c r="F236" s="3"/>
      <c r="G236" s="3"/>
      <c r="H236" s="3" t="s">
        <v>286</v>
      </c>
      <c r="I236" s="18"/>
      <c r="J236" s="18"/>
      <c r="K236" s="18"/>
      <c r="L236" s="78"/>
      <c r="M236" s="79"/>
      <c r="N236" s="80">
        <f t="shared" si="178"/>
        <v>0</v>
      </c>
      <c r="O236" s="79"/>
      <c r="P236" s="80">
        <f t="shared" si="179"/>
        <v>0</v>
      </c>
      <c r="Q236" s="79"/>
      <c r="R236" s="80">
        <f t="shared" si="180"/>
        <v>0</v>
      </c>
      <c r="S236" s="79"/>
      <c r="T236" s="81">
        <f t="shared" si="181"/>
        <v>0</v>
      </c>
      <c r="U236" s="80">
        <f t="shared" si="189"/>
        <v>0</v>
      </c>
      <c r="V236" s="70">
        <f t="shared" si="190"/>
        <v>0</v>
      </c>
      <c r="W236" s="80">
        <f t="shared" si="191"/>
        <v>0</v>
      </c>
      <c r="X236" s="70">
        <f t="shared" si="192"/>
        <v>0</v>
      </c>
      <c r="Y236" s="80">
        <f t="shared" si="193"/>
        <v>0</v>
      </c>
      <c r="Z236" s="70">
        <f t="shared" si="194"/>
        <v>0</v>
      </c>
      <c r="AA236" s="82"/>
      <c r="AC236" s="79">
        <v>0</v>
      </c>
      <c r="AD236" s="79">
        <v>0</v>
      </c>
      <c r="AE236" s="79">
        <v>0</v>
      </c>
      <c r="AF236" s="83">
        <f t="shared" si="195"/>
        <v>0</v>
      </c>
      <c r="AG236" s="70">
        <f t="shared" si="196"/>
        <v>0</v>
      </c>
      <c r="AH236" s="83">
        <f t="shared" si="197"/>
        <v>0</v>
      </c>
      <c r="AI236" s="70">
        <f t="shared" si="198"/>
        <v>0</v>
      </c>
      <c r="AK236" s="79">
        <v>0</v>
      </c>
      <c r="AL236" s="80">
        <f t="shared" si="182"/>
        <v>0</v>
      </c>
      <c r="AM236" s="79">
        <v>0</v>
      </c>
      <c r="AN236" s="80">
        <f t="shared" si="183"/>
        <v>0</v>
      </c>
      <c r="AO236" s="79">
        <v>0</v>
      </c>
      <c r="AP236" s="80">
        <f t="shared" si="184"/>
        <v>0</v>
      </c>
      <c r="AQ236" s="79">
        <v>0</v>
      </c>
      <c r="AR236" s="81">
        <f t="shared" si="185"/>
        <v>0</v>
      </c>
      <c r="AS236" s="80">
        <f t="shared" si="199"/>
        <v>0</v>
      </c>
      <c r="AT236" s="70">
        <f t="shared" si="200"/>
        <v>0</v>
      </c>
      <c r="AU236" s="80">
        <f t="shared" si="201"/>
        <v>0</v>
      </c>
      <c r="AV236" s="70">
        <f t="shared" si="202"/>
        <v>0</v>
      </c>
      <c r="AW236" s="80">
        <f t="shared" si="203"/>
        <v>0</v>
      </c>
      <c r="AX236" s="70">
        <f t="shared" si="204"/>
        <v>0</v>
      </c>
      <c r="AY236" s="82"/>
      <c r="BA236" s="79">
        <v>0</v>
      </c>
      <c r="BB236" s="80">
        <f t="shared" si="186"/>
        <v>0</v>
      </c>
      <c r="BC236" s="79">
        <v>0</v>
      </c>
      <c r="BD236" s="80">
        <f t="shared" si="187"/>
        <v>0</v>
      </c>
      <c r="BE236" s="79">
        <v>0</v>
      </c>
      <c r="BF236" s="81">
        <f t="shared" si="188"/>
        <v>0</v>
      </c>
      <c r="BG236" s="80">
        <f t="shared" si="205"/>
        <v>0</v>
      </c>
      <c r="BH236" s="70">
        <f t="shared" si="206"/>
        <v>0</v>
      </c>
      <c r="BI236" s="80">
        <f t="shared" si="207"/>
        <v>0</v>
      </c>
      <c r="BJ236" s="70">
        <f t="shared" si="208"/>
        <v>0</v>
      </c>
      <c r="BK236" s="82"/>
    </row>
    <row r="237" spans="5:63" ht="11.95" thickBot="1" x14ac:dyDescent="0.3">
      <c r="E237" s="3"/>
      <c r="F237" s="3"/>
      <c r="G237" s="3"/>
      <c r="H237" s="3" t="s">
        <v>287</v>
      </c>
      <c r="I237" s="18"/>
      <c r="J237" s="18"/>
      <c r="K237" s="18"/>
      <c r="L237" s="78"/>
      <c r="M237" s="79"/>
      <c r="N237" s="80">
        <f t="shared" si="178"/>
        <v>0</v>
      </c>
      <c r="O237" s="79"/>
      <c r="P237" s="80">
        <f t="shared" si="179"/>
        <v>0</v>
      </c>
      <c r="Q237" s="79"/>
      <c r="R237" s="80">
        <f t="shared" si="180"/>
        <v>0</v>
      </c>
      <c r="S237" s="79"/>
      <c r="T237" s="81">
        <f t="shared" si="181"/>
        <v>0</v>
      </c>
      <c r="U237" s="80">
        <f t="shared" si="189"/>
        <v>0</v>
      </c>
      <c r="V237" s="70">
        <f t="shared" si="190"/>
        <v>0</v>
      </c>
      <c r="W237" s="80">
        <f t="shared" si="191"/>
        <v>0</v>
      </c>
      <c r="X237" s="70">
        <f t="shared" si="192"/>
        <v>0</v>
      </c>
      <c r="Y237" s="80">
        <f t="shared" si="193"/>
        <v>0</v>
      </c>
      <c r="Z237" s="70">
        <f t="shared" si="194"/>
        <v>0</v>
      </c>
      <c r="AA237" s="82"/>
      <c r="AC237" s="79">
        <v>0</v>
      </c>
      <c r="AD237" s="79">
        <v>0</v>
      </c>
      <c r="AE237" s="79">
        <v>0</v>
      </c>
      <c r="AF237" s="83">
        <f t="shared" si="195"/>
        <v>0</v>
      </c>
      <c r="AG237" s="70">
        <f t="shared" si="196"/>
        <v>0</v>
      </c>
      <c r="AH237" s="83">
        <f t="shared" si="197"/>
        <v>0</v>
      </c>
      <c r="AI237" s="70">
        <f t="shared" si="198"/>
        <v>0</v>
      </c>
      <c r="AK237" s="79">
        <v>0</v>
      </c>
      <c r="AL237" s="80">
        <f t="shared" si="182"/>
        <v>0</v>
      </c>
      <c r="AM237" s="79">
        <v>0</v>
      </c>
      <c r="AN237" s="80">
        <f t="shared" si="183"/>
        <v>0</v>
      </c>
      <c r="AO237" s="79">
        <v>0</v>
      </c>
      <c r="AP237" s="80">
        <f t="shared" si="184"/>
        <v>0</v>
      </c>
      <c r="AQ237" s="79">
        <v>0</v>
      </c>
      <c r="AR237" s="81">
        <f t="shared" si="185"/>
        <v>0</v>
      </c>
      <c r="AS237" s="80">
        <f t="shared" si="199"/>
        <v>0</v>
      </c>
      <c r="AT237" s="70">
        <f t="shared" si="200"/>
        <v>0</v>
      </c>
      <c r="AU237" s="80">
        <f t="shared" si="201"/>
        <v>0</v>
      </c>
      <c r="AV237" s="70">
        <f t="shared" si="202"/>
        <v>0</v>
      </c>
      <c r="AW237" s="80">
        <f t="shared" si="203"/>
        <v>0</v>
      </c>
      <c r="AX237" s="70">
        <f t="shared" si="204"/>
        <v>0</v>
      </c>
      <c r="AY237" s="82"/>
      <c r="BA237" s="79">
        <v>0</v>
      </c>
      <c r="BB237" s="80">
        <f t="shared" si="186"/>
        <v>0</v>
      </c>
      <c r="BC237" s="79">
        <v>0</v>
      </c>
      <c r="BD237" s="80">
        <f t="shared" si="187"/>
        <v>0</v>
      </c>
      <c r="BE237" s="79">
        <v>0</v>
      </c>
      <c r="BF237" s="81">
        <f t="shared" si="188"/>
        <v>0</v>
      </c>
      <c r="BG237" s="80">
        <f t="shared" si="205"/>
        <v>0</v>
      </c>
      <c r="BH237" s="70">
        <f t="shared" si="206"/>
        <v>0</v>
      </c>
      <c r="BI237" s="80">
        <f t="shared" si="207"/>
        <v>0</v>
      </c>
      <c r="BJ237" s="70">
        <f t="shared" si="208"/>
        <v>0</v>
      </c>
      <c r="BK237" s="82"/>
    </row>
    <row r="238" spans="5:63" ht="11.95" thickBot="1" x14ac:dyDescent="0.3">
      <c r="E238" s="3"/>
      <c r="F238" s="3"/>
      <c r="G238" s="3"/>
      <c r="H238" s="3" t="s">
        <v>288</v>
      </c>
      <c r="I238" s="18"/>
      <c r="J238" s="18"/>
      <c r="K238" s="18"/>
      <c r="L238" s="78"/>
      <c r="M238" s="79">
        <v>2077.1</v>
      </c>
      <c r="N238" s="80">
        <f t="shared" si="178"/>
        <v>3.173859681541053E-3</v>
      </c>
      <c r="O238" s="79"/>
      <c r="P238" s="80">
        <f t="shared" si="179"/>
        <v>0</v>
      </c>
      <c r="Q238" s="79">
        <v>2409.26125</v>
      </c>
      <c r="R238" s="80">
        <f t="shared" si="180"/>
        <v>4.3494715821681389E-3</v>
      </c>
      <c r="S238" s="79">
        <v>999.98</v>
      </c>
      <c r="T238" s="81">
        <f t="shared" si="181"/>
        <v>1.9608719395397753E-3</v>
      </c>
      <c r="U238" s="80">
        <f t="shared" si="189"/>
        <v>-1</v>
      </c>
      <c r="V238" s="70">
        <f t="shared" si="190"/>
        <v>-2077.1</v>
      </c>
      <c r="W238" s="80">
        <f t="shared" si="191"/>
        <v>0.15991586827788751</v>
      </c>
      <c r="X238" s="70">
        <f t="shared" si="192"/>
        <v>332.16125000000011</v>
      </c>
      <c r="Y238" s="80">
        <f t="shared" si="193"/>
        <v>-0.51856915892349909</v>
      </c>
      <c r="Z238" s="70">
        <f t="shared" si="194"/>
        <v>-1077.1199999999999</v>
      </c>
      <c r="AA238" s="82"/>
      <c r="AC238" s="79">
        <v>2077.1</v>
      </c>
      <c r="AD238" s="79">
        <v>999.98</v>
      </c>
      <c r="AE238" s="79">
        <v>2409.26125</v>
      </c>
      <c r="AF238" s="83">
        <f t="shared" si="195"/>
        <v>-0.51856915892349909</v>
      </c>
      <c r="AG238" s="70">
        <f t="shared" si="196"/>
        <v>-1077.1199999999999</v>
      </c>
      <c r="AH238" s="83">
        <f t="shared" si="197"/>
        <v>0.15991586827788751</v>
      </c>
      <c r="AI238" s="70">
        <f t="shared" si="198"/>
        <v>332.16125000000011</v>
      </c>
      <c r="AK238" s="79">
        <v>2077.1</v>
      </c>
      <c r="AL238" s="80">
        <f t="shared" si="182"/>
        <v>3.173859681541053E-3</v>
      </c>
      <c r="AM238" s="79">
        <v>0</v>
      </c>
      <c r="AN238" s="80">
        <f t="shared" si="183"/>
        <v>0</v>
      </c>
      <c r="AO238" s="79">
        <v>2409.26125</v>
      </c>
      <c r="AP238" s="80">
        <f t="shared" si="184"/>
        <v>4.3494715821681389E-3</v>
      </c>
      <c r="AQ238" s="79">
        <v>999.98</v>
      </c>
      <c r="AR238" s="81">
        <f t="shared" si="185"/>
        <v>1.9608719395397753E-3</v>
      </c>
      <c r="AS238" s="80">
        <f t="shared" si="199"/>
        <v>-1</v>
      </c>
      <c r="AT238" s="70">
        <f t="shared" si="200"/>
        <v>-2077.1</v>
      </c>
      <c r="AU238" s="80">
        <f t="shared" si="201"/>
        <v>0.13786850637306358</v>
      </c>
      <c r="AV238" s="70">
        <f t="shared" si="202"/>
        <v>332.16125000000011</v>
      </c>
      <c r="AW238" s="80">
        <f t="shared" si="203"/>
        <v>-0.51856915892349909</v>
      </c>
      <c r="AX238" s="70">
        <f t="shared" si="204"/>
        <v>-1077.1199999999999</v>
      </c>
      <c r="AY238" s="82"/>
      <c r="BA238" s="79">
        <v>18000</v>
      </c>
      <c r="BB238" s="80">
        <f t="shared" si="186"/>
        <v>8.0674112887286157E-3</v>
      </c>
      <c r="BC238" s="79">
        <v>18000</v>
      </c>
      <c r="BD238" s="80">
        <f t="shared" si="187"/>
        <v>8.0674112887286157E-3</v>
      </c>
      <c r="BE238" s="79">
        <v>37690.379999999997</v>
      </c>
      <c r="BF238" s="81">
        <f t="shared" si="188"/>
        <v>1.8764252741331856E-2</v>
      </c>
      <c r="BG238" s="80">
        <f t="shared" si="205"/>
        <v>0</v>
      </c>
      <c r="BH238" s="70">
        <f t="shared" si="206"/>
        <v>0</v>
      </c>
      <c r="BI238" s="80">
        <f t="shared" si="207"/>
        <v>1.0939099999999999</v>
      </c>
      <c r="BJ238" s="70">
        <f t="shared" si="208"/>
        <v>19690.379999999997</v>
      </c>
      <c r="BK238" s="82"/>
    </row>
    <row r="239" spans="5:63" ht="11.95" thickBot="1" x14ac:dyDescent="0.3">
      <c r="E239" s="3"/>
      <c r="F239" s="3"/>
      <c r="G239" s="3"/>
      <c r="H239" s="3" t="s">
        <v>289</v>
      </c>
      <c r="I239" s="18"/>
      <c r="J239" s="18"/>
      <c r="K239" s="18"/>
      <c r="L239" s="78"/>
      <c r="M239" s="79"/>
      <c r="N239" s="80">
        <f t="shared" si="178"/>
        <v>0</v>
      </c>
      <c r="O239" s="79"/>
      <c r="P239" s="80">
        <f t="shared" si="179"/>
        <v>0</v>
      </c>
      <c r="Q239" s="79"/>
      <c r="R239" s="80">
        <f t="shared" si="180"/>
        <v>0</v>
      </c>
      <c r="S239" s="79"/>
      <c r="T239" s="81">
        <f t="shared" si="181"/>
        <v>0</v>
      </c>
      <c r="U239" s="80">
        <f t="shared" si="189"/>
        <v>0</v>
      </c>
      <c r="V239" s="70">
        <f t="shared" si="190"/>
        <v>0</v>
      </c>
      <c r="W239" s="80">
        <f t="shared" si="191"/>
        <v>0</v>
      </c>
      <c r="X239" s="70">
        <f t="shared" si="192"/>
        <v>0</v>
      </c>
      <c r="Y239" s="80">
        <f t="shared" si="193"/>
        <v>0</v>
      </c>
      <c r="Z239" s="70">
        <f t="shared" si="194"/>
        <v>0</v>
      </c>
      <c r="AA239" s="82"/>
      <c r="AC239" s="79">
        <v>0</v>
      </c>
      <c r="AD239" s="79">
        <v>0</v>
      </c>
      <c r="AE239" s="79">
        <v>0</v>
      </c>
      <c r="AF239" s="83">
        <f t="shared" si="195"/>
        <v>0</v>
      </c>
      <c r="AG239" s="70">
        <f t="shared" si="196"/>
        <v>0</v>
      </c>
      <c r="AH239" s="83">
        <f t="shared" si="197"/>
        <v>0</v>
      </c>
      <c r="AI239" s="70">
        <f t="shared" si="198"/>
        <v>0</v>
      </c>
      <c r="AK239" s="79">
        <v>0</v>
      </c>
      <c r="AL239" s="80">
        <f t="shared" si="182"/>
        <v>0</v>
      </c>
      <c r="AM239" s="79">
        <v>0</v>
      </c>
      <c r="AN239" s="80">
        <f t="shared" si="183"/>
        <v>0</v>
      </c>
      <c r="AO239" s="79">
        <v>0</v>
      </c>
      <c r="AP239" s="80">
        <f t="shared" si="184"/>
        <v>0</v>
      </c>
      <c r="AQ239" s="79">
        <v>0</v>
      </c>
      <c r="AR239" s="81">
        <f t="shared" si="185"/>
        <v>0</v>
      </c>
      <c r="AS239" s="80">
        <f t="shared" si="199"/>
        <v>0</v>
      </c>
      <c r="AT239" s="70">
        <f t="shared" si="200"/>
        <v>0</v>
      </c>
      <c r="AU239" s="80">
        <f t="shared" si="201"/>
        <v>0</v>
      </c>
      <c r="AV239" s="70">
        <f t="shared" si="202"/>
        <v>0</v>
      </c>
      <c r="AW239" s="80">
        <f t="shared" si="203"/>
        <v>0</v>
      </c>
      <c r="AX239" s="70">
        <f t="shared" si="204"/>
        <v>0</v>
      </c>
      <c r="AY239" s="82"/>
      <c r="BA239" s="79">
        <v>0</v>
      </c>
      <c r="BB239" s="80">
        <f t="shared" si="186"/>
        <v>0</v>
      </c>
      <c r="BC239" s="79">
        <v>0</v>
      </c>
      <c r="BD239" s="80">
        <f t="shared" si="187"/>
        <v>0</v>
      </c>
      <c r="BE239" s="79">
        <v>200.32</v>
      </c>
      <c r="BF239" s="81">
        <f t="shared" si="188"/>
        <v>9.9729827853781193E-5</v>
      </c>
      <c r="BG239" s="80">
        <f t="shared" si="205"/>
        <v>0</v>
      </c>
      <c r="BH239" s="70">
        <f t="shared" si="206"/>
        <v>0</v>
      </c>
      <c r="BI239" s="80">
        <f t="shared" si="207"/>
        <v>0</v>
      </c>
      <c r="BJ239" s="70">
        <f t="shared" si="208"/>
        <v>200.32</v>
      </c>
      <c r="BK239" s="82"/>
    </row>
    <row r="240" spans="5:63" ht="11.95" thickBot="1" x14ac:dyDescent="0.3">
      <c r="E240" s="3"/>
      <c r="F240" s="3"/>
      <c r="G240" s="3"/>
      <c r="H240" s="3" t="s">
        <v>290</v>
      </c>
      <c r="I240" s="18"/>
      <c r="J240" s="18"/>
      <c r="K240" s="18"/>
      <c r="L240" s="78"/>
      <c r="M240" s="79"/>
      <c r="N240" s="80">
        <f t="shared" si="178"/>
        <v>0</v>
      </c>
      <c r="O240" s="79"/>
      <c r="P240" s="80">
        <f t="shared" si="179"/>
        <v>0</v>
      </c>
      <c r="Q240" s="79"/>
      <c r="R240" s="80">
        <f t="shared" si="180"/>
        <v>0</v>
      </c>
      <c r="S240" s="79"/>
      <c r="T240" s="81">
        <f t="shared" si="181"/>
        <v>0</v>
      </c>
      <c r="U240" s="80">
        <f t="shared" si="189"/>
        <v>0</v>
      </c>
      <c r="V240" s="70">
        <f t="shared" si="190"/>
        <v>0</v>
      </c>
      <c r="W240" s="80">
        <f t="shared" si="191"/>
        <v>0</v>
      </c>
      <c r="X240" s="70">
        <f t="shared" si="192"/>
        <v>0</v>
      </c>
      <c r="Y240" s="80">
        <f t="shared" si="193"/>
        <v>0</v>
      </c>
      <c r="Z240" s="70">
        <f t="shared" si="194"/>
        <v>0</v>
      </c>
      <c r="AA240" s="82"/>
      <c r="AC240" s="79">
        <v>0</v>
      </c>
      <c r="AD240" s="79">
        <v>0</v>
      </c>
      <c r="AE240" s="79">
        <v>0</v>
      </c>
      <c r="AF240" s="83">
        <f t="shared" si="195"/>
        <v>0</v>
      </c>
      <c r="AG240" s="70">
        <f t="shared" si="196"/>
        <v>0</v>
      </c>
      <c r="AH240" s="83">
        <f t="shared" si="197"/>
        <v>0</v>
      </c>
      <c r="AI240" s="70">
        <f t="shared" si="198"/>
        <v>0</v>
      </c>
      <c r="AK240" s="79">
        <v>0</v>
      </c>
      <c r="AL240" s="80">
        <f t="shared" si="182"/>
        <v>0</v>
      </c>
      <c r="AM240" s="79">
        <v>0</v>
      </c>
      <c r="AN240" s="80">
        <f t="shared" si="183"/>
        <v>0</v>
      </c>
      <c r="AO240" s="79">
        <v>0</v>
      </c>
      <c r="AP240" s="80">
        <f t="shared" si="184"/>
        <v>0</v>
      </c>
      <c r="AQ240" s="79">
        <v>0</v>
      </c>
      <c r="AR240" s="81">
        <f t="shared" si="185"/>
        <v>0</v>
      </c>
      <c r="AS240" s="80">
        <f t="shared" si="199"/>
        <v>0</v>
      </c>
      <c r="AT240" s="70">
        <f t="shared" si="200"/>
        <v>0</v>
      </c>
      <c r="AU240" s="80">
        <f t="shared" si="201"/>
        <v>0</v>
      </c>
      <c r="AV240" s="70">
        <f t="shared" si="202"/>
        <v>0</v>
      </c>
      <c r="AW240" s="80">
        <f t="shared" si="203"/>
        <v>0</v>
      </c>
      <c r="AX240" s="70">
        <f t="shared" si="204"/>
        <v>0</v>
      </c>
      <c r="AY240" s="82"/>
      <c r="BA240" s="79">
        <v>0</v>
      </c>
      <c r="BB240" s="80">
        <f t="shared" si="186"/>
        <v>0</v>
      </c>
      <c r="BC240" s="79">
        <v>0</v>
      </c>
      <c r="BD240" s="80">
        <f t="shared" si="187"/>
        <v>0</v>
      </c>
      <c r="BE240" s="79">
        <v>0</v>
      </c>
      <c r="BF240" s="81">
        <f t="shared" si="188"/>
        <v>0</v>
      </c>
      <c r="BG240" s="80">
        <f t="shared" si="205"/>
        <v>0</v>
      </c>
      <c r="BH240" s="70">
        <f t="shared" si="206"/>
        <v>0</v>
      </c>
      <c r="BI240" s="80">
        <f t="shared" si="207"/>
        <v>0</v>
      </c>
      <c r="BJ240" s="70">
        <f t="shared" si="208"/>
        <v>0</v>
      </c>
      <c r="BK240" s="82"/>
    </row>
    <row r="241" spans="5:63" ht="11.95" thickBot="1" x14ac:dyDescent="0.3">
      <c r="E241" s="3"/>
      <c r="F241" s="3"/>
      <c r="G241" s="3"/>
      <c r="H241" s="3" t="s">
        <v>291</v>
      </c>
      <c r="I241" s="18"/>
      <c r="J241" s="18"/>
      <c r="K241" s="18"/>
      <c r="L241" s="78"/>
      <c r="M241" s="79"/>
      <c r="N241" s="80">
        <f t="shared" ref="N241:N272" si="209">IFERROR(M241/SUMIFS(M:M, $H:$H, "[+] Net Sales"),0)</f>
        <v>0</v>
      </c>
      <c r="O241" s="79"/>
      <c r="P241" s="80">
        <f t="shared" ref="P241:P272" si="210">IFERROR(O241/SUMIFS(O:O, $H:$H, "[+] Net Sales"),0)</f>
        <v>0</v>
      </c>
      <c r="Q241" s="79"/>
      <c r="R241" s="80">
        <f t="shared" ref="R241:R272" si="211">IFERROR(Q241/SUMIFS(Q:Q, $H:$H, "[+] Net Sales"),0)</f>
        <v>0</v>
      </c>
      <c r="S241" s="79"/>
      <c r="T241" s="81">
        <f t="shared" ref="T241:T272" si="212">IFERROR(S241/SUMIFS(S:S, $H:$H, "[+] Net Sales"),0)</f>
        <v>0</v>
      </c>
      <c r="U241" s="80">
        <f t="shared" si="189"/>
        <v>0</v>
      </c>
      <c r="V241" s="70">
        <f t="shared" si="190"/>
        <v>0</v>
      </c>
      <c r="W241" s="80">
        <f t="shared" si="191"/>
        <v>0</v>
      </c>
      <c r="X241" s="70">
        <f t="shared" si="192"/>
        <v>0</v>
      </c>
      <c r="Y241" s="80">
        <f t="shared" si="193"/>
        <v>0</v>
      </c>
      <c r="Z241" s="70">
        <f t="shared" si="194"/>
        <v>0</v>
      </c>
      <c r="AA241" s="82"/>
      <c r="AC241" s="79">
        <v>0</v>
      </c>
      <c r="AD241" s="79">
        <v>0</v>
      </c>
      <c r="AE241" s="79">
        <v>0</v>
      </c>
      <c r="AF241" s="83">
        <f t="shared" si="195"/>
        <v>0</v>
      </c>
      <c r="AG241" s="70">
        <f t="shared" si="196"/>
        <v>0</v>
      </c>
      <c r="AH241" s="83">
        <f t="shared" si="197"/>
        <v>0</v>
      </c>
      <c r="AI241" s="70">
        <f t="shared" si="198"/>
        <v>0</v>
      </c>
      <c r="AK241" s="79">
        <v>0</v>
      </c>
      <c r="AL241" s="80">
        <f t="shared" ref="AL241:AL272" si="213">IFERROR(AK241/SUMIFS(AK:AK, $H:$H, "[+] Net Sales"),0)</f>
        <v>0</v>
      </c>
      <c r="AM241" s="79">
        <v>0</v>
      </c>
      <c r="AN241" s="80">
        <f t="shared" ref="AN241:AN272" si="214">IFERROR(AM241/SUMIFS(AM:AM, $H:$H, "[+] Net Sales"),0)</f>
        <v>0</v>
      </c>
      <c r="AO241" s="79">
        <v>0</v>
      </c>
      <c r="AP241" s="80">
        <f t="shared" ref="AP241:AP272" si="215">IFERROR(AO241/SUMIFS(AO:AO, $H:$H, "[+] Net Sales"),0)</f>
        <v>0</v>
      </c>
      <c r="AQ241" s="79">
        <v>0</v>
      </c>
      <c r="AR241" s="81">
        <f t="shared" ref="AR241:AR272" si="216">IFERROR(AQ241/SUMIFS(AQ:AQ, $H:$H, "[+] Net Sales"),0)</f>
        <v>0</v>
      </c>
      <c r="AS241" s="80">
        <f t="shared" si="199"/>
        <v>0</v>
      </c>
      <c r="AT241" s="70">
        <f t="shared" si="200"/>
        <v>0</v>
      </c>
      <c r="AU241" s="80">
        <f t="shared" si="201"/>
        <v>0</v>
      </c>
      <c r="AV241" s="70">
        <f t="shared" si="202"/>
        <v>0</v>
      </c>
      <c r="AW241" s="80">
        <f t="shared" si="203"/>
        <v>0</v>
      </c>
      <c r="AX241" s="70">
        <f t="shared" si="204"/>
        <v>0</v>
      </c>
      <c r="AY241" s="82"/>
      <c r="BA241" s="79">
        <v>0</v>
      </c>
      <c r="BB241" s="80">
        <f t="shared" ref="BB241:BB272" si="217">IFERROR(BA241/SUMIFS(BA:BA, $H:$H, "[+] Net Sales"),0)</f>
        <v>0</v>
      </c>
      <c r="BC241" s="79">
        <v>0</v>
      </c>
      <c r="BD241" s="80">
        <f t="shared" ref="BD241:BD272" si="218">IFERROR(BC241/SUMIFS(BC:BC, $H:$H, "[+] Net Sales"),0)</f>
        <v>0</v>
      </c>
      <c r="BE241" s="79">
        <v>74.650000000000006</v>
      </c>
      <c r="BF241" s="81">
        <f t="shared" ref="BF241:BF272" si="219">IFERROR(BE241/SUMIFS(BE:BE, $H:$H, "[+] Net Sales"),0)</f>
        <v>3.7164694734848079E-5</v>
      </c>
      <c r="BG241" s="80">
        <f t="shared" si="205"/>
        <v>0</v>
      </c>
      <c r="BH241" s="70">
        <f t="shared" si="206"/>
        <v>0</v>
      </c>
      <c r="BI241" s="80">
        <f t="shared" si="207"/>
        <v>0</v>
      </c>
      <c r="BJ241" s="70">
        <f t="shared" si="208"/>
        <v>74.650000000000006</v>
      </c>
      <c r="BK241" s="82"/>
    </row>
    <row r="242" spans="5:63" ht="11.95" thickBot="1" x14ac:dyDescent="0.3">
      <c r="E242" s="3"/>
      <c r="F242" s="3"/>
      <c r="G242" s="3"/>
      <c r="H242" s="3" t="s">
        <v>292</v>
      </c>
      <c r="I242" s="18"/>
      <c r="J242" s="18"/>
      <c r="K242" s="18"/>
      <c r="L242" s="78"/>
      <c r="M242" s="79"/>
      <c r="N242" s="80">
        <f t="shared" si="209"/>
        <v>0</v>
      </c>
      <c r="O242" s="79"/>
      <c r="P242" s="80">
        <f t="shared" si="210"/>
        <v>0</v>
      </c>
      <c r="Q242" s="79"/>
      <c r="R242" s="80">
        <f t="shared" si="211"/>
        <v>0</v>
      </c>
      <c r="S242" s="79"/>
      <c r="T242" s="81">
        <f t="shared" si="212"/>
        <v>0</v>
      </c>
      <c r="U242" s="80">
        <f t="shared" si="189"/>
        <v>0</v>
      </c>
      <c r="V242" s="70">
        <f t="shared" si="190"/>
        <v>0</v>
      </c>
      <c r="W242" s="80">
        <f t="shared" si="191"/>
        <v>0</v>
      </c>
      <c r="X242" s="70">
        <f t="shared" si="192"/>
        <v>0</v>
      </c>
      <c r="Y242" s="80">
        <f t="shared" si="193"/>
        <v>0</v>
      </c>
      <c r="Z242" s="70">
        <f t="shared" si="194"/>
        <v>0</v>
      </c>
      <c r="AA242" s="82"/>
      <c r="AC242" s="79">
        <v>0</v>
      </c>
      <c r="AD242" s="79">
        <v>0</v>
      </c>
      <c r="AE242" s="79">
        <v>0</v>
      </c>
      <c r="AF242" s="83">
        <f t="shared" si="195"/>
        <v>0</v>
      </c>
      <c r="AG242" s="70">
        <f t="shared" si="196"/>
        <v>0</v>
      </c>
      <c r="AH242" s="83">
        <f t="shared" si="197"/>
        <v>0</v>
      </c>
      <c r="AI242" s="70">
        <f t="shared" si="198"/>
        <v>0</v>
      </c>
      <c r="AK242" s="79">
        <v>0</v>
      </c>
      <c r="AL242" s="80">
        <f t="shared" si="213"/>
        <v>0</v>
      </c>
      <c r="AM242" s="79">
        <v>0</v>
      </c>
      <c r="AN242" s="80">
        <f t="shared" si="214"/>
        <v>0</v>
      </c>
      <c r="AO242" s="79">
        <v>0</v>
      </c>
      <c r="AP242" s="80">
        <f t="shared" si="215"/>
        <v>0</v>
      </c>
      <c r="AQ242" s="79">
        <v>0</v>
      </c>
      <c r="AR242" s="81">
        <f t="shared" si="216"/>
        <v>0</v>
      </c>
      <c r="AS242" s="80">
        <f t="shared" si="199"/>
        <v>0</v>
      </c>
      <c r="AT242" s="70">
        <f t="shared" si="200"/>
        <v>0</v>
      </c>
      <c r="AU242" s="80">
        <f t="shared" si="201"/>
        <v>0</v>
      </c>
      <c r="AV242" s="70">
        <f t="shared" si="202"/>
        <v>0</v>
      </c>
      <c r="AW242" s="80">
        <f t="shared" si="203"/>
        <v>0</v>
      </c>
      <c r="AX242" s="70">
        <f t="shared" si="204"/>
        <v>0</v>
      </c>
      <c r="AY242" s="82"/>
      <c r="BA242" s="79">
        <v>0</v>
      </c>
      <c r="BB242" s="80">
        <f t="shared" si="217"/>
        <v>0</v>
      </c>
      <c r="BC242" s="79">
        <v>0</v>
      </c>
      <c r="BD242" s="80">
        <f t="shared" si="218"/>
        <v>0</v>
      </c>
      <c r="BE242" s="79">
        <v>0</v>
      </c>
      <c r="BF242" s="81">
        <f t="shared" si="219"/>
        <v>0</v>
      </c>
      <c r="BG242" s="80">
        <f t="shared" si="205"/>
        <v>0</v>
      </c>
      <c r="BH242" s="70">
        <f t="shared" si="206"/>
        <v>0</v>
      </c>
      <c r="BI242" s="80">
        <f t="shared" si="207"/>
        <v>0</v>
      </c>
      <c r="BJ242" s="70">
        <f t="shared" si="208"/>
        <v>0</v>
      </c>
      <c r="BK242" s="82"/>
    </row>
    <row r="243" spans="5:63" ht="11.95" thickBot="1" x14ac:dyDescent="0.3">
      <c r="E243" s="3"/>
      <c r="F243" s="3"/>
      <c r="G243" s="3"/>
      <c r="H243" s="3" t="s">
        <v>293</v>
      </c>
      <c r="I243" s="18"/>
      <c r="J243" s="18"/>
      <c r="K243" s="18"/>
      <c r="L243" s="78"/>
      <c r="M243" s="79"/>
      <c r="N243" s="80">
        <f t="shared" si="209"/>
        <v>0</v>
      </c>
      <c r="O243" s="79"/>
      <c r="P243" s="80">
        <f t="shared" si="210"/>
        <v>0</v>
      </c>
      <c r="Q243" s="79"/>
      <c r="R243" s="80">
        <f t="shared" si="211"/>
        <v>0</v>
      </c>
      <c r="S243" s="79"/>
      <c r="T243" s="81">
        <f t="shared" si="212"/>
        <v>0</v>
      </c>
      <c r="U243" s="80">
        <f t="shared" si="189"/>
        <v>0</v>
      </c>
      <c r="V243" s="70">
        <f t="shared" si="190"/>
        <v>0</v>
      </c>
      <c r="W243" s="80">
        <f t="shared" si="191"/>
        <v>0</v>
      </c>
      <c r="X243" s="70">
        <f t="shared" si="192"/>
        <v>0</v>
      </c>
      <c r="Y243" s="80">
        <f t="shared" si="193"/>
        <v>0</v>
      </c>
      <c r="Z243" s="70">
        <f t="shared" si="194"/>
        <v>0</v>
      </c>
      <c r="AA243" s="82"/>
      <c r="AC243" s="79">
        <v>0</v>
      </c>
      <c r="AD243" s="79">
        <v>0</v>
      </c>
      <c r="AE243" s="79">
        <v>0</v>
      </c>
      <c r="AF243" s="83">
        <f t="shared" si="195"/>
        <v>0</v>
      </c>
      <c r="AG243" s="70">
        <f t="shared" si="196"/>
        <v>0</v>
      </c>
      <c r="AH243" s="83">
        <f t="shared" si="197"/>
        <v>0</v>
      </c>
      <c r="AI243" s="70">
        <f t="shared" si="198"/>
        <v>0</v>
      </c>
      <c r="AK243" s="79">
        <v>0</v>
      </c>
      <c r="AL243" s="80">
        <f t="shared" si="213"/>
        <v>0</v>
      </c>
      <c r="AM243" s="79">
        <v>0</v>
      </c>
      <c r="AN243" s="80">
        <f t="shared" si="214"/>
        <v>0</v>
      </c>
      <c r="AO243" s="79">
        <v>0</v>
      </c>
      <c r="AP243" s="80">
        <f t="shared" si="215"/>
        <v>0</v>
      </c>
      <c r="AQ243" s="79">
        <v>0</v>
      </c>
      <c r="AR243" s="81">
        <f t="shared" si="216"/>
        <v>0</v>
      </c>
      <c r="AS243" s="80">
        <f t="shared" si="199"/>
        <v>0</v>
      </c>
      <c r="AT243" s="70">
        <f t="shared" si="200"/>
        <v>0</v>
      </c>
      <c r="AU243" s="80">
        <f t="shared" si="201"/>
        <v>0</v>
      </c>
      <c r="AV243" s="70">
        <f t="shared" si="202"/>
        <v>0</v>
      </c>
      <c r="AW243" s="80">
        <f t="shared" si="203"/>
        <v>0</v>
      </c>
      <c r="AX243" s="70">
        <f t="shared" si="204"/>
        <v>0</v>
      </c>
      <c r="AY243" s="82"/>
      <c r="BA243" s="79">
        <v>0</v>
      </c>
      <c r="BB243" s="80">
        <f t="shared" si="217"/>
        <v>0</v>
      </c>
      <c r="BC243" s="79">
        <v>0</v>
      </c>
      <c r="BD243" s="80">
        <f t="shared" si="218"/>
        <v>0</v>
      </c>
      <c r="BE243" s="79">
        <v>619.83000000000004</v>
      </c>
      <c r="BF243" s="81">
        <f t="shared" si="219"/>
        <v>3.0858396165439899E-4</v>
      </c>
      <c r="BG243" s="80">
        <f t="shared" si="205"/>
        <v>0</v>
      </c>
      <c r="BH243" s="70">
        <f t="shared" si="206"/>
        <v>0</v>
      </c>
      <c r="BI243" s="80">
        <f t="shared" si="207"/>
        <v>0</v>
      </c>
      <c r="BJ243" s="70">
        <f t="shared" si="208"/>
        <v>619.83000000000004</v>
      </c>
      <c r="BK243" s="82"/>
    </row>
    <row r="244" spans="5:63" ht="11.95" thickBot="1" x14ac:dyDescent="0.3">
      <c r="E244" s="3"/>
      <c r="F244" s="3"/>
      <c r="G244" s="3"/>
      <c r="H244" s="3" t="s">
        <v>294</v>
      </c>
      <c r="I244" s="18"/>
      <c r="J244" s="18"/>
      <c r="K244" s="18"/>
      <c r="L244" s="78"/>
      <c r="M244" s="79"/>
      <c r="N244" s="80">
        <f t="shared" si="209"/>
        <v>0</v>
      </c>
      <c r="O244" s="79"/>
      <c r="P244" s="80">
        <f t="shared" si="210"/>
        <v>0</v>
      </c>
      <c r="Q244" s="79"/>
      <c r="R244" s="80">
        <f t="shared" si="211"/>
        <v>0</v>
      </c>
      <c r="S244" s="79"/>
      <c r="T244" s="81">
        <f t="shared" si="212"/>
        <v>0</v>
      </c>
      <c r="U244" s="80">
        <f t="shared" si="189"/>
        <v>0</v>
      </c>
      <c r="V244" s="70">
        <f t="shared" si="190"/>
        <v>0</v>
      </c>
      <c r="W244" s="80">
        <f t="shared" si="191"/>
        <v>0</v>
      </c>
      <c r="X244" s="70">
        <f t="shared" si="192"/>
        <v>0</v>
      </c>
      <c r="Y244" s="80">
        <f t="shared" si="193"/>
        <v>0</v>
      </c>
      <c r="Z244" s="70">
        <f t="shared" si="194"/>
        <v>0</v>
      </c>
      <c r="AA244" s="82"/>
      <c r="AC244" s="79">
        <v>0</v>
      </c>
      <c r="AD244" s="79">
        <v>0</v>
      </c>
      <c r="AE244" s="79">
        <v>0</v>
      </c>
      <c r="AF244" s="83">
        <f t="shared" si="195"/>
        <v>0</v>
      </c>
      <c r="AG244" s="70">
        <f t="shared" si="196"/>
        <v>0</v>
      </c>
      <c r="AH244" s="83">
        <f t="shared" si="197"/>
        <v>0</v>
      </c>
      <c r="AI244" s="70">
        <f t="shared" si="198"/>
        <v>0</v>
      </c>
      <c r="AK244" s="79">
        <v>0</v>
      </c>
      <c r="AL244" s="80">
        <f t="shared" si="213"/>
        <v>0</v>
      </c>
      <c r="AM244" s="79">
        <v>0</v>
      </c>
      <c r="AN244" s="80">
        <f t="shared" si="214"/>
        <v>0</v>
      </c>
      <c r="AO244" s="79">
        <v>0</v>
      </c>
      <c r="AP244" s="80">
        <f t="shared" si="215"/>
        <v>0</v>
      </c>
      <c r="AQ244" s="79">
        <v>0</v>
      </c>
      <c r="AR244" s="81">
        <f t="shared" si="216"/>
        <v>0</v>
      </c>
      <c r="AS244" s="80">
        <f t="shared" si="199"/>
        <v>0</v>
      </c>
      <c r="AT244" s="70">
        <f t="shared" si="200"/>
        <v>0</v>
      </c>
      <c r="AU244" s="80">
        <f t="shared" si="201"/>
        <v>0</v>
      </c>
      <c r="AV244" s="70">
        <f t="shared" si="202"/>
        <v>0</v>
      </c>
      <c r="AW244" s="80">
        <f t="shared" si="203"/>
        <v>0</v>
      </c>
      <c r="AX244" s="70">
        <f t="shared" si="204"/>
        <v>0</v>
      </c>
      <c r="AY244" s="82"/>
      <c r="BA244" s="79">
        <v>0</v>
      </c>
      <c r="BB244" s="80">
        <f t="shared" si="217"/>
        <v>0</v>
      </c>
      <c r="BC244" s="79">
        <v>0</v>
      </c>
      <c r="BD244" s="80">
        <f t="shared" si="218"/>
        <v>0</v>
      </c>
      <c r="BE244" s="79">
        <v>0</v>
      </c>
      <c r="BF244" s="81">
        <f t="shared" si="219"/>
        <v>0</v>
      </c>
      <c r="BG244" s="80">
        <f t="shared" si="205"/>
        <v>0</v>
      </c>
      <c r="BH244" s="70">
        <f t="shared" si="206"/>
        <v>0</v>
      </c>
      <c r="BI244" s="80">
        <f t="shared" si="207"/>
        <v>0</v>
      </c>
      <c r="BJ244" s="70">
        <f t="shared" si="208"/>
        <v>0</v>
      </c>
      <c r="BK244" s="82"/>
    </row>
    <row r="245" spans="5:63" ht="11.95" thickBot="1" x14ac:dyDescent="0.3">
      <c r="E245" s="3"/>
      <c r="F245" s="3"/>
      <c r="G245" s="3"/>
      <c r="H245" s="3" t="s">
        <v>295</v>
      </c>
      <c r="I245" s="18"/>
      <c r="J245" s="18"/>
      <c r="K245" s="18"/>
      <c r="L245" s="78"/>
      <c r="M245" s="79">
        <v>0</v>
      </c>
      <c r="N245" s="80">
        <f t="shared" si="209"/>
        <v>0</v>
      </c>
      <c r="O245" s="79">
        <v>0</v>
      </c>
      <c r="P245" s="80">
        <f t="shared" si="210"/>
        <v>0</v>
      </c>
      <c r="Q245" s="79">
        <v>0</v>
      </c>
      <c r="R245" s="80">
        <f t="shared" si="211"/>
        <v>0</v>
      </c>
      <c r="S245" s="79">
        <v>0</v>
      </c>
      <c r="T245" s="81">
        <f t="shared" si="212"/>
        <v>0</v>
      </c>
      <c r="U245" s="80">
        <f t="shared" si="189"/>
        <v>0</v>
      </c>
      <c r="V245" s="70">
        <f t="shared" si="190"/>
        <v>0</v>
      </c>
      <c r="W245" s="80">
        <f t="shared" si="191"/>
        <v>0</v>
      </c>
      <c r="X245" s="70">
        <f t="shared" si="192"/>
        <v>0</v>
      </c>
      <c r="Y245" s="80">
        <f t="shared" si="193"/>
        <v>0</v>
      </c>
      <c r="Z245" s="70">
        <f t="shared" si="194"/>
        <v>0</v>
      </c>
      <c r="AA245" s="82"/>
      <c r="AC245" s="79">
        <v>0</v>
      </c>
      <c r="AD245" s="79">
        <v>0</v>
      </c>
      <c r="AE245" s="79">
        <v>0</v>
      </c>
      <c r="AF245" s="83">
        <f t="shared" si="195"/>
        <v>0</v>
      </c>
      <c r="AG245" s="70">
        <f t="shared" si="196"/>
        <v>0</v>
      </c>
      <c r="AH245" s="83">
        <f t="shared" si="197"/>
        <v>0</v>
      </c>
      <c r="AI245" s="70">
        <f t="shared" si="198"/>
        <v>0</v>
      </c>
      <c r="AK245" s="79">
        <v>0</v>
      </c>
      <c r="AL245" s="80">
        <f t="shared" si="213"/>
        <v>0</v>
      </c>
      <c r="AM245" s="79">
        <v>0</v>
      </c>
      <c r="AN245" s="80">
        <f t="shared" si="214"/>
        <v>0</v>
      </c>
      <c r="AO245" s="79">
        <v>0</v>
      </c>
      <c r="AP245" s="80">
        <f t="shared" si="215"/>
        <v>0</v>
      </c>
      <c r="AQ245" s="79">
        <v>0</v>
      </c>
      <c r="AR245" s="81">
        <f t="shared" si="216"/>
        <v>0</v>
      </c>
      <c r="AS245" s="80">
        <f t="shared" si="199"/>
        <v>0</v>
      </c>
      <c r="AT245" s="70">
        <f t="shared" si="200"/>
        <v>0</v>
      </c>
      <c r="AU245" s="80">
        <f t="shared" si="201"/>
        <v>0</v>
      </c>
      <c r="AV245" s="70">
        <f t="shared" si="202"/>
        <v>0</v>
      </c>
      <c r="AW245" s="80">
        <f t="shared" si="203"/>
        <v>0</v>
      </c>
      <c r="AX245" s="70">
        <f t="shared" si="204"/>
        <v>0</v>
      </c>
      <c r="AY245" s="82"/>
      <c r="BA245" s="79">
        <v>0</v>
      </c>
      <c r="BB245" s="80">
        <f t="shared" si="217"/>
        <v>0</v>
      </c>
      <c r="BC245" s="79">
        <v>0</v>
      </c>
      <c r="BD245" s="80">
        <f t="shared" si="218"/>
        <v>0</v>
      </c>
      <c r="BE245" s="79">
        <v>0</v>
      </c>
      <c r="BF245" s="81">
        <f t="shared" si="219"/>
        <v>0</v>
      </c>
      <c r="BG245" s="80">
        <f t="shared" si="205"/>
        <v>0</v>
      </c>
      <c r="BH245" s="70">
        <f t="shared" si="206"/>
        <v>0</v>
      </c>
      <c r="BI245" s="80">
        <f t="shared" si="207"/>
        <v>0</v>
      </c>
      <c r="BJ245" s="70">
        <f t="shared" si="208"/>
        <v>0</v>
      </c>
      <c r="BK245" s="82"/>
    </row>
    <row r="246" spans="5:63" ht="11.95" thickBot="1" x14ac:dyDescent="0.3">
      <c r="E246" s="3"/>
      <c r="F246" s="3"/>
      <c r="G246" s="3"/>
      <c r="H246" s="3" t="s">
        <v>296</v>
      </c>
      <c r="I246" s="18"/>
      <c r="J246" s="18"/>
      <c r="K246" s="18"/>
      <c r="L246" s="78"/>
      <c r="M246" s="79"/>
      <c r="N246" s="80">
        <f t="shared" si="209"/>
        <v>0</v>
      </c>
      <c r="O246" s="79"/>
      <c r="P246" s="80">
        <f t="shared" si="210"/>
        <v>0</v>
      </c>
      <c r="Q246" s="79"/>
      <c r="R246" s="80">
        <f t="shared" si="211"/>
        <v>0</v>
      </c>
      <c r="S246" s="79"/>
      <c r="T246" s="81">
        <f t="shared" si="212"/>
        <v>0</v>
      </c>
      <c r="U246" s="80">
        <f t="shared" si="189"/>
        <v>0</v>
      </c>
      <c r="V246" s="70">
        <f t="shared" si="190"/>
        <v>0</v>
      </c>
      <c r="W246" s="80">
        <f t="shared" si="191"/>
        <v>0</v>
      </c>
      <c r="X246" s="70">
        <f t="shared" si="192"/>
        <v>0</v>
      </c>
      <c r="Y246" s="80">
        <f t="shared" si="193"/>
        <v>0</v>
      </c>
      <c r="Z246" s="70">
        <f t="shared" si="194"/>
        <v>0</v>
      </c>
      <c r="AA246" s="82"/>
      <c r="AC246" s="79">
        <v>0</v>
      </c>
      <c r="AD246" s="79">
        <v>0</v>
      </c>
      <c r="AE246" s="79">
        <v>0</v>
      </c>
      <c r="AF246" s="83">
        <f t="shared" si="195"/>
        <v>0</v>
      </c>
      <c r="AG246" s="70">
        <f t="shared" si="196"/>
        <v>0</v>
      </c>
      <c r="AH246" s="83">
        <f t="shared" si="197"/>
        <v>0</v>
      </c>
      <c r="AI246" s="70">
        <f t="shared" si="198"/>
        <v>0</v>
      </c>
      <c r="AK246" s="79">
        <v>0</v>
      </c>
      <c r="AL246" s="80">
        <f t="shared" si="213"/>
        <v>0</v>
      </c>
      <c r="AM246" s="79">
        <v>0</v>
      </c>
      <c r="AN246" s="80">
        <f t="shared" si="214"/>
        <v>0</v>
      </c>
      <c r="AO246" s="79">
        <v>0</v>
      </c>
      <c r="AP246" s="80">
        <f t="shared" si="215"/>
        <v>0</v>
      </c>
      <c r="AQ246" s="79">
        <v>0</v>
      </c>
      <c r="AR246" s="81">
        <f t="shared" si="216"/>
        <v>0</v>
      </c>
      <c r="AS246" s="80">
        <f t="shared" si="199"/>
        <v>0</v>
      </c>
      <c r="AT246" s="70">
        <f t="shared" si="200"/>
        <v>0</v>
      </c>
      <c r="AU246" s="80">
        <f t="shared" si="201"/>
        <v>0</v>
      </c>
      <c r="AV246" s="70">
        <f t="shared" si="202"/>
        <v>0</v>
      </c>
      <c r="AW246" s="80">
        <f t="shared" si="203"/>
        <v>0</v>
      </c>
      <c r="AX246" s="70">
        <f t="shared" si="204"/>
        <v>0</v>
      </c>
      <c r="AY246" s="82"/>
      <c r="BA246" s="79">
        <v>0</v>
      </c>
      <c r="BB246" s="80">
        <f t="shared" si="217"/>
        <v>0</v>
      </c>
      <c r="BC246" s="79">
        <v>0</v>
      </c>
      <c r="BD246" s="80">
        <f t="shared" si="218"/>
        <v>0</v>
      </c>
      <c r="BE246" s="79">
        <v>0</v>
      </c>
      <c r="BF246" s="81">
        <f t="shared" si="219"/>
        <v>0</v>
      </c>
      <c r="BG246" s="80">
        <f t="shared" si="205"/>
        <v>0</v>
      </c>
      <c r="BH246" s="70">
        <f t="shared" si="206"/>
        <v>0</v>
      </c>
      <c r="BI246" s="80">
        <f t="shared" si="207"/>
        <v>0</v>
      </c>
      <c r="BJ246" s="70">
        <f t="shared" si="208"/>
        <v>0</v>
      </c>
      <c r="BK246" s="82"/>
    </row>
    <row r="247" spans="5:63" ht="11.95" thickBot="1" x14ac:dyDescent="0.3">
      <c r="E247" s="3"/>
      <c r="F247" s="3"/>
      <c r="G247" s="3"/>
      <c r="H247" s="3" t="s">
        <v>297</v>
      </c>
      <c r="I247" s="18"/>
      <c r="J247" s="18"/>
      <c r="K247" s="18"/>
      <c r="L247" s="78"/>
      <c r="M247" s="79"/>
      <c r="N247" s="80">
        <f t="shared" si="209"/>
        <v>0</v>
      </c>
      <c r="O247" s="79"/>
      <c r="P247" s="80">
        <f t="shared" si="210"/>
        <v>0</v>
      </c>
      <c r="Q247" s="79"/>
      <c r="R247" s="80">
        <f t="shared" si="211"/>
        <v>0</v>
      </c>
      <c r="S247" s="79"/>
      <c r="T247" s="81">
        <f t="shared" si="212"/>
        <v>0</v>
      </c>
      <c r="U247" s="80">
        <f t="shared" si="189"/>
        <v>0</v>
      </c>
      <c r="V247" s="70">
        <f t="shared" si="190"/>
        <v>0</v>
      </c>
      <c r="W247" s="80">
        <f t="shared" si="191"/>
        <v>0</v>
      </c>
      <c r="X247" s="70">
        <f t="shared" si="192"/>
        <v>0</v>
      </c>
      <c r="Y247" s="80">
        <f t="shared" si="193"/>
        <v>0</v>
      </c>
      <c r="Z247" s="70">
        <f t="shared" si="194"/>
        <v>0</v>
      </c>
      <c r="AA247" s="82"/>
      <c r="AC247" s="79">
        <v>0</v>
      </c>
      <c r="AD247" s="79">
        <v>0</v>
      </c>
      <c r="AE247" s="79">
        <v>0</v>
      </c>
      <c r="AF247" s="83">
        <f t="shared" si="195"/>
        <v>0</v>
      </c>
      <c r="AG247" s="70">
        <f t="shared" si="196"/>
        <v>0</v>
      </c>
      <c r="AH247" s="83">
        <f t="shared" si="197"/>
        <v>0</v>
      </c>
      <c r="AI247" s="70">
        <f t="shared" si="198"/>
        <v>0</v>
      </c>
      <c r="AK247" s="79">
        <v>0</v>
      </c>
      <c r="AL247" s="80">
        <f t="shared" si="213"/>
        <v>0</v>
      </c>
      <c r="AM247" s="79">
        <v>0</v>
      </c>
      <c r="AN247" s="80">
        <f t="shared" si="214"/>
        <v>0</v>
      </c>
      <c r="AO247" s="79">
        <v>0</v>
      </c>
      <c r="AP247" s="80">
        <f t="shared" si="215"/>
        <v>0</v>
      </c>
      <c r="AQ247" s="79">
        <v>0</v>
      </c>
      <c r="AR247" s="81">
        <f t="shared" si="216"/>
        <v>0</v>
      </c>
      <c r="AS247" s="80">
        <f t="shared" si="199"/>
        <v>0</v>
      </c>
      <c r="AT247" s="70">
        <f t="shared" si="200"/>
        <v>0</v>
      </c>
      <c r="AU247" s="80">
        <f t="shared" si="201"/>
        <v>0</v>
      </c>
      <c r="AV247" s="70">
        <f t="shared" si="202"/>
        <v>0</v>
      </c>
      <c r="AW247" s="80">
        <f t="shared" si="203"/>
        <v>0</v>
      </c>
      <c r="AX247" s="70">
        <f t="shared" si="204"/>
        <v>0</v>
      </c>
      <c r="AY247" s="82"/>
      <c r="BA247" s="79">
        <v>0</v>
      </c>
      <c r="BB247" s="80">
        <f t="shared" si="217"/>
        <v>0</v>
      </c>
      <c r="BC247" s="79">
        <v>0</v>
      </c>
      <c r="BD247" s="80">
        <f t="shared" si="218"/>
        <v>0</v>
      </c>
      <c r="BE247" s="79">
        <v>0</v>
      </c>
      <c r="BF247" s="81">
        <f t="shared" si="219"/>
        <v>0</v>
      </c>
      <c r="BG247" s="80">
        <f t="shared" si="205"/>
        <v>0</v>
      </c>
      <c r="BH247" s="70">
        <f t="shared" si="206"/>
        <v>0</v>
      </c>
      <c r="BI247" s="80">
        <f t="shared" si="207"/>
        <v>0</v>
      </c>
      <c r="BJ247" s="70">
        <f t="shared" si="208"/>
        <v>0</v>
      </c>
      <c r="BK247" s="82"/>
    </row>
    <row r="248" spans="5:63" ht="11.95" thickBot="1" x14ac:dyDescent="0.3">
      <c r="E248" s="3"/>
      <c r="F248" s="3"/>
      <c r="G248" s="3"/>
      <c r="H248" s="3" t="s">
        <v>298</v>
      </c>
      <c r="I248" s="18"/>
      <c r="J248" s="18"/>
      <c r="K248" s="18"/>
      <c r="L248" s="78"/>
      <c r="M248" s="79"/>
      <c r="N248" s="80">
        <f t="shared" si="209"/>
        <v>0</v>
      </c>
      <c r="O248" s="79"/>
      <c r="P248" s="80">
        <f t="shared" si="210"/>
        <v>0</v>
      </c>
      <c r="Q248" s="79"/>
      <c r="R248" s="80">
        <f t="shared" si="211"/>
        <v>0</v>
      </c>
      <c r="S248" s="79"/>
      <c r="T248" s="81">
        <f t="shared" si="212"/>
        <v>0</v>
      </c>
      <c r="U248" s="80">
        <f t="shared" si="189"/>
        <v>0</v>
      </c>
      <c r="V248" s="70">
        <f t="shared" si="190"/>
        <v>0</v>
      </c>
      <c r="W248" s="80">
        <f t="shared" si="191"/>
        <v>0</v>
      </c>
      <c r="X248" s="70">
        <f t="shared" si="192"/>
        <v>0</v>
      </c>
      <c r="Y248" s="80">
        <f t="shared" si="193"/>
        <v>0</v>
      </c>
      <c r="Z248" s="70">
        <f t="shared" si="194"/>
        <v>0</v>
      </c>
      <c r="AA248" s="82"/>
      <c r="AC248" s="79">
        <v>0</v>
      </c>
      <c r="AD248" s="79">
        <v>0</v>
      </c>
      <c r="AE248" s="79">
        <v>0</v>
      </c>
      <c r="AF248" s="83">
        <f t="shared" si="195"/>
        <v>0</v>
      </c>
      <c r="AG248" s="70">
        <f t="shared" si="196"/>
        <v>0</v>
      </c>
      <c r="AH248" s="83">
        <f t="shared" si="197"/>
        <v>0</v>
      </c>
      <c r="AI248" s="70">
        <f t="shared" si="198"/>
        <v>0</v>
      </c>
      <c r="AK248" s="79">
        <v>0</v>
      </c>
      <c r="AL248" s="80">
        <f t="shared" si="213"/>
        <v>0</v>
      </c>
      <c r="AM248" s="79">
        <v>0</v>
      </c>
      <c r="AN248" s="80">
        <f t="shared" si="214"/>
        <v>0</v>
      </c>
      <c r="AO248" s="79">
        <v>0</v>
      </c>
      <c r="AP248" s="80">
        <f t="shared" si="215"/>
        <v>0</v>
      </c>
      <c r="AQ248" s="79">
        <v>0</v>
      </c>
      <c r="AR248" s="81">
        <f t="shared" si="216"/>
        <v>0</v>
      </c>
      <c r="AS248" s="80">
        <f t="shared" si="199"/>
        <v>0</v>
      </c>
      <c r="AT248" s="70">
        <f t="shared" si="200"/>
        <v>0</v>
      </c>
      <c r="AU248" s="80">
        <f t="shared" si="201"/>
        <v>0</v>
      </c>
      <c r="AV248" s="70">
        <f t="shared" si="202"/>
        <v>0</v>
      </c>
      <c r="AW248" s="80">
        <f t="shared" si="203"/>
        <v>0</v>
      </c>
      <c r="AX248" s="70">
        <f t="shared" si="204"/>
        <v>0</v>
      </c>
      <c r="AY248" s="82"/>
      <c r="BA248" s="79">
        <v>0</v>
      </c>
      <c r="BB248" s="80">
        <f t="shared" si="217"/>
        <v>0</v>
      </c>
      <c r="BC248" s="79">
        <v>0</v>
      </c>
      <c r="BD248" s="80">
        <f t="shared" si="218"/>
        <v>0</v>
      </c>
      <c r="BE248" s="79">
        <v>0</v>
      </c>
      <c r="BF248" s="81">
        <f t="shared" si="219"/>
        <v>0</v>
      </c>
      <c r="BG248" s="80">
        <f t="shared" si="205"/>
        <v>0</v>
      </c>
      <c r="BH248" s="70">
        <f t="shared" si="206"/>
        <v>0</v>
      </c>
      <c r="BI248" s="80">
        <f t="shared" si="207"/>
        <v>0</v>
      </c>
      <c r="BJ248" s="70">
        <f t="shared" si="208"/>
        <v>0</v>
      </c>
      <c r="BK248" s="82"/>
    </row>
    <row r="249" spans="5:63" ht="11.95" thickBot="1" x14ac:dyDescent="0.3">
      <c r="E249" s="3"/>
      <c r="F249" s="3"/>
      <c r="G249" s="3"/>
      <c r="H249" s="3" t="s">
        <v>299</v>
      </c>
      <c r="I249" s="18"/>
      <c r="J249" s="18"/>
      <c r="K249" s="18"/>
      <c r="L249" s="78"/>
      <c r="M249" s="79"/>
      <c r="N249" s="80">
        <f t="shared" si="209"/>
        <v>0</v>
      </c>
      <c r="O249" s="79"/>
      <c r="P249" s="80">
        <f t="shared" si="210"/>
        <v>0</v>
      </c>
      <c r="Q249" s="79"/>
      <c r="R249" s="80">
        <f t="shared" si="211"/>
        <v>0</v>
      </c>
      <c r="S249" s="79"/>
      <c r="T249" s="81">
        <f t="shared" si="212"/>
        <v>0</v>
      </c>
      <c r="U249" s="80">
        <f t="shared" si="189"/>
        <v>0</v>
      </c>
      <c r="V249" s="70">
        <f t="shared" si="190"/>
        <v>0</v>
      </c>
      <c r="W249" s="80">
        <f t="shared" si="191"/>
        <v>0</v>
      </c>
      <c r="X249" s="70">
        <f t="shared" si="192"/>
        <v>0</v>
      </c>
      <c r="Y249" s="80">
        <f t="shared" si="193"/>
        <v>0</v>
      </c>
      <c r="Z249" s="70">
        <f t="shared" si="194"/>
        <v>0</v>
      </c>
      <c r="AA249" s="82"/>
      <c r="AC249" s="79">
        <v>0</v>
      </c>
      <c r="AD249" s="79">
        <v>0</v>
      </c>
      <c r="AE249" s="79">
        <v>0</v>
      </c>
      <c r="AF249" s="83">
        <f t="shared" si="195"/>
        <v>0</v>
      </c>
      <c r="AG249" s="70">
        <f t="shared" si="196"/>
        <v>0</v>
      </c>
      <c r="AH249" s="83">
        <f t="shared" si="197"/>
        <v>0</v>
      </c>
      <c r="AI249" s="70">
        <f t="shared" si="198"/>
        <v>0</v>
      </c>
      <c r="AK249" s="79">
        <v>0</v>
      </c>
      <c r="AL249" s="80">
        <f t="shared" si="213"/>
        <v>0</v>
      </c>
      <c r="AM249" s="79">
        <v>0</v>
      </c>
      <c r="AN249" s="80">
        <f t="shared" si="214"/>
        <v>0</v>
      </c>
      <c r="AO249" s="79">
        <v>0</v>
      </c>
      <c r="AP249" s="80">
        <f t="shared" si="215"/>
        <v>0</v>
      </c>
      <c r="AQ249" s="79">
        <v>0</v>
      </c>
      <c r="AR249" s="81">
        <f t="shared" si="216"/>
        <v>0</v>
      </c>
      <c r="AS249" s="80">
        <f t="shared" si="199"/>
        <v>0</v>
      </c>
      <c r="AT249" s="70">
        <f t="shared" si="200"/>
        <v>0</v>
      </c>
      <c r="AU249" s="80">
        <f t="shared" si="201"/>
        <v>0</v>
      </c>
      <c r="AV249" s="70">
        <f t="shared" si="202"/>
        <v>0</v>
      </c>
      <c r="AW249" s="80">
        <f t="shared" si="203"/>
        <v>0</v>
      </c>
      <c r="AX249" s="70">
        <f t="shared" si="204"/>
        <v>0</v>
      </c>
      <c r="AY249" s="82"/>
      <c r="BA249" s="79">
        <v>0</v>
      </c>
      <c r="BB249" s="80">
        <f t="shared" si="217"/>
        <v>0</v>
      </c>
      <c r="BC249" s="79">
        <v>0</v>
      </c>
      <c r="BD249" s="80">
        <f t="shared" si="218"/>
        <v>0</v>
      </c>
      <c r="BE249" s="79">
        <v>0</v>
      </c>
      <c r="BF249" s="81">
        <f t="shared" si="219"/>
        <v>0</v>
      </c>
      <c r="BG249" s="80">
        <f t="shared" si="205"/>
        <v>0</v>
      </c>
      <c r="BH249" s="70">
        <f t="shared" si="206"/>
        <v>0</v>
      </c>
      <c r="BI249" s="80">
        <f t="shared" si="207"/>
        <v>0</v>
      </c>
      <c r="BJ249" s="70">
        <f t="shared" si="208"/>
        <v>0</v>
      </c>
      <c r="BK249" s="82"/>
    </row>
    <row r="250" spans="5:63" ht="11.95" thickBot="1" x14ac:dyDescent="0.3">
      <c r="E250" s="3"/>
      <c r="F250" s="3"/>
      <c r="G250" s="3"/>
      <c r="H250" s="3" t="s">
        <v>300</v>
      </c>
      <c r="I250" s="18"/>
      <c r="J250" s="18"/>
      <c r="K250" s="18"/>
      <c r="L250" s="78"/>
      <c r="M250" s="79"/>
      <c r="N250" s="80">
        <f t="shared" si="209"/>
        <v>0</v>
      </c>
      <c r="O250" s="79"/>
      <c r="P250" s="80">
        <f t="shared" si="210"/>
        <v>0</v>
      </c>
      <c r="Q250" s="79"/>
      <c r="R250" s="80">
        <f t="shared" si="211"/>
        <v>0</v>
      </c>
      <c r="S250" s="79"/>
      <c r="T250" s="81">
        <f t="shared" si="212"/>
        <v>0</v>
      </c>
      <c r="U250" s="80">
        <f t="shared" si="189"/>
        <v>0</v>
      </c>
      <c r="V250" s="70">
        <f t="shared" si="190"/>
        <v>0</v>
      </c>
      <c r="W250" s="80">
        <f t="shared" si="191"/>
        <v>0</v>
      </c>
      <c r="X250" s="70">
        <f t="shared" si="192"/>
        <v>0</v>
      </c>
      <c r="Y250" s="80">
        <f t="shared" si="193"/>
        <v>0</v>
      </c>
      <c r="Z250" s="70">
        <f t="shared" si="194"/>
        <v>0</v>
      </c>
      <c r="AA250" s="82"/>
      <c r="AC250" s="79">
        <v>0</v>
      </c>
      <c r="AD250" s="79">
        <v>0</v>
      </c>
      <c r="AE250" s="79">
        <v>0</v>
      </c>
      <c r="AF250" s="83">
        <f t="shared" si="195"/>
        <v>0</v>
      </c>
      <c r="AG250" s="70">
        <f t="shared" si="196"/>
        <v>0</v>
      </c>
      <c r="AH250" s="83">
        <f t="shared" si="197"/>
        <v>0</v>
      </c>
      <c r="AI250" s="70">
        <f t="shared" si="198"/>
        <v>0</v>
      </c>
      <c r="AK250" s="79">
        <v>0</v>
      </c>
      <c r="AL250" s="80">
        <f t="shared" si="213"/>
        <v>0</v>
      </c>
      <c r="AM250" s="79">
        <v>0</v>
      </c>
      <c r="AN250" s="80">
        <f t="shared" si="214"/>
        <v>0</v>
      </c>
      <c r="AO250" s="79">
        <v>0</v>
      </c>
      <c r="AP250" s="80">
        <f t="shared" si="215"/>
        <v>0</v>
      </c>
      <c r="AQ250" s="79">
        <v>0</v>
      </c>
      <c r="AR250" s="81">
        <f t="shared" si="216"/>
        <v>0</v>
      </c>
      <c r="AS250" s="80">
        <f t="shared" si="199"/>
        <v>0</v>
      </c>
      <c r="AT250" s="70">
        <f t="shared" si="200"/>
        <v>0</v>
      </c>
      <c r="AU250" s="80">
        <f t="shared" si="201"/>
        <v>0</v>
      </c>
      <c r="AV250" s="70">
        <f t="shared" si="202"/>
        <v>0</v>
      </c>
      <c r="AW250" s="80">
        <f t="shared" si="203"/>
        <v>0</v>
      </c>
      <c r="AX250" s="70">
        <f t="shared" si="204"/>
        <v>0</v>
      </c>
      <c r="AY250" s="82"/>
      <c r="BA250" s="79">
        <v>0</v>
      </c>
      <c r="BB250" s="80">
        <f t="shared" si="217"/>
        <v>0</v>
      </c>
      <c r="BC250" s="79">
        <v>0</v>
      </c>
      <c r="BD250" s="80">
        <f t="shared" si="218"/>
        <v>0</v>
      </c>
      <c r="BE250" s="79">
        <v>0</v>
      </c>
      <c r="BF250" s="81">
        <f t="shared" si="219"/>
        <v>0</v>
      </c>
      <c r="BG250" s="80">
        <f t="shared" si="205"/>
        <v>0</v>
      </c>
      <c r="BH250" s="70">
        <f t="shared" si="206"/>
        <v>0</v>
      </c>
      <c r="BI250" s="80">
        <f t="shared" si="207"/>
        <v>0</v>
      </c>
      <c r="BJ250" s="70">
        <f t="shared" si="208"/>
        <v>0</v>
      </c>
      <c r="BK250" s="82"/>
    </row>
    <row r="251" spans="5:63" ht="11.95" thickBot="1" x14ac:dyDescent="0.3">
      <c r="E251" s="3"/>
      <c r="F251" s="3"/>
      <c r="G251" s="3"/>
      <c r="H251" s="3" t="s">
        <v>301</v>
      </c>
      <c r="I251" s="18"/>
      <c r="J251" s="18"/>
      <c r="K251" s="18"/>
      <c r="L251" s="78"/>
      <c r="M251" s="79"/>
      <c r="N251" s="80">
        <f t="shared" si="209"/>
        <v>0</v>
      </c>
      <c r="O251" s="79"/>
      <c r="P251" s="80">
        <f t="shared" si="210"/>
        <v>0</v>
      </c>
      <c r="Q251" s="79"/>
      <c r="R251" s="80">
        <f t="shared" si="211"/>
        <v>0</v>
      </c>
      <c r="S251" s="79"/>
      <c r="T251" s="81">
        <f t="shared" si="212"/>
        <v>0</v>
      </c>
      <c r="U251" s="80">
        <f t="shared" si="189"/>
        <v>0</v>
      </c>
      <c r="V251" s="70">
        <f t="shared" si="190"/>
        <v>0</v>
      </c>
      <c r="W251" s="80">
        <f t="shared" si="191"/>
        <v>0</v>
      </c>
      <c r="X251" s="70">
        <f t="shared" si="192"/>
        <v>0</v>
      </c>
      <c r="Y251" s="80">
        <f t="shared" si="193"/>
        <v>0</v>
      </c>
      <c r="Z251" s="70">
        <f t="shared" si="194"/>
        <v>0</v>
      </c>
      <c r="AA251" s="82"/>
      <c r="AC251" s="79">
        <v>0</v>
      </c>
      <c r="AD251" s="79">
        <v>0</v>
      </c>
      <c r="AE251" s="79">
        <v>0</v>
      </c>
      <c r="AF251" s="83">
        <f t="shared" si="195"/>
        <v>0</v>
      </c>
      <c r="AG251" s="70">
        <f t="shared" si="196"/>
        <v>0</v>
      </c>
      <c r="AH251" s="83">
        <f t="shared" si="197"/>
        <v>0</v>
      </c>
      <c r="AI251" s="70">
        <f t="shared" si="198"/>
        <v>0</v>
      </c>
      <c r="AK251" s="79">
        <v>0</v>
      </c>
      <c r="AL251" s="80">
        <f t="shared" si="213"/>
        <v>0</v>
      </c>
      <c r="AM251" s="79">
        <v>0</v>
      </c>
      <c r="AN251" s="80">
        <f t="shared" si="214"/>
        <v>0</v>
      </c>
      <c r="AO251" s="79">
        <v>0</v>
      </c>
      <c r="AP251" s="80">
        <f t="shared" si="215"/>
        <v>0</v>
      </c>
      <c r="AQ251" s="79">
        <v>0</v>
      </c>
      <c r="AR251" s="81">
        <f t="shared" si="216"/>
        <v>0</v>
      </c>
      <c r="AS251" s="80">
        <f t="shared" si="199"/>
        <v>0</v>
      </c>
      <c r="AT251" s="70">
        <f t="shared" si="200"/>
        <v>0</v>
      </c>
      <c r="AU251" s="80">
        <f t="shared" si="201"/>
        <v>0</v>
      </c>
      <c r="AV251" s="70">
        <f t="shared" si="202"/>
        <v>0</v>
      </c>
      <c r="AW251" s="80">
        <f t="shared" si="203"/>
        <v>0</v>
      </c>
      <c r="AX251" s="70">
        <f t="shared" si="204"/>
        <v>0</v>
      </c>
      <c r="AY251" s="82"/>
      <c r="BA251" s="79">
        <v>0</v>
      </c>
      <c r="BB251" s="80">
        <f t="shared" si="217"/>
        <v>0</v>
      </c>
      <c r="BC251" s="79">
        <v>0</v>
      </c>
      <c r="BD251" s="80">
        <f t="shared" si="218"/>
        <v>0</v>
      </c>
      <c r="BE251" s="79">
        <v>0</v>
      </c>
      <c r="BF251" s="81">
        <f t="shared" si="219"/>
        <v>0</v>
      </c>
      <c r="BG251" s="80">
        <f t="shared" si="205"/>
        <v>0</v>
      </c>
      <c r="BH251" s="70">
        <f t="shared" si="206"/>
        <v>0</v>
      </c>
      <c r="BI251" s="80">
        <f t="shared" si="207"/>
        <v>0</v>
      </c>
      <c r="BJ251" s="70">
        <f t="shared" si="208"/>
        <v>0</v>
      </c>
      <c r="BK251" s="82"/>
    </row>
    <row r="252" spans="5:63" ht="11.95" thickBot="1" x14ac:dyDescent="0.3">
      <c r="E252" s="3"/>
      <c r="F252" s="3"/>
      <c r="G252" s="3"/>
      <c r="H252" s="3" t="s">
        <v>302</v>
      </c>
      <c r="I252" s="18"/>
      <c r="J252" s="18"/>
      <c r="K252" s="18"/>
      <c r="L252" s="78"/>
      <c r="M252" s="79"/>
      <c r="N252" s="80">
        <f t="shared" si="209"/>
        <v>0</v>
      </c>
      <c r="O252" s="79"/>
      <c r="P252" s="80">
        <f t="shared" si="210"/>
        <v>0</v>
      </c>
      <c r="Q252" s="79"/>
      <c r="R252" s="80">
        <f t="shared" si="211"/>
        <v>0</v>
      </c>
      <c r="S252" s="79"/>
      <c r="T252" s="81">
        <f t="shared" si="212"/>
        <v>0</v>
      </c>
      <c r="U252" s="80">
        <f t="shared" si="189"/>
        <v>0</v>
      </c>
      <c r="V252" s="70">
        <f t="shared" si="190"/>
        <v>0</v>
      </c>
      <c r="W252" s="80">
        <f t="shared" si="191"/>
        <v>0</v>
      </c>
      <c r="X252" s="70">
        <f t="shared" si="192"/>
        <v>0</v>
      </c>
      <c r="Y252" s="80">
        <f t="shared" si="193"/>
        <v>0</v>
      </c>
      <c r="Z252" s="70">
        <f t="shared" si="194"/>
        <v>0</v>
      </c>
      <c r="AA252" s="82"/>
      <c r="AC252" s="79">
        <v>0</v>
      </c>
      <c r="AD252" s="79">
        <v>0</v>
      </c>
      <c r="AE252" s="79">
        <v>0</v>
      </c>
      <c r="AF252" s="83">
        <f t="shared" si="195"/>
        <v>0</v>
      </c>
      <c r="AG252" s="70">
        <f t="shared" si="196"/>
        <v>0</v>
      </c>
      <c r="AH252" s="83">
        <f t="shared" si="197"/>
        <v>0</v>
      </c>
      <c r="AI252" s="70">
        <f t="shared" si="198"/>
        <v>0</v>
      </c>
      <c r="AK252" s="79">
        <v>0</v>
      </c>
      <c r="AL252" s="80">
        <f t="shared" si="213"/>
        <v>0</v>
      </c>
      <c r="AM252" s="79">
        <v>0</v>
      </c>
      <c r="AN252" s="80">
        <f t="shared" si="214"/>
        <v>0</v>
      </c>
      <c r="AO252" s="79">
        <v>0</v>
      </c>
      <c r="AP252" s="80">
        <f t="shared" si="215"/>
        <v>0</v>
      </c>
      <c r="AQ252" s="79">
        <v>0</v>
      </c>
      <c r="AR252" s="81">
        <f t="shared" si="216"/>
        <v>0</v>
      </c>
      <c r="AS252" s="80">
        <f t="shared" si="199"/>
        <v>0</v>
      </c>
      <c r="AT252" s="70">
        <f t="shared" si="200"/>
        <v>0</v>
      </c>
      <c r="AU252" s="80">
        <f t="shared" si="201"/>
        <v>0</v>
      </c>
      <c r="AV252" s="70">
        <f t="shared" si="202"/>
        <v>0</v>
      </c>
      <c r="AW252" s="80">
        <f t="shared" si="203"/>
        <v>0</v>
      </c>
      <c r="AX252" s="70">
        <f t="shared" si="204"/>
        <v>0</v>
      </c>
      <c r="AY252" s="82"/>
      <c r="BA252" s="79">
        <v>0</v>
      </c>
      <c r="BB252" s="80">
        <f t="shared" si="217"/>
        <v>0</v>
      </c>
      <c r="BC252" s="79">
        <v>0</v>
      </c>
      <c r="BD252" s="80">
        <f t="shared" si="218"/>
        <v>0</v>
      </c>
      <c r="BE252" s="79">
        <v>0</v>
      </c>
      <c r="BF252" s="81">
        <f t="shared" si="219"/>
        <v>0</v>
      </c>
      <c r="BG252" s="80">
        <f t="shared" si="205"/>
        <v>0</v>
      </c>
      <c r="BH252" s="70">
        <f t="shared" si="206"/>
        <v>0</v>
      </c>
      <c r="BI252" s="80">
        <f t="shared" si="207"/>
        <v>0</v>
      </c>
      <c r="BJ252" s="70">
        <f t="shared" si="208"/>
        <v>0</v>
      </c>
      <c r="BK252" s="82"/>
    </row>
    <row r="253" spans="5:63" ht="11.95" thickBot="1" x14ac:dyDescent="0.3">
      <c r="E253" s="3"/>
      <c r="F253" s="3"/>
      <c r="G253" s="3"/>
      <c r="H253" s="3" t="s">
        <v>303</v>
      </c>
      <c r="I253" s="18"/>
      <c r="J253" s="18"/>
      <c r="K253" s="18"/>
      <c r="L253" s="78"/>
      <c r="M253" s="79"/>
      <c r="N253" s="80">
        <f t="shared" si="209"/>
        <v>0</v>
      </c>
      <c r="O253" s="79"/>
      <c r="P253" s="80">
        <f t="shared" si="210"/>
        <v>0</v>
      </c>
      <c r="Q253" s="79"/>
      <c r="R253" s="80">
        <f t="shared" si="211"/>
        <v>0</v>
      </c>
      <c r="S253" s="79"/>
      <c r="T253" s="81">
        <f t="shared" si="212"/>
        <v>0</v>
      </c>
      <c r="U253" s="80">
        <f t="shared" si="189"/>
        <v>0</v>
      </c>
      <c r="V253" s="70">
        <f t="shared" si="190"/>
        <v>0</v>
      </c>
      <c r="W253" s="80">
        <f t="shared" si="191"/>
        <v>0</v>
      </c>
      <c r="X253" s="70">
        <f t="shared" si="192"/>
        <v>0</v>
      </c>
      <c r="Y253" s="80">
        <f t="shared" si="193"/>
        <v>0</v>
      </c>
      <c r="Z253" s="70">
        <f t="shared" si="194"/>
        <v>0</v>
      </c>
      <c r="AA253" s="82"/>
      <c r="AC253" s="79">
        <v>0</v>
      </c>
      <c r="AD253" s="79">
        <v>0</v>
      </c>
      <c r="AE253" s="79">
        <v>0</v>
      </c>
      <c r="AF253" s="83">
        <f t="shared" si="195"/>
        <v>0</v>
      </c>
      <c r="AG253" s="70">
        <f t="shared" si="196"/>
        <v>0</v>
      </c>
      <c r="AH253" s="83">
        <f t="shared" si="197"/>
        <v>0</v>
      </c>
      <c r="AI253" s="70">
        <f t="shared" si="198"/>
        <v>0</v>
      </c>
      <c r="AK253" s="79">
        <v>0</v>
      </c>
      <c r="AL253" s="80">
        <f t="shared" si="213"/>
        <v>0</v>
      </c>
      <c r="AM253" s="79">
        <v>0</v>
      </c>
      <c r="AN253" s="80">
        <f t="shared" si="214"/>
        <v>0</v>
      </c>
      <c r="AO253" s="79">
        <v>0</v>
      </c>
      <c r="AP253" s="80">
        <f t="shared" si="215"/>
        <v>0</v>
      </c>
      <c r="AQ253" s="79">
        <v>0</v>
      </c>
      <c r="AR253" s="81">
        <f t="shared" si="216"/>
        <v>0</v>
      </c>
      <c r="AS253" s="80">
        <f t="shared" si="199"/>
        <v>0</v>
      </c>
      <c r="AT253" s="70">
        <f t="shared" si="200"/>
        <v>0</v>
      </c>
      <c r="AU253" s="80">
        <f t="shared" si="201"/>
        <v>0</v>
      </c>
      <c r="AV253" s="70">
        <f t="shared" si="202"/>
        <v>0</v>
      </c>
      <c r="AW253" s="80">
        <f t="shared" si="203"/>
        <v>0</v>
      </c>
      <c r="AX253" s="70">
        <f t="shared" si="204"/>
        <v>0</v>
      </c>
      <c r="AY253" s="82"/>
      <c r="BA253" s="79">
        <v>0</v>
      </c>
      <c r="BB253" s="80">
        <f t="shared" si="217"/>
        <v>0</v>
      </c>
      <c r="BC253" s="79">
        <v>0</v>
      </c>
      <c r="BD253" s="80">
        <f t="shared" si="218"/>
        <v>0</v>
      </c>
      <c r="BE253" s="79">
        <v>0</v>
      </c>
      <c r="BF253" s="81">
        <f t="shared" si="219"/>
        <v>0</v>
      </c>
      <c r="BG253" s="80">
        <f t="shared" si="205"/>
        <v>0</v>
      </c>
      <c r="BH253" s="70">
        <f t="shared" si="206"/>
        <v>0</v>
      </c>
      <c r="BI253" s="80">
        <f t="shared" si="207"/>
        <v>0</v>
      </c>
      <c r="BJ253" s="70">
        <f t="shared" si="208"/>
        <v>0</v>
      </c>
      <c r="BK253" s="82"/>
    </row>
    <row r="254" spans="5:63" ht="11.95" thickBot="1" x14ac:dyDescent="0.3">
      <c r="E254" s="3"/>
      <c r="F254" s="3"/>
      <c r="G254" s="3"/>
      <c r="H254" s="3" t="s">
        <v>304</v>
      </c>
      <c r="I254" s="18"/>
      <c r="J254" s="18"/>
      <c r="K254" s="18"/>
      <c r="L254" s="78"/>
      <c r="M254" s="79"/>
      <c r="N254" s="80">
        <f t="shared" si="209"/>
        <v>0</v>
      </c>
      <c r="O254" s="79"/>
      <c r="P254" s="80">
        <f t="shared" si="210"/>
        <v>0</v>
      </c>
      <c r="Q254" s="79"/>
      <c r="R254" s="80">
        <f t="shared" si="211"/>
        <v>0</v>
      </c>
      <c r="S254" s="79"/>
      <c r="T254" s="81">
        <f t="shared" si="212"/>
        <v>0</v>
      </c>
      <c r="U254" s="80">
        <f t="shared" si="189"/>
        <v>0</v>
      </c>
      <c r="V254" s="70">
        <f t="shared" si="190"/>
        <v>0</v>
      </c>
      <c r="W254" s="80">
        <f t="shared" si="191"/>
        <v>0</v>
      </c>
      <c r="X254" s="70">
        <f t="shared" si="192"/>
        <v>0</v>
      </c>
      <c r="Y254" s="80">
        <f t="shared" si="193"/>
        <v>0</v>
      </c>
      <c r="Z254" s="70">
        <f t="shared" si="194"/>
        <v>0</v>
      </c>
      <c r="AA254" s="82"/>
      <c r="AC254" s="79">
        <v>0</v>
      </c>
      <c r="AD254" s="79">
        <v>0</v>
      </c>
      <c r="AE254" s="79">
        <v>0</v>
      </c>
      <c r="AF254" s="83">
        <f t="shared" si="195"/>
        <v>0</v>
      </c>
      <c r="AG254" s="70">
        <f t="shared" si="196"/>
        <v>0</v>
      </c>
      <c r="AH254" s="83">
        <f t="shared" si="197"/>
        <v>0</v>
      </c>
      <c r="AI254" s="70">
        <f t="shared" si="198"/>
        <v>0</v>
      </c>
      <c r="AK254" s="79">
        <v>0</v>
      </c>
      <c r="AL254" s="80">
        <f t="shared" si="213"/>
        <v>0</v>
      </c>
      <c r="AM254" s="79">
        <v>0</v>
      </c>
      <c r="AN254" s="80">
        <f t="shared" si="214"/>
        <v>0</v>
      </c>
      <c r="AO254" s="79">
        <v>0</v>
      </c>
      <c r="AP254" s="80">
        <f t="shared" si="215"/>
        <v>0</v>
      </c>
      <c r="AQ254" s="79">
        <v>0</v>
      </c>
      <c r="AR254" s="81">
        <f t="shared" si="216"/>
        <v>0</v>
      </c>
      <c r="AS254" s="80">
        <f t="shared" si="199"/>
        <v>0</v>
      </c>
      <c r="AT254" s="70">
        <f t="shared" si="200"/>
        <v>0</v>
      </c>
      <c r="AU254" s="80">
        <f t="shared" si="201"/>
        <v>0</v>
      </c>
      <c r="AV254" s="70">
        <f t="shared" si="202"/>
        <v>0</v>
      </c>
      <c r="AW254" s="80">
        <f t="shared" si="203"/>
        <v>0</v>
      </c>
      <c r="AX254" s="70">
        <f t="shared" si="204"/>
        <v>0</v>
      </c>
      <c r="AY254" s="82"/>
      <c r="BA254" s="79">
        <v>0</v>
      </c>
      <c r="BB254" s="80">
        <f t="shared" si="217"/>
        <v>0</v>
      </c>
      <c r="BC254" s="79">
        <v>0</v>
      </c>
      <c r="BD254" s="80">
        <f t="shared" si="218"/>
        <v>0</v>
      </c>
      <c r="BE254" s="79">
        <v>0</v>
      </c>
      <c r="BF254" s="81">
        <f t="shared" si="219"/>
        <v>0</v>
      </c>
      <c r="BG254" s="80">
        <f t="shared" si="205"/>
        <v>0</v>
      </c>
      <c r="BH254" s="70">
        <f t="shared" si="206"/>
        <v>0</v>
      </c>
      <c r="BI254" s="80">
        <f t="shared" si="207"/>
        <v>0</v>
      </c>
      <c r="BJ254" s="70">
        <f t="shared" si="208"/>
        <v>0</v>
      </c>
      <c r="BK254" s="82"/>
    </row>
    <row r="255" spans="5:63" ht="11.95" thickBot="1" x14ac:dyDescent="0.3">
      <c r="E255" s="3"/>
      <c r="F255" s="3"/>
      <c r="G255" s="3"/>
      <c r="H255" s="3" t="s">
        <v>305</v>
      </c>
      <c r="I255" s="18"/>
      <c r="J255" s="18"/>
      <c r="K255" s="18"/>
      <c r="L255" s="78"/>
      <c r="M255" s="79"/>
      <c r="N255" s="80">
        <f t="shared" si="209"/>
        <v>0</v>
      </c>
      <c r="O255" s="79"/>
      <c r="P255" s="80">
        <f t="shared" si="210"/>
        <v>0</v>
      </c>
      <c r="Q255" s="79"/>
      <c r="R255" s="80">
        <f t="shared" si="211"/>
        <v>0</v>
      </c>
      <c r="S255" s="79"/>
      <c r="T255" s="81">
        <f t="shared" si="212"/>
        <v>0</v>
      </c>
      <c r="U255" s="80">
        <f t="shared" si="189"/>
        <v>0</v>
      </c>
      <c r="V255" s="70">
        <f t="shared" si="190"/>
        <v>0</v>
      </c>
      <c r="W255" s="80">
        <f t="shared" si="191"/>
        <v>0</v>
      </c>
      <c r="X255" s="70">
        <f t="shared" si="192"/>
        <v>0</v>
      </c>
      <c r="Y255" s="80">
        <f t="shared" si="193"/>
        <v>0</v>
      </c>
      <c r="Z255" s="70">
        <f t="shared" si="194"/>
        <v>0</v>
      </c>
      <c r="AA255" s="82"/>
      <c r="AC255" s="79">
        <v>0</v>
      </c>
      <c r="AD255" s="79">
        <v>0</v>
      </c>
      <c r="AE255" s="79">
        <v>0</v>
      </c>
      <c r="AF255" s="83">
        <f t="shared" si="195"/>
        <v>0</v>
      </c>
      <c r="AG255" s="70">
        <f t="shared" si="196"/>
        <v>0</v>
      </c>
      <c r="AH255" s="83">
        <f t="shared" si="197"/>
        <v>0</v>
      </c>
      <c r="AI255" s="70">
        <f t="shared" si="198"/>
        <v>0</v>
      </c>
      <c r="AK255" s="79">
        <v>0</v>
      </c>
      <c r="AL255" s="80">
        <f t="shared" si="213"/>
        <v>0</v>
      </c>
      <c r="AM255" s="79">
        <v>0</v>
      </c>
      <c r="AN255" s="80">
        <f t="shared" si="214"/>
        <v>0</v>
      </c>
      <c r="AO255" s="79">
        <v>0</v>
      </c>
      <c r="AP255" s="80">
        <f t="shared" si="215"/>
        <v>0</v>
      </c>
      <c r="AQ255" s="79">
        <v>0</v>
      </c>
      <c r="AR255" s="81">
        <f t="shared" si="216"/>
        <v>0</v>
      </c>
      <c r="AS255" s="80">
        <f t="shared" si="199"/>
        <v>0</v>
      </c>
      <c r="AT255" s="70">
        <f t="shared" si="200"/>
        <v>0</v>
      </c>
      <c r="AU255" s="80">
        <f t="shared" si="201"/>
        <v>0</v>
      </c>
      <c r="AV255" s="70">
        <f t="shared" si="202"/>
        <v>0</v>
      </c>
      <c r="AW255" s="80">
        <f t="shared" si="203"/>
        <v>0</v>
      </c>
      <c r="AX255" s="70">
        <f t="shared" si="204"/>
        <v>0</v>
      </c>
      <c r="AY255" s="82"/>
      <c r="BA255" s="79">
        <v>0</v>
      </c>
      <c r="BB255" s="80">
        <f t="shared" si="217"/>
        <v>0</v>
      </c>
      <c r="BC255" s="79">
        <v>0</v>
      </c>
      <c r="BD255" s="80">
        <f t="shared" si="218"/>
        <v>0</v>
      </c>
      <c r="BE255" s="79">
        <v>0</v>
      </c>
      <c r="BF255" s="81">
        <f t="shared" si="219"/>
        <v>0</v>
      </c>
      <c r="BG255" s="80">
        <f t="shared" si="205"/>
        <v>0</v>
      </c>
      <c r="BH255" s="70">
        <f t="shared" si="206"/>
        <v>0</v>
      </c>
      <c r="BI255" s="80">
        <f t="shared" si="207"/>
        <v>0</v>
      </c>
      <c r="BJ255" s="70">
        <f t="shared" si="208"/>
        <v>0</v>
      </c>
      <c r="BK255" s="82"/>
    </row>
    <row r="256" spans="5:63" ht="11.95" thickBot="1" x14ac:dyDescent="0.3">
      <c r="E256" s="3"/>
      <c r="F256" s="3"/>
      <c r="G256" s="3"/>
      <c r="H256" s="3" t="s">
        <v>306</v>
      </c>
      <c r="I256" s="18"/>
      <c r="J256" s="18"/>
      <c r="K256" s="18"/>
      <c r="L256" s="78"/>
      <c r="M256" s="79"/>
      <c r="N256" s="80">
        <f t="shared" si="209"/>
        <v>0</v>
      </c>
      <c r="O256" s="79"/>
      <c r="P256" s="80">
        <f t="shared" si="210"/>
        <v>0</v>
      </c>
      <c r="Q256" s="79"/>
      <c r="R256" s="80">
        <f t="shared" si="211"/>
        <v>0</v>
      </c>
      <c r="S256" s="79"/>
      <c r="T256" s="81">
        <f t="shared" si="212"/>
        <v>0</v>
      </c>
      <c r="U256" s="80">
        <f t="shared" si="189"/>
        <v>0</v>
      </c>
      <c r="V256" s="70">
        <f t="shared" si="190"/>
        <v>0</v>
      </c>
      <c r="W256" s="80">
        <f t="shared" si="191"/>
        <v>0</v>
      </c>
      <c r="X256" s="70">
        <f t="shared" si="192"/>
        <v>0</v>
      </c>
      <c r="Y256" s="80">
        <f t="shared" si="193"/>
        <v>0</v>
      </c>
      <c r="Z256" s="70">
        <f t="shared" si="194"/>
        <v>0</v>
      </c>
      <c r="AA256" s="82"/>
      <c r="AC256" s="79">
        <v>0</v>
      </c>
      <c r="AD256" s="79">
        <v>0</v>
      </c>
      <c r="AE256" s="79">
        <v>0</v>
      </c>
      <c r="AF256" s="83">
        <f t="shared" si="195"/>
        <v>0</v>
      </c>
      <c r="AG256" s="70">
        <f t="shared" si="196"/>
        <v>0</v>
      </c>
      <c r="AH256" s="83">
        <f t="shared" si="197"/>
        <v>0</v>
      </c>
      <c r="AI256" s="70">
        <f t="shared" si="198"/>
        <v>0</v>
      </c>
      <c r="AK256" s="79">
        <v>0</v>
      </c>
      <c r="AL256" s="80">
        <f t="shared" si="213"/>
        <v>0</v>
      </c>
      <c r="AM256" s="79">
        <v>0</v>
      </c>
      <c r="AN256" s="80">
        <f t="shared" si="214"/>
        <v>0</v>
      </c>
      <c r="AO256" s="79">
        <v>0</v>
      </c>
      <c r="AP256" s="80">
        <f t="shared" si="215"/>
        <v>0</v>
      </c>
      <c r="AQ256" s="79">
        <v>0</v>
      </c>
      <c r="AR256" s="81">
        <f t="shared" si="216"/>
        <v>0</v>
      </c>
      <c r="AS256" s="80">
        <f t="shared" si="199"/>
        <v>0</v>
      </c>
      <c r="AT256" s="70">
        <f t="shared" si="200"/>
        <v>0</v>
      </c>
      <c r="AU256" s="80">
        <f t="shared" si="201"/>
        <v>0</v>
      </c>
      <c r="AV256" s="70">
        <f t="shared" si="202"/>
        <v>0</v>
      </c>
      <c r="AW256" s="80">
        <f t="shared" si="203"/>
        <v>0</v>
      </c>
      <c r="AX256" s="70">
        <f t="shared" si="204"/>
        <v>0</v>
      </c>
      <c r="AY256" s="82"/>
      <c r="BA256" s="79">
        <v>0</v>
      </c>
      <c r="BB256" s="80">
        <f t="shared" si="217"/>
        <v>0</v>
      </c>
      <c r="BC256" s="79">
        <v>0</v>
      </c>
      <c r="BD256" s="80">
        <f t="shared" si="218"/>
        <v>0</v>
      </c>
      <c r="BE256" s="79">
        <v>0</v>
      </c>
      <c r="BF256" s="81">
        <f t="shared" si="219"/>
        <v>0</v>
      </c>
      <c r="BG256" s="80">
        <f t="shared" si="205"/>
        <v>0</v>
      </c>
      <c r="BH256" s="70">
        <f t="shared" si="206"/>
        <v>0</v>
      </c>
      <c r="BI256" s="80">
        <f t="shared" si="207"/>
        <v>0</v>
      </c>
      <c r="BJ256" s="70">
        <f t="shared" si="208"/>
        <v>0</v>
      </c>
      <c r="BK256" s="82"/>
    </row>
    <row r="257" spans="5:63" ht="11.95" thickBot="1" x14ac:dyDescent="0.3">
      <c r="E257" s="3"/>
      <c r="F257" s="3"/>
      <c r="G257" s="3"/>
      <c r="H257" s="3" t="s">
        <v>307</v>
      </c>
      <c r="I257" s="18"/>
      <c r="J257" s="18"/>
      <c r="K257" s="18"/>
      <c r="L257" s="78"/>
      <c r="M257" s="79"/>
      <c r="N257" s="80">
        <f t="shared" si="209"/>
        <v>0</v>
      </c>
      <c r="O257" s="79"/>
      <c r="P257" s="80">
        <f t="shared" si="210"/>
        <v>0</v>
      </c>
      <c r="Q257" s="79"/>
      <c r="R257" s="80">
        <f t="shared" si="211"/>
        <v>0</v>
      </c>
      <c r="S257" s="79"/>
      <c r="T257" s="81">
        <f t="shared" si="212"/>
        <v>0</v>
      </c>
      <c r="U257" s="80">
        <f t="shared" si="189"/>
        <v>0</v>
      </c>
      <c r="V257" s="70">
        <f t="shared" si="190"/>
        <v>0</v>
      </c>
      <c r="W257" s="80">
        <f t="shared" si="191"/>
        <v>0</v>
      </c>
      <c r="X257" s="70">
        <f t="shared" si="192"/>
        <v>0</v>
      </c>
      <c r="Y257" s="80">
        <f t="shared" si="193"/>
        <v>0</v>
      </c>
      <c r="Z257" s="70">
        <f t="shared" si="194"/>
        <v>0</v>
      </c>
      <c r="AA257" s="82"/>
      <c r="AC257" s="79">
        <v>0</v>
      </c>
      <c r="AD257" s="79">
        <v>0</v>
      </c>
      <c r="AE257" s="79">
        <v>0</v>
      </c>
      <c r="AF257" s="83">
        <f t="shared" si="195"/>
        <v>0</v>
      </c>
      <c r="AG257" s="70">
        <f t="shared" si="196"/>
        <v>0</v>
      </c>
      <c r="AH257" s="83">
        <f t="shared" si="197"/>
        <v>0</v>
      </c>
      <c r="AI257" s="70">
        <f t="shared" si="198"/>
        <v>0</v>
      </c>
      <c r="AK257" s="79">
        <v>0</v>
      </c>
      <c r="AL257" s="80">
        <f t="shared" si="213"/>
        <v>0</v>
      </c>
      <c r="AM257" s="79">
        <v>0</v>
      </c>
      <c r="AN257" s="80">
        <f t="shared" si="214"/>
        <v>0</v>
      </c>
      <c r="AO257" s="79">
        <v>0</v>
      </c>
      <c r="AP257" s="80">
        <f t="shared" si="215"/>
        <v>0</v>
      </c>
      <c r="AQ257" s="79">
        <v>0</v>
      </c>
      <c r="AR257" s="81">
        <f t="shared" si="216"/>
        <v>0</v>
      </c>
      <c r="AS257" s="80">
        <f t="shared" si="199"/>
        <v>0</v>
      </c>
      <c r="AT257" s="70">
        <f t="shared" si="200"/>
        <v>0</v>
      </c>
      <c r="AU257" s="80">
        <f t="shared" si="201"/>
        <v>0</v>
      </c>
      <c r="AV257" s="70">
        <f t="shared" si="202"/>
        <v>0</v>
      </c>
      <c r="AW257" s="80">
        <f t="shared" si="203"/>
        <v>0</v>
      </c>
      <c r="AX257" s="70">
        <f t="shared" si="204"/>
        <v>0</v>
      </c>
      <c r="AY257" s="82"/>
      <c r="BA257" s="79">
        <v>0</v>
      </c>
      <c r="BB257" s="80">
        <f t="shared" si="217"/>
        <v>0</v>
      </c>
      <c r="BC257" s="79">
        <v>0</v>
      </c>
      <c r="BD257" s="80">
        <f t="shared" si="218"/>
        <v>0</v>
      </c>
      <c r="BE257" s="79">
        <v>0</v>
      </c>
      <c r="BF257" s="81">
        <f t="shared" si="219"/>
        <v>0</v>
      </c>
      <c r="BG257" s="80">
        <f t="shared" si="205"/>
        <v>0</v>
      </c>
      <c r="BH257" s="70">
        <f t="shared" si="206"/>
        <v>0</v>
      </c>
      <c r="BI257" s="80">
        <f t="shared" si="207"/>
        <v>0</v>
      </c>
      <c r="BJ257" s="70">
        <f t="shared" si="208"/>
        <v>0</v>
      </c>
      <c r="BK257" s="82"/>
    </row>
    <row r="258" spans="5:63" ht="11.95" thickBot="1" x14ac:dyDescent="0.3">
      <c r="E258" s="3"/>
      <c r="F258" s="3"/>
      <c r="G258" s="3"/>
      <c r="H258" s="3" t="s">
        <v>308</v>
      </c>
      <c r="I258" s="18"/>
      <c r="J258" s="18"/>
      <c r="K258" s="18"/>
      <c r="L258" s="78"/>
      <c r="M258" s="79">
        <v>6742.5</v>
      </c>
      <c r="N258" s="80">
        <f t="shared" si="209"/>
        <v>1.0302705167199725E-2</v>
      </c>
      <c r="O258" s="79">
        <v>0</v>
      </c>
      <c r="P258" s="80">
        <f t="shared" si="210"/>
        <v>0</v>
      </c>
      <c r="Q258" s="79">
        <v>6090</v>
      </c>
      <c r="R258" s="80">
        <f t="shared" si="211"/>
        <v>1.0994358513591651E-2</v>
      </c>
      <c r="S258" s="79">
        <v>6610</v>
      </c>
      <c r="T258" s="81">
        <f t="shared" si="212"/>
        <v>1.2961622752812971E-2</v>
      </c>
      <c r="U258" s="80">
        <f t="shared" si="189"/>
        <v>-1</v>
      </c>
      <c r="V258" s="70">
        <f t="shared" si="190"/>
        <v>-6742.5</v>
      </c>
      <c r="W258" s="80">
        <f t="shared" si="191"/>
        <v>-9.6774193548387094E-2</v>
      </c>
      <c r="X258" s="70">
        <f t="shared" si="192"/>
        <v>-652.5</v>
      </c>
      <c r="Y258" s="80">
        <f t="shared" si="193"/>
        <v>-1.9651464590285501E-2</v>
      </c>
      <c r="Z258" s="70">
        <f t="shared" si="194"/>
        <v>-132.5</v>
      </c>
      <c r="AA258" s="82"/>
      <c r="AC258" s="79">
        <v>6742.5</v>
      </c>
      <c r="AD258" s="79">
        <v>6610</v>
      </c>
      <c r="AE258" s="79">
        <v>6090</v>
      </c>
      <c r="AF258" s="83">
        <f t="shared" si="195"/>
        <v>-1.9651464590285501E-2</v>
      </c>
      <c r="AG258" s="70">
        <f t="shared" si="196"/>
        <v>-132.5</v>
      </c>
      <c r="AH258" s="83">
        <f t="shared" si="197"/>
        <v>-9.6774193548387094E-2</v>
      </c>
      <c r="AI258" s="70">
        <f t="shared" si="198"/>
        <v>-652.5</v>
      </c>
      <c r="AK258" s="79">
        <v>6742.5</v>
      </c>
      <c r="AL258" s="80">
        <f t="shared" si="213"/>
        <v>1.0302705167199725E-2</v>
      </c>
      <c r="AM258" s="79">
        <v>0</v>
      </c>
      <c r="AN258" s="80">
        <f t="shared" si="214"/>
        <v>0</v>
      </c>
      <c r="AO258" s="79">
        <v>6090</v>
      </c>
      <c r="AP258" s="80">
        <f t="shared" si="215"/>
        <v>1.0994358513591651E-2</v>
      </c>
      <c r="AQ258" s="79">
        <v>6610</v>
      </c>
      <c r="AR258" s="81">
        <f t="shared" si="216"/>
        <v>1.2961622752812971E-2</v>
      </c>
      <c r="AS258" s="80">
        <f t="shared" si="199"/>
        <v>-1</v>
      </c>
      <c r="AT258" s="70">
        <f t="shared" si="200"/>
        <v>-6742.5</v>
      </c>
      <c r="AU258" s="80">
        <f t="shared" si="201"/>
        <v>-0.10714285714285714</v>
      </c>
      <c r="AV258" s="70">
        <f t="shared" si="202"/>
        <v>-652.5</v>
      </c>
      <c r="AW258" s="80">
        <f t="shared" si="203"/>
        <v>-1.9651464590285501E-2</v>
      </c>
      <c r="AX258" s="70">
        <f t="shared" si="204"/>
        <v>-132.5</v>
      </c>
      <c r="AY258" s="82"/>
      <c r="BA258" s="79">
        <v>83600</v>
      </c>
      <c r="BB258" s="80">
        <f t="shared" si="217"/>
        <v>3.7468643540984017E-2</v>
      </c>
      <c r="BC258" s="79">
        <v>83600</v>
      </c>
      <c r="BD258" s="80">
        <f t="shared" si="218"/>
        <v>3.7468643540984017E-2</v>
      </c>
      <c r="BE258" s="79">
        <v>100472.5</v>
      </c>
      <c r="BF258" s="81">
        <f t="shared" si="219"/>
        <v>5.0020492856624556E-2</v>
      </c>
      <c r="BG258" s="80">
        <f t="shared" si="205"/>
        <v>0</v>
      </c>
      <c r="BH258" s="70">
        <f t="shared" si="206"/>
        <v>0</v>
      </c>
      <c r="BI258" s="80">
        <f t="shared" si="207"/>
        <v>0.20182416267942585</v>
      </c>
      <c r="BJ258" s="70">
        <f t="shared" si="208"/>
        <v>16872.5</v>
      </c>
      <c r="BK258" s="82"/>
    </row>
    <row r="259" spans="5:63" ht="11.95" thickBot="1" x14ac:dyDescent="0.3">
      <c r="E259" s="3"/>
      <c r="F259" s="3"/>
      <c r="G259" s="3"/>
      <c r="H259" s="3" t="s">
        <v>309</v>
      </c>
      <c r="I259" s="18"/>
      <c r="J259" s="18"/>
      <c r="K259" s="18"/>
      <c r="L259" s="78"/>
      <c r="M259" s="79"/>
      <c r="N259" s="80">
        <f t="shared" si="209"/>
        <v>0</v>
      </c>
      <c r="O259" s="79"/>
      <c r="P259" s="80">
        <f t="shared" si="210"/>
        <v>0</v>
      </c>
      <c r="Q259" s="79"/>
      <c r="R259" s="80">
        <f t="shared" si="211"/>
        <v>0</v>
      </c>
      <c r="S259" s="79"/>
      <c r="T259" s="81">
        <f t="shared" si="212"/>
        <v>0</v>
      </c>
      <c r="U259" s="80">
        <f t="shared" si="189"/>
        <v>0</v>
      </c>
      <c r="V259" s="70">
        <f t="shared" si="190"/>
        <v>0</v>
      </c>
      <c r="W259" s="80">
        <f t="shared" si="191"/>
        <v>0</v>
      </c>
      <c r="X259" s="70">
        <f t="shared" si="192"/>
        <v>0</v>
      </c>
      <c r="Y259" s="80">
        <f t="shared" si="193"/>
        <v>0</v>
      </c>
      <c r="Z259" s="70">
        <f t="shared" si="194"/>
        <v>0</v>
      </c>
      <c r="AA259" s="82"/>
      <c r="AC259" s="79">
        <v>0</v>
      </c>
      <c r="AD259" s="79">
        <v>0</v>
      </c>
      <c r="AE259" s="79">
        <v>0</v>
      </c>
      <c r="AF259" s="83">
        <f t="shared" si="195"/>
        <v>0</v>
      </c>
      <c r="AG259" s="70">
        <f t="shared" si="196"/>
        <v>0</v>
      </c>
      <c r="AH259" s="83">
        <f t="shared" si="197"/>
        <v>0</v>
      </c>
      <c r="AI259" s="70">
        <f t="shared" si="198"/>
        <v>0</v>
      </c>
      <c r="AK259" s="79">
        <v>0</v>
      </c>
      <c r="AL259" s="80">
        <f t="shared" si="213"/>
        <v>0</v>
      </c>
      <c r="AM259" s="79">
        <v>0</v>
      </c>
      <c r="AN259" s="80">
        <f t="shared" si="214"/>
        <v>0</v>
      </c>
      <c r="AO259" s="79">
        <v>0</v>
      </c>
      <c r="AP259" s="80">
        <f t="shared" si="215"/>
        <v>0</v>
      </c>
      <c r="AQ259" s="79">
        <v>0</v>
      </c>
      <c r="AR259" s="81">
        <f t="shared" si="216"/>
        <v>0</v>
      </c>
      <c r="AS259" s="80">
        <f t="shared" si="199"/>
        <v>0</v>
      </c>
      <c r="AT259" s="70">
        <f t="shared" si="200"/>
        <v>0</v>
      </c>
      <c r="AU259" s="80">
        <f t="shared" si="201"/>
        <v>0</v>
      </c>
      <c r="AV259" s="70">
        <f t="shared" si="202"/>
        <v>0</v>
      </c>
      <c r="AW259" s="80">
        <f t="shared" si="203"/>
        <v>0</v>
      </c>
      <c r="AX259" s="70">
        <f t="shared" si="204"/>
        <v>0</v>
      </c>
      <c r="AY259" s="82"/>
      <c r="BA259" s="79">
        <v>0</v>
      </c>
      <c r="BB259" s="80">
        <f t="shared" si="217"/>
        <v>0</v>
      </c>
      <c r="BC259" s="79">
        <v>0</v>
      </c>
      <c r="BD259" s="80">
        <f t="shared" si="218"/>
        <v>0</v>
      </c>
      <c r="BE259" s="79">
        <v>0</v>
      </c>
      <c r="BF259" s="81">
        <f t="shared" si="219"/>
        <v>0</v>
      </c>
      <c r="BG259" s="80">
        <f t="shared" si="205"/>
        <v>0</v>
      </c>
      <c r="BH259" s="70">
        <f t="shared" si="206"/>
        <v>0</v>
      </c>
      <c r="BI259" s="80">
        <f t="shared" si="207"/>
        <v>0</v>
      </c>
      <c r="BJ259" s="70">
        <f t="shared" si="208"/>
        <v>0</v>
      </c>
      <c r="BK259" s="82"/>
    </row>
    <row r="260" spans="5:63" ht="11.95" thickBot="1" x14ac:dyDescent="0.3">
      <c r="E260" s="3"/>
      <c r="F260" s="3"/>
      <c r="G260" s="3"/>
      <c r="H260" s="3" t="s">
        <v>310</v>
      </c>
      <c r="I260" s="18"/>
      <c r="J260" s="18"/>
      <c r="K260" s="18"/>
      <c r="L260" s="78"/>
      <c r="M260" s="79"/>
      <c r="N260" s="80">
        <f t="shared" si="209"/>
        <v>0</v>
      </c>
      <c r="O260" s="79"/>
      <c r="P260" s="80">
        <f t="shared" si="210"/>
        <v>0</v>
      </c>
      <c r="Q260" s="79"/>
      <c r="R260" s="80">
        <f t="shared" si="211"/>
        <v>0</v>
      </c>
      <c r="S260" s="79"/>
      <c r="T260" s="81">
        <f t="shared" si="212"/>
        <v>0</v>
      </c>
      <c r="U260" s="80">
        <f t="shared" si="189"/>
        <v>0</v>
      </c>
      <c r="V260" s="70">
        <f t="shared" si="190"/>
        <v>0</v>
      </c>
      <c r="W260" s="80">
        <f t="shared" si="191"/>
        <v>0</v>
      </c>
      <c r="X260" s="70">
        <f t="shared" si="192"/>
        <v>0</v>
      </c>
      <c r="Y260" s="80">
        <f t="shared" si="193"/>
        <v>0</v>
      </c>
      <c r="Z260" s="70">
        <f t="shared" si="194"/>
        <v>0</v>
      </c>
      <c r="AA260" s="82"/>
      <c r="AC260" s="79">
        <v>0</v>
      </c>
      <c r="AD260" s="79">
        <v>0</v>
      </c>
      <c r="AE260" s="79">
        <v>0</v>
      </c>
      <c r="AF260" s="83">
        <f t="shared" si="195"/>
        <v>0</v>
      </c>
      <c r="AG260" s="70">
        <f t="shared" si="196"/>
        <v>0</v>
      </c>
      <c r="AH260" s="83">
        <f t="shared" si="197"/>
        <v>0</v>
      </c>
      <c r="AI260" s="70">
        <f t="shared" si="198"/>
        <v>0</v>
      </c>
      <c r="AK260" s="79">
        <v>0</v>
      </c>
      <c r="AL260" s="80">
        <f t="shared" si="213"/>
        <v>0</v>
      </c>
      <c r="AM260" s="79">
        <v>0</v>
      </c>
      <c r="AN260" s="80">
        <f t="shared" si="214"/>
        <v>0</v>
      </c>
      <c r="AO260" s="79">
        <v>0</v>
      </c>
      <c r="AP260" s="80">
        <f t="shared" si="215"/>
        <v>0</v>
      </c>
      <c r="AQ260" s="79">
        <v>0</v>
      </c>
      <c r="AR260" s="81">
        <f t="shared" si="216"/>
        <v>0</v>
      </c>
      <c r="AS260" s="80">
        <f t="shared" si="199"/>
        <v>0</v>
      </c>
      <c r="AT260" s="70">
        <f t="shared" si="200"/>
        <v>0</v>
      </c>
      <c r="AU260" s="80">
        <f t="shared" si="201"/>
        <v>0</v>
      </c>
      <c r="AV260" s="70">
        <f t="shared" si="202"/>
        <v>0</v>
      </c>
      <c r="AW260" s="80">
        <f t="shared" si="203"/>
        <v>0</v>
      </c>
      <c r="AX260" s="70">
        <f t="shared" si="204"/>
        <v>0</v>
      </c>
      <c r="AY260" s="82"/>
      <c r="BA260" s="79">
        <v>0</v>
      </c>
      <c r="BB260" s="80">
        <f t="shared" si="217"/>
        <v>0</v>
      </c>
      <c r="BC260" s="79">
        <v>0</v>
      </c>
      <c r="BD260" s="80">
        <f t="shared" si="218"/>
        <v>0</v>
      </c>
      <c r="BE260" s="79">
        <v>0</v>
      </c>
      <c r="BF260" s="81">
        <f t="shared" si="219"/>
        <v>0</v>
      </c>
      <c r="BG260" s="80">
        <f t="shared" si="205"/>
        <v>0</v>
      </c>
      <c r="BH260" s="70">
        <f t="shared" si="206"/>
        <v>0</v>
      </c>
      <c r="BI260" s="80">
        <f t="shared" si="207"/>
        <v>0</v>
      </c>
      <c r="BJ260" s="70">
        <f t="shared" si="208"/>
        <v>0</v>
      </c>
      <c r="BK260" s="82"/>
    </row>
    <row r="261" spans="5:63" ht="11.95" thickBot="1" x14ac:dyDescent="0.3">
      <c r="E261" s="3"/>
      <c r="F261" s="3"/>
      <c r="G261" s="3"/>
      <c r="H261" s="3" t="s">
        <v>311</v>
      </c>
      <c r="I261" s="18"/>
      <c r="J261" s="18"/>
      <c r="K261" s="18"/>
      <c r="L261" s="78"/>
      <c r="M261" s="79"/>
      <c r="N261" s="80">
        <f t="shared" si="209"/>
        <v>0</v>
      </c>
      <c r="O261" s="79"/>
      <c r="P261" s="80">
        <f t="shared" si="210"/>
        <v>0</v>
      </c>
      <c r="Q261" s="79"/>
      <c r="R261" s="80">
        <f t="shared" si="211"/>
        <v>0</v>
      </c>
      <c r="S261" s="79"/>
      <c r="T261" s="81">
        <f t="shared" si="212"/>
        <v>0</v>
      </c>
      <c r="U261" s="80">
        <f t="shared" si="189"/>
        <v>0</v>
      </c>
      <c r="V261" s="70">
        <f t="shared" si="190"/>
        <v>0</v>
      </c>
      <c r="W261" s="80">
        <f t="shared" si="191"/>
        <v>0</v>
      </c>
      <c r="X261" s="70">
        <f t="shared" si="192"/>
        <v>0</v>
      </c>
      <c r="Y261" s="80">
        <f t="shared" si="193"/>
        <v>0</v>
      </c>
      <c r="Z261" s="70">
        <f t="shared" si="194"/>
        <v>0</v>
      </c>
      <c r="AA261" s="82"/>
      <c r="AC261" s="79">
        <v>0</v>
      </c>
      <c r="AD261" s="79">
        <v>0</v>
      </c>
      <c r="AE261" s="79">
        <v>0</v>
      </c>
      <c r="AF261" s="83">
        <f t="shared" si="195"/>
        <v>0</v>
      </c>
      <c r="AG261" s="70">
        <f t="shared" si="196"/>
        <v>0</v>
      </c>
      <c r="AH261" s="83">
        <f t="shared" si="197"/>
        <v>0</v>
      </c>
      <c r="AI261" s="70">
        <f t="shared" si="198"/>
        <v>0</v>
      </c>
      <c r="AK261" s="79">
        <v>0</v>
      </c>
      <c r="AL261" s="80">
        <f t="shared" si="213"/>
        <v>0</v>
      </c>
      <c r="AM261" s="79">
        <v>0</v>
      </c>
      <c r="AN261" s="80">
        <f t="shared" si="214"/>
        <v>0</v>
      </c>
      <c r="AO261" s="79">
        <v>0</v>
      </c>
      <c r="AP261" s="80">
        <f t="shared" si="215"/>
        <v>0</v>
      </c>
      <c r="AQ261" s="79">
        <v>0</v>
      </c>
      <c r="AR261" s="81">
        <f t="shared" si="216"/>
        <v>0</v>
      </c>
      <c r="AS261" s="80">
        <f t="shared" si="199"/>
        <v>0</v>
      </c>
      <c r="AT261" s="70">
        <f t="shared" si="200"/>
        <v>0</v>
      </c>
      <c r="AU261" s="80">
        <f t="shared" si="201"/>
        <v>0</v>
      </c>
      <c r="AV261" s="70">
        <f t="shared" si="202"/>
        <v>0</v>
      </c>
      <c r="AW261" s="80">
        <f t="shared" si="203"/>
        <v>0</v>
      </c>
      <c r="AX261" s="70">
        <f t="shared" si="204"/>
        <v>0</v>
      </c>
      <c r="AY261" s="82"/>
      <c r="BA261" s="79">
        <v>0</v>
      </c>
      <c r="BB261" s="80">
        <f t="shared" si="217"/>
        <v>0</v>
      </c>
      <c r="BC261" s="79">
        <v>0</v>
      </c>
      <c r="BD261" s="80">
        <f t="shared" si="218"/>
        <v>0</v>
      </c>
      <c r="BE261" s="79">
        <v>0</v>
      </c>
      <c r="BF261" s="81">
        <f t="shared" si="219"/>
        <v>0</v>
      </c>
      <c r="BG261" s="80">
        <f t="shared" si="205"/>
        <v>0</v>
      </c>
      <c r="BH261" s="70">
        <f t="shared" si="206"/>
        <v>0</v>
      </c>
      <c r="BI261" s="80">
        <f t="shared" si="207"/>
        <v>0</v>
      </c>
      <c r="BJ261" s="70">
        <f t="shared" si="208"/>
        <v>0</v>
      </c>
      <c r="BK261" s="82"/>
    </row>
    <row r="262" spans="5:63" ht="11.95" thickBot="1" x14ac:dyDescent="0.3">
      <c r="E262" s="3"/>
      <c r="F262" s="3"/>
      <c r="G262" s="3"/>
      <c r="H262" s="3" t="s">
        <v>312</v>
      </c>
      <c r="I262" s="18"/>
      <c r="J262" s="18"/>
      <c r="K262" s="18"/>
      <c r="L262" s="78"/>
      <c r="M262" s="79"/>
      <c r="N262" s="80">
        <f t="shared" si="209"/>
        <v>0</v>
      </c>
      <c r="O262" s="79"/>
      <c r="P262" s="80">
        <f t="shared" si="210"/>
        <v>0</v>
      </c>
      <c r="Q262" s="79"/>
      <c r="R262" s="80">
        <f t="shared" si="211"/>
        <v>0</v>
      </c>
      <c r="S262" s="79"/>
      <c r="T262" s="81">
        <f t="shared" si="212"/>
        <v>0</v>
      </c>
      <c r="U262" s="80">
        <f t="shared" si="189"/>
        <v>0</v>
      </c>
      <c r="V262" s="70">
        <f t="shared" si="190"/>
        <v>0</v>
      </c>
      <c r="W262" s="80">
        <f t="shared" si="191"/>
        <v>0</v>
      </c>
      <c r="X262" s="70">
        <f t="shared" si="192"/>
        <v>0</v>
      </c>
      <c r="Y262" s="80">
        <f t="shared" si="193"/>
        <v>0</v>
      </c>
      <c r="Z262" s="70">
        <f t="shared" si="194"/>
        <v>0</v>
      </c>
      <c r="AA262" s="82"/>
      <c r="AC262" s="79">
        <v>0</v>
      </c>
      <c r="AD262" s="79">
        <v>0</v>
      </c>
      <c r="AE262" s="79">
        <v>0</v>
      </c>
      <c r="AF262" s="83">
        <f t="shared" si="195"/>
        <v>0</v>
      </c>
      <c r="AG262" s="70">
        <f t="shared" si="196"/>
        <v>0</v>
      </c>
      <c r="AH262" s="83">
        <f t="shared" si="197"/>
        <v>0</v>
      </c>
      <c r="AI262" s="70">
        <f t="shared" si="198"/>
        <v>0</v>
      </c>
      <c r="AK262" s="79">
        <v>0</v>
      </c>
      <c r="AL262" s="80">
        <f t="shared" si="213"/>
        <v>0</v>
      </c>
      <c r="AM262" s="79">
        <v>0</v>
      </c>
      <c r="AN262" s="80">
        <f t="shared" si="214"/>
        <v>0</v>
      </c>
      <c r="AO262" s="79">
        <v>0</v>
      </c>
      <c r="AP262" s="80">
        <f t="shared" si="215"/>
        <v>0</v>
      </c>
      <c r="AQ262" s="79">
        <v>0</v>
      </c>
      <c r="AR262" s="81">
        <f t="shared" si="216"/>
        <v>0</v>
      </c>
      <c r="AS262" s="80">
        <f t="shared" si="199"/>
        <v>0</v>
      </c>
      <c r="AT262" s="70">
        <f t="shared" si="200"/>
        <v>0</v>
      </c>
      <c r="AU262" s="80">
        <f t="shared" si="201"/>
        <v>0</v>
      </c>
      <c r="AV262" s="70">
        <f t="shared" si="202"/>
        <v>0</v>
      </c>
      <c r="AW262" s="80">
        <f t="shared" si="203"/>
        <v>0</v>
      </c>
      <c r="AX262" s="70">
        <f t="shared" si="204"/>
        <v>0</v>
      </c>
      <c r="AY262" s="82"/>
      <c r="BA262" s="79">
        <v>0</v>
      </c>
      <c r="BB262" s="80">
        <f t="shared" si="217"/>
        <v>0</v>
      </c>
      <c r="BC262" s="79">
        <v>0</v>
      </c>
      <c r="BD262" s="80">
        <f t="shared" si="218"/>
        <v>0</v>
      </c>
      <c r="BE262" s="79">
        <v>0</v>
      </c>
      <c r="BF262" s="81">
        <f t="shared" si="219"/>
        <v>0</v>
      </c>
      <c r="BG262" s="80">
        <f t="shared" si="205"/>
        <v>0</v>
      </c>
      <c r="BH262" s="70">
        <f t="shared" si="206"/>
        <v>0</v>
      </c>
      <c r="BI262" s="80">
        <f t="shared" si="207"/>
        <v>0</v>
      </c>
      <c r="BJ262" s="70">
        <f t="shared" si="208"/>
        <v>0</v>
      </c>
      <c r="BK262" s="82"/>
    </row>
    <row r="263" spans="5:63" ht="11.95" thickBot="1" x14ac:dyDescent="0.3">
      <c r="E263" s="3"/>
      <c r="F263" s="3"/>
      <c r="G263" s="3"/>
      <c r="H263" s="3" t="s">
        <v>313</v>
      </c>
      <c r="I263" s="18"/>
      <c r="J263" s="18"/>
      <c r="K263" s="18"/>
      <c r="L263" s="78"/>
      <c r="M263" s="79">
        <v>20</v>
      </c>
      <c r="N263" s="80">
        <f t="shared" si="209"/>
        <v>3.0560489928660662E-5</v>
      </c>
      <c r="O263" s="79"/>
      <c r="P263" s="80">
        <f t="shared" si="210"/>
        <v>0</v>
      </c>
      <c r="Q263" s="79"/>
      <c r="R263" s="80">
        <f t="shared" si="211"/>
        <v>0</v>
      </c>
      <c r="S263" s="79"/>
      <c r="T263" s="81">
        <f t="shared" si="212"/>
        <v>0</v>
      </c>
      <c r="U263" s="80">
        <f t="shared" si="189"/>
        <v>-1</v>
      </c>
      <c r="V263" s="70">
        <f t="shared" si="190"/>
        <v>-20</v>
      </c>
      <c r="W263" s="80">
        <f t="shared" si="191"/>
        <v>-1</v>
      </c>
      <c r="X263" s="70">
        <f t="shared" si="192"/>
        <v>-20</v>
      </c>
      <c r="Y263" s="80">
        <f t="shared" si="193"/>
        <v>-1</v>
      </c>
      <c r="Z263" s="70">
        <f t="shared" si="194"/>
        <v>-20</v>
      </c>
      <c r="AA263" s="82"/>
      <c r="AC263" s="79">
        <v>20</v>
      </c>
      <c r="AD263" s="79">
        <v>0</v>
      </c>
      <c r="AE263" s="79">
        <v>0</v>
      </c>
      <c r="AF263" s="83">
        <f t="shared" si="195"/>
        <v>-1</v>
      </c>
      <c r="AG263" s="70">
        <f t="shared" si="196"/>
        <v>-20</v>
      </c>
      <c r="AH263" s="83">
        <f t="shared" si="197"/>
        <v>-1</v>
      </c>
      <c r="AI263" s="70">
        <f t="shared" si="198"/>
        <v>-20</v>
      </c>
      <c r="AK263" s="79">
        <v>20</v>
      </c>
      <c r="AL263" s="80">
        <f t="shared" si="213"/>
        <v>3.0560489928660662E-5</v>
      </c>
      <c r="AM263" s="79">
        <v>0</v>
      </c>
      <c r="AN263" s="80">
        <f t="shared" si="214"/>
        <v>0</v>
      </c>
      <c r="AO263" s="79">
        <v>0</v>
      </c>
      <c r="AP263" s="80">
        <f t="shared" si="215"/>
        <v>0</v>
      </c>
      <c r="AQ263" s="79">
        <v>0</v>
      </c>
      <c r="AR263" s="81">
        <f t="shared" si="216"/>
        <v>0</v>
      </c>
      <c r="AS263" s="80">
        <f t="shared" si="199"/>
        <v>-1</v>
      </c>
      <c r="AT263" s="70">
        <f t="shared" si="200"/>
        <v>-20</v>
      </c>
      <c r="AU263" s="80">
        <f t="shared" si="201"/>
        <v>0</v>
      </c>
      <c r="AV263" s="70">
        <f t="shared" si="202"/>
        <v>-20</v>
      </c>
      <c r="AW263" s="80">
        <f t="shared" si="203"/>
        <v>-1</v>
      </c>
      <c r="AX263" s="70">
        <f t="shared" si="204"/>
        <v>-20</v>
      </c>
      <c r="AY263" s="82"/>
      <c r="BA263" s="79">
        <v>0</v>
      </c>
      <c r="BB263" s="80">
        <f t="shared" si="217"/>
        <v>0</v>
      </c>
      <c r="BC263" s="79">
        <v>0</v>
      </c>
      <c r="BD263" s="80">
        <f t="shared" si="218"/>
        <v>0</v>
      </c>
      <c r="BE263" s="79">
        <v>0</v>
      </c>
      <c r="BF263" s="81">
        <f t="shared" si="219"/>
        <v>0</v>
      </c>
      <c r="BG263" s="80">
        <f t="shared" si="205"/>
        <v>0</v>
      </c>
      <c r="BH263" s="70">
        <f t="shared" si="206"/>
        <v>0</v>
      </c>
      <c r="BI263" s="80">
        <f t="shared" si="207"/>
        <v>0</v>
      </c>
      <c r="BJ263" s="70">
        <f t="shared" si="208"/>
        <v>0</v>
      </c>
      <c r="BK263" s="82"/>
    </row>
    <row r="264" spans="5:63" ht="11.95" thickBot="1" x14ac:dyDescent="0.3">
      <c r="E264" s="3"/>
      <c r="F264" s="3"/>
      <c r="G264" s="3"/>
      <c r="H264" s="3" t="s">
        <v>314</v>
      </c>
      <c r="I264" s="18"/>
      <c r="J264" s="18"/>
      <c r="K264" s="18"/>
      <c r="L264" s="78"/>
      <c r="M264" s="79"/>
      <c r="N264" s="80">
        <f t="shared" si="209"/>
        <v>0</v>
      </c>
      <c r="O264" s="79"/>
      <c r="P264" s="80">
        <f t="shared" si="210"/>
        <v>0</v>
      </c>
      <c r="Q264" s="79"/>
      <c r="R264" s="80">
        <f t="shared" si="211"/>
        <v>0</v>
      </c>
      <c r="S264" s="79"/>
      <c r="T264" s="81">
        <f t="shared" si="212"/>
        <v>0</v>
      </c>
      <c r="U264" s="80">
        <f t="shared" si="189"/>
        <v>0</v>
      </c>
      <c r="V264" s="70">
        <f t="shared" si="190"/>
        <v>0</v>
      </c>
      <c r="W264" s="80">
        <f t="shared" si="191"/>
        <v>0</v>
      </c>
      <c r="X264" s="70">
        <f t="shared" si="192"/>
        <v>0</v>
      </c>
      <c r="Y264" s="80">
        <f t="shared" si="193"/>
        <v>0</v>
      </c>
      <c r="Z264" s="70">
        <f t="shared" si="194"/>
        <v>0</v>
      </c>
      <c r="AA264" s="82"/>
      <c r="AC264" s="79">
        <v>0</v>
      </c>
      <c r="AD264" s="79">
        <v>0</v>
      </c>
      <c r="AE264" s="79">
        <v>0</v>
      </c>
      <c r="AF264" s="83">
        <f t="shared" si="195"/>
        <v>0</v>
      </c>
      <c r="AG264" s="70">
        <f t="shared" si="196"/>
        <v>0</v>
      </c>
      <c r="AH264" s="83">
        <f t="shared" si="197"/>
        <v>0</v>
      </c>
      <c r="AI264" s="70">
        <f t="shared" si="198"/>
        <v>0</v>
      </c>
      <c r="AK264" s="79">
        <v>0</v>
      </c>
      <c r="AL264" s="80">
        <f t="shared" si="213"/>
        <v>0</v>
      </c>
      <c r="AM264" s="79">
        <v>0</v>
      </c>
      <c r="AN264" s="80">
        <f t="shared" si="214"/>
        <v>0</v>
      </c>
      <c r="AO264" s="79">
        <v>0</v>
      </c>
      <c r="AP264" s="80">
        <f t="shared" si="215"/>
        <v>0</v>
      </c>
      <c r="AQ264" s="79">
        <v>0</v>
      </c>
      <c r="AR264" s="81">
        <f t="shared" si="216"/>
        <v>0</v>
      </c>
      <c r="AS264" s="80">
        <f t="shared" si="199"/>
        <v>0</v>
      </c>
      <c r="AT264" s="70">
        <f t="shared" si="200"/>
        <v>0</v>
      </c>
      <c r="AU264" s="80">
        <f t="shared" si="201"/>
        <v>0</v>
      </c>
      <c r="AV264" s="70">
        <f t="shared" si="202"/>
        <v>0</v>
      </c>
      <c r="AW264" s="80">
        <f t="shared" si="203"/>
        <v>0</v>
      </c>
      <c r="AX264" s="70">
        <f t="shared" si="204"/>
        <v>0</v>
      </c>
      <c r="AY264" s="82"/>
      <c r="BA264" s="79">
        <v>0</v>
      </c>
      <c r="BB264" s="80">
        <f t="shared" si="217"/>
        <v>0</v>
      </c>
      <c r="BC264" s="79">
        <v>0</v>
      </c>
      <c r="BD264" s="80">
        <f t="shared" si="218"/>
        <v>0</v>
      </c>
      <c r="BE264" s="79">
        <v>0</v>
      </c>
      <c r="BF264" s="81">
        <f t="shared" si="219"/>
        <v>0</v>
      </c>
      <c r="BG264" s="80">
        <f t="shared" si="205"/>
        <v>0</v>
      </c>
      <c r="BH264" s="70">
        <f t="shared" si="206"/>
        <v>0</v>
      </c>
      <c r="BI264" s="80">
        <f t="shared" si="207"/>
        <v>0</v>
      </c>
      <c r="BJ264" s="70">
        <f t="shared" si="208"/>
        <v>0</v>
      </c>
      <c r="BK264" s="82"/>
    </row>
    <row r="265" spans="5:63" ht="11.95" thickBot="1" x14ac:dyDescent="0.3">
      <c r="E265" s="3"/>
      <c r="F265" s="3"/>
      <c r="G265" s="3"/>
      <c r="H265" s="3" t="s">
        <v>315</v>
      </c>
      <c r="I265" s="18"/>
      <c r="J265" s="18"/>
      <c r="K265" s="18"/>
      <c r="L265" s="78"/>
      <c r="M265" s="79">
        <v>6722.5</v>
      </c>
      <c r="N265" s="80">
        <f t="shared" si="209"/>
        <v>1.0272144677271064E-2</v>
      </c>
      <c r="O265" s="79"/>
      <c r="P265" s="80">
        <f t="shared" si="210"/>
        <v>0</v>
      </c>
      <c r="Q265" s="79">
        <v>6090</v>
      </c>
      <c r="R265" s="80">
        <f t="shared" si="211"/>
        <v>1.0994358513591651E-2</v>
      </c>
      <c r="S265" s="79">
        <v>6610</v>
      </c>
      <c r="T265" s="81">
        <f t="shared" si="212"/>
        <v>1.2961622752812971E-2</v>
      </c>
      <c r="U265" s="80">
        <f t="shared" si="189"/>
        <v>-1</v>
      </c>
      <c r="V265" s="70">
        <f t="shared" si="190"/>
        <v>-6722.5</v>
      </c>
      <c r="W265" s="80">
        <f t="shared" si="191"/>
        <v>-9.4087021197471185E-2</v>
      </c>
      <c r="X265" s="70">
        <f t="shared" si="192"/>
        <v>-632.5</v>
      </c>
      <c r="Y265" s="80">
        <f t="shared" si="193"/>
        <v>-1.6734845667534401E-2</v>
      </c>
      <c r="Z265" s="70">
        <f t="shared" si="194"/>
        <v>-112.5</v>
      </c>
      <c r="AA265" s="82"/>
      <c r="AC265" s="79">
        <v>6722.5</v>
      </c>
      <c r="AD265" s="79">
        <v>6610</v>
      </c>
      <c r="AE265" s="79">
        <v>6090</v>
      </c>
      <c r="AF265" s="83">
        <f t="shared" si="195"/>
        <v>-1.6734845667534401E-2</v>
      </c>
      <c r="AG265" s="70">
        <f t="shared" si="196"/>
        <v>-112.5</v>
      </c>
      <c r="AH265" s="83">
        <f t="shared" si="197"/>
        <v>-9.4087021197471185E-2</v>
      </c>
      <c r="AI265" s="70">
        <f t="shared" si="198"/>
        <v>-632.5</v>
      </c>
      <c r="AK265" s="79">
        <v>6722.5</v>
      </c>
      <c r="AL265" s="80">
        <f t="shared" si="213"/>
        <v>1.0272144677271064E-2</v>
      </c>
      <c r="AM265" s="79">
        <v>0</v>
      </c>
      <c r="AN265" s="80">
        <f t="shared" si="214"/>
        <v>0</v>
      </c>
      <c r="AO265" s="79">
        <v>6090</v>
      </c>
      <c r="AP265" s="80">
        <f t="shared" si="215"/>
        <v>1.0994358513591651E-2</v>
      </c>
      <c r="AQ265" s="79">
        <v>6610</v>
      </c>
      <c r="AR265" s="81">
        <f t="shared" si="216"/>
        <v>1.2961622752812971E-2</v>
      </c>
      <c r="AS265" s="80">
        <f t="shared" si="199"/>
        <v>-1</v>
      </c>
      <c r="AT265" s="70">
        <f t="shared" si="200"/>
        <v>-6722.5</v>
      </c>
      <c r="AU265" s="80">
        <f t="shared" si="201"/>
        <v>-0.10385878489326765</v>
      </c>
      <c r="AV265" s="70">
        <f t="shared" si="202"/>
        <v>-632.5</v>
      </c>
      <c r="AW265" s="80">
        <f t="shared" si="203"/>
        <v>-1.6734845667534401E-2</v>
      </c>
      <c r="AX265" s="70">
        <f t="shared" si="204"/>
        <v>-112.5</v>
      </c>
      <c r="AY265" s="82"/>
      <c r="BA265" s="79">
        <v>83600</v>
      </c>
      <c r="BB265" s="80">
        <f t="shared" si="217"/>
        <v>3.7468643540984017E-2</v>
      </c>
      <c r="BC265" s="79">
        <v>83600</v>
      </c>
      <c r="BD265" s="80">
        <f t="shared" si="218"/>
        <v>3.7468643540984017E-2</v>
      </c>
      <c r="BE265" s="79">
        <v>100472.5</v>
      </c>
      <c r="BF265" s="81">
        <f t="shared" si="219"/>
        <v>5.0020492856624556E-2</v>
      </c>
      <c r="BG265" s="80">
        <f t="shared" si="205"/>
        <v>0</v>
      </c>
      <c r="BH265" s="70">
        <f t="shared" si="206"/>
        <v>0</v>
      </c>
      <c r="BI265" s="80">
        <f t="shared" si="207"/>
        <v>0.20182416267942585</v>
      </c>
      <c r="BJ265" s="70">
        <f t="shared" si="208"/>
        <v>16872.5</v>
      </c>
      <c r="BK265" s="82"/>
    </row>
    <row r="266" spans="5:63" ht="11.95" thickBot="1" x14ac:dyDescent="0.3">
      <c r="E266" s="3"/>
      <c r="F266" s="3"/>
      <c r="G266" s="3"/>
      <c r="H266" s="3" t="s">
        <v>316</v>
      </c>
      <c r="I266" s="18"/>
      <c r="J266" s="18"/>
      <c r="K266" s="18"/>
      <c r="L266" s="78"/>
      <c r="M266" s="79"/>
      <c r="N266" s="80">
        <f t="shared" si="209"/>
        <v>0</v>
      </c>
      <c r="O266" s="79"/>
      <c r="P266" s="80">
        <f t="shared" si="210"/>
        <v>0</v>
      </c>
      <c r="Q266" s="79"/>
      <c r="R266" s="80">
        <f t="shared" si="211"/>
        <v>0</v>
      </c>
      <c r="S266" s="79"/>
      <c r="T266" s="81">
        <f t="shared" si="212"/>
        <v>0</v>
      </c>
      <c r="U266" s="80">
        <f t="shared" si="189"/>
        <v>0</v>
      </c>
      <c r="V266" s="70">
        <f t="shared" si="190"/>
        <v>0</v>
      </c>
      <c r="W266" s="80">
        <f t="shared" si="191"/>
        <v>0</v>
      </c>
      <c r="X266" s="70">
        <f t="shared" si="192"/>
        <v>0</v>
      </c>
      <c r="Y266" s="80">
        <f t="shared" si="193"/>
        <v>0</v>
      </c>
      <c r="Z266" s="70">
        <f t="shared" si="194"/>
        <v>0</v>
      </c>
      <c r="AA266" s="82"/>
      <c r="AC266" s="79">
        <v>0</v>
      </c>
      <c r="AD266" s="79">
        <v>0</v>
      </c>
      <c r="AE266" s="79">
        <v>0</v>
      </c>
      <c r="AF266" s="83">
        <f t="shared" si="195"/>
        <v>0</v>
      </c>
      <c r="AG266" s="70">
        <f t="shared" si="196"/>
        <v>0</v>
      </c>
      <c r="AH266" s="83">
        <f t="shared" si="197"/>
        <v>0</v>
      </c>
      <c r="AI266" s="70">
        <f t="shared" si="198"/>
        <v>0</v>
      </c>
      <c r="AK266" s="79">
        <v>0</v>
      </c>
      <c r="AL266" s="80">
        <f t="shared" si="213"/>
        <v>0</v>
      </c>
      <c r="AM266" s="79">
        <v>0</v>
      </c>
      <c r="AN266" s="80">
        <f t="shared" si="214"/>
        <v>0</v>
      </c>
      <c r="AO266" s="79">
        <v>0</v>
      </c>
      <c r="AP266" s="80">
        <f t="shared" si="215"/>
        <v>0</v>
      </c>
      <c r="AQ266" s="79">
        <v>0</v>
      </c>
      <c r="AR266" s="81">
        <f t="shared" si="216"/>
        <v>0</v>
      </c>
      <c r="AS266" s="80">
        <f t="shared" si="199"/>
        <v>0</v>
      </c>
      <c r="AT266" s="70">
        <f t="shared" si="200"/>
        <v>0</v>
      </c>
      <c r="AU266" s="80">
        <f t="shared" si="201"/>
        <v>0</v>
      </c>
      <c r="AV266" s="70">
        <f t="shared" si="202"/>
        <v>0</v>
      </c>
      <c r="AW266" s="80">
        <f t="shared" si="203"/>
        <v>0</v>
      </c>
      <c r="AX266" s="70">
        <f t="shared" si="204"/>
        <v>0</v>
      </c>
      <c r="AY266" s="82"/>
      <c r="BA266" s="79">
        <v>0</v>
      </c>
      <c r="BB266" s="80">
        <f t="shared" si="217"/>
        <v>0</v>
      </c>
      <c r="BC266" s="79">
        <v>0</v>
      </c>
      <c r="BD266" s="80">
        <f t="shared" si="218"/>
        <v>0</v>
      </c>
      <c r="BE266" s="79">
        <v>0</v>
      </c>
      <c r="BF266" s="81">
        <f t="shared" si="219"/>
        <v>0</v>
      </c>
      <c r="BG266" s="80">
        <f t="shared" si="205"/>
        <v>0</v>
      </c>
      <c r="BH266" s="70">
        <f t="shared" si="206"/>
        <v>0</v>
      </c>
      <c r="BI266" s="80">
        <f t="shared" si="207"/>
        <v>0</v>
      </c>
      <c r="BJ266" s="70">
        <f t="shared" si="208"/>
        <v>0</v>
      </c>
      <c r="BK266" s="82"/>
    </row>
    <row r="267" spans="5:63" ht="11.95" thickBot="1" x14ac:dyDescent="0.3">
      <c r="E267" s="3"/>
      <c r="F267" s="3"/>
      <c r="G267" s="3"/>
      <c r="H267" s="3" t="s">
        <v>317</v>
      </c>
      <c r="I267" s="18"/>
      <c r="J267" s="18"/>
      <c r="K267" s="18"/>
      <c r="L267" s="78"/>
      <c r="M267" s="79"/>
      <c r="N267" s="80">
        <f t="shared" si="209"/>
        <v>0</v>
      </c>
      <c r="O267" s="79"/>
      <c r="P267" s="80">
        <f t="shared" si="210"/>
        <v>0</v>
      </c>
      <c r="Q267" s="79"/>
      <c r="R267" s="80">
        <f t="shared" si="211"/>
        <v>0</v>
      </c>
      <c r="S267" s="79"/>
      <c r="T267" s="81">
        <f t="shared" si="212"/>
        <v>0</v>
      </c>
      <c r="U267" s="80">
        <f t="shared" si="189"/>
        <v>0</v>
      </c>
      <c r="V267" s="70">
        <f t="shared" si="190"/>
        <v>0</v>
      </c>
      <c r="W267" s="80">
        <f t="shared" si="191"/>
        <v>0</v>
      </c>
      <c r="X267" s="70">
        <f t="shared" si="192"/>
        <v>0</v>
      </c>
      <c r="Y267" s="80">
        <f t="shared" si="193"/>
        <v>0</v>
      </c>
      <c r="Z267" s="70">
        <f t="shared" si="194"/>
        <v>0</v>
      </c>
      <c r="AA267" s="82"/>
      <c r="AC267" s="79">
        <v>0</v>
      </c>
      <c r="AD267" s="79">
        <v>0</v>
      </c>
      <c r="AE267" s="79">
        <v>0</v>
      </c>
      <c r="AF267" s="83">
        <f t="shared" si="195"/>
        <v>0</v>
      </c>
      <c r="AG267" s="70">
        <f t="shared" si="196"/>
        <v>0</v>
      </c>
      <c r="AH267" s="83">
        <f t="shared" si="197"/>
        <v>0</v>
      </c>
      <c r="AI267" s="70">
        <f t="shared" si="198"/>
        <v>0</v>
      </c>
      <c r="AK267" s="79">
        <v>0</v>
      </c>
      <c r="AL267" s="80">
        <f t="shared" si="213"/>
        <v>0</v>
      </c>
      <c r="AM267" s="79">
        <v>0</v>
      </c>
      <c r="AN267" s="80">
        <f t="shared" si="214"/>
        <v>0</v>
      </c>
      <c r="AO267" s="79">
        <v>0</v>
      </c>
      <c r="AP267" s="80">
        <f t="shared" si="215"/>
        <v>0</v>
      </c>
      <c r="AQ267" s="79">
        <v>0</v>
      </c>
      <c r="AR267" s="81">
        <f t="shared" si="216"/>
        <v>0</v>
      </c>
      <c r="AS267" s="80">
        <f t="shared" si="199"/>
        <v>0</v>
      </c>
      <c r="AT267" s="70">
        <f t="shared" si="200"/>
        <v>0</v>
      </c>
      <c r="AU267" s="80">
        <f t="shared" si="201"/>
        <v>0</v>
      </c>
      <c r="AV267" s="70">
        <f t="shared" si="202"/>
        <v>0</v>
      </c>
      <c r="AW267" s="80">
        <f t="shared" si="203"/>
        <v>0</v>
      </c>
      <c r="AX267" s="70">
        <f t="shared" si="204"/>
        <v>0</v>
      </c>
      <c r="AY267" s="82"/>
      <c r="BA267" s="79">
        <v>0</v>
      </c>
      <c r="BB267" s="80">
        <f t="shared" si="217"/>
        <v>0</v>
      </c>
      <c r="BC267" s="79">
        <v>0</v>
      </c>
      <c r="BD267" s="80">
        <f t="shared" si="218"/>
        <v>0</v>
      </c>
      <c r="BE267" s="79">
        <v>0</v>
      </c>
      <c r="BF267" s="81">
        <f t="shared" si="219"/>
        <v>0</v>
      </c>
      <c r="BG267" s="80">
        <f t="shared" si="205"/>
        <v>0</v>
      </c>
      <c r="BH267" s="70">
        <f t="shared" si="206"/>
        <v>0</v>
      </c>
      <c r="BI267" s="80">
        <f t="shared" si="207"/>
        <v>0</v>
      </c>
      <c r="BJ267" s="70">
        <f t="shared" si="208"/>
        <v>0</v>
      </c>
      <c r="BK267" s="82"/>
    </row>
    <row r="268" spans="5:63" ht="11.95" thickBot="1" x14ac:dyDescent="0.3">
      <c r="E268" s="3"/>
      <c r="F268" s="3"/>
      <c r="G268" s="3"/>
      <c r="H268" s="3" t="s">
        <v>318</v>
      </c>
      <c r="I268" s="18"/>
      <c r="J268" s="18"/>
      <c r="K268" s="18"/>
      <c r="L268" s="78"/>
      <c r="M268" s="79"/>
      <c r="N268" s="80">
        <f t="shared" si="209"/>
        <v>0</v>
      </c>
      <c r="O268" s="79"/>
      <c r="P268" s="80">
        <f t="shared" si="210"/>
        <v>0</v>
      </c>
      <c r="Q268" s="79"/>
      <c r="R268" s="80">
        <f t="shared" si="211"/>
        <v>0</v>
      </c>
      <c r="S268" s="79"/>
      <c r="T268" s="81">
        <f t="shared" si="212"/>
        <v>0</v>
      </c>
      <c r="U268" s="80">
        <f t="shared" si="189"/>
        <v>0</v>
      </c>
      <c r="V268" s="70">
        <f t="shared" si="190"/>
        <v>0</v>
      </c>
      <c r="W268" s="80">
        <f t="shared" si="191"/>
        <v>0</v>
      </c>
      <c r="X268" s="70">
        <f t="shared" si="192"/>
        <v>0</v>
      </c>
      <c r="Y268" s="80">
        <f t="shared" si="193"/>
        <v>0</v>
      </c>
      <c r="Z268" s="70">
        <f t="shared" si="194"/>
        <v>0</v>
      </c>
      <c r="AA268" s="82"/>
      <c r="AC268" s="79">
        <v>0</v>
      </c>
      <c r="AD268" s="79">
        <v>0</v>
      </c>
      <c r="AE268" s="79">
        <v>0</v>
      </c>
      <c r="AF268" s="83">
        <f t="shared" si="195"/>
        <v>0</v>
      </c>
      <c r="AG268" s="70">
        <f t="shared" si="196"/>
        <v>0</v>
      </c>
      <c r="AH268" s="83">
        <f t="shared" si="197"/>
        <v>0</v>
      </c>
      <c r="AI268" s="70">
        <f t="shared" si="198"/>
        <v>0</v>
      </c>
      <c r="AK268" s="79">
        <v>0</v>
      </c>
      <c r="AL268" s="80">
        <f t="shared" si="213"/>
        <v>0</v>
      </c>
      <c r="AM268" s="79">
        <v>0</v>
      </c>
      <c r="AN268" s="80">
        <f t="shared" si="214"/>
        <v>0</v>
      </c>
      <c r="AO268" s="79">
        <v>0</v>
      </c>
      <c r="AP268" s="80">
        <f t="shared" si="215"/>
        <v>0</v>
      </c>
      <c r="AQ268" s="79">
        <v>0</v>
      </c>
      <c r="AR268" s="81">
        <f t="shared" si="216"/>
        <v>0</v>
      </c>
      <c r="AS268" s="80">
        <f t="shared" si="199"/>
        <v>0</v>
      </c>
      <c r="AT268" s="70">
        <f t="shared" si="200"/>
        <v>0</v>
      </c>
      <c r="AU268" s="80">
        <f t="shared" si="201"/>
        <v>0</v>
      </c>
      <c r="AV268" s="70">
        <f t="shared" si="202"/>
        <v>0</v>
      </c>
      <c r="AW268" s="80">
        <f t="shared" si="203"/>
        <v>0</v>
      </c>
      <c r="AX268" s="70">
        <f t="shared" si="204"/>
        <v>0</v>
      </c>
      <c r="AY268" s="82"/>
      <c r="BA268" s="79">
        <v>0</v>
      </c>
      <c r="BB268" s="80">
        <f t="shared" si="217"/>
        <v>0</v>
      </c>
      <c r="BC268" s="79">
        <v>0</v>
      </c>
      <c r="BD268" s="80">
        <f t="shared" si="218"/>
        <v>0</v>
      </c>
      <c r="BE268" s="79">
        <v>0</v>
      </c>
      <c r="BF268" s="81">
        <f t="shared" si="219"/>
        <v>0</v>
      </c>
      <c r="BG268" s="80">
        <f t="shared" si="205"/>
        <v>0</v>
      </c>
      <c r="BH268" s="70">
        <f t="shared" si="206"/>
        <v>0</v>
      </c>
      <c r="BI268" s="80">
        <f t="shared" si="207"/>
        <v>0</v>
      </c>
      <c r="BJ268" s="70">
        <f t="shared" si="208"/>
        <v>0</v>
      </c>
      <c r="BK268" s="82"/>
    </row>
    <row r="269" spans="5:63" ht="11.95" thickBot="1" x14ac:dyDescent="0.3">
      <c r="E269" s="3"/>
      <c r="F269" s="3"/>
      <c r="G269" s="3"/>
      <c r="H269" s="3" t="s">
        <v>319</v>
      </c>
      <c r="I269" s="18"/>
      <c r="J269" s="18"/>
      <c r="K269" s="18"/>
      <c r="L269" s="78"/>
      <c r="M269" s="79"/>
      <c r="N269" s="80">
        <f t="shared" si="209"/>
        <v>0</v>
      </c>
      <c r="O269" s="79"/>
      <c r="P269" s="80">
        <f t="shared" si="210"/>
        <v>0</v>
      </c>
      <c r="Q269" s="79"/>
      <c r="R269" s="80">
        <f t="shared" si="211"/>
        <v>0</v>
      </c>
      <c r="S269" s="79"/>
      <c r="T269" s="81">
        <f t="shared" si="212"/>
        <v>0</v>
      </c>
      <c r="U269" s="80">
        <f t="shared" si="189"/>
        <v>0</v>
      </c>
      <c r="V269" s="70">
        <f t="shared" si="190"/>
        <v>0</v>
      </c>
      <c r="W269" s="80">
        <f t="shared" si="191"/>
        <v>0</v>
      </c>
      <c r="X269" s="70">
        <f t="shared" si="192"/>
        <v>0</v>
      </c>
      <c r="Y269" s="80">
        <f t="shared" si="193"/>
        <v>0</v>
      </c>
      <c r="Z269" s="70">
        <f t="shared" si="194"/>
        <v>0</v>
      </c>
      <c r="AA269" s="82"/>
      <c r="AC269" s="79">
        <v>0</v>
      </c>
      <c r="AD269" s="79">
        <v>0</v>
      </c>
      <c r="AE269" s="79">
        <v>0</v>
      </c>
      <c r="AF269" s="83">
        <f t="shared" si="195"/>
        <v>0</v>
      </c>
      <c r="AG269" s="70">
        <f t="shared" si="196"/>
        <v>0</v>
      </c>
      <c r="AH269" s="83">
        <f t="shared" si="197"/>
        <v>0</v>
      </c>
      <c r="AI269" s="70">
        <f t="shared" si="198"/>
        <v>0</v>
      </c>
      <c r="AK269" s="79">
        <v>0</v>
      </c>
      <c r="AL269" s="80">
        <f t="shared" si="213"/>
        <v>0</v>
      </c>
      <c r="AM269" s="79">
        <v>0</v>
      </c>
      <c r="AN269" s="80">
        <f t="shared" si="214"/>
        <v>0</v>
      </c>
      <c r="AO269" s="79">
        <v>0</v>
      </c>
      <c r="AP269" s="80">
        <f t="shared" si="215"/>
        <v>0</v>
      </c>
      <c r="AQ269" s="79">
        <v>0</v>
      </c>
      <c r="AR269" s="81">
        <f t="shared" si="216"/>
        <v>0</v>
      </c>
      <c r="AS269" s="80">
        <f t="shared" si="199"/>
        <v>0</v>
      </c>
      <c r="AT269" s="70">
        <f t="shared" si="200"/>
        <v>0</v>
      </c>
      <c r="AU269" s="80">
        <f t="shared" si="201"/>
        <v>0</v>
      </c>
      <c r="AV269" s="70">
        <f t="shared" si="202"/>
        <v>0</v>
      </c>
      <c r="AW269" s="80">
        <f t="shared" si="203"/>
        <v>0</v>
      </c>
      <c r="AX269" s="70">
        <f t="shared" si="204"/>
        <v>0</v>
      </c>
      <c r="AY269" s="82"/>
      <c r="BA269" s="79">
        <v>0</v>
      </c>
      <c r="BB269" s="80">
        <f t="shared" si="217"/>
        <v>0</v>
      </c>
      <c r="BC269" s="79">
        <v>0</v>
      </c>
      <c r="BD269" s="80">
        <f t="shared" si="218"/>
        <v>0</v>
      </c>
      <c r="BE269" s="79">
        <v>0</v>
      </c>
      <c r="BF269" s="81">
        <f t="shared" si="219"/>
        <v>0</v>
      </c>
      <c r="BG269" s="80">
        <f t="shared" si="205"/>
        <v>0</v>
      </c>
      <c r="BH269" s="70">
        <f t="shared" si="206"/>
        <v>0</v>
      </c>
      <c r="BI269" s="80">
        <f t="shared" si="207"/>
        <v>0</v>
      </c>
      <c r="BJ269" s="70">
        <f t="shared" si="208"/>
        <v>0</v>
      </c>
      <c r="BK269" s="82"/>
    </row>
    <row r="270" spans="5:63" ht="11.95" thickBot="1" x14ac:dyDescent="0.3">
      <c r="E270" s="3"/>
      <c r="F270" s="3"/>
      <c r="G270" s="3"/>
      <c r="H270" s="3" t="s">
        <v>320</v>
      </c>
      <c r="I270" s="18"/>
      <c r="J270" s="18"/>
      <c r="K270" s="18"/>
      <c r="L270" s="78"/>
      <c r="M270" s="79"/>
      <c r="N270" s="80">
        <f t="shared" si="209"/>
        <v>0</v>
      </c>
      <c r="O270" s="79"/>
      <c r="P270" s="80">
        <f t="shared" si="210"/>
        <v>0</v>
      </c>
      <c r="Q270" s="79"/>
      <c r="R270" s="80">
        <f t="shared" si="211"/>
        <v>0</v>
      </c>
      <c r="S270" s="79"/>
      <c r="T270" s="81">
        <f t="shared" si="212"/>
        <v>0</v>
      </c>
      <c r="U270" s="80">
        <f t="shared" si="189"/>
        <v>0</v>
      </c>
      <c r="V270" s="70">
        <f t="shared" si="190"/>
        <v>0</v>
      </c>
      <c r="W270" s="80">
        <f t="shared" si="191"/>
        <v>0</v>
      </c>
      <c r="X270" s="70">
        <f t="shared" si="192"/>
        <v>0</v>
      </c>
      <c r="Y270" s="80">
        <f t="shared" si="193"/>
        <v>0</v>
      </c>
      <c r="Z270" s="70">
        <f t="shared" si="194"/>
        <v>0</v>
      </c>
      <c r="AA270" s="82"/>
      <c r="AC270" s="79">
        <v>0</v>
      </c>
      <c r="AD270" s="79">
        <v>0</v>
      </c>
      <c r="AE270" s="79">
        <v>0</v>
      </c>
      <c r="AF270" s="83">
        <f t="shared" si="195"/>
        <v>0</v>
      </c>
      <c r="AG270" s="70">
        <f t="shared" si="196"/>
        <v>0</v>
      </c>
      <c r="AH270" s="83">
        <f t="shared" si="197"/>
        <v>0</v>
      </c>
      <c r="AI270" s="70">
        <f t="shared" si="198"/>
        <v>0</v>
      </c>
      <c r="AK270" s="79">
        <v>0</v>
      </c>
      <c r="AL270" s="80">
        <f t="shared" si="213"/>
        <v>0</v>
      </c>
      <c r="AM270" s="79">
        <v>0</v>
      </c>
      <c r="AN270" s="80">
        <f t="shared" si="214"/>
        <v>0</v>
      </c>
      <c r="AO270" s="79">
        <v>0</v>
      </c>
      <c r="AP270" s="80">
        <f t="shared" si="215"/>
        <v>0</v>
      </c>
      <c r="AQ270" s="79">
        <v>0</v>
      </c>
      <c r="AR270" s="81">
        <f t="shared" si="216"/>
        <v>0</v>
      </c>
      <c r="AS270" s="80">
        <f t="shared" si="199"/>
        <v>0</v>
      </c>
      <c r="AT270" s="70">
        <f t="shared" si="200"/>
        <v>0</v>
      </c>
      <c r="AU270" s="80">
        <f t="shared" si="201"/>
        <v>0</v>
      </c>
      <c r="AV270" s="70">
        <f t="shared" si="202"/>
        <v>0</v>
      </c>
      <c r="AW270" s="80">
        <f t="shared" si="203"/>
        <v>0</v>
      </c>
      <c r="AX270" s="70">
        <f t="shared" si="204"/>
        <v>0</v>
      </c>
      <c r="AY270" s="82"/>
      <c r="BA270" s="79">
        <v>0</v>
      </c>
      <c r="BB270" s="80">
        <f t="shared" si="217"/>
        <v>0</v>
      </c>
      <c r="BC270" s="79">
        <v>0</v>
      </c>
      <c r="BD270" s="80">
        <f t="shared" si="218"/>
        <v>0</v>
      </c>
      <c r="BE270" s="79">
        <v>0</v>
      </c>
      <c r="BF270" s="81">
        <f t="shared" si="219"/>
        <v>0</v>
      </c>
      <c r="BG270" s="80">
        <f t="shared" si="205"/>
        <v>0</v>
      </c>
      <c r="BH270" s="70">
        <f t="shared" si="206"/>
        <v>0</v>
      </c>
      <c r="BI270" s="80">
        <f t="shared" si="207"/>
        <v>0</v>
      </c>
      <c r="BJ270" s="70">
        <f t="shared" si="208"/>
        <v>0</v>
      </c>
      <c r="BK270" s="82"/>
    </row>
    <row r="271" spans="5:63" ht="11.95" thickBot="1" x14ac:dyDescent="0.3">
      <c r="E271" s="3"/>
      <c r="F271" s="3"/>
      <c r="G271" s="3"/>
      <c r="H271" s="3" t="s">
        <v>321</v>
      </c>
      <c r="I271" s="18"/>
      <c r="J271" s="18"/>
      <c r="K271" s="18"/>
      <c r="L271" s="78"/>
      <c r="M271" s="79">
        <v>0</v>
      </c>
      <c r="N271" s="80">
        <f t="shared" si="209"/>
        <v>0</v>
      </c>
      <c r="O271" s="79">
        <v>0</v>
      </c>
      <c r="P271" s="80">
        <f t="shared" si="210"/>
        <v>0</v>
      </c>
      <c r="Q271" s="79">
        <v>0</v>
      </c>
      <c r="R271" s="80">
        <f t="shared" si="211"/>
        <v>0</v>
      </c>
      <c r="S271" s="79">
        <v>45</v>
      </c>
      <c r="T271" s="81">
        <f t="shared" si="212"/>
        <v>8.8241002099331869E-5</v>
      </c>
      <c r="U271" s="80">
        <f t="shared" si="189"/>
        <v>0</v>
      </c>
      <c r="V271" s="70">
        <f t="shared" si="190"/>
        <v>0</v>
      </c>
      <c r="W271" s="80">
        <f t="shared" si="191"/>
        <v>0</v>
      </c>
      <c r="X271" s="70">
        <f t="shared" si="192"/>
        <v>0</v>
      </c>
      <c r="Y271" s="80">
        <f t="shared" si="193"/>
        <v>0</v>
      </c>
      <c r="Z271" s="70">
        <f t="shared" si="194"/>
        <v>45</v>
      </c>
      <c r="AA271" s="82"/>
      <c r="AC271" s="79">
        <v>0</v>
      </c>
      <c r="AD271" s="79">
        <v>45</v>
      </c>
      <c r="AE271" s="79">
        <v>0</v>
      </c>
      <c r="AF271" s="83">
        <f t="shared" si="195"/>
        <v>0</v>
      </c>
      <c r="AG271" s="70">
        <f t="shared" si="196"/>
        <v>45</v>
      </c>
      <c r="AH271" s="83">
        <f t="shared" si="197"/>
        <v>0</v>
      </c>
      <c r="AI271" s="70">
        <f t="shared" si="198"/>
        <v>0</v>
      </c>
      <c r="AK271" s="79">
        <v>0</v>
      </c>
      <c r="AL271" s="80">
        <f t="shared" si="213"/>
        <v>0</v>
      </c>
      <c r="AM271" s="79">
        <v>0</v>
      </c>
      <c r="AN271" s="80">
        <f t="shared" si="214"/>
        <v>0</v>
      </c>
      <c r="AO271" s="79">
        <v>0</v>
      </c>
      <c r="AP271" s="80">
        <f t="shared" si="215"/>
        <v>0</v>
      </c>
      <c r="AQ271" s="79">
        <v>45</v>
      </c>
      <c r="AR271" s="81">
        <f t="shared" si="216"/>
        <v>8.8241002099331869E-5</v>
      </c>
      <c r="AS271" s="80">
        <f t="shared" si="199"/>
        <v>0</v>
      </c>
      <c r="AT271" s="70">
        <f t="shared" si="200"/>
        <v>0</v>
      </c>
      <c r="AU271" s="80">
        <f t="shared" si="201"/>
        <v>0</v>
      </c>
      <c r="AV271" s="70">
        <f t="shared" si="202"/>
        <v>0</v>
      </c>
      <c r="AW271" s="80">
        <f t="shared" si="203"/>
        <v>0</v>
      </c>
      <c r="AX271" s="70">
        <f t="shared" si="204"/>
        <v>45</v>
      </c>
      <c r="AY271" s="82"/>
      <c r="BA271" s="79">
        <v>0</v>
      </c>
      <c r="BB271" s="80">
        <f t="shared" si="217"/>
        <v>0</v>
      </c>
      <c r="BC271" s="79">
        <v>0</v>
      </c>
      <c r="BD271" s="80">
        <f t="shared" si="218"/>
        <v>0</v>
      </c>
      <c r="BE271" s="79">
        <v>8429.93</v>
      </c>
      <c r="BF271" s="81">
        <f t="shared" si="219"/>
        <v>4.1968623588230121E-3</v>
      </c>
      <c r="BG271" s="80">
        <f t="shared" si="205"/>
        <v>0</v>
      </c>
      <c r="BH271" s="70">
        <f t="shared" si="206"/>
        <v>0</v>
      </c>
      <c r="BI271" s="80">
        <f t="shared" si="207"/>
        <v>0</v>
      </c>
      <c r="BJ271" s="70">
        <f t="shared" si="208"/>
        <v>8429.93</v>
      </c>
      <c r="BK271" s="82"/>
    </row>
    <row r="272" spans="5:63" ht="11.95" thickBot="1" x14ac:dyDescent="0.3">
      <c r="E272" s="3"/>
      <c r="F272" s="3"/>
      <c r="G272" s="3"/>
      <c r="H272" s="3" t="s">
        <v>322</v>
      </c>
      <c r="I272" s="18"/>
      <c r="J272" s="18"/>
      <c r="K272" s="18"/>
      <c r="L272" s="78"/>
      <c r="M272" s="79"/>
      <c r="N272" s="80">
        <f t="shared" si="209"/>
        <v>0</v>
      </c>
      <c r="O272" s="79"/>
      <c r="P272" s="80">
        <f t="shared" si="210"/>
        <v>0</v>
      </c>
      <c r="Q272" s="79"/>
      <c r="R272" s="80">
        <f t="shared" si="211"/>
        <v>0</v>
      </c>
      <c r="S272" s="79"/>
      <c r="T272" s="81">
        <f t="shared" si="212"/>
        <v>0</v>
      </c>
      <c r="U272" s="80">
        <f t="shared" si="189"/>
        <v>0</v>
      </c>
      <c r="V272" s="70">
        <f t="shared" si="190"/>
        <v>0</v>
      </c>
      <c r="W272" s="80">
        <f t="shared" si="191"/>
        <v>0</v>
      </c>
      <c r="X272" s="70">
        <f t="shared" si="192"/>
        <v>0</v>
      </c>
      <c r="Y272" s="80">
        <f t="shared" si="193"/>
        <v>0</v>
      </c>
      <c r="Z272" s="70">
        <f t="shared" si="194"/>
        <v>0</v>
      </c>
      <c r="AA272" s="82"/>
      <c r="AC272" s="79">
        <v>0</v>
      </c>
      <c r="AD272" s="79">
        <v>0</v>
      </c>
      <c r="AE272" s="79">
        <v>0</v>
      </c>
      <c r="AF272" s="83">
        <f t="shared" si="195"/>
        <v>0</v>
      </c>
      <c r="AG272" s="70">
        <f t="shared" si="196"/>
        <v>0</v>
      </c>
      <c r="AH272" s="83">
        <f t="shared" si="197"/>
        <v>0</v>
      </c>
      <c r="AI272" s="70">
        <f t="shared" si="198"/>
        <v>0</v>
      </c>
      <c r="AK272" s="79">
        <v>0</v>
      </c>
      <c r="AL272" s="80">
        <f t="shared" si="213"/>
        <v>0</v>
      </c>
      <c r="AM272" s="79">
        <v>0</v>
      </c>
      <c r="AN272" s="80">
        <f t="shared" si="214"/>
        <v>0</v>
      </c>
      <c r="AO272" s="79">
        <v>0</v>
      </c>
      <c r="AP272" s="80">
        <f t="shared" si="215"/>
        <v>0</v>
      </c>
      <c r="AQ272" s="79">
        <v>0</v>
      </c>
      <c r="AR272" s="81">
        <f t="shared" si="216"/>
        <v>0</v>
      </c>
      <c r="AS272" s="80">
        <f t="shared" si="199"/>
        <v>0</v>
      </c>
      <c r="AT272" s="70">
        <f t="shared" si="200"/>
        <v>0</v>
      </c>
      <c r="AU272" s="80">
        <f t="shared" si="201"/>
        <v>0</v>
      </c>
      <c r="AV272" s="70">
        <f t="shared" si="202"/>
        <v>0</v>
      </c>
      <c r="AW272" s="80">
        <f t="shared" si="203"/>
        <v>0</v>
      </c>
      <c r="AX272" s="70">
        <f t="shared" si="204"/>
        <v>0</v>
      </c>
      <c r="AY272" s="82"/>
      <c r="BA272" s="79">
        <v>0</v>
      </c>
      <c r="BB272" s="80">
        <f t="shared" si="217"/>
        <v>0</v>
      </c>
      <c r="BC272" s="79">
        <v>0</v>
      </c>
      <c r="BD272" s="80">
        <f t="shared" si="218"/>
        <v>0</v>
      </c>
      <c r="BE272" s="79">
        <v>0</v>
      </c>
      <c r="BF272" s="81">
        <f t="shared" si="219"/>
        <v>0</v>
      </c>
      <c r="BG272" s="80">
        <f t="shared" si="205"/>
        <v>0</v>
      </c>
      <c r="BH272" s="70">
        <f t="shared" si="206"/>
        <v>0</v>
      </c>
      <c r="BI272" s="80">
        <f t="shared" si="207"/>
        <v>0</v>
      </c>
      <c r="BJ272" s="70">
        <f t="shared" si="208"/>
        <v>0</v>
      </c>
      <c r="BK272" s="82"/>
    </row>
    <row r="273" spans="5:63" ht="11.95" thickBot="1" x14ac:dyDescent="0.3">
      <c r="E273" s="3"/>
      <c r="F273" s="3"/>
      <c r="G273" s="3"/>
      <c r="H273" s="3" t="s">
        <v>323</v>
      </c>
      <c r="I273" s="18"/>
      <c r="J273" s="18"/>
      <c r="K273" s="18"/>
      <c r="L273" s="78"/>
      <c r="M273" s="79"/>
      <c r="N273" s="80">
        <f t="shared" ref="N273:N304" si="220">IFERROR(M273/SUMIFS(M:M, $H:$H, "[+] Net Sales"),0)</f>
        <v>0</v>
      </c>
      <c r="O273" s="79"/>
      <c r="P273" s="80">
        <f t="shared" ref="P273:P304" si="221">IFERROR(O273/SUMIFS(O:O, $H:$H, "[+] Net Sales"),0)</f>
        <v>0</v>
      </c>
      <c r="Q273" s="79"/>
      <c r="R273" s="80">
        <f t="shared" ref="R273:R304" si="222">IFERROR(Q273/SUMIFS(Q:Q, $H:$H, "[+] Net Sales"),0)</f>
        <v>0</v>
      </c>
      <c r="S273" s="79"/>
      <c r="T273" s="81">
        <f t="shared" ref="T273:T304" si="223">IFERROR(S273/SUMIFS(S:S, $H:$H, "[+] Net Sales"),0)</f>
        <v>0</v>
      </c>
      <c r="U273" s="80">
        <f t="shared" si="189"/>
        <v>0</v>
      </c>
      <c r="V273" s="70">
        <f t="shared" si="190"/>
        <v>0</v>
      </c>
      <c r="W273" s="80">
        <f t="shared" si="191"/>
        <v>0</v>
      </c>
      <c r="X273" s="70">
        <f t="shared" si="192"/>
        <v>0</v>
      </c>
      <c r="Y273" s="80">
        <f t="shared" si="193"/>
        <v>0</v>
      </c>
      <c r="Z273" s="70">
        <f t="shared" si="194"/>
        <v>0</v>
      </c>
      <c r="AA273" s="82"/>
      <c r="AC273" s="79">
        <v>0</v>
      </c>
      <c r="AD273" s="79">
        <v>0</v>
      </c>
      <c r="AE273" s="79">
        <v>0</v>
      </c>
      <c r="AF273" s="83">
        <f t="shared" si="195"/>
        <v>0</v>
      </c>
      <c r="AG273" s="70">
        <f t="shared" si="196"/>
        <v>0</v>
      </c>
      <c r="AH273" s="83">
        <f t="shared" si="197"/>
        <v>0</v>
      </c>
      <c r="AI273" s="70">
        <f t="shared" si="198"/>
        <v>0</v>
      </c>
      <c r="AK273" s="79">
        <v>0</v>
      </c>
      <c r="AL273" s="80">
        <f t="shared" ref="AL273:AL304" si="224">IFERROR(AK273/SUMIFS(AK:AK, $H:$H, "[+] Net Sales"),0)</f>
        <v>0</v>
      </c>
      <c r="AM273" s="79">
        <v>0</v>
      </c>
      <c r="AN273" s="80">
        <f t="shared" ref="AN273:AN304" si="225">IFERROR(AM273/SUMIFS(AM:AM, $H:$H, "[+] Net Sales"),0)</f>
        <v>0</v>
      </c>
      <c r="AO273" s="79">
        <v>0</v>
      </c>
      <c r="AP273" s="80">
        <f t="shared" ref="AP273:AP304" si="226">IFERROR(AO273/SUMIFS(AO:AO, $H:$H, "[+] Net Sales"),0)</f>
        <v>0</v>
      </c>
      <c r="AQ273" s="79">
        <v>0</v>
      </c>
      <c r="AR273" s="81">
        <f t="shared" ref="AR273:AR304" si="227">IFERROR(AQ273/SUMIFS(AQ:AQ, $H:$H, "[+] Net Sales"),0)</f>
        <v>0</v>
      </c>
      <c r="AS273" s="80">
        <f t="shared" si="199"/>
        <v>0</v>
      </c>
      <c r="AT273" s="70">
        <f t="shared" si="200"/>
        <v>0</v>
      </c>
      <c r="AU273" s="80">
        <f t="shared" si="201"/>
        <v>0</v>
      </c>
      <c r="AV273" s="70">
        <f t="shared" si="202"/>
        <v>0</v>
      </c>
      <c r="AW273" s="80">
        <f t="shared" si="203"/>
        <v>0</v>
      </c>
      <c r="AX273" s="70">
        <f t="shared" si="204"/>
        <v>0</v>
      </c>
      <c r="AY273" s="82"/>
      <c r="BA273" s="79">
        <v>0</v>
      </c>
      <c r="BB273" s="80">
        <f t="shared" ref="BB273:BB304" si="228">IFERROR(BA273/SUMIFS(BA:BA, $H:$H, "[+] Net Sales"),0)</f>
        <v>0</v>
      </c>
      <c r="BC273" s="79">
        <v>0</v>
      </c>
      <c r="BD273" s="80">
        <f t="shared" ref="BD273:BD304" si="229">IFERROR(BC273/SUMIFS(BC:BC, $H:$H, "[+] Net Sales"),0)</f>
        <v>0</v>
      </c>
      <c r="BE273" s="79">
        <v>0</v>
      </c>
      <c r="BF273" s="81">
        <f t="shared" ref="BF273:BF304" si="230">IFERROR(BE273/SUMIFS(BE:BE, $H:$H, "[+] Net Sales"),0)</f>
        <v>0</v>
      </c>
      <c r="BG273" s="80">
        <f t="shared" si="205"/>
        <v>0</v>
      </c>
      <c r="BH273" s="70">
        <f t="shared" si="206"/>
        <v>0</v>
      </c>
      <c r="BI273" s="80">
        <f t="shared" si="207"/>
        <v>0</v>
      </c>
      <c r="BJ273" s="70">
        <f t="shared" si="208"/>
        <v>0</v>
      </c>
      <c r="BK273" s="82"/>
    </row>
    <row r="274" spans="5:63" ht="11.95" thickBot="1" x14ac:dyDescent="0.3">
      <c r="E274" s="3"/>
      <c r="F274" s="3"/>
      <c r="G274" s="3"/>
      <c r="H274" s="3" t="s">
        <v>324</v>
      </c>
      <c r="I274" s="18"/>
      <c r="J274" s="18"/>
      <c r="K274" s="18"/>
      <c r="L274" s="78"/>
      <c r="M274" s="79"/>
      <c r="N274" s="80">
        <f t="shared" si="220"/>
        <v>0</v>
      </c>
      <c r="O274" s="79"/>
      <c r="P274" s="80">
        <f t="shared" si="221"/>
        <v>0</v>
      </c>
      <c r="Q274" s="79"/>
      <c r="R274" s="80">
        <f t="shared" si="222"/>
        <v>0</v>
      </c>
      <c r="S274" s="79"/>
      <c r="T274" s="81">
        <f t="shared" si="223"/>
        <v>0</v>
      </c>
      <c r="U274" s="80">
        <f t="shared" ref="U274:U320" si="231">IFERROR(($O274-M274)/ABS(M274),0)</f>
        <v>0</v>
      </c>
      <c r="V274" s="70">
        <f t="shared" ref="V274:V320" si="232">IFERROR((O274-$M274), 0-$M274)</f>
        <v>0</v>
      </c>
      <c r="W274" s="80">
        <f t="shared" ref="W274:W320" si="233">IFERROR((Q274-$M274)/ABS($M274),0)</f>
        <v>0</v>
      </c>
      <c r="X274" s="70">
        <f t="shared" ref="X274:X320" si="234">IFERROR((Q274-$M274), 0 -$M274)</f>
        <v>0</v>
      </c>
      <c r="Y274" s="80">
        <f t="shared" ref="Y274:Y320" si="235">IFERROR((S274-$M274)/ABS($M274),0)</f>
        <v>0</v>
      </c>
      <c r="Z274" s="70">
        <f t="shared" ref="Z274:Z320" si="236">IFERROR((S274-$M274),0-$M274)</f>
        <v>0</v>
      </c>
      <c r="AA274" s="82"/>
      <c r="AC274" s="79">
        <v>0</v>
      </c>
      <c r="AD274" s="79">
        <v>0</v>
      </c>
      <c r="AE274" s="79">
        <v>0</v>
      </c>
      <c r="AF274" s="83">
        <f t="shared" ref="AF274:AF320" si="237">IFERROR((AD274-$AC274)/ABS($AC274),0)</f>
        <v>0</v>
      </c>
      <c r="AG274" s="70">
        <f t="shared" ref="AG274:AG320" si="238">(AD274-$AC274)</f>
        <v>0</v>
      </c>
      <c r="AH274" s="83">
        <f t="shared" ref="AH274:AH320" si="239">IFERROR((AE274-$AC274)/ABS($AC274),0)</f>
        <v>0</v>
      </c>
      <c r="AI274" s="70">
        <f t="shared" ref="AI274:AI320" si="240">(AE274-$AC274)</f>
        <v>0</v>
      </c>
      <c r="AK274" s="79">
        <v>0</v>
      </c>
      <c r="AL274" s="80">
        <f t="shared" si="224"/>
        <v>0</v>
      </c>
      <c r="AM274" s="79">
        <v>0</v>
      </c>
      <c r="AN274" s="80">
        <f t="shared" si="225"/>
        <v>0</v>
      </c>
      <c r="AO274" s="79">
        <v>0</v>
      </c>
      <c r="AP274" s="80">
        <f t="shared" si="226"/>
        <v>0</v>
      </c>
      <c r="AQ274" s="79">
        <v>0</v>
      </c>
      <c r="AR274" s="81">
        <f t="shared" si="227"/>
        <v>0</v>
      </c>
      <c r="AS274" s="80">
        <f t="shared" ref="AS274:AS320" si="241">IFERROR((AM274-$AK274)/ABS($AK274),0)</f>
        <v>0</v>
      </c>
      <c r="AT274" s="70">
        <f t="shared" ref="AT274:AT320" si="242">(AM274-$AK274)</f>
        <v>0</v>
      </c>
      <c r="AU274" s="80">
        <f t="shared" ref="AU274:AU320" si="243">IFERROR((AO274-$AK274)/ABS($AO274),0)</f>
        <v>0</v>
      </c>
      <c r="AV274" s="70">
        <f t="shared" ref="AV274:AV320" si="244">(AO274-$AK274)</f>
        <v>0</v>
      </c>
      <c r="AW274" s="80">
        <f t="shared" ref="AW274:AW320" si="245">IFERROR((AQ274-$AK274)/ABS($AK274),0)</f>
        <v>0</v>
      </c>
      <c r="AX274" s="70">
        <f t="shared" ref="AX274:AX320" si="246">(AQ274-$AK274)</f>
        <v>0</v>
      </c>
      <c r="AY274" s="82"/>
      <c r="BA274" s="79">
        <v>0</v>
      </c>
      <c r="BB274" s="80">
        <f t="shared" si="228"/>
        <v>0</v>
      </c>
      <c r="BC274" s="79">
        <v>0</v>
      </c>
      <c r="BD274" s="80">
        <f t="shared" si="229"/>
        <v>0</v>
      </c>
      <c r="BE274" s="79">
        <v>0</v>
      </c>
      <c r="BF274" s="81">
        <f t="shared" si="230"/>
        <v>0</v>
      </c>
      <c r="BG274" s="80">
        <f t="shared" ref="BG274:BG320" si="247">IFERROR((BC274-$BA274)/ABS($BA274),0)</f>
        <v>0</v>
      </c>
      <c r="BH274" s="70">
        <f t="shared" ref="BH274:BH320" si="248">(BC274-$BA274)</f>
        <v>0</v>
      </c>
      <c r="BI274" s="80">
        <f t="shared" ref="BI274:BI320" si="249">IFERROR((BE274-$BA274)/ABS($BA274),0)</f>
        <v>0</v>
      </c>
      <c r="BJ274" s="70">
        <f t="shared" ref="BJ274:BJ320" si="250">(BE274-$BA274)</f>
        <v>0</v>
      </c>
      <c r="BK274" s="82"/>
    </row>
    <row r="275" spans="5:63" ht="11.95" thickBot="1" x14ac:dyDescent="0.3">
      <c r="E275" s="3"/>
      <c r="F275" s="3"/>
      <c r="G275" s="3"/>
      <c r="H275" s="3" t="s">
        <v>325</v>
      </c>
      <c r="I275" s="18"/>
      <c r="J275" s="18"/>
      <c r="K275" s="18"/>
      <c r="L275" s="78"/>
      <c r="M275" s="79"/>
      <c r="N275" s="80">
        <f t="shared" si="220"/>
        <v>0</v>
      </c>
      <c r="O275" s="79"/>
      <c r="P275" s="80">
        <f t="shared" si="221"/>
        <v>0</v>
      </c>
      <c r="Q275" s="79"/>
      <c r="R275" s="80">
        <f t="shared" si="222"/>
        <v>0</v>
      </c>
      <c r="S275" s="79"/>
      <c r="T275" s="81">
        <f t="shared" si="223"/>
        <v>0</v>
      </c>
      <c r="U275" s="80">
        <f t="shared" si="231"/>
        <v>0</v>
      </c>
      <c r="V275" s="70">
        <f t="shared" si="232"/>
        <v>0</v>
      </c>
      <c r="W275" s="80">
        <f t="shared" si="233"/>
        <v>0</v>
      </c>
      <c r="X275" s="70">
        <f t="shared" si="234"/>
        <v>0</v>
      </c>
      <c r="Y275" s="80">
        <f t="shared" si="235"/>
        <v>0</v>
      </c>
      <c r="Z275" s="70">
        <f t="shared" si="236"/>
        <v>0</v>
      </c>
      <c r="AA275" s="82"/>
      <c r="AC275" s="79">
        <v>0</v>
      </c>
      <c r="AD275" s="79">
        <v>0</v>
      </c>
      <c r="AE275" s="79">
        <v>0</v>
      </c>
      <c r="AF275" s="83">
        <f t="shared" si="237"/>
        <v>0</v>
      </c>
      <c r="AG275" s="70">
        <f t="shared" si="238"/>
        <v>0</v>
      </c>
      <c r="AH275" s="83">
        <f t="shared" si="239"/>
        <v>0</v>
      </c>
      <c r="AI275" s="70">
        <f t="shared" si="240"/>
        <v>0</v>
      </c>
      <c r="AK275" s="79">
        <v>0</v>
      </c>
      <c r="AL275" s="80">
        <f t="shared" si="224"/>
        <v>0</v>
      </c>
      <c r="AM275" s="79">
        <v>0</v>
      </c>
      <c r="AN275" s="80">
        <f t="shared" si="225"/>
        <v>0</v>
      </c>
      <c r="AO275" s="79">
        <v>0</v>
      </c>
      <c r="AP275" s="80">
        <f t="shared" si="226"/>
        <v>0</v>
      </c>
      <c r="AQ275" s="79">
        <v>0</v>
      </c>
      <c r="AR275" s="81">
        <f t="shared" si="227"/>
        <v>0</v>
      </c>
      <c r="AS275" s="80">
        <f t="shared" si="241"/>
        <v>0</v>
      </c>
      <c r="AT275" s="70">
        <f t="shared" si="242"/>
        <v>0</v>
      </c>
      <c r="AU275" s="80">
        <f t="shared" si="243"/>
        <v>0</v>
      </c>
      <c r="AV275" s="70">
        <f t="shared" si="244"/>
        <v>0</v>
      </c>
      <c r="AW275" s="80">
        <f t="shared" si="245"/>
        <v>0</v>
      </c>
      <c r="AX275" s="70">
        <f t="shared" si="246"/>
        <v>0</v>
      </c>
      <c r="AY275" s="82"/>
      <c r="BA275" s="79">
        <v>0</v>
      </c>
      <c r="BB275" s="80">
        <f t="shared" si="228"/>
        <v>0</v>
      </c>
      <c r="BC275" s="79">
        <v>0</v>
      </c>
      <c r="BD275" s="80">
        <f t="shared" si="229"/>
        <v>0</v>
      </c>
      <c r="BE275" s="79">
        <v>0</v>
      </c>
      <c r="BF275" s="81">
        <f t="shared" si="230"/>
        <v>0</v>
      </c>
      <c r="BG275" s="80">
        <f t="shared" si="247"/>
        <v>0</v>
      </c>
      <c r="BH275" s="70">
        <f t="shared" si="248"/>
        <v>0</v>
      </c>
      <c r="BI275" s="80">
        <f t="shared" si="249"/>
        <v>0</v>
      </c>
      <c r="BJ275" s="70">
        <f t="shared" si="250"/>
        <v>0</v>
      </c>
      <c r="BK275" s="82"/>
    </row>
    <row r="276" spans="5:63" ht="11.95" thickBot="1" x14ac:dyDescent="0.3">
      <c r="E276" s="3"/>
      <c r="F276" s="3"/>
      <c r="G276" s="3"/>
      <c r="H276" s="3" t="s">
        <v>326</v>
      </c>
      <c r="I276" s="18"/>
      <c r="J276" s="18"/>
      <c r="K276" s="18"/>
      <c r="L276" s="78"/>
      <c r="M276" s="79"/>
      <c r="N276" s="80">
        <f t="shared" si="220"/>
        <v>0</v>
      </c>
      <c r="O276" s="79"/>
      <c r="P276" s="80">
        <f t="shared" si="221"/>
        <v>0</v>
      </c>
      <c r="Q276" s="79"/>
      <c r="R276" s="80">
        <f t="shared" si="222"/>
        <v>0</v>
      </c>
      <c r="S276" s="79"/>
      <c r="T276" s="81">
        <f t="shared" si="223"/>
        <v>0</v>
      </c>
      <c r="U276" s="80">
        <f t="shared" si="231"/>
        <v>0</v>
      </c>
      <c r="V276" s="70">
        <f t="shared" si="232"/>
        <v>0</v>
      </c>
      <c r="W276" s="80">
        <f t="shared" si="233"/>
        <v>0</v>
      </c>
      <c r="X276" s="70">
        <f t="shared" si="234"/>
        <v>0</v>
      </c>
      <c r="Y276" s="80">
        <f t="shared" si="235"/>
        <v>0</v>
      </c>
      <c r="Z276" s="70">
        <f t="shared" si="236"/>
        <v>0</v>
      </c>
      <c r="AA276" s="82"/>
      <c r="AC276" s="79">
        <v>0</v>
      </c>
      <c r="AD276" s="79">
        <v>0</v>
      </c>
      <c r="AE276" s="79">
        <v>0</v>
      </c>
      <c r="AF276" s="83">
        <f t="shared" si="237"/>
        <v>0</v>
      </c>
      <c r="AG276" s="70">
        <f t="shared" si="238"/>
        <v>0</v>
      </c>
      <c r="AH276" s="83">
        <f t="shared" si="239"/>
        <v>0</v>
      </c>
      <c r="AI276" s="70">
        <f t="shared" si="240"/>
        <v>0</v>
      </c>
      <c r="AK276" s="79">
        <v>0</v>
      </c>
      <c r="AL276" s="80">
        <f t="shared" si="224"/>
        <v>0</v>
      </c>
      <c r="AM276" s="79">
        <v>0</v>
      </c>
      <c r="AN276" s="80">
        <f t="shared" si="225"/>
        <v>0</v>
      </c>
      <c r="AO276" s="79">
        <v>0</v>
      </c>
      <c r="AP276" s="80">
        <f t="shared" si="226"/>
        <v>0</v>
      </c>
      <c r="AQ276" s="79">
        <v>0</v>
      </c>
      <c r="AR276" s="81">
        <f t="shared" si="227"/>
        <v>0</v>
      </c>
      <c r="AS276" s="80">
        <f t="shared" si="241"/>
        <v>0</v>
      </c>
      <c r="AT276" s="70">
        <f t="shared" si="242"/>
        <v>0</v>
      </c>
      <c r="AU276" s="80">
        <f t="shared" si="243"/>
        <v>0</v>
      </c>
      <c r="AV276" s="70">
        <f t="shared" si="244"/>
        <v>0</v>
      </c>
      <c r="AW276" s="80">
        <f t="shared" si="245"/>
        <v>0</v>
      </c>
      <c r="AX276" s="70">
        <f t="shared" si="246"/>
        <v>0</v>
      </c>
      <c r="AY276" s="82"/>
      <c r="BA276" s="79">
        <v>0</v>
      </c>
      <c r="BB276" s="80">
        <f t="shared" si="228"/>
        <v>0</v>
      </c>
      <c r="BC276" s="79">
        <v>0</v>
      </c>
      <c r="BD276" s="80">
        <f t="shared" si="229"/>
        <v>0</v>
      </c>
      <c r="BE276" s="79">
        <v>0</v>
      </c>
      <c r="BF276" s="81">
        <f t="shared" si="230"/>
        <v>0</v>
      </c>
      <c r="BG276" s="80">
        <f t="shared" si="247"/>
        <v>0</v>
      </c>
      <c r="BH276" s="70">
        <f t="shared" si="248"/>
        <v>0</v>
      </c>
      <c r="BI276" s="80">
        <f t="shared" si="249"/>
        <v>0</v>
      </c>
      <c r="BJ276" s="70">
        <f t="shared" si="250"/>
        <v>0</v>
      </c>
      <c r="BK276" s="82"/>
    </row>
    <row r="277" spans="5:63" ht="11.95" thickBot="1" x14ac:dyDescent="0.3">
      <c r="E277" s="3"/>
      <c r="F277" s="3"/>
      <c r="G277" s="3"/>
      <c r="H277" s="3" t="s">
        <v>327</v>
      </c>
      <c r="I277" s="18"/>
      <c r="J277" s="18"/>
      <c r="K277" s="18"/>
      <c r="L277" s="78"/>
      <c r="M277" s="79"/>
      <c r="N277" s="80">
        <f t="shared" si="220"/>
        <v>0</v>
      </c>
      <c r="O277" s="79"/>
      <c r="P277" s="80">
        <f t="shared" si="221"/>
        <v>0</v>
      </c>
      <c r="Q277" s="79"/>
      <c r="R277" s="80">
        <f t="shared" si="222"/>
        <v>0</v>
      </c>
      <c r="S277" s="79"/>
      <c r="T277" s="81">
        <f t="shared" si="223"/>
        <v>0</v>
      </c>
      <c r="U277" s="80">
        <f t="shared" si="231"/>
        <v>0</v>
      </c>
      <c r="V277" s="70">
        <f t="shared" si="232"/>
        <v>0</v>
      </c>
      <c r="W277" s="80">
        <f t="shared" si="233"/>
        <v>0</v>
      </c>
      <c r="X277" s="70">
        <f t="shared" si="234"/>
        <v>0</v>
      </c>
      <c r="Y277" s="80">
        <f t="shared" si="235"/>
        <v>0</v>
      </c>
      <c r="Z277" s="70">
        <f t="shared" si="236"/>
        <v>0</v>
      </c>
      <c r="AA277" s="82"/>
      <c r="AC277" s="79">
        <v>0</v>
      </c>
      <c r="AD277" s="79">
        <v>0</v>
      </c>
      <c r="AE277" s="79">
        <v>0</v>
      </c>
      <c r="AF277" s="83">
        <f t="shared" si="237"/>
        <v>0</v>
      </c>
      <c r="AG277" s="70">
        <f t="shared" si="238"/>
        <v>0</v>
      </c>
      <c r="AH277" s="83">
        <f t="shared" si="239"/>
        <v>0</v>
      </c>
      <c r="AI277" s="70">
        <f t="shared" si="240"/>
        <v>0</v>
      </c>
      <c r="AK277" s="79">
        <v>0</v>
      </c>
      <c r="AL277" s="80">
        <f t="shared" si="224"/>
        <v>0</v>
      </c>
      <c r="AM277" s="79">
        <v>0</v>
      </c>
      <c r="AN277" s="80">
        <f t="shared" si="225"/>
        <v>0</v>
      </c>
      <c r="AO277" s="79">
        <v>0</v>
      </c>
      <c r="AP277" s="80">
        <f t="shared" si="226"/>
        <v>0</v>
      </c>
      <c r="AQ277" s="79">
        <v>0</v>
      </c>
      <c r="AR277" s="81">
        <f t="shared" si="227"/>
        <v>0</v>
      </c>
      <c r="AS277" s="80">
        <f t="shared" si="241"/>
        <v>0</v>
      </c>
      <c r="AT277" s="70">
        <f t="shared" si="242"/>
        <v>0</v>
      </c>
      <c r="AU277" s="80">
        <f t="shared" si="243"/>
        <v>0</v>
      </c>
      <c r="AV277" s="70">
        <f t="shared" si="244"/>
        <v>0</v>
      </c>
      <c r="AW277" s="80">
        <f t="shared" si="245"/>
        <v>0</v>
      </c>
      <c r="AX277" s="70">
        <f t="shared" si="246"/>
        <v>0</v>
      </c>
      <c r="AY277" s="82"/>
      <c r="BA277" s="79">
        <v>0</v>
      </c>
      <c r="BB277" s="80">
        <f t="shared" si="228"/>
        <v>0</v>
      </c>
      <c r="BC277" s="79">
        <v>0</v>
      </c>
      <c r="BD277" s="80">
        <f t="shared" si="229"/>
        <v>0</v>
      </c>
      <c r="BE277" s="79">
        <v>0</v>
      </c>
      <c r="BF277" s="81">
        <f t="shared" si="230"/>
        <v>0</v>
      </c>
      <c r="BG277" s="80">
        <f t="shared" si="247"/>
        <v>0</v>
      </c>
      <c r="BH277" s="70">
        <f t="shared" si="248"/>
        <v>0</v>
      </c>
      <c r="BI277" s="80">
        <f t="shared" si="249"/>
        <v>0</v>
      </c>
      <c r="BJ277" s="70">
        <f t="shared" si="250"/>
        <v>0</v>
      </c>
      <c r="BK277" s="82"/>
    </row>
    <row r="278" spans="5:63" ht="11.95" thickBot="1" x14ac:dyDescent="0.3">
      <c r="E278" s="3"/>
      <c r="F278" s="3"/>
      <c r="G278" s="3"/>
      <c r="H278" s="3" t="s">
        <v>328</v>
      </c>
      <c r="I278" s="18"/>
      <c r="J278" s="18"/>
      <c r="K278" s="18"/>
      <c r="L278" s="78"/>
      <c r="M278" s="79"/>
      <c r="N278" s="80">
        <f t="shared" si="220"/>
        <v>0</v>
      </c>
      <c r="O278" s="79"/>
      <c r="P278" s="80">
        <f t="shared" si="221"/>
        <v>0</v>
      </c>
      <c r="Q278" s="79"/>
      <c r="R278" s="80">
        <f t="shared" si="222"/>
        <v>0</v>
      </c>
      <c r="S278" s="79"/>
      <c r="T278" s="81">
        <f t="shared" si="223"/>
        <v>0</v>
      </c>
      <c r="U278" s="80">
        <f t="shared" si="231"/>
        <v>0</v>
      </c>
      <c r="V278" s="70">
        <f t="shared" si="232"/>
        <v>0</v>
      </c>
      <c r="W278" s="80">
        <f t="shared" si="233"/>
        <v>0</v>
      </c>
      <c r="X278" s="70">
        <f t="shared" si="234"/>
        <v>0</v>
      </c>
      <c r="Y278" s="80">
        <f t="shared" si="235"/>
        <v>0</v>
      </c>
      <c r="Z278" s="70">
        <f t="shared" si="236"/>
        <v>0</v>
      </c>
      <c r="AA278" s="82"/>
      <c r="AC278" s="79">
        <v>0</v>
      </c>
      <c r="AD278" s="79">
        <v>0</v>
      </c>
      <c r="AE278" s="79">
        <v>0</v>
      </c>
      <c r="AF278" s="83">
        <f t="shared" si="237"/>
        <v>0</v>
      </c>
      <c r="AG278" s="70">
        <f t="shared" si="238"/>
        <v>0</v>
      </c>
      <c r="AH278" s="83">
        <f t="shared" si="239"/>
        <v>0</v>
      </c>
      <c r="AI278" s="70">
        <f t="shared" si="240"/>
        <v>0</v>
      </c>
      <c r="AK278" s="79">
        <v>0</v>
      </c>
      <c r="AL278" s="80">
        <f t="shared" si="224"/>
        <v>0</v>
      </c>
      <c r="AM278" s="79">
        <v>0</v>
      </c>
      <c r="AN278" s="80">
        <f t="shared" si="225"/>
        <v>0</v>
      </c>
      <c r="AO278" s="79">
        <v>0</v>
      </c>
      <c r="AP278" s="80">
        <f t="shared" si="226"/>
        <v>0</v>
      </c>
      <c r="AQ278" s="79">
        <v>0</v>
      </c>
      <c r="AR278" s="81">
        <f t="shared" si="227"/>
        <v>0</v>
      </c>
      <c r="AS278" s="80">
        <f t="shared" si="241"/>
        <v>0</v>
      </c>
      <c r="AT278" s="70">
        <f t="shared" si="242"/>
        <v>0</v>
      </c>
      <c r="AU278" s="80">
        <f t="shared" si="243"/>
        <v>0</v>
      </c>
      <c r="AV278" s="70">
        <f t="shared" si="244"/>
        <v>0</v>
      </c>
      <c r="AW278" s="80">
        <f t="shared" si="245"/>
        <v>0</v>
      </c>
      <c r="AX278" s="70">
        <f t="shared" si="246"/>
        <v>0</v>
      </c>
      <c r="AY278" s="82"/>
      <c r="BA278" s="79">
        <v>0</v>
      </c>
      <c r="BB278" s="80">
        <f t="shared" si="228"/>
        <v>0</v>
      </c>
      <c r="BC278" s="79">
        <v>0</v>
      </c>
      <c r="BD278" s="80">
        <f t="shared" si="229"/>
        <v>0</v>
      </c>
      <c r="BE278" s="79">
        <v>0</v>
      </c>
      <c r="BF278" s="81">
        <f t="shared" si="230"/>
        <v>0</v>
      </c>
      <c r="BG278" s="80">
        <f t="shared" si="247"/>
        <v>0</v>
      </c>
      <c r="BH278" s="70">
        <f t="shared" si="248"/>
        <v>0</v>
      </c>
      <c r="BI278" s="80">
        <f t="shared" si="249"/>
        <v>0</v>
      </c>
      <c r="BJ278" s="70">
        <f t="shared" si="250"/>
        <v>0</v>
      </c>
      <c r="BK278" s="82"/>
    </row>
    <row r="279" spans="5:63" ht="11.95" thickBot="1" x14ac:dyDescent="0.3">
      <c r="E279" s="3"/>
      <c r="F279" s="3"/>
      <c r="G279" s="3"/>
      <c r="H279" s="3" t="s">
        <v>329</v>
      </c>
      <c r="I279" s="18"/>
      <c r="J279" s="18"/>
      <c r="K279" s="18"/>
      <c r="L279" s="78"/>
      <c r="M279" s="79"/>
      <c r="N279" s="80">
        <f t="shared" si="220"/>
        <v>0</v>
      </c>
      <c r="O279" s="79"/>
      <c r="P279" s="80">
        <f t="shared" si="221"/>
        <v>0</v>
      </c>
      <c r="Q279" s="79"/>
      <c r="R279" s="80">
        <f t="shared" si="222"/>
        <v>0</v>
      </c>
      <c r="S279" s="79"/>
      <c r="T279" s="81">
        <f t="shared" si="223"/>
        <v>0</v>
      </c>
      <c r="U279" s="80">
        <f t="shared" si="231"/>
        <v>0</v>
      </c>
      <c r="V279" s="70">
        <f t="shared" si="232"/>
        <v>0</v>
      </c>
      <c r="W279" s="80">
        <f t="shared" si="233"/>
        <v>0</v>
      </c>
      <c r="X279" s="70">
        <f t="shared" si="234"/>
        <v>0</v>
      </c>
      <c r="Y279" s="80">
        <f t="shared" si="235"/>
        <v>0</v>
      </c>
      <c r="Z279" s="70">
        <f t="shared" si="236"/>
        <v>0</v>
      </c>
      <c r="AA279" s="82"/>
      <c r="AC279" s="79">
        <v>0</v>
      </c>
      <c r="AD279" s="79">
        <v>0</v>
      </c>
      <c r="AE279" s="79">
        <v>0</v>
      </c>
      <c r="AF279" s="83">
        <f t="shared" si="237"/>
        <v>0</v>
      </c>
      <c r="AG279" s="70">
        <f t="shared" si="238"/>
        <v>0</v>
      </c>
      <c r="AH279" s="83">
        <f t="shared" si="239"/>
        <v>0</v>
      </c>
      <c r="AI279" s="70">
        <f t="shared" si="240"/>
        <v>0</v>
      </c>
      <c r="AK279" s="79">
        <v>0</v>
      </c>
      <c r="AL279" s="80">
        <f t="shared" si="224"/>
        <v>0</v>
      </c>
      <c r="AM279" s="79">
        <v>0</v>
      </c>
      <c r="AN279" s="80">
        <f t="shared" si="225"/>
        <v>0</v>
      </c>
      <c r="AO279" s="79">
        <v>0</v>
      </c>
      <c r="AP279" s="80">
        <f t="shared" si="226"/>
        <v>0</v>
      </c>
      <c r="AQ279" s="79">
        <v>0</v>
      </c>
      <c r="AR279" s="81">
        <f t="shared" si="227"/>
        <v>0</v>
      </c>
      <c r="AS279" s="80">
        <f t="shared" si="241"/>
        <v>0</v>
      </c>
      <c r="AT279" s="70">
        <f t="shared" si="242"/>
        <v>0</v>
      </c>
      <c r="AU279" s="80">
        <f t="shared" si="243"/>
        <v>0</v>
      </c>
      <c r="AV279" s="70">
        <f t="shared" si="244"/>
        <v>0</v>
      </c>
      <c r="AW279" s="80">
        <f t="shared" si="245"/>
        <v>0</v>
      </c>
      <c r="AX279" s="70">
        <f t="shared" si="246"/>
        <v>0</v>
      </c>
      <c r="AY279" s="82"/>
      <c r="BA279" s="79">
        <v>0</v>
      </c>
      <c r="BB279" s="80">
        <f t="shared" si="228"/>
        <v>0</v>
      </c>
      <c r="BC279" s="79">
        <v>0</v>
      </c>
      <c r="BD279" s="80">
        <f t="shared" si="229"/>
        <v>0</v>
      </c>
      <c r="BE279" s="79">
        <v>0</v>
      </c>
      <c r="BF279" s="81">
        <f t="shared" si="230"/>
        <v>0</v>
      </c>
      <c r="BG279" s="80">
        <f t="shared" si="247"/>
        <v>0</v>
      </c>
      <c r="BH279" s="70">
        <f t="shared" si="248"/>
        <v>0</v>
      </c>
      <c r="BI279" s="80">
        <f t="shared" si="249"/>
        <v>0</v>
      </c>
      <c r="BJ279" s="70">
        <f t="shared" si="250"/>
        <v>0</v>
      </c>
      <c r="BK279" s="82"/>
    </row>
    <row r="280" spans="5:63" ht="11.95" thickBot="1" x14ac:dyDescent="0.3">
      <c r="E280" s="3"/>
      <c r="F280" s="3"/>
      <c r="G280" s="3"/>
      <c r="H280" s="3" t="s">
        <v>330</v>
      </c>
      <c r="I280" s="18"/>
      <c r="J280" s="18"/>
      <c r="K280" s="18"/>
      <c r="L280" s="78"/>
      <c r="M280" s="79"/>
      <c r="N280" s="80">
        <f t="shared" si="220"/>
        <v>0</v>
      </c>
      <c r="O280" s="79"/>
      <c r="P280" s="80">
        <f t="shared" si="221"/>
        <v>0</v>
      </c>
      <c r="Q280" s="79"/>
      <c r="R280" s="80">
        <f t="shared" si="222"/>
        <v>0</v>
      </c>
      <c r="S280" s="79"/>
      <c r="T280" s="81">
        <f t="shared" si="223"/>
        <v>0</v>
      </c>
      <c r="U280" s="80">
        <f t="shared" si="231"/>
        <v>0</v>
      </c>
      <c r="V280" s="70">
        <f t="shared" si="232"/>
        <v>0</v>
      </c>
      <c r="W280" s="80">
        <f t="shared" si="233"/>
        <v>0</v>
      </c>
      <c r="X280" s="70">
        <f t="shared" si="234"/>
        <v>0</v>
      </c>
      <c r="Y280" s="80">
        <f t="shared" si="235"/>
        <v>0</v>
      </c>
      <c r="Z280" s="70">
        <f t="shared" si="236"/>
        <v>0</v>
      </c>
      <c r="AA280" s="82"/>
      <c r="AC280" s="79">
        <v>0</v>
      </c>
      <c r="AD280" s="79">
        <v>0</v>
      </c>
      <c r="AE280" s="79">
        <v>0</v>
      </c>
      <c r="AF280" s="83">
        <f t="shared" si="237"/>
        <v>0</v>
      </c>
      <c r="AG280" s="70">
        <f t="shared" si="238"/>
        <v>0</v>
      </c>
      <c r="AH280" s="83">
        <f t="shared" si="239"/>
        <v>0</v>
      </c>
      <c r="AI280" s="70">
        <f t="shared" si="240"/>
        <v>0</v>
      </c>
      <c r="AK280" s="79">
        <v>0</v>
      </c>
      <c r="AL280" s="80">
        <f t="shared" si="224"/>
        <v>0</v>
      </c>
      <c r="AM280" s="79">
        <v>0</v>
      </c>
      <c r="AN280" s="80">
        <f t="shared" si="225"/>
        <v>0</v>
      </c>
      <c r="AO280" s="79">
        <v>0</v>
      </c>
      <c r="AP280" s="80">
        <f t="shared" si="226"/>
        <v>0</v>
      </c>
      <c r="AQ280" s="79">
        <v>0</v>
      </c>
      <c r="AR280" s="81">
        <f t="shared" si="227"/>
        <v>0</v>
      </c>
      <c r="AS280" s="80">
        <f t="shared" si="241"/>
        <v>0</v>
      </c>
      <c r="AT280" s="70">
        <f t="shared" si="242"/>
        <v>0</v>
      </c>
      <c r="AU280" s="80">
        <f t="shared" si="243"/>
        <v>0</v>
      </c>
      <c r="AV280" s="70">
        <f t="shared" si="244"/>
        <v>0</v>
      </c>
      <c r="AW280" s="80">
        <f t="shared" si="245"/>
        <v>0</v>
      </c>
      <c r="AX280" s="70">
        <f t="shared" si="246"/>
        <v>0</v>
      </c>
      <c r="AY280" s="82"/>
      <c r="BA280" s="79">
        <v>0</v>
      </c>
      <c r="BB280" s="80">
        <f t="shared" si="228"/>
        <v>0</v>
      </c>
      <c r="BC280" s="79">
        <v>0</v>
      </c>
      <c r="BD280" s="80">
        <f t="shared" si="229"/>
        <v>0</v>
      </c>
      <c r="BE280" s="79">
        <v>0</v>
      </c>
      <c r="BF280" s="81">
        <f t="shared" si="230"/>
        <v>0</v>
      </c>
      <c r="BG280" s="80">
        <f t="shared" si="247"/>
        <v>0</v>
      </c>
      <c r="BH280" s="70">
        <f t="shared" si="248"/>
        <v>0</v>
      </c>
      <c r="BI280" s="80">
        <f t="shared" si="249"/>
        <v>0</v>
      </c>
      <c r="BJ280" s="70">
        <f t="shared" si="250"/>
        <v>0</v>
      </c>
      <c r="BK280" s="82"/>
    </row>
    <row r="281" spans="5:63" ht="11.95" thickBot="1" x14ac:dyDescent="0.3">
      <c r="E281" s="3"/>
      <c r="F281" s="3"/>
      <c r="G281" s="3"/>
      <c r="H281" s="3" t="s">
        <v>331</v>
      </c>
      <c r="I281" s="18"/>
      <c r="J281" s="18"/>
      <c r="K281" s="18"/>
      <c r="L281" s="78"/>
      <c r="M281" s="79"/>
      <c r="N281" s="80">
        <f t="shared" si="220"/>
        <v>0</v>
      </c>
      <c r="O281" s="79"/>
      <c r="P281" s="80">
        <f t="shared" si="221"/>
        <v>0</v>
      </c>
      <c r="Q281" s="79"/>
      <c r="R281" s="80">
        <f t="shared" si="222"/>
        <v>0</v>
      </c>
      <c r="S281" s="79"/>
      <c r="T281" s="81">
        <f t="shared" si="223"/>
        <v>0</v>
      </c>
      <c r="U281" s="80">
        <f t="shared" si="231"/>
        <v>0</v>
      </c>
      <c r="V281" s="70">
        <f t="shared" si="232"/>
        <v>0</v>
      </c>
      <c r="W281" s="80">
        <f t="shared" si="233"/>
        <v>0</v>
      </c>
      <c r="X281" s="70">
        <f t="shared" si="234"/>
        <v>0</v>
      </c>
      <c r="Y281" s="80">
        <f t="shared" si="235"/>
        <v>0</v>
      </c>
      <c r="Z281" s="70">
        <f t="shared" si="236"/>
        <v>0</v>
      </c>
      <c r="AA281" s="82"/>
      <c r="AC281" s="79">
        <v>0</v>
      </c>
      <c r="AD281" s="79">
        <v>0</v>
      </c>
      <c r="AE281" s="79">
        <v>0</v>
      </c>
      <c r="AF281" s="83">
        <f t="shared" si="237"/>
        <v>0</v>
      </c>
      <c r="AG281" s="70">
        <f t="shared" si="238"/>
        <v>0</v>
      </c>
      <c r="AH281" s="83">
        <f t="shared" si="239"/>
        <v>0</v>
      </c>
      <c r="AI281" s="70">
        <f t="shared" si="240"/>
        <v>0</v>
      </c>
      <c r="AK281" s="79">
        <v>0</v>
      </c>
      <c r="AL281" s="80">
        <f t="shared" si="224"/>
        <v>0</v>
      </c>
      <c r="AM281" s="79">
        <v>0</v>
      </c>
      <c r="AN281" s="80">
        <f t="shared" si="225"/>
        <v>0</v>
      </c>
      <c r="AO281" s="79">
        <v>0</v>
      </c>
      <c r="AP281" s="80">
        <f t="shared" si="226"/>
        <v>0</v>
      </c>
      <c r="AQ281" s="79">
        <v>0</v>
      </c>
      <c r="AR281" s="81">
        <f t="shared" si="227"/>
        <v>0</v>
      </c>
      <c r="AS281" s="80">
        <f t="shared" si="241"/>
        <v>0</v>
      </c>
      <c r="AT281" s="70">
        <f t="shared" si="242"/>
        <v>0</v>
      </c>
      <c r="AU281" s="80">
        <f t="shared" si="243"/>
        <v>0</v>
      </c>
      <c r="AV281" s="70">
        <f t="shared" si="244"/>
        <v>0</v>
      </c>
      <c r="AW281" s="80">
        <f t="shared" si="245"/>
        <v>0</v>
      </c>
      <c r="AX281" s="70">
        <f t="shared" si="246"/>
        <v>0</v>
      </c>
      <c r="AY281" s="82"/>
      <c r="BA281" s="79">
        <v>0</v>
      </c>
      <c r="BB281" s="80">
        <f t="shared" si="228"/>
        <v>0</v>
      </c>
      <c r="BC281" s="79">
        <v>0</v>
      </c>
      <c r="BD281" s="80">
        <f t="shared" si="229"/>
        <v>0</v>
      </c>
      <c r="BE281" s="79">
        <v>0</v>
      </c>
      <c r="BF281" s="81">
        <f t="shared" si="230"/>
        <v>0</v>
      </c>
      <c r="BG281" s="80">
        <f t="shared" si="247"/>
        <v>0</v>
      </c>
      <c r="BH281" s="70">
        <f t="shared" si="248"/>
        <v>0</v>
      </c>
      <c r="BI281" s="80">
        <f t="shared" si="249"/>
        <v>0</v>
      </c>
      <c r="BJ281" s="70">
        <f t="shared" si="250"/>
        <v>0</v>
      </c>
      <c r="BK281" s="82"/>
    </row>
    <row r="282" spans="5:63" ht="11.95" thickBot="1" x14ac:dyDescent="0.3">
      <c r="E282" s="3"/>
      <c r="F282" s="3"/>
      <c r="G282" s="3"/>
      <c r="H282" s="3" t="s">
        <v>332</v>
      </c>
      <c r="I282" s="18"/>
      <c r="J282" s="18"/>
      <c r="K282" s="18"/>
      <c r="L282" s="78"/>
      <c r="M282" s="79"/>
      <c r="N282" s="80">
        <f t="shared" si="220"/>
        <v>0</v>
      </c>
      <c r="O282" s="79"/>
      <c r="P282" s="80">
        <f t="shared" si="221"/>
        <v>0</v>
      </c>
      <c r="Q282" s="79"/>
      <c r="R282" s="80">
        <f t="shared" si="222"/>
        <v>0</v>
      </c>
      <c r="S282" s="79"/>
      <c r="T282" s="81">
        <f t="shared" si="223"/>
        <v>0</v>
      </c>
      <c r="U282" s="80">
        <f t="shared" si="231"/>
        <v>0</v>
      </c>
      <c r="V282" s="70">
        <f t="shared" si="232"/>
        <v>0</v>
      </c>
      <c r="W282" s="80">
        <f t="shared" si="233"/>
        <v>0</v>
      </c>
      <c r="X282" s="70">
        <f t="shared" si="234"/>
        <v>0</v>
      </c>
      <c r="Y282" s="80">
        <f t="shared" si="235"/>
        <v>0</v>
      </c>
      <c r="Z282" s="70">
        <f t="shared" si="236"/>
        <v>0</v>
      </c>
      <c r="AA282" s="82"/>
      <c r="AC282" s="79">
        <v>0</v>
      </c>
      <c r="AD282" s="79">
        <v>0</v>
      </c>
      <c r="AE282" s="79">
        <v>0</v>
      </c>
      <c r="AF282" s="83">
        <f t="shared" si="237"/>
        <v>0</v>
      </c>
      <c r="AG282" s="70">
        <f t="shared" si="238"/>
        <v>0</v>
      </c>
      <c r="AH282" s="83">
        <f t="shared" si="239"/>
        <v>0</v>
      </c>
      <c r="AI282" s="70">
        <f t="shared" si="240"/>
        <v>0</v>
      </c>
      <c r="AK282" s="79">
        <v>0</v>
      </c>
      <c r="AL282" s="80">
        <f t="shared" si="224"/>
        <v>0</v>
      </c>
      <c r="AM282" s="79">
        <v>0</v>
      </c>
      <c r="AN282" s="80">
        <f t="shared" si="225"/>
        <v>0</v>
      </c>
      <c r="AO282" s="79">
        <v>0</v>
      </c>
      <c r="AP282" s="80">
        <f t="shared" si="226"/>
        <v>0</v>
      </c>
      <c r="AQ282" s="79">
        <v>0</v>
      </c>
      <c r="AR282" s="81">
        <f t="shared" si="227"/>
        <v>0</v>
      </c>
      <c r="AS282" s="80">
        <f t="shared" si="241"/>
        <v>0</v>
      </c>
      <c r="AT282" s="70">
        <f t="shared" si="242"/>
        <v>0</v>
      </c>
      <c r="AU282" s="80">
        <f t="shared" si="243"/>
        <v>0</v>
      </c>
      <c r="AV282" s="70">
        <f t="shared" si="244"/>
        <v>0</v>
      </c>
      <c r="AW282" s="80">
        <f t="shared" si="245"/>
        <v>0</v>
      </c>
      <c r="AX282" s="70">
        <f t="shared" si="246"/>
        <v>0</v>
      </c>
      <c r="AY282" s="82"/>
      <c r="BA282" s="79">
        <v>0</v>
      </c>
      <c r="BB282" s="80">
        <f t="shared" si="228"/>
        <v>0</v>
      </c>
      <c r="BC282" s="79">
        <v>0</v>
      </c>
      <c r="BD282" s="80">
        <f t="shared" si="229"/>
        <v>0</v>
      </c>
      <c r="BE282" s="79">
        <v>0</v>
      </c>
      <c r="BF282" s="81">
        <f t="shared" si="230"/>
        <v>0</v>
      </c>
      <c r="BG282" s="80">
        <f t="shared" si="247"/>
        <v>0</v>
      </c>
      <c r="BH282" s="70">
        <f t="shared" si="248"/>
        <v>0</v>
      </c>
      <c r="BI282" s="80">
        <f t="shared" si="249"/>
        <v>0</v>
      </c>
      <c r="BJ282" s="70">
        <f t="shared" si="250"/>
        <v>0</v>
      </c>
      <c r="BK282" s="82"/>
    </row>
    <row r="283" spans="5:63" ht="11.95" thickBot="1" x14ac:dyDescent="0.3">
      <c r="E283" s="3"/>
      <c r="F283" s="3"/>
      <c r="G283" s="3"/>
      <c r="H283" s="3" t="s">
        <v>333</v>
      </c>
      <c r="I283" s="18"/>
      <c r="J283" s="18"/>
      <c r="K283" s="18"/>
      <c r="L283" s="78"/>
      <c r="M283" s="79"/>
      <c r="N283" s="80">
        <f t="shared" si="220"/>
        <v>0</v>
      </c>
      <c r="O283" s="79"/>
      <c r="P283" s="80">
        <f t="shared" si="221"/>
        <v>0</v>
      </c>
      <c r="Q283" s="79"/>
      <c r="R283" s="80">
        <f t="shared" si="222"/>
        <v>0</v>
      </c>
      <c r="S283" s="79">
        <v>45</v>
      </c>
      <c r="T283" s="81">
        <f t="shared" si="223"/>
        <v>8.8241002099331869E-5</v>
      </c>
      <c r="U283" s="80">
        <f t="shared" si="231"/>
        <v>0</v>
      </c>
      <c r="V283" s="70">
        <f t="shared" si="232"/>
        <v>0</v>
      </c>
      <c r="W283" s="80">
        <f t="shared" si="233"/>
        <v>0</v>
      </c>
      <c r="X283" s="70">
        <f t="shared" si="234"/>
        <v>0</v>
      </c>
      <c r="Y283" s="80">
        <f t="shared" si="235"/>
        <v>0</v>
      </c>
      <c r="Z283" s="70">
        <f t="shared" si="236"/>
        <v>45</v>
      </c>
      <c r="AA283" s="82"/>
      <c r="AC283" s="79">
        <v>0</v>
      </c>
      <c r="AD283" s="79">
        <v>45</v>
      </c>
      <c r="AE283" s="79">
        <v>0</v>
      </c>
      <c r="AF283" s="83">
        <f t="shared" si="237"/>
        <v>0</v>
      </c>
      <c r="AG283" s="70">
        <f t="shared" si="238"/>
        <v>45</v>
      </c>
      <c r="AH283" s="83">
        <f t="shared" si="239"/>
        <v>0</v>
      </c>
      <c r="AI283" s="70">
        <f t="shared" si="240"/>
        <v>0</v>
      </c>
      <c r="AK283" s="79">
        <v>0</v>
      </c>
      <c r="AL283" s="80">
        <f t="shared" si="224"/>
        <v>0</v>
      </c>
      <c r="AM283" s="79">
        <v>0</v>
      </c>
      <c r="AN283" s="80">
        <f t="shared" si="225"/>
        <v>0</v>
      </c>
      <c r="AO283" s="79">
        <v>0</v>
      </c>
      <c r="AP283" s="80">
        <f t="shared" si="226"/>
        <v>0</v>
      </c>
      <c r="AQ283" s="79">
        <v>45</v>
      </c>
      <c r="AR283" s="81">
        <f t="shared" si="227"/>
        <v>8.8241002099331869E-5</v>
      </c>
      <c r="AS283" s="80">
        <f t="shared" si="241"/>
        <v>0</v>
      </c>
      <c r="AT283" s="70">
        <f t="shared" si="242"/>
        <v>0</v>
      </c>
      <c r="AU283" s="80">
        <f t="shared" si="243"/>
        <v>0</v>
      </c>
      <c r="AV283" s="70">
        <f t="shared" si="244"/>
        <v>0</v>
      </c>
      <c r="AW283" s="80">
        <f t="shared" si="245"/>
        <v>0</v>
      </c>
      <c r="AX283" s="70">
        <f t="shared" si="246"/>
        <v>45</v>
      </c>
      <c r="AY283" s="82"/>
      <c r="BA283" s="79">
        <v>0</v>
      </c>
      <c r="BB283" s="80">
        <f t="shared" si="228"/>
        <v>0</v>
      </c>
      <c r="BC283" s="79">
        <v>0</v>
      </c>
      <c r="BD283" s="80">
        <f t="shared" si="229"/>
        <v>0</v>
      </c>
      <c r="BE283" s="79">
        <v>8429.93</v>
      </c>
      <c r="BF283" s="81">
        <f t="shared" si="230"/>
        <v>4.1968623588230121E-3</v>
      </c>
      <c r="BG283" s="80">
        <f t="shared" si="247"/>
        <v>0</v>
      </c>
      <c r="BH283" s="70">
        <f t="shared" si="248"/>
        <v>0</v>
      </c>
      <c r="BI283" s="80">
        <f t="shared" si="249"/>
        <v>0</v>
      </c>
      <c r="BJ283" s="70">
        <f t="shared" si="250"/>
        <v>8429.93</v>
      </c>
      <c r="BK283" s="82"/>
    </row>
    <row r="284" spans="5:63" ht="11.95" thickBot="1" x14ac:dyDescent="0.3">
      <c r="E284" s="3"/>
      <c r="F284" s="3"/>
      <c r="G284" s="3"/>
      <c r="H284" s="3" t="s">
        <v>334</v>
      </c>
      <c r="I284" s="18"/>
      <c r="J284" s="18"/>
      <c r="K284" s="18"/>
      <c r="L284" s="78"/>
      <c r="M284" s="79"/>
      <c r="N284" s="80">
        <f t="shared" si="220"/>
        <v>0</v>
      </c>
      <c r="O284" s="79"/>
      <c r="P284" s="80">
        <f t="shared" si="221"/>
        <v>0</v>
      </c>
      <c r="Q284" s="79"/>
      <c r="R284" s="80">
        <f t="shared" si="222"/>
        <v>0</v>
      </c>
      <c r="S284" s="79"/>
      <c r="T284" s="81">
        <f t="shared" si="223"/>
        <v>0</v>
      </c>
      <c r="U284" s="80">
        <f t="shared" si="231"/>
        <v>0</v>
      </c>
      <c r="V284" s="70">
        <f t="shared" si="232"/>
        <v>0</v>
      </c>
      <c r="W284" s="80">
        <f t="shared" si="233"/>
        <v>0</v>
      </c>
      <c r="X284" s="70">
        <f t="shared" si="234"/>
        <v>0</v>
      </c>
      <c r="Y284" s="80">
        <f t="shared" si="235"/>
        <v>0</v>
      </c>
      <c r="Z284" s="70">
        <f t="shared" si="236"/>
        <v>0</v>
      </c>
      <c r="AA284" s="82"/>
      <c r="AC284" s="79">
        <v>0</v>
      </c>
      <c r="AD284" s="79">
        <v>0</v>
      </c>
      <c r="AE284" s="79">
        <v>0</v>
      </c>
      <c r="AF284" s="83">
        <f t="shared" si="237"/>
        <v>0</v>
      </c>
      <c r="AG284" s="70">
        <f t="shared" si="238"/>
        <v>0</v>
      </c>
      <c r="AH284" s="83">
        <f t="shared" si="239"/>
        <v>0</v>
      </c>
      <c r="AI284" s="70">
        <f t="shared" si="240"/>
        <v>0</v>
      </c>
      <c r="AK284" s="79">
        <v>0</v>
      </c>
      <c r="AL284" s="80">
        <f t="shared" si="224"/>
        <v>0</v>
      </c>
      <c r="AM284" s="79">
        <v>0</v>
      </c>
      <c r="AN284" s="80">
        <f t="shared" si="225"/>
        <v>0</v>
      </c>
      <c r="AO284" s="79">
        <v>0</v>
      </c>
      <c r="AP284" s="80">
        <f t="shared" si="226"/>
        <v>0</v>
      </c>
      <c r="AQ284" s="79">
        <v>0</v>
      </c>
      <c r="AR284" s="81">
        <f t="shared" si="227"/>
        <v>0</v>
      </c>
      <c r="AS284" s="80">
        <f t="shared" si="241"/>
        <v>0</v>
      </c>
      <c r="AT284" s="70">
        <f t="shared" si="242"/>
        <v>0</v>
      </c>
      <c r="AU284" s="80">
        <f t="shared" si="243"/>
        <v>0</v>
      </c>
      <c r="AV284" s="70">
        <f t="shared" si="244"/>
        <v>0</v>
      </c>
      <c r="AW284" s="80">
        <f t="shared" si="245"/>
        <v>0</v>
      </c>
      <c r="AX284" s="70">
        <f t="shared" si="246"/>
        <v>0</v>
      </c>
      <c r="AY284" s="82"/>
      <c r="BA284" s="79">
        <v>0</v>
      </c>
      <c r="BB284" s="80">
        <f t="shared" si="228"/>
        <v>0</v>
      </c>
      <c r="BC284" s="79">
        <v>0</v>
      </c>
      <c r="BD284" s="80">
        <f t="shared" si="229"/>
        <v>0</v>
      </c>
      <c r="BE284" s="79">
        <v>0</v>
      </c>
      <c r="BF284" s="81">
        <f t="shared" si="230"/>
        <v>0</v>
      </c>
      <c r="BG284" s="80">
        <f t="shared" si="247"/>
        <v>0</v>
      </c>
      <c r="BH284" s="70">
        <f t="shared" si="248"/>
        <v>0</v>
      </c>
      <c r="BI284" s="80">
        <f t="shared" si="249"/>
        <v>0</v>
      </c>
      <c r="BJ284" s="70">
        <f t="shared" si="250"/>
        <v>0</v>
      </c>
      <c r="BK284" s="82"/>
    </row>
    <row r="285" spans="5:63" ht="11.95" thickBot="1" x14ac:dyDescent="0.3">
      <c r="E285" s="3"/>
      <c r="F285" s="3"/>
      <c r="G285" s="3"/>
      <c r="H285" s="3" t="s">
        <v>335</v>
      </c>
      <c r="I285" s="18"/>
      <c r="J285" s="18"/>
      <c r="K285" s="18"/>
      <c r="L285" s="78"/>
      <c r="M285" s="79"/>
      <c r="N285" s="80">
        <f t="shared" si="220"/>
        <v>0</v>
      </c>
      <c r="O285" s="79"/>
      <c r="P285" s="80">
        <f t="shared" si="221"/>
        <v>0</v>
      </c>
      <c r="Q285" s="79"/>
      <c r="R285" s="80">
        <f t="shared" si="222"/>
        <v>0</v>
      </c>
      <c r="S285" s="79"/>
      <c r="T285" s="81">
        <f t="shared" si="223"/>
        <v>0</v>
      </c>
      <c r="U285" s="80">
        <f t="shared" si="231"/>
        <v>0</v>
      </c>
      <c r="V285" s="70">
        <f t="shared" si="232"/>
        <v>0</v>
      </c>
      <c r="W285" s="80">
        <f t="shared" si="233"/>
        <v>0</v>
      </c>
      <c r="X285" s="70">
        <f t="shared" si="234"/>
        <v>0</v>
      </c>
      <c r="Y285" s="80">
        <f t="shared" si="235"/>
        <v>0</v>
      </c>
      <c r="Z285" s="70">
        <f t="shared" si="236"/>
        <v>0</v>
      </c>
      <c r="AA285" s="82"/>
      <c r="AC285" s="79">
        <v>0</v>
      </c>
      <c r="AD285" s="79">
        <v>0</v>
      </c>
      <c r="AE285" s="79">
        <v>0</v>
      </c>
      <c r="AF285" s="83">
        <f t="shared" si="237"/>
        <v>0</v>
      </c>
      <c r="AG285" s="70">
        <f t="shared" si="238"/>
        <v>0</v>
      </c>
      <c r="AH285" s="83">
        <f t="shared" si="239"/>
        <v>0</v>
      </c>
      <c r="AI285" s="70">
        <f t="shared" si="240"/>
        <v>0</v>
      </c>
      <c r="AK285" s="79">
        <v>0</v>
      </c>
      <c r="AL285" s="80">
        <f t="shared" si="224"/>
        <v>0</v>
      </c>
      <c r="AM285" s="79">
        <v>0</v>
      </c>
      <c r="AN285" s="80">
        <f t="shared" si="225"/>
        <v>0</v>
      </c>
      <c r="AO285" s="79">
        <v>0</v>
      </c>
      <c r="AP285" s="80">
        <f t="shared" si="226"/>
        <v>0</v>
      </c>
      <c r="AQ285" s="79">
        <v>0</v>
      </c>
      <c r="AR285" s="81">
        <f t="shared" si="227"/>
        <v>0</v>
      </c>
      <c r="AS285" s="80">
        <f t="shared" si="241"/>
        <v>0</v>
      </c>
      <c r="AT285" s="70">
        <f t="shared" si="242"/>
        <v>0</v>
      </c>
      <c r="AU285" s="80">
        <f t="shared" si="243"/>
        <v>0</v>
      </c>
      <c r="AV285" s="70">
        <f t="shared" si="244"/>
        <v>0</v>
      </c>
      <c r="AW285" s="80">
        <f t="shared" si="245"/>
        <v>0</v>
      </c>
      <c r="AX285" s="70">
        <f t="shared" si="246"/>
        <v>0</v>
      </c>
      <c r="AY285" s="82"/>
      <c r="BA285" s="79">
        <v>0</v>
      </c>
      <c r="BB285" s="80">
        <f t="shared" si="228"/>
        <v>0</v>
      </c>
      <c r="BC285" s="79">
        <v>0</v>
      </c>
      <c r="BD285" s="80">
        <f t="shared" si="229"/>
        <v>0</v>
      </c>
      <c r="BE285" s="79">
        <v>0</v>
      </c>
      <c r="BF285" s="81">
        <f t="shared" si="230"/>
        <v>0</v>
      </c>
      <c r="BG285" s="80">
        <f t="shared" si="247"/>
        <v>0</v>
      </c>
      <c r="BH285" s="70">
        <f t="shared" si="248"/>
        <v>0</v>
      </c>
      <c r="BI285" s="80">
        <f t="shared" si="249"/>
        <v>0</v>
      </c>
      <c r="BJ285" s="70">
        <f t="shared" si="250"/>
        <v>0</v>
      </c>
      <c r="BK285" s="82"/>
    </row>
    <row r="286" spans="5:63" ht="11.95" thickBot="1" x14ac:dyDescent="0.3">
      <c r="E286" s="3"/>
      <c r="F286" s="3"/>
      <c r="G286" s="3"/>
      <c r="H286" s="3" t="s">
        <v>336</v>
      </c>
      <c r="I286" s="18"/>
      <c r="J286" s="18"/>
      <c r="K286" s="18"/>
      <c r="L286" s="78"/>
      <c r="M286" s="79"/>
      <c r="N286" s="80">
        <f t="shared" si="220"/>
        <v>0</v>
      </c>
      <c r="O286" s="79"/>
      <c r="P286" s="80">
        <f t="shared" si="221"/>
        <v>0</v>
      </c>
      <c r="Q286" s="79"/>
      <c r="R286" s="80">
        <f t="shared" si="222"/>
        <v>0</v>
      </c>
      <c r="S286" s="79"/>
      <c r="T286" s="81">
        <f t="shared" si="223"/>
        <v>0</v>
      </c>
      <c r="U286" s="80">
        <f t="shared" si="231"/>
        <v>0</v>
      </c>
      <c r="V286" s="70">
        <f t="shared" si="232"/>
        <v>0</v>
      </c>
      <c r="W286" s="80">
        <f t="shared" si="233"/>
        <v>0</v>
      </c>
      <c r="X286" s="70">
        <f t="shared" si="234"/>
        <v>0</v>
      </c>
      <c r="Y286" s="80">
        <f t="shared" si="235"/>
        <v>0</v>
      </c>
      <c r="Z286" s="70">
        <f t="shared" si="236"/>
        <v>0</v>
      </c>
      <c r="AA286" s="82"/>
      <c r="AC286" s="79">
        <v>0</v>
      </c>
      <c r="AD286" s="79">
        <v>0</v>
      </c>
      <c r="AE286" s="79">
        <v>0</v>
      </c>
      <c r="AF286" s="83">
        <f t="shared" si="237"/>
        <v>0</v>
      </c>
      <c r="AG286" s="70">
        <f t="shared" si="238"/>
        <v>0</v>
      </c>
      <c r="AH286" s="83">
        <f t="shared" si="239"/>
        <v>0</v>
      </c>
      <c r="AI286" s="70">
        <f t="shared" si="240"/>
        <v>0</v>
      </c>
      <c r="AK286" s="79">
        <v>0</v>
      </c>
      <c r="AL286" s="80">
        <f t="shared" si="224"/>
        <v>0</v>
      </c>
      <c r="AM286" s="79">
        <v>0</v>
      </c>
      <c r="AN286" s="80">
        <f t="shared" si="225"/>
        <v>0</v>
      </c>
      <c r="AO286" s="79">
        <v>0</v>
      </c>
      <c r="AP286" s="80">
        <f t="shared" si="226"/>
        <v>0</v>
      </c>
      <c r="AQ286" s="79">
        <v>0</v>
      </c>
      <c r="AR286" s="81">
        <f t="shared" si="227"/>
        <v>0</v>
      </c>
      <c r="AS286" s="80">
        <f t="shared" si="241"/>
        <v>0</v>
      </c>
      <c r="AT286" s="70">
        <f t="shared" si="242"/>
        <v>0</v>
      </c>
      <c r="AU286" s="80">
        <f t="shared" si="243"/>
        <v>0</v>
      </c>
      <c r="AV286" s="70">
        <f t="shared" si="244"/>
        <v>0</v>
      </c>
      <c r="AW286" s="80">
        <f t="shared" si="245"/>
        <v>0</v>
      </c>
      <c r="AX286" s="70">
        <f t="shared" si="246"/>
        <v>0</v>
      </c>
      <c r="AY286" s="82"/>
      <c r="BA286" s="79">
        <v>0</v>
      </c>
      <c r="BB286" s="80">
        <f t="shared" si="228"/>
        <v>0</v>
      </c>
      <c r="BC286" s="79">
        <v>0</v>
      </c>
      <c r="BD286" s="80">
        <f t="shared" si="229"/>
        <v>0</v>
      </c>
      <c r="BE286" s="79">
        <v>0</v>
      </c>
      <c r="BF286" s="81">
        <f t="shared" si="230"/>
        <v>0</v>
      </c>
      <c r="BG286" s="80">
        <f t="shared" si="247"/>
        <v>0</v>
      </c>
      <c r="BH286" s="70">
        <f t="shared" si="248"/>
        <v>0</v>
      </c>
      <c r="BI286" s="80">
        <f t="shared" si="249"/>
        <v>0</v>
      </c>
      <c r="BJ286" s="70">
        <f t="shared" si="250"/>
        <v>0</v>
      </c>
      <c r="BK286" s="82"/>
    </row>
    <row r="287" spans="5:63" ht="11.95" thickBot="1" x14ac:dyDescent="0.3">
      <c r="E287" s="3"/>
      <c r="F287" s="3"/>
      <c r="G287" s="3"/>
      <c r="H287" s="3" t="s">
        <v>337</v>
      </c>
      <c r="I287" s="18"/>
      <c r="J287" s="18"/>
      <c r="K287" s="18"/>
      <c r="L287" s="78"/>
      <c r="M287" s="79"/>
      <c r="N287" s="80">
        <f t="shared" si="220"/>
        <v>0</v>
      </c>
      <c r="O287" s="79"/>
      <c r="P287" s="80">
        <f t="shared" si="221"/>
        <v>0</v>
      </c>
      <c r="Q287" s="79"/>
      <c r="R287" s="80">
        <f t="shared" si="222"/>
        <v>0</v>
      </c>
      <c r="S287" s="79"/>
      <c r="T287" s="81">
        <f t="shared" si="223"/>
        <v>0</v>
      </c>
      <c r="U287" s="80">
        <f t="shared" si="231"/>
        <v>0</v>
      </c>
      <c r="V287" s="70">
        <f t="shared" si="232"/>
        <v>0</v>
      </c>
      <c r="W287" s="80">
        <f t="shared" si="233"/>
        <v>0</v>
      </c>
      <c r="X287" s="70">
        <f t="shared" si="234"/>
        <v>0</v>
      </c>
      <c r="Y287" s="80">
        <f t="shared" si="235"/>
        <v>0</v>
      </c>
      <c r="Z287" s="70">
        <f t="shared" si="236"/>
        <v>0</v>
      </c>
      <c r="AA287" s="82"/>
      <c r="AC287" s="79">
        <v>0</v>
      </c>
      <c r="AD287" s="79">
        <v>0</v>
      </c>
      <c r="AE287" s="79">
        <v>0</v>
      </c>
      <c r="AF287" s="83">
        <f t="shared" si="237"/>
        <v>0</v>
      </c>
      <c r="AG287" s="70">
        <f t="shared" si="238"/>
        <v>0</v>
      </c>
      <c r="AH287" s="83">
        <f t="shared" si="239"/>
        <v>0</v>
      </c>
      <c r="AI287" s="70">
        <f t="shared" si="240"/>
        <v>0</v>
      </c>
      <c r="AK287" s="79">
        <v>0</v>
      </c>
      <c r="AL287" s="80">
        <f t="shared" si="224"/>
        <v>0</v>
      </c>
      <c r="AM287" s="79">
        <v>0</v>
      </c>
      <c r="AN287" s="80">
        <f t="shared" si="225"/>
        <v>0</v>
      </c>
      <c r="AO287" s="79">
        <v>0</v>
      </c>
      <c r="AP287" s="80">
        <f t="shared" si="226"/>
        <v>0</v>
      </c>
      <c r="AQ287" s="79">
        <v>0</v>
      </c>
      <c r="AR287" s="81">
        <f t="shared" si="227"/>
        <v>0</v>
      </c>
      <c r="AS287" s="80">
        <f t="shared" si="241"/>
        <v>0</v>
      </c>
      <c r="AT287" s="70">
        <f t="shared" si="242"/>
        <v>0</v>
      </c>
      <c r="AU287" s="80">
        <f t="shared" si="243"/>
        <v>0</v>
      </c>
      <c r="AV287" s="70">
        <f t="shared" si="244"/>
        <v>0</v>
      </c>
      <c r="AW287" s="80">
        <f t="shared" si="245"/>
        <v>0</v>
      </c>
      <c r="AX287" s="70">
        <f t="shared" si="246"/>
        <v>0</v>
      </c>
      <c r="AY287" s="82"/>
      <c r="BA287" s="79">
        <v>0</v>
      </c>
      <c r="BB287" s="80">
        <f t="shared" si="228"/>
        <v>0</v>
      </c>
      <c r="BC287" s="79">
        <v>0</v>
      </c>
      <c r="BD287" s="80">
        <f t="shared" si="229"/>
        <v>0</v>
      </c>
      <c r="BE287" s="79">
        <v>0</v>
      </c>
      <c r="BF287" s="81">
        <f t="shared" si="230"/>
        <v>0</v>
      </c>
      <c r="BG287" s="80">
        <f t="shared" si="247"/>
        <v>0</v>
      </c>
      <c r="BH287" s="70">
        <f t="shared" si="248"/>
        <v>0</v>
      </c>
      <c r="BI287" s="80">
        <f t="shared" si="249"/>
        <v>0</v>
      </c>
      <c r="BJ287" s="70">
        <f t="shared" si="250"/>
        <v>0</v>
      </c>
      <c r="BK287" s="82"/>
    </row>
    <row r="288" spans="5:63" ht="11.95" thickBot="1" x14ac:dyDescent="0.3">
      <c r="E288" s="3"/>
      <c r="F288" s="3"/>
      <c r="G288" s="3"/>
      <c r="H288" s="3" t="s">
        <v>338</v>
      </c>
      <c r="I288" s="18"/>
      <c r="J288" s="18"/>
      <c r="K288" s="18"/>
      <c r="L288" s="78"/>
      <c r="M288" s="79"/>
      <c r="N288" s="80">
        <f t="shared" si="220"/>
        <v>0</v>
      </c>
      <c r="O288" s="79"/>
      <c r="P288" s="80">
        <f t="shared" si="221"/>
        <v>0</v>
      </c>
      <c r="Q288" s="79"/>
      <c r="R288" s="80">
        <f t="shared" si="222"/>
        <v>0</v>
      </c>
      <c r="S288" s="79"/>
      <c r="T288" s="81">
        <f t="shared" si="223"/>
        <v>0</v>
      </c>
      <c r="U288" s="80">
        <f t="shared" si="231"/>
        <v>0</v>
      </c>
      <c r="V288" s="70">
        <f t="shared" si="232"/>
        <v>0</v>
      </c>
      <c r="W288" s="80">
        <f t="shared" si="233"/>
        <v>0</v>
      </c>
      <c r="X288" s="70">
        <f t="shared" si="234"/>
        <v>0</v>
      </c>
      <c r="Y288" s="80">
        <f t="shared" si="235"/>
        <v>0</v>
      </c>
      <c r="Z288" s="70">
        <f t="shared" si="236"/>
        <v>0</v>
      </c>
      <c r="AA288" s="82"/>
      <c r="AC288" s="79">
        <v>0</v>
      </c>
      <c r="AD288" s="79">
        <v>0</v>
      </c>
      <c r="AE288" s="79">
        <v>0</v>
      </c>
      <c r="AF288" s="83">
        <f t="shared" si="237"/>
        <v>0</v>
      </c>
      <c r="AG288" s="70">
        <f t="shared" si="238"/>
        <v>0</v>
      </c>
      <c r="AH288" s="83">
        <f t="shared" si="239"/>
        <v>0</v>
      </c>
      <c r="AI288" s="70">
        <f t="shared" si="240"/>
        <v>0</v>
      </c>
      <c r="AK288" s="79">
        <v>0</v>
      </c>
      <c r="AL288" s="80">
        <f t="shared" si="224"/>
        <v>0</v>
      </c>
      <c r="AM288" s="79">
        <v>0</v>
      </c>
      <c r="AN288" s="80">
        <f t="shared" si="225"/>
        <v>0</v>
      </c>
      <c r="AO288" s="79">
        <v>0</v>
      </c>
      <c r="AP288" s="80">
        <f t="shared" si="226"/>
        <v>0</v>
      </c>
      <c r="AQ288" s="79">
        <v>0</v>
      </c>
      <c r="AR288" s="81">
        <f t="shared" si="227"/>
        <v>0</v>
      </c>
      <c r="AS288" s="80">
        <f t="shared" si="241"/>
        <v>0</v>
      </c>
      <c r="AT288" s="70">
        <f t="shared" si="242"/>
        <v>0</v>
      </c>
      <c r="AU288" s="80">
        <f t="shared" si="243"/>
        <v>0</v>
      </c>
      <c r="AV288" s="70">
        <f t="shared" si="244"/>
        <v>0</v>
      </c>
      <c r="AW288" s="80">
        <f t="shared" si="245"/>
        <v>0</v>
      </c>
      <c r="AX288" s="70">
        <f t="shared" si="246"/>
        <v>0</v>
      </c>
      <c r="AY288" s="82"/>
      <c r="BA288" s="79">
        <v>0</v>
      </c>
      <c r="BB288" s="80">
        <f t="shared" si="228"/>
        <v>0</v>
      </c>
      <c r="BC288" s="79">
        <v>0</v>
      </c>
      <c r="BD288" s="80">
        <f t="shared" si="229"/>
        <v>0</v>
      </c>
      <c r="BE288" s="79">
        <v>0</v>
      </c>
      <c r="BF288" s="81">
        <f t="shared" si="230"/>
        <v>0</v>
      </c>
      <c r="BG288" s="80">
        <f t="shared" si="247"/>
        <v>0</v>
      </c>
      <c r="BH288" s="70">
        <f t="shared" si="248"/>
        <v>0</v>
      </c>
      <c r="BI288" s="80">
        <f t="shared" si="249"/>
        <v>0</v>
      </c>
      <c r="BJ288" s="70">
        <f t="shared" si="250"/>
        <v>0</v>
      </c>
      <c r="BK288" s="82"/>
    </row>
    <row r="289" spans="5:63" ht="11.95" thickBot="1" x14ac:dyDescent="0.3">
      <c r="E289" s="3"/>
      <c r="F289" s="3"/>
      <c r="G289" s="3"/>
      <c r="H289" s="3" t="s">
        <v>339</v>
      </c>
      <c r="I289" s="18"/>
      <c r="J289" s="18"/>
      <c r="K289" s="18"/>
      <c r="L289" s="78"/>
      <c r="M289" s="79"/>
      <c r="N289" s="80">
        <f t="shared" si="220"/>
        <v>0</v>
      </c>
      <c r="O289" s="79"/>
      <c r="P289" s="80">
        <f t="shared" si="221"/>
        <v>0</v>
      </c>
      <c r="Q289" s="79"/>
      <c r="R289" s="80">
        <f t="shared" si="222"/>
        <v>0</v>
      </c>
      <c r="S289" s="79"/>
      <c r="T289" s="81">
        <f t="shared" si="223"/>
        <v>0</v>
      </c>
      <c r="U289" s="80">
        <f t="shared" si="231"/>
        <v>0</v>
      </c>
      <c r="V289" s="70">
        <f t="shared" si="232"/>
        <v>0</v>
      </c>
      <c r="W289" s="80">
        <f t="shared" si="233"/>
        <v>0</v>
      </c>
      <c r="X289" s="70">
        <f t="shared" si="234"/>
        <v>0</v>
      </c>
      <c r="Y289" s="80">
        <f t="shared" si="235"/>
        <v>0</v>
      </c>
      <c r="Z289" s="70">
        <f t="shared" si="236"/>
        <v>0</v>
      </c>
      <c r="AA289" s="82"/>
      <c r="AC289" s="79">
        <v>0</v>
      </c>
      <c r="AD289" s="79">
        <v>0</v>
      </c>
      <c r="AE289" s="79">
        <v>0</v>
      </c>
      <c r="AF289" s="83">
        <f t="shared" si="237"/>
        <v>0</v>
      </c>
      <c r="AG289" s="70">
        <f t="shared" si="238"/>
        <v>0</v>
      </c>
      <c r="AH289" s="83">
        <f t="shared" si="239"/>
        <v>0</v>
      </c>
      <c r="AI289" s="70">
        <f t="shared" si="240"/>
        <v>0</v>
      </c>
      <c r="AK289" s="79">
        <v>0</v>
      </c>
      <c r="AL289" s="80">
        <f t="shared" si="224"/>
        <v>0</v>
      </c>
      <c r="AM289" s="79">
        <v>0</v>
      </c>
      <c r="AN289" s="80">
        <f t="shared" si="225"/>
        <v>0</v>
      </c>
      <c r="AO289" s="79">
        <v>0</v>
      </c>
      <c r="AP289" s="80">
        <f t="shared" si="226"/>
        <v>0</v>
      </c>
      <c r="AQ289" s="79">
        <v>0</v>
      </c>
      <c r="AR289" s="81">
        <f t="shared" si="227"/>
        <v>0</v>
      </c>
      <c r="AS289" s="80">
        <f t="shared" si="241"/>
        <v>0</v>
      </c>
      <c r="AT289" s="70">
        <f t="shared" si="242"/>
        <v>0</v>
      </c>
      <c r="AU289" s="80">
        <f t="shared" si="243"/>
        <v>0</v>
      </c>
      <c r="AV289" s="70">
        <f t="shared" si="244"/>
        <v>0</v>
      </c>
      <c r="AW289" s="80">
        <f t="shared" si="245"/>
        <v>0</v>
      </c>
      <c r="AX289" s="70">
        <f t="shared" si="246"/>
        <v>0</v>
      </c>
      <c r="AY289" s="82"/>
      <c r="BA289" s="79">
        <v>0</v>
      </c>
      <c r="BB289" s="80">
        <f t="shared" si="228"/>
        <v>0</v>
      </c>
      <c r="BC289" s="79">
        <v>0</v>
      </c>
      <c r="BD289" s="80">
        <f t="shared" si="229"/>
        <v>0</v>
      </c>
      <c r="BE289" s="79">
        <v>0</v>
      </c>
      <c r="BF289" s="81">
        <f t="shared" si="230"/>
        <v>0</v>
      </c>
      <c r="BG289" s="80">
        <f t="shared" si="247"/>
        <v>0</v>
      </c>
      <c r="BH289" s="70">
        <f t="shared" si="248"/>
        <v>0</v>
      </c>
      <c r="BI289" s="80">
        <f t="shared" si="249"/>
        <v>0</v>
      </c>
      <c r="BJ289" s="70">
        <f t="shared" si="250"/>
        <v>0</v>
      </c>
      <c r="BK289" s="82"/>
    </row>
    <row r="290" spans="5:63" ht="11.95" thickBot="1" x14ac:dyDescent="0.3">
      <c r="E290" s="3"/>
      <c r="F290" s="3"/>
      <c r="G290" s="3"/>
      <c r="H290" s="3" t="s">
        <v>340</v>
      </c>
      <c r="I290" s="18"/>
      <c r="J290" s="18"/>
      <c r="K290" s="18"/>
      <c r="L290" s="78"/>
      <c r="M290" s="79"/>
      <c r="N290" s="80">
        <f t="shared" si="220"/>
        <v>0</v>
      </c>
      <c r="O290" s="79"/>
      <c r="P290" s="80">
        <f t="shared" si="221"/>
        <v>0</v>
      </c>
      <c r="Q290" s="79"/>
      <c r="R290" s="80">
        <f t="shared" si="222"/>
        <v>0</v>
      </c>
      <c r="S290" s="79"/>
      <c r="T290" s="81">
        <f t="shared" si="223"/>
        <v>0</v>
      </c>
      <c r="U290" s="80">
        <f t="shared" si="231"/>
        <v>0</v>
      </c>
      <c r="V290" s="70">
        <f t="shared" si="232"/>
        <v>0</v>
      </c>
      <c r="W290" s="80">
        <f t="shared" si="233"/>
        <v>0</v>
      </c>
      <c r="X290" s="70">
        <f t="shared" si="234"/>
        <v>0</v>
      </c>
      <c r="Y290" s="80">
        <f t="shared" si="235"/>
        <v>0</v>
      </c>
      <c r="Z290" s="70">
        <f t="shared" si="236"/>
        <v>0</v>
      </c>
      <c r="AA290" s="82"/>
      <c r="AC290" s="79">
        <v>0</v>
      </c>
      <c r="AD290" s="79">
        <v>0</v>
      </c>
      <c r="AE290" s="79">
        <v>0</v>
      </c>
      <c r="AF290" s="83">
        <f t="shared" si="237"/>
        <v>0</v>
      </c>
      <c r="AG290" s="70">
        <f t="shared" si="238"/>
        <v>0</v>
      </c>
      <c r="AH290" s="83">
        <f t="shared" si="239"/>
        <v>0</v>
      </c>
      <c r="AI290" s="70">
        <f t="shared" si="240"/>
        <v>0</v>
      </c>
      <c r="AK290" s="79">
        <v>0</v>
      </c>
      <c r="AL290" s="80">
        <f t="shared" si="224"/>
        <v>0</v>
      </c>
      <c r="AM290" s="79">
        <v>0</v>
      </c>
      <c r="AN290" s="80">
        <f t="shared" si="225"/>
        <v>0</v>
      </c>
      <c r="AO290" s="79">
        <v>0</v>
      </c>
      <c r="AP290" s="80">
        <f t="shared" si="226"/>
        <v>0</v>
      </c>
      <c r="AQ290" s="79">
        <v>0</v>
      </c>
      <c r="AR290" s="81">
        <f t="shared" si="227"/>
        <v>0</v>
      </c>
      <c r="AS290" s="80">
        <f t="shared" si="241"/>
        <v>0</v>
      </c>
      <c r="AT290" s="70">
        <f t="shared" si="242"/>
        <v>0</v>
      </c>
      <c r="AU290" s="80">
        <f t="shared" si="243"/>
        <v>0</v>
      </c>
      <c r="AV290" s="70">
        <f t="shared" si="244"/>
        <v>0</v>
      </c>
      <c r="AW290" s="80">
        <f t="shared" si="245"/>
        <v>0</v>
      </c>
      <c r="AX290" s="70">
        <f t="shared" si="246"/>
        <v>0</v>
      </c>
      <c r="AY290" s="82"/>
      <c r="BA290" s="79">
        <v>0</v>
      </c>
      <c r="BB290" s="80">
        <f t="shared" si="228"/>
        <v>0</v>
      </c>
      <c r="BC290" s="79">
        <v>0</v>
      </c>
      <c r="BD290" s="80">
        <f t="shared" si="229"/>
        <v>0</v>
      </c>
      <c r="BE290" s="79">
        <v>0</v>
      </c>
      <c r="BF290" s="81">
        <f t="shared" si="230"/>
        <v>0</v>
      </c>
      <c r="BG290" s="80">
        <f t="shared" si="247"/>
        <v>0</v>
      </c>
      <c r="BH290" s="70">
        <f t="shared" si="248"/>
        <v>0</v>
      </c>
      <c r="BI290" s="80">
        <f t="shared" si="249"/>
        <v>0</v>
      </c>
      <c r="BJ290" s="70">
        <f t="shared" si="250"/>
        <v>0</v>
      </c>
      <c r="BK290" s="82"/>
    </row>
    <row r="291" spans="5:63" ht="11.95" thickBot="1" x14ac:dyDescent="0.3">
      <c r="E291" s="3"/>
      <c r="F291" s="3"/>
      <c r="G291" s="3"/>
      <c r="H291" s="3" t="s">
        <v>341</v>
      </c>
      <c r="I291" s="18"/>
      <c r="J291" s="18"/>
      <c r="K291" s="18"/>
      <c r="L291" s="78"/>
      <c r="M291" s="79"/>
      <c r="N291" s="80">
        <f t="shared" si="220"/>
        <v>0</v>
      </c>
      <c r="O291" s="79"/>
      <c r="P291" s="80">
        <f t="shared" si="221"/>
        <v>0</v>
      </c>
      <c r="Q291" s="79"/>
      <c r="R291" s="80">
        <f t="shared" si="222"/>
        <v>0</v>
      </c>
      <c r="S291" s="79"/>
      <c r="T291" s="81">
        <f t="shared" si="223"/>
        <v>0</v>
      </c>
      <c r="U291" s="80">
        <f t="shared" si="231"/>
        <v>0</v>
      </c>
      <c r="V291" s="70">
        <f t="shared" si="232"/>
        <v>0</v>
      </c>
      <c r="W291" s="80">
        <f t="shared" si="233"/>
        <v>0</v>
      </c>
      <c r="X291" s="70">
        <f t="shared" si="234"/>
        <v>0</v>
      </c>
      <c r="Y291" s="80">
        <f t="shared" si="235"/>
        <v>0</v>
      </c>
      <c r="Z291" s="70">
        <f t="shared" si="236"/>
        <v>0</v>
      </c>
      <c r="AA291" s="82"/>
      <c r="AC291" s="79">
        <v>0</v>
      </c>
      <c r="AD291" s="79">
        <v>0</v>
      </c>
      <c r="AE291" s="79">
        <v>0</v>
      </c>
      <c r="AF291" s="83">
        <f t="shared" si="237"/>
        <v>0</v>
      </c>
      <c r="AG291" s="70">
        <f t="shared" si="238"/>
        <v>0</v>
      </c>
      <c r="AH291" s="83">
        <f t="shared" si="239"/>
        <v>0</v>
      </c>
      <c r="AI291" s="70">
        <f t="shared" si="240"/>
        <v>0</v>
      </c>
      <c r="AK291" s="79">
        <v>0</v>
      </c>
      <c r="AL291" s="80">
        <f t="shared" si="224"/>
        <v>0</v>
      </c>
      <c r="AM291" s="79">
        <v>0</v>
      </c>
      <c r="AN291" s="80">
        <f t="shared" si="225"/>
        <v>0</v>
      </c>
      <c r="AO291" s="79">
        <v>0</v>
      </c>
      <c r="AP291" s="80">
        <f t="shared" si="226"/>
        <v>0</v>
      </c>
      <c r="AQ291" s="79">
        <v>0</v>
      </c>
      <c r="AR291" s="81">
        <f t="shared" si="227"/>
        <v>0</v>
      </c>
      <c r="AS291" s="80">
        <f t="shared" si="241"/>
        <v>0</v>
      </c>
      <c r="AT291" s="70">
        <f t="shared" si="242"/>
        <v>0</v>
      </c>
      <c r="AU291" s="80">
        <f t="shared" si="243"/>
        <v>0</v>
      </c>
      <c r="AV291" s="70">
        <f t="shared" si="244"/>
        <v>0</v>
      </c>
      <c r="AW291" s="80">
        <f t="shared" si="245"/>
        <v>0</v>
      </c>
      <c r="AX291" s="70">
        <f t="shared" si="246"/>
        <v>0</v>
      </c>
      <c r="AY291" s="82"/>
      <c r="BA291" s="79">
        <v>0</v>
      </c>
      <c r="BB291" s="80">
        <f t="shared" si="228"/>
        <v>0</v>
      </c>
      <c r="BC291" s="79">
        <v>0</v>
      </c>
      <c r="BD291" s="80">
        <f t="shared" si="229"/>
        <v>0</v>
      </c>
      <c r="BE291" s="79">
        <v>0</v>
      </c>
      <c r="BF291" s="81">
        <f t="shared" si="230"/>
        <v>0</v>
      </c>
      <c r="BG291" s="80">
        <f t="shared" si="247"/>
        <v>0</v>
      </c>
      <c r="BH291" s="70">
        <f t="shared" si="248"/>
        <v>0</v>
      </c>
      <c r="BI291" s="80">
        <f t="shared" si="249"/>
        <v>0</v>
      </c>
      <c r="BJ291" s="70">
        <f t="shared" si="250"/>
        <v>0</v>
      </c>
      <c r="BK291" s="82"/>
    </row>
    <row r="292" spans="5:63" ht="11.95" thickBot="1" x14ac:dyDescent="0.3">
      <c r="E292" s="3"/>
      <c r="F292" s="3"/>
      <c r="G292" s="3"/>
      <c r="H292" s="3" t="s">
        <v>342</v>
      </c>
      <c r="I292" s="18"/>
      <c r="J292" s="18"/>
      <c r="K292" s="18"/>
      <c r="L292" s="78"/>
      <c r="M292" s="79"/>
      <c r="N292" s="80">
        <f t="shared" si="220"/>
        <v>0</v>
      </c>
      <c r="O292" s="79"/>
      <c r="P292" s="80">
        <f t="shared" si="221"/>
        <v>0</v>
      </c>
      <c r="Q292" s="79"/>
      <c r="R292" s="80">
        <f t="shared" si="222"/>
        <v>0</v>
      </c>
      <c r="S292" s="79"/>
      <c r="T292" s="81">
        <f t="shared" si="223"/>
        <v>0</v>
      </c>
      <c r="U292" s="80">
        <f t="shared" si="231"/>
        <v>0</v>
      </c>
      <c r="V292" s="70">
        <f t="shared" si="232"/>
        <v>0</v>
      </c>
      <c r="W292" s="80">
        <f t="shared" si="233"/>
        <v>0</v>
      </c>
      <c r="X292" s="70">
        <f t="shared" si="234"/>
        <v>0</v>
      </c>
      <c r="Y292" s="80">
        <f t="shared" si="235"/>
        <v>0</v>
      </c>
      <c r="Z292" s="70">
        <f t="shared" si="236"/>
        <v>0</v>
      </c>
      <c r="AA292" s="82"/>
      <c r="AC292" s="79">
        <v>0</v>
      </c>
      <c r="AD292" s="79">
        <v>0</v>
      </c>
      <c r="AE292" s="79">
        <v>0</v>
      </c>
      <c r="AF292" s="83">
        <f t="shared" si="237"/>
        <v>0</v>
      </c>
      <c r="AG292" s="70">
        <f t="shared" si="238"/>
        <v>0</v>
      </c>
      <c r="AH292" s="83">
        <f t="shared" si="239"/>
        <v>0</v>
      </c>
      <c r="AI292" s="70">
        <f t="shared" si="240"/>
        <v>0</v>
      </c>
      <c r="AK292" s="79">
        <v>0</v>
      </c>
      <c r="AL292" s="80">
        <f t="shared" si="224"/>
        <v>0</v>
      </c>
      <c r="AM292" s="79">
        <v>0</v>
      </c>
      <c r="AN292" s="80">
        <f t="shared" si="225"/>
        <v>0</v>
      </c>
      <c r="AO292" s="79">
        <v>0</v>
      </c>
      <c r="AP292" s="80">
        <f t="shared" si="226"/>
        <v>0</v>
      </c>
      <c r="AQ292" s="79">
        <v>0</v>
      </c>
      <c r="AR292" s="81">
        <f t="shared" si="227"/>
        <v>0</v>
      </c>
      <c r="AS292" s="80">
        <f t="shared" si="241"/>
        <v>0</v>
      </c>
      <c r="AT292" s="70">
        <f t="shared" si="242"/>
        <v>0</v>
      </c>
      <c r="AU292" s="80">
        <f t="shared" si="243"/>
        <v>0</v>
      </c>
      <c r="AV292" s="70">
        <f t="shared" si="244"/>
        <v>0</v>
      </c>
      <c r="AW292" s="80">
        <f t="shared" si="245"/>
        <v>0</v>
      </c>
      <c r="AX292" s="70">
        <f t="shared" si="246"/>
        <v>0</v>
      </c>
      <c r="AY292" s="82"/>
      <c r="BA292" s="79">
        <v>0</v>
      </c>
      <c r="BB292" s="80">
        <f t="shared" si="228"/>
        <v>0</v>
      </c>
      <c r="BC292" s="79">
        <v>0</v>
      </c>
      <c r="BD292" s="80">
        <f t="shared" si="229"/>
        <v>0</v>
      </c>
      <c r="BE292" s="79">
        <v>0</v>
      </c>
      <c r="BF292" s="81">
        <f t="shared" si="230"/>
        <v>0</v>
      </c>
      <c r="BG292" s="80">
        <f t="shared" si="247"/>
        <v>0</v>
      </c>
      <c r="BH292" s="70">
        <f t="shared" si="248"/>
        <v>0</v>
      </c>
      <c r="BI292" s="80">
        <f t="shared" si="249"/>
        <v>0</v>
      </c>
      <c r="BJ292" s="70">
        <f t="shared" si="250"/>
        <v>0</v>
      </c>
      <c r="BK292" s="82"/>
    </row>
    <row r="293" spans="5:63" ht="11.95" thickBot="1" x14ac:dyDescent="0.3">
      <c r="E293" s="3"/>
      <c r="F293" s="3"/>
      <c r="G293" s="3"/>
      <c r="H293" s="3" t="s">
        <v>343</v>
      </c>
      <c r="I293" s="18"/>
      <c r="J293" s="18"/>
      <c r="K293" s="18"/>
      <c r="L293" s="78"/>
      <c r="M293" s="79"/>
      <c r="N293" s="80">
        <f t="shared" si="220"/>
        <v>0</v>
      </c>
      <c r="O293" s="79"/>
      <c r="P293" s="80">
        <f t="shared" si="221"/>
        <v>0</v>
      </c>
      <c r="Q293" s="79"/>
      <c r="R293" s="80">
        <f t="shared" si="222"/>
        <v>0</v>
      </c>
      <c r="S293" s="79"/>
      <c r="T293" s="81">
        <f t="shared" si="223"/>
        <v>0</v>
      </c>
      <c r="U293" s="80">
        <f t="shared" si="231"/>
        <v>0</v>
      </c>
      <c r="V293" s="70">
        <f t="shared" si="232"/>
        <v>0</v>
      </c>
      <c r="W293" s="80">
        <f t="shared" si="233"/>
        <v>0</v>
      </c>
      <c r="X293" s="70">
        <f t="shared" si="234"/>
        <v>0</v>
      </c>
      <c r="Y293" s="80">
        <f t="shared" si="235"/>
        <v>0</v>
      </c>
      <c r="Z293" s="70">
        <f t="shared" si="236"/>
        <v>0</v>
      </c>
      <c r="AA293" s="82"/>
      <c r="AC293" s="79">
        <v>0</v>
      </c>
      <c r="AD293" s="79">
        <v>0</v>
      </c>
      <c r="AE293" s="79">
        <v>0</v>
      </c>
      <c r="AF293" s="83">
        <f t="shared" si="237"/>
        <v>0</v>
      </c>
      <c r="AG293" s="70">
        <f t="shared" si="238"/>
        <v>0</v>
      </c>
      <c r="AH293" s="83">
        <f t="shared" si="239"/>
        <v>0</v>
      </c>
      <c r="AI293" s="70">
        <f t="shared" si="240"/>
        <v>0</v>
      </c>
      <c r="AK293" s="79">
        <v>0</v>
      </c>
      <c r="AL293" s="80">
        <f t="shared" si="224"/>
        <v>0</v>
      </c>
      <c r="AM293" s="79">
        <v>0</v>
      </c>
      <c r="AN293" s="80">
        <f t="shared" si="225"/>
        <v>0</v>
      </c>
      <c r="AO293" s="79">
        <v>0</v>
      </c>
      <c r="AP293" s="80">
        <f t="shared" si="226"/>
        <v>0</v>
      </c>
      <c r="AQ293" s="79">
        <v>0</v>
      </c>
      <c r="AR293" s="81">
        <f t="shared" si="227"/>
        <v>0</v>
      </c>
      <c r="AS293" s="80">
        <f t="shared" si="241"/>
        <v>0</v>
      </c>
      <c r="AT293" s="70">
        <f t="shared" si="242"/>
        <v>0</v>
      </c>
      <c r="AU293" s="80">
        <f t="shared" si="243"/>
        <v>0</v>
      </c>
      <c r="AV293" s="70">
        <f t="shared" si="244"/>
        <v>0</v>
      </c>
      <c r="AW293" s="80">
        <f t="shared" si="245"/>
        <v>0</v>
      </c>
      <c r="AX293" s="70">
        <f t="shared" si="246"/>
        <v>0</v>
      </c>
      <c r="AY293" s="82"/>
      <c r="BA293" s="79">
        <v>0</v>
      </c>
      <c r="BB293" s="80">
        <f t="shared" si="228"/>
        <v>0</v>
      </c>
      <c r="BC293" s="79">
        <v>0</v>
      </c>
      <c r="BD293" s="80">
        <f t="shared" si="229"/>
        <v>0</v>
      </c>
      <c r="BE293" s="79">
        <v>0</v>
      </c>
      <c r="BF293" s="81">
        <f t="shared" si="230"/>
        <v>0</v>
      </c>
      <c r="BG293" s="80">
        <f t="shared" si="247"/>
        <v>0</v>
      </c>
      <c r="BH293" s="70">
        <f t="shared" si="248"/>
        <v>0</v>
      </c>
      <c r="BI293" s="80">
        <f t="shared" si="249"/>
        <v>0</v>
      </c>
      <c r="BJ293" s="70">
        <f t="shared" si="250"/>
        <v>0</v>
      </c>
      <c r="BK293" s="82"/>
    </row>
    <row r="294" spans="5:63" ht="11.95" thickBot="1" x14ac:dyDescent="0.3">
      <c r="E294" s="3"/>
      <c r="F294" s="3"/>
      <c r="G294" s="3"/>
      <c r="H294" s="3" t="s">
        <v>344</v>
      </c>
      <c r="I294" s="18"/>
      <c r="J294" s="18"/>
      <c r="K294" s="18"/>
      <c r="L294" s="78"/>
      <c r="M294" s="79"/>
      <c r="N294" s="80">
        <f t="shared" si="220"/>
        <v>0</v>
      </c>
      <c r="O294" s="79"/>
      <c r="P294" s="80">
        <f t="shared" si="221"/>
        <v>0</v>
      </c>
      <c r="Q294" s="79"/>
      <c r="R294" s="80">
        <f t="shared" si="222"/>
        <v>0</v>
      </c>
      <c r="S294" s="79"/>
      <c r="T294" s="81">
        <f t="shared" si="223"/>
        <v>0</v>
      </c>
      <c r="U294" s="80">
        <f t="shared" si="231"/>
        <v>0</v>
      </c>
      <c r="V294" s="70">
        <f t="shared" si="232"/>
        <v>0</v>
      </c>
      <c r="W294" s="80">
        <f t="shared" si="233"/>
        <v>0</v>
      </c>
      <c r="X294" s="70">
        <f t="shared" si="234"/>
        <v>0</v>
      </c>
      <c r="Y294" s="80">
        <f t="shared" si="235"/>
        <v>0</v>
      </c>
      <c r="Z294" s="70">
        <f t="shared" si="236"/>
        <v>0</v>
      </c>
      <c r="AA294" s="82"/>
      <c r="AC294" s="79">
        <v>0</v>
      </c>
      <c r="AD294" s="79">
        <v>0</v>
      </c>
      <c r="AE294" s="79">
        <v>0</v>
      </c>
      <c r="AF294" s="83">
        <f t="shared" si="237"/>
        <v>0</v>
      </c>
      <c r="AG294" s="70">
        <f t="shared" si="238"/>
        <v>0</v>
      </c>
      <c r="AH294" s="83">
        <f t="shared" si="239"/>
        <v>0</v>
      </c>
      <c r="AI294" s="70">
        <f t="shared" si="240"/>
        <v>0</v>
      </c>
      <c r="AK294" s="79">
        <v>0</v>
      </c>
      <c r="AL294" s="80">
        <f t="shared" si="224"/>
        <v>0</v>
      </c>
      <c r="AM294" s="79">
        <v>0</v>
      </c>
      <c r="AN294" s="80">
        <f t="shared" si="225"/>
        <v>0</v>
      </c>
      <c r="AO294" s="79">
        <v>0</v>
      </c>
      <c r="AP294" s="80">
        <f t="shared" si="226"/>
        <v>0</v>
      </c>
      <c r="AQ294" s="79">
        <v>0</v>
      </c>
      <c r="AR294" s="81">
        <f t="shared" si="227"/>
        <v>0</v>
      </c>
      <c r="AS294" s="80">
        <f t="shared" si="241"/>
        <v>0</v>
      </c>
      <c r="AT294" s="70">
        <f t="shared" si="242"/>
        <v>0</v>
      </c>
      <c r="AU294" s="80">
        <f t="shared" si="243"/>
        <v>0</v>
      </c>
      <c r="AV294" s="70">
        <f t="shared" si="244"/>
        <v>0</v>
      </c>
      <c r="AW294" s="80">
        <f t="shared" si="245"/>
        <v>0</v>
      </c>
      <c r="AX294" s="70">
        <f t="shared" si="246"/>
        <v>0</v>
      </c>
      <c r="AY294" s="82"/>
      <c r="BA294" s="79">
        <v>0</v>
      </c>
      <c r="BB294" s="80">
        <f t="shared" si="228"/>
        <v>0</v>
      </c>
      <c r="BC294" s="79">
        <v>0</v>
      </c>
      <c r="BD294" s="80">
        <f t="shared" si="229"/>
        <v>0</v>
      </c>
      <c r="BE294" s="79">
        <v>0</v>
      </c>
      <c r="BF294" s="81">
        <f t="shared" si="230"/>
        <v>0</v>
      </c>
      <c r="BG294" s="80">
        <f t="shared" si="247"/>
        <v>0</v>
      </c>
      <c r="BH294" s="70">
        <f t="shared" si="248"/>
        <v>0</v>
      </c>
      <c r="BI294" s="80">
        <f t="shared" si="249"/>
        <v>0</v>
      </c>
      <c r="BJ294" s="70">
        <f t="shared" si="250"/>
        <v>0</v>
      </c>
      <c r="BK294" s="82"/>
    </row>
    <row r="295" spans="5:63" ht="11.95" thickBot="1" x14ac:dyDescent="0.3">
      <c r="E295" s="3"/>
      <c r="F295" s="3"/>
      <c r="G295" s="3"/>
      <c r="H295" s="3" t="s">
        <v>345</v>
      </c>
      <c r="I295" s="18"/>
      <c r="J295" s="18"/>
      <c r="K295" s="18"/>
      <c r="L295" s="78"/>
      <c r="M295" s="79">
        <v>0</v>
      </c>
      <c r="N295" s="80">
        <f t="shared" si="220"/>
        <v>0</v>
      </c>
      <c r="O295" s="79">
        <v>0</v>
      </c>
      <c r="P295" s="80">
        <f t="shared" si="221"/>
        <v>0</v>
      </c>
      <c r="Q295" s="79">
        <v>0</v>
      </c>
      <c r="R295" s="80">
        <f t="shared" si="222"/>
        <v>0</v>
      </c>
      <c r="S295" s="79">
        <v>0</v>
      </c>
      <c r="T295" s="81">
        <f t="shared" si="223"/>
        <v>0</v>
      </c>
      <c r="U295" s="80">
        <f t="shared" si="231"/>
        <v>0</v>
      </c>
      <c r="V295" s="70">
        <f t="shared" si="232"/>
        <v>0</v>
      </c>
      <c r="W295" s="80">
        <f t="shared" si="233"/>
        <v>0</v>
      </c>
      <c r="X295" s="70">
        <f t="shared" si="234"/>
        <v>0</v>
      </c>
      <c r="Y295" s="80">
        <f t="shared" si="235"/>
        <v>0</v>
      </c>
      <c r="Z295" s="70">
        <f t="shared" si="236"/>
        <v>0</v>
      </c>
      <c r="AA295" s="82"/>
      <c r="AC295" s="79">
        <v>0</v>
      </c>
      <c r="AD295" s="79">
        <v>0</v>
      </c>
      <c r="AE295" s="79">
        <v>0</v>
      </c>
      <c r="AF295" s="83">
        <f t="shared" si="237"/>
        <v>0</v>
      </c>
      <c r="AG295" s="70">
        <f t="shared" si="238"/>
        <v>0</v>
      </c>
      <c r="AH295" s="83">
        <f t="shared" si="239"/>
        <v>0</v>
      </c>
      <c r="AI295" s="70">
        <f t="shared" si="240"/>
        <v>0</v>
      </c>
      <c r="AK295" s="79">
        <v>0</v>
      </c>
      <c r="AL295" s="80">
        <f t="shared" si="224"/>
        <v>0</v>
      </c>
      <c r="AM295" s="79">
        <v>0</v>
      </c>
      <c r="AN295" s="80">
        <f t="shared" si="225"/>
        <v>0</v>
      </c>
      <c r="AO295" s="79">
        <v>0</v>
      </c>
      <c r="AP295" s="80">
        <f t="shared" si="226"/>
        <v>0</v>
      </c>
      <c r="AQ295" s="79">
        <v>0</v>
      </c>
      <c r="AR295" s="81">
        <f t="shared" si="227"/>
        <v>0</v>
      </c>
      <c r="AS295" s="80">
        <f t="shared" si="241"/>
        <v>0</v>
      </c>
      <c r="AT295" s="70">
        <f t="shared" si="242"/>
        <v>0</v>
      </c>
      <c r="AU295" s="80">
        <f t="shared" si="243"/>
        <v>0</v>
      </c>
      <c r="AV295" s="70">
        <f t="shared" si="244"/>
        <v>0</v>
      </c>
      <c r="AW295" s="80">
        <f t="shared" si="245"/>
        <v>0</v>
      </c>
      <c r="AX295" s="70">
        <f t="shared" si="246"/>
        <v>0</v>
      </c>
      <c r="AY295" s="82"/>
      <c r="BA295" s="79">
        <v>0</v>
      </c>
      <c r="BB295" s="80">
        <f t="shared" si="228"/>
        <v>0</v>
      </c>
      <c r="BC295" s="79">
        <v>0</v>
      </c>
      <c r="BD295" s="80">
        <f t="shared" si="229"/>
        <v>0</v>
      </c>
      <c r="BE295" s="79">
        <v>0</v>
      </c>
      <c r="BF295" s="81">
        <f t="shared" si="230"/>
        <v>0</v>
      </c>
      <c r="BG295" s="80">
        <f t="shared" si="247"/>
        <v>0</v>
      </c>
      <c r="BH295" s="70">
        <f t="shared" si="248"/>
        <v>0</v>
      </c>
      <c r="BI295" s="80">
        <f t="shared" si="249"/>
        <v>0</v>
      </c>
      <c r="BJ295" s="70">
        <f t="shared" si="250"/>
        <v>0</v>
      </c>
      <c r="BK295" s="82"/>
    </row>
    <row r="296" spans="5:63" ht="11.95" thickBot="1" x14ac:dyDescent="0.3">
      <c r="E296" s="3"/>
      <c r="F296" s="3"/>
      <c r="G296" s="3"/>
      <c r="H296" s="3" t="s">
        <v>346</v>
      </c>
      <c r="I296" s="18"/>
      <c r="J296" s="18"/>
      <c r="K296" s="18"/>
      <c r="L296" s="78"/>
      <c r="M296" s="79"/>
      <c r="N296" s="80">
        <f t="shared" si="220"/>
        <v>0</v>
      </c>
      <c r="O296" s="79"/>
      <c r="P296" s="80">
        <f t="shared" si="221"/>
        <v>0</v>
      </c>
      <c r="Q296" s="79"/>
      <c r="R296" s="80">
        <f t="shared" si="222"/>
        <v>0</v>
      </c>
      <c r="S296" s="79"/>
      <c r="T296" s="81">
        <f t="shared" si="223"/>
        <v>0</v>
      </c>
      <c r="U296" s="80">
        <f t="shared" si="231"/>
        <v>0</v>
      </c>
      <c r="V296" s="70">
        <f t="shared" si="232"/>
        <v>0</v>
      </c>
      <c r="W296" s="80">
        <f t="shared" si="233"/>
        <v>0</v>
      </c>
      <c r="X296" s="70">
        <f t="shared" si="234"/>
        <v>0</v>
      </c>
      <c r="Y296" s="80">
        <f t="shared" si="235"/>
        <v>0</v>
      </c>
      <c r="Z296" s="70">
        <f t="shared" si="236"/>
        <v>0</v>
      </c>
      <c r="AA296" s="82"/>
      <c r="AC296" s="79">
        <v>0</v>
      </c>
      <c r="AD296" s="79">
        <v>0</v>
      </c>
      <c r="AE296" s="79">
        <v>0</v>
      </c>
      <c r="AF296" s="83">
        <f t="shared" si="237"/>
        <v>0</v>
      </c>
      <c r="AG296" s="70">
        <f t="shared" si="238"/>
        <v>0</v>
      </c>
      <c r="AH296" s="83">
        <f t="shared" si="239"/>
        <v>0</v>
      </c>
      <c r="AI296" s="70">
        <f t="shared" si="240"/>
        <v>0</v>
      </c>
      <c r="AK296" s="79">
        <v>0</v>
      </c>
      <c r="AL296" s="80">
        <f t="shared" si="224"/>
        <v>0</v>
      </c>
      <c r="AM296" s="79">
        <v>0</v>
      </c>
      <c r="AN296" s="80">
        <f t="shared" si="225"/>
        <v>0</v>
      </c>
      <c r="AO296" s="79">
        <v>0</v>
      </c>
      <c r="AP296" s="80">
        <f t="shared" si="226"/>
        <v>0</v>
      </c>
      <c r="AQ296" s="79">
        <v>0</v>
      </c>
      <c r="AR296" s="81">
        <f t="shared" si="227"/>
        <v>0</v>
      </c>
      <c r="AS296" s="80">
        <f t="shared" si="241"/>
        <v>0</v>
      </c>
      <c r="AT296" s="70">
        <f t="shared" si="242"/>
        <v>0</v>
      </c>
      <c r="AU296" s="80">
        <f t="shared" si="243"/>
        <v>0</v>
      </c>
      <c r="AV296" s="70">
        <f t="shared" si="244"/>
        <v>0</v>
      </c>
      <c r="AW296" s="80">
        <f t="shared" si="245"/>
        <v>0</v>
      </c>
      <c r="AX296" s="70">
        <f t="shared" si="246"/>
        <v>0</v>
      </c>
      <c r="AY296" s="82"/>
      <c r="BA296" s="79">
        <v>0</v>
      </c>
      <c r="BB296" s="80">
        <f t="shared" si="228"/>
        <v>0</v>
      </c>
      <c r="BC296" s="79">
        <v>0</v>
      </c>
      <c r="BD296" s="80">
        <f t="shared" si="229"/>
        <v>0</v>
      </c>
      <c r="BE296" s="79">
        <v>0</v>
      </c>
      <c r="BF296" s="81">
        <f t="shared" si="230"/>
        <v>0</v>
      </c>
      <c r="BG296" s="80">
        <f t="shared" si="247"/>
        <v>0</v>
      </c>
      <c r="BH296" s="70">
        <f t="shared" si="248"/>
        <v>0</v>
      </c>
      <c r="BI296" s="80">
        <f t="shared" si="249"/>
        <v>0</v>
      </c>
      <c r="BJ296" s="70">
        <f t="shared" si="250"/>
        <v>0</v>
      </c>
      <c r="BK296" s="82"/>
    </row>
    <row r="297" spans="5:63" ht="11.95" thickBot="1" x14ac:dyDescent="0.3">
      <c r="E297" s="3"/>
      <c r="F297" s="3"/>
      <c r="G297" s="3"/>
      <c r="H297" s="3" t="s">
        <v>347</v>
      </c>
      <c r="I297" s="18"/>
      <c r="J297" s="18"/>
      <c r="K297" s="18"/>
      <c r="L297" s="78"/>
      <c r="M297" s="79"/>
      <c r="N297" s="80">
        <f t="shared" si="220"/>
        <v>0</v>
      </c>
      <c r="O297" s="79"/>
      <c r="P297" s="80">
        <f t="shared" si="221"/>
        <v>0</v>
      </c>
      <c r="Q297" s="79"/>
      <c r="R297" s="80">
        <f t="shared" si="222"/>
        <v>0</v>
      </c>
      <c r="S297" s="79"/>
      <c r="T297" s="81">
        <f t="shared" si="223"/>
        <v>0</v>
      </c>
      <c r="U297" s="80">
        <f t="shared" si="231"/>
        <v>0</v>
      </c>
      <c r="V297" s="70">
        <f t="shared" si="232"/>
        <v>0</v>
      </c>
      <c r="W297" s="80">
        <f t="shared" si="233"/>
        <v>0</v>
      </c>
      <c r="X297" s="70">
        <f t="shared" si="234"/>
        <v>0</v>
      </c>
      <c r="Y297" s="80">
        <f t="shared" si="235"/>
        <v>0</v>
      </c>
      <c r="Z297" s="70">
        <f t="shared" si="236"/>
        <v>0</v>
      </c>
      <c r="AA297" s="82"/>
      <c r="AC297" s="79">
        <v>0</v>
      </c>
      <c r="AD297" s="79">
        <v>0</v>
      </c>
      <c r="AE297" s="79">
        <v>0</v>
      </c>
      <c r="AF297" s="83">
        <f t="shared" si="237"/>
        <v>0</v>
      </c>
      <c r="AG297" s="70">
        <f t="shared" si="238"/>
        <v>0</v>
      </c>
      <c r="AH297" s="83">
        <f t="shared" si="239"/>
        <v>0</v>
      </c>
      <c r="AI297" s="70">
        <f t="shared" si="240"/>
        <v>0</v>
      </c>
      <c r="AK297" s="79">
        <v>0</v>
      </c>
      <c r="AL297" s="80">
        <f t="shared" si="224"/>
        <v>0</v>
      </c>
      <c r="AM297" s="79">
        <v>0</v>
      </c>
      <c r="AN297" s="80">
        <f t="shared" si="225"/>
        <v>0</v>
      </c>
      <c r="AO297" s="79">
        <v>0</v>
      </c>
      <c r="AP297" s="80">
        <f t="shared" si="226"/>
        <v>0</v>
      </c>
      <c r="AQ297" s="79">
        <v>0</v>
      </c>
      <c r="AR297" s="81">
        <f t="shared" si="227"/>
        <v>0</v>
      </c>
      <c r="AS297" s="80">
        <f t="shared" si="241"/>
        <v>0</v>
      </c>
      <c r="AT297" s="70">
        <f t="shared" si="242"/>
        <v>0</v>
      </c>
      <c r="AU297" s="80">
        <f t="shared" si="243"/>
        <v>0</v>
      </c>
      <c r="AV297" s="70">
        <f t="shared" si="244"/>
        <v>0</v>
      </c>
      <c r="AW297" s="80">
        <f t="shared" si="245"/>
        <v>0</v>
      </c>
      <c r="AX297" s="70">
        <f t="shared" si="246"/>
        <v>0</v>
      </c>
      <c r="AY297" s="82"/>
      <c r="BA297" s="79">
        <v>0</v>
      </c>
      <c r="BB297" s="80">
        <f t="shared" si="228"/>
        <v>0</v>
      </c>
      <c r="BC297" s="79">
        <v>0</v>
      </c>
      <c r="BD297" s="80">
        <f t="shared" si="229"/>
        <v>0</v>
      </c>
      <c r="BE297" s="79">
        <v>0</v>
      </c>
      <c r="BF297" s="81">
        <f t="shared" si="230"/>
        <v>0</v>
      </c>
      <c r="BG297" s="80">
        <f t="shared" si="247"/>
        <v>0</v>
      </c>
      <c r="BH297" s="70">
        <f t="shared" si="248"/>
        <v>0</v>
      </c>
      <c r="BI297" s="80">
        <f t="shared" si="249"/>
        <v>0</v>
      </c>
      <c r="BJ297" s="70">
        <f t="shared" si="250"/>
        <v>0</v>
      </c>
      <c r="BK297" s="82"/>
    </row>
    <row r="298" spans="5:63" ht="11.95" thickBot="1" x14ac:dyDescent="0.3">
      <c r="E298" s="3"/>
      <c r="F298" s="3"/>
      <c r="G298" s="3"/>
      <c r="H298" s="3" t="s">
        <v>348</v>
      </c>
      <c r="I298" s="18"/>
      <c r="J298" s="18"/>
      <c r="K298" s="18"/>
      <c r="L298" s="78"/>
      <c r="M298" s="79"/>
      <c r="N298" s="80">
        <f t="shared" si="220"/>
        <v>0</v>
      </c>
      <c r="O298" s="79"/>
      <c r="P298" s="80">
        <f t="shared" si="221"/>
        <v>0</v>
      </c>
      <c r="Q298" s="79"/>
      <c r="R298" s="80">
        <f t="shared" si="222"/>
        <v>0</v>
      </c>
      <c r="S298" s="79"/>
      <c r="T298" s="81">
        <f t="shared" si="223"/>
        <v>0</v>
      </c>
      <c r="U298" s="80">
        <f t="shared" si="231"/>
        <v>0</v>
      </c>
      <c r="V298" s="70">
        <f t="shared" si="232"/>
        <v>0</v>
      </c>
      <c r="W298" s="80">
        <f t="shared" si="233"/>
        <v>0</v>
      </c>
      <c r="X298" s="70">
        <f t="shared" si="234"/>
        <v>0</v>
      </c>
      <c r="Y298" s="80">
        <f t="shared" si="235"/>
        <v>0</v>
      </c>
      <c r="Z298" s="70">
        <f t="shared" si="236"/>
        <v>0</v>
      </c>
      <c r="AA298" s="82"/>
      <c r="AC298" s="79">
        <v>0</v>
      </c>
      <c r="AD298" s="79">
        <v>0</v>
      </c>
      <c r="AE298" s="79">
        <v>0</v>
      </c>
      <c r="AF298" s="83">
        <f t="shared" si="237"/>
        <v>0</v>
      </c>
      <c r="AG298" s="70">
        <f t="shared" si="238"/>
        <v>0</v>
      </c>
      <c r="AH298" s="83">
        <f t="shared" si="239"/>
        <v>0</v>
      </c>
      <c r="AI298" s="70">
        <f t="shared" si="240"/>
        <v>0</v>
      </c>
      <c r="AK298" s="79">
        <v>0</v>
      </c>
      <c r="AL298" s="80">
        <f t="shared" si="224"/>
        <v>0</v>
      </c>
      <c r="AM298" s="79">
        <v>0</v>
      </c>
      <c r="AN298" s="80">
        <f t="shared" si="225"/>
        <v>0</v>
      </c>
      <c r="AO298" s="79">
        <v>0</v>
      </c>
      <c r="AP298" s="80">
        <f t="shared" si="226"/>
        <v>0</v>
      </c>
      <c r="AQ298" s="79">
        <v>0</v>
      </c>
      <c r="AR298" s="81">
        <f t="shared" si="227"/>
        <v>0</v>
      </c>
      <c r="AS298" s="80">
        <f t="shared" si="241"/>
        <v>0</v>
      </c>
      <c r="AT298" s="70">
        <f t="shared" si="242"/>
        <v>0</v>
      </c>
      <c r="AU298" s="80">
        <f t="shared" si="243"/>
        <v>0</v>
      </c>
      <c r="AV298" s="70">
        <f t="shared" si="244"/>
        <v>0</v>
      </c>
      <c r="AW298" s="80">
        <f t="shared" si="245"/>
        <v>0</v>
      </c>
      <c r="AX298" s="70">
        <f t="shared" si="246"/>
        <v>0</v>
      </c>
      <c r="AY298" s="82"/>
      <c r="BA298" s="79">
        <v>0</v>
      </c>
      <c r="BB298" s="80">
        <f t="shared" si="228"/>
        <v>0</v>
      </c>
      <c r="BC298" s="79">
        <v>0</v>
      </c>
      <c r="BD298" s="80">
        <f t="shared" si="229"/>
        <v>0</v>
      </c>
      <c r="BE298" s="79">
        <v>0</v>
      </c>
      <c r="BF298" s="81">
        <f t="shared" si="230"/>
        <v>0</v>
      </c>
      <c r="BG298" s="80">
        <f t="shared" si="247"/>
        <v>0</v>
      </c>
      <c r="BH298" s="70">
        <f t="shared" si="248"/>
        <v>0</v>
      </c>
      <c r="BI298" s="80">
        <f t="shared" si="249"/>
        <v>0</v>
      </c>
      <c r="BJ298" s="70">
        <f t="shared" si="250"/>
        <v>0</v>
      </c>
      <c r="BK298" s="82"/>
    </row>
    <row r="299" spans="5:63" ht="11.95" thickBot="1" x14ac:dyDescent="0.3">
      <c r="E299" s="3"/>
      <c r="F299" s="3"/>
      <c r="G299" s="3"/>
      <c r="H299" s="3" t="s">
        <v>349</v>
      </c>
      <c r="I299" s="18"/>
      <c r="J299" s="18"/>
      <c r="K299" s="18"/>
      <c r="L299" s="78"/>
      <c r="M299" s="79"/>
      <c r="N299" s="80">
        <f t="shared" si="220"/>
        <v>0</v>
      </c>
      <c r="O299" s="79"/>
      <c r="P299" s="80">
        <f t="shared" si="221"/>
        <v>0</v>
      </c>
      <c r="Q299" s="79"/>
      <c r="R299" s="80">
        <f t="shared" si="222"/>
        <v>0</v>
      </c>
      <c r="S299" s="79"/>
      <c r="T299" s="81">
        <f t="shared" si="223"/>
        <v>0</v>
      </c>
      <c r="U299" s="80">
        <f t="shared" si="231"/>
        <v>0</v>
      </c>
      <c r="V299" s="70">
        <f t="shared" si="232"/>
        <v>0</v>
      </c>
      <c r="W299" s="80">
        <f t="shared" si="233"/>
        <v>0</v>
      </c>
      <c r="X299" s="70">
        <f t="shared" si="234"/>
        <v>0</v>
      </c>
      <c r="Y299" s="80">
        <f t="shared" si="235"/>
        <v>0</v>
      </c>
      <c r="Z299" s="70">
        <f t="shared" si="236"/>
        <v>0</v>
      </c>
      <c r="AA299" s="82"/>
      <c r="AC299" s="79">
        <v>0</v>
      </c>
      <c r="AD299" s="79">
        <v>0</v>
      </c>
      <c r="AE299" s="79">
        <v>0</v>
      </c>
      <c r="AF299" s="83">
        <f t="shared" si="237"/>
        <v>0</v>
      </c>
      <c r="AG299" s="70">
        <f t="shared" si="238"/>
        <v>0</v>
      </c>
      <c r="AH299" s="83">
        <f t="shared" si="239"/>
        <v>0</v>
      </c>
      <c r="AI299" s="70">
        <f t="shared" si="240"/>
        <v>0</v>
      </c>
      <c r="AK299" s="79">
        <v>0</v>
      </c>
      <c r="AL299" s="80">
        <f t="shared" si="224"/>
        <v>0</v>
      </c>
      <c r="AM299" s="79">
        <v>0</v>
      </c>
      <c r="AN299" s="80">
        <f t="shared" si="225"/>
        <v>0</v>
      </c>
      <c r="AO299" s="79">
        <v>0</v>
      </c>
      <c r="AP299" s="80">
        <f t="shared" si="226"/>
        <v>0</v>
      </c>
      <c r="AQ299" s="79">
        <v>0</v>
      </c>
      <c r="AR299" s="81">
        <f t="shared" si="227"/>
        <v>0</v>
      </c>
      <c r="AS299" s="80">
        <f t="shared" si="241"/>
        <v>0</v>
      </c>
      <c r="AT299" s="70">
        <f t="shared" si="242"/>
        <v>0</v>
      </c>
      <c r="AU299" s="80">
        <f t="shared" si="243"/>
        <v>0</v>
      </c>
      <c r="AV299" s="70">
        <f t="shared" si="244"/>
        <v>0</v>
      </c>
      <c r="AW299" s="80">
        <f t="shared" si="245"/>
        <v>0</v>
      </c>
      <c r="AX299" s="70">
        <f t="shared" si="246"/>
        <v>0</v>
      </c>
      <c r="AY299" s="82"/>
      <c r="BA299" s="79">
        <v>0</v>
      </c>
      <c r="BB299" s="80">
        <f t="shared" si="228"/>
        <v>0</v>
      </c>
      <c r="BC299" s="79">
        <v>0</v>
      </c>
      <c r="BD299" s="80">
        <f t="shared" si="229"/>
        <v>0</v>
      </c>
      <c r="BE299" s="79">
        <v>0</v>
      </c>
      <c r="BF299" s="81">
        <f t="shared" si="230"/>
        <v>0</v>
      </c>
      <c r="BG299" s="80">
        <f t="shared" si="247"/>
        <v>0</v>
      </c>
      <c r="BH299" s="70">
        <f t="shared" si="248"/>
        <v>0</v>
      </c>
      <c r="BI299" s="80">
        <f t="shared" si="249"/>
        <v>0</v>
      </c>
      <c r="BJ299" s="70">
        <f t="shared" si="250"/>
        <v>0</v>
      </c>
      <c r="BK299" s="82"/>
    </row>
    <row r="300" spans="5:63" ht="11.95" thickBot="1" x14ac:dyDescent="0.3">
      <c r="E300" s="3"/>
      <c r="F300" s="3"/>
      <c r="G300" s="3"/>
      <c r="H300" s="3" t="s">
        <v>350</v>
      </c>
      <c r="I300" s="18"/>
      <c r="J300" s="18"/>
      <c r="K300" s="18"/>
      <c r="L300" s="78"/>
      <c r="M300" s="79"/>
      <c r="N300" s="80">
        <f t="shared" si="220"/>
        <v>0</v>
      </c>
      <c r="O300" s="79"/>
      <c r="P300" s="80">
        <f t="shared" si="221"/>
        <v>0</v>
      </c>
      <c r="Q300" s="79"/>
      <c r="R300" s="80">
        <f t="shared" si="222"/>
        <v>0</v>
      </c>
      <c r="S300" s="79"/>
      <c r="T300" s="81">
        <f t="shared" si="223"/>
        <v>0</v>
      </c>
      <c r="U300" s="80">
        <f t="shared" si="231"/>
        <v>0</v>
      </c>
      <c r="V300" s="70">
        <f t="shared" si="232"/>
        <v>0</v>
      </c>
      <c r="W300" s="80">
        <f t="shared" si="233"/>
        <v>0</v>
      </c>
      <c r="X300" s="70">
        <f t="shared" si="234"/>
        <v>0</v>
      </c>
      <c r="Y300" s="80">
        <f t="shared" si="235"/>
        <v>0</v>
      </c>
      <c r="Z300" s="70">
        <f t="shared" si="236"/>
        <v>0</v>
      </c>
      <c r="AA300" s="82"/>
      <c r="AC300" s="79">
        <v>0</v>
      </c>
      <c r="AD300" s="79">
        <v>0</v>
      </c>
      <c r="AE300" s="79">
        <v>0</v>
      </c>
      <c r="AF300" s="83">
        <f t="shared" si="237"/>
        <v>0</v>
      </c>
      <c r="AG300" s="70">
        <f t="shared" si="238"/>
        <v>0</v>
      </c>
      <c r="AH300" s="83">
        <f t="shared" si="239"/>
        <v>0</v>
      </c>
      <c r="AI300" s="70">
        <f t="shared" si="240"/>
        <v>0</v>
      </c>
      <c r="AK300" s="79">
        <v>0</v>
      </c>
      <c r="AL300" s="80">
        <f t="shared" si="224"/>
        <v>0</v>
      </c>
      <c r="AM300" s="79">
        <v>0</v>
      </c>
      <c r="AN300" s="80">
        <f t="shared" si="225"/>
        <v>0</v>
      </c>
      <c r="AO300" s="79">
        <v>0</v>
      </c>
      <c r="AP300" s="80">
        <f t="shared" si="226"/>
        <v>0</v>
      </c>
      <c r="AQ300" s="79">
        <v>0</v>
      </c>
      <c r="AR300" s="81">
        <f t="shared" si="227"/>
        <v>0</v>
      </c>
      <c r="AS300" s="80">
        <f t="shared" si="241"/>
        <v>0</v>
      </c>
      <c r="AT300" s="70">
        <f t="shared" si="242"/>
        <v>0</v>
      </c>
      <c r="AU300" s="80">
        <f t="shared" si="243"/>
        <v>0</v>
      </c>
      <c r="AV300" s="70">
        <f t="shared" si="244"/>
        <v>0</v>
      </c>
      <c r="AW300" s="80">
        <f t="shared" si="245"/>
        <v>0</v>
      </c>
      <c r="AX300" s="70">
        <f t="shared" si="246"/>
        <v>0</v>
      </c>
      <c r="AY300" s="82"/>
      <c r="BA300" s="79">
        <v>0</v>
      </c>
      <c r="BB300" s="80">
        <f t="shared" si="228"/>
        <v>0</v>
      </c>
      <c r="BC300" s="79">
        <v>0</v>
      </c>
      <c r="BD300" s="80">
        <f t="shared" si="229"/>
        <v>0</v>
      </c>
      <c r="BE300" s="79">
        <v>0</v>
      </c>
      <c r="BF300" s="81">
        <f t="shared" si="230"/>
        <v>0</v>
      </c>
      <c r="BG300" s="80">
        <f t="shared" si="247"/>
        <v>0</v>
      </c>
      <c r="BH300" s="70">
        <f t="shared" si="248"/>
        <v>0</v>
      </c>
      <c r="BI300" s="80">
        <f t="shared" si="249"/>
        <v>0</v>
      </c>
      <c r="BJ300" s="70">
        <f t="shared" si="250"/>
        <v>0</v>
      </c>
      <c r="BK300" s="82"/>
    </row>
    <row r="301" spans="5:63" ht="11.95" thickBot="1" x14ac:dyDescent="0.3">
      <c r="E301" s="3"/>
      <c r="F301" s="3"/>
      <c r="G301" s="3"/>
      <c r="H301" s="3" t="s">
        <v>351</v>
      </c>
      <c r="I301" s="18"/>
      <c r="J301" s="18"/>
      <c r="K301" s="18"/>
      <c r="L301" s="78"/>
      <c r="M301" s="79"/>
      <c r="N301" s="80">
        <f t="shared" si="220"/>
        <v>0</v>
      </c>
      <c r="O301" s="79"/>
      <c r="P301" s="80">
        <f t="shared" si="221"/>
        <v>0</v>
      </c>
      <c r="Q301" s="79"/>
      <c r="R301" s="80">
        <f t="shared" si="222"/>
        <v>0</v>
      </c>
      <c r="S301" s="79"/>
      <c r="T301" s="81">
        <f t="shared" si="223"/>
        <v>0</v>
      </c>
      <c r="U301" s="80">
        <f t="shared" si="231"/>
        <v>0</v>
      </c>
      <c r="V301" s="70">
        <f t="shared" si="232"/>
        <v>0</v>
      </c>
      <c r="W301" s="80">
        <f t="shared" si="233"/>
        <v>0</v>
      </c>
      <c r="X301" s="70">
        <f t="shared" si="234"/>
        <v>0</v>
      </c>
      <c r="Y301" s="80">
        <f t="shared" si="235"/>
        <v>0</v>
      </c>
      <c r="Z301" s="70">
        <f t="shared" si="236"/>
        <v>0</v>
      </c>
      <c r="AA301" s="82"/>
      <c r="AC301" s="79">
        <v>0</v>
      </c>
      <c r="AD301" s="79">
        <v>0</v>
      </c>
      <c r="AE301" s="79">
        <v>0</v>
      </c>
      <c r="AF301" s="83">
        <f t="shared" si="237"/>
        <v>0</v>
      </c>
      <c r="AG301" s="70">
        <f t="shared" si="238"/>
        <v>0</v>
      </c>
      <c r="AH301" s="83">
        <f t="shared" si="239"/>
        <v>0</v>
      </c>
      <c r="AI301" s="70">
        <f t="shared" si="240"/>
        <v>0</v>
      </c>
      <c r="AK301" s="79">
        <v>0</v>
      </c>
      <c r="AL301" s="80">
        <f t="shared" si="224"/>
        <v>0</v>
      </c>
      <c r="AM301" s="79">
        <v>0</v>
      </c>
      <c r="AN301" s="80">
        <f t="shared" si="225"/>
        <v>0</v>
      </c>
      <c r="AO301" s="79">
        <v>0</v>
      </c>
      <c r="AP301" s="80">
        <f t="shared" si="226"/>
        <v>0</v>
      </c>
      <c r="AQ301" s="79">
        <v>0</v>
      </c>
      <c r="AR301" s="81">
        <f t="shared" si="227"/>
        <v>0</v>
      </c>
      <c r="AS301" s="80">
        <f t="shared" si="241"/>
        <v>0</v>
      </c>
      <c r="AT301" s="70">
        <f t="shared" si="242"/>
        <v>0</v>
      </c>
      <c r="AU301" s="80">
        <f t="shared" si="243"/>
        <v>0</v>
      </c>
      <c r="AV301" s="70">
        <f t="shared" si="244"/>
        <v>0</v>
      </c>
      <c r="AW301" s="80">
        <f t="shared" si="245"/>
        <v>0</v>
      </c>
      <c r="AX301" s="70">
        <f t="shared" si="246"/>
        <v>0</v>
      </c>
      <c r="AY301" s="82"/>
      <c r="BA301" s="79">
        <v>0</v>
      </c>
      <c r="BB301" s="80">
        <f t="shared" si="228"/>
        <v>0</v>
      </c>
      <c r="BC301" s="79">
        <v>0</v>
      </c>
      <c r="BD301" s="80">
        <f t="shared" si="229"/>
        <v>0</v>
      </c>
      <c r="BE301" s="79">
        <v>0</v>
      </c>
      <c r="BF301" s="81">
        <f t="shared" si="230"/>
        <v>0</v>
      </c>
      <c r="BG301" s="80">
        <f t="shared" si="247"/>
        <v>0</v>
      </c>
      <c r="BH301" s="70">
        <f t="shared" si="248"/>
        <v>0</v>
      </c>
      <c r="BI301" s="80">
        <f t="shared" si="249"/>
        <v>0</v>
      </c>
      <c r="BJ301" s="70">
        <f t="shared" si="250"/>
        <v>0</v>
      </c>
      <c r="BK301" s="82"/>
    </row>
    <row r="302" spans="5:63" ht="11.95" thickBot="1" x14ac:dyDescent="0.3">
      <c r="E302" s="3"/>
      <c r="F302" s="3"/>
      <c r="G302" s="3"/>
      <c r="H302" s="3" t="s">
        <v>352</v>
      </c>
      <c r="I302" s="18"/>
      <c r="J302" s="18"/>
      <c r="K302" s="18"/>
      <c r="L302" s="78"/>
      <c r="M302" s="79"/>
      <c r="N302" s="80">
        <f t="shared" si="220"/>
        <v>0</v>
      </c>
      <c r="O302" s="79"/>
      <c r="P302" s="80">
        <f t="shared" si="221"/>
        <v>0</v>
      </c>
      <c r="Q302" s="79"/>
      <c r="R302" s="80">
        <f t="shared" si="222"/>
        <v>0</v>
      </c>
      <c r="S302" s="79"/>
      <c r="T302" s="81">
        <f t="shared" si="223"/>
        <v>0</v>
      </c>
      <c r="U302" s="80">
        <f t="shared" si="231"/>
        <v>0</v>
      </c>
      <c r="V302" s="70">
        <f t="shared" si="232"/>
        <v>0</v>
      </c>
      <c r="W302" s="80">
        <f t="shared" si="233"/>
        <v>0</v>
      </c>
      <c r="X302" s="70">
        <f t="shared" si="234"/>
        <v>0</v>
      </c>
      <c r="Y302" s="80">
        <f t="shared" si="235"/>
        <v>0</v>
      </c>
      <c r="Z302" s="70">
        <f t="shared" si="236"/>
        <v>0</v>
      </c>
      <c r="AA302" s="82"/>
      <c r="AC302" s="79">
        <v>0</v>
      </c>
      <c r="AD302" s="79">
        <v>0</v>
      </c>
      <c r="AE302" s="79">
        <v>0</v>
      </c>
      <c r="AF302" s="83">
        <f t="shared" si="237"/>
        <v>0</v>
      </c>
      <c r="AG302" s="70">
        <f t="shared" si="238"/>
        <v>0</v>
      </c>
      <c r="AH302" s="83">
        <f t="shared" si="239"/>
        <v>0</v>
      </c>
      <c r="AI302" s="70">
        <f t="shared" si="240"/>
        <v>0</v>
      </c>
      <c r="AK302" s="79">
        <v>0</v>
      </c>
      <c r="AL302" s="80">
        <f t="shared" si="224"/>
        <v>0</v>
      </c>
      <c r="AM302" s="79">
        <v>0</v>
      </c>
      <c r="AN302" s="80">
        <f t="shared" si="225"/>
        <v>0</v>
      </c>
      <c r="AO302" s="79">
        <v>0</v>
      </c>
      <c r="AP302" s="80">
        <f t="shared" si="226"/>
        <v>0</v>
      </c>
      <c r="AQ302" s="79">
        <v>0</v>
      </c>
      <c r="AR302" s="81">
        <f t="shared" si="227"/>
        <v>0</v>
      </c>
      <c r="AS302" s="80">
        <f t="shared" si="241"/>
        <v>0</v>
      </c>
      <c r="AT302" s="70">
        <f t="shared" si="242"/>
        <v>0</v>
      </c>
      <c r="AU302" s="80">
        <f t="shared" si="243"/>
        <v>0</v>
      </c>
      <c r="AV302" s="70">
        <f t="shared" si="244"/>
        <v>0</v>
      </c>
      <c r="AW302" s="80">
        <f t="shared" si="245"/>
        <v>0</v>
      </c>
      <c r="AX302" s="70">
        <f t="shared" si="246"/>
        <v>0</v>
      </c>
      <c r="AY302" s="82"/>
      <c r="BA302" s="79">
        <v>0</v>
      </c>
      <c r="BB302" s="80">
        <f t="shared" si="228"/>
        <v>0</v>
      </c>
      <c r="BC302" s="79">
        <v>0</v>
      </c>
      <c r="BD302" s="80">
        <f t="shared" si="229"/>
        <v>0</v>
      </c>
      <c r="BE302" s="79">
        <v>0</v>
      </c>
      <c r="BF302" s="81">
        <f t="shared" si="230"/>
        <v>0</v>
      </c>
      <c r="BG302" s="80">
        <f t="shared" si="247"/>
        <v>0</v>
      </c>
      <c r="BH302" s="70">
        <f t="shared" si="248"/>
        <v>0</v>
      </c>
      <c r="BI302" s="80">
        <f t="shared" si="249"/>
        <v>0</v>
      </c>
      <c r="BJ302" s="70">
        <f t="shared" si="250"/>
        <v>0</v>
      </c>
      <c r="BK302" s="82"/>
    </row>
    <row r="303" spans="5:63" ht="11.95" thickBot="1" x14ac:dyDescent="0.3">
      <c r="E303" s="3"/>
      <c r="F303" s="3"/>
      <c r="G303" s="3"/>
      <c r="H303" s="3" t="s">
        <v>353</v>
      </c>
      <c r="I303" s="18"/>
      <c r="J303" s="18"/>
      <c r="K303" s="18"/>
      <c r="L303" s="78"/>
      <c r="M303" s="79"/>
      <c r="N303" s="80">
        <f t="shared" si="220"/>
        <v>0</v>
      </c>
      <c r="O303" s="79"/>
      <c r="P303" s="80">
        <f t="shared" si="221"/>
        <v>0</v>
      </c>
      <c r="Q303" s="79"/>
      <c r="R303" s="80">
        <f t="shared" si="222"/>
        <v>0</v>
      </c>
      <c r="S303" s="79"/>
      <c r="T303" s="81">
        <f t="shared" si="223"/>
        <v>0</v>
      </c>
      <c r="U303" s="80">
        <f t="shared" si="231"/>
        <v>0</v>
      </c>
      <c r="V303" s="70">
        <f t="shared" si="232"/>
        <v>0</v>
      </c>
      <c r="W303" s="80">
        <f t="shared" si="233"/>
        <v>0</v>
      </c>
      <c r="X303" s="70">
        <f t="shared" si="234"/>
        <v>0</v>
      </c>
      <c r="Y303" s="80">
        <f t="shared" si="235"/>
        <v>0</v>
      </c>
      <c r="Z303" s="70">
        <f t="shared" si="236"/>
        <v>0</v>
      </c>
      <c r="AA303" s="82"/>
      <c r="AC303" s="79">
        <v>0</v>
      </c>
      <c r="AD303" s="79">
        <v>0</v>
      </c>
      <c r="AE303" s="79">
        <v>0</v>
      </c>
      <c r="AF303" s="83">
        <f t="shared" si="237"/>
        <v>0</v>
      </c>
      <c r="AG303" s="70">
        <f t="shared" si="238"/>
        <v>0</v>
      </c>
      <c r="AH303" s="83">
        <f t="shared" si="239"/>
        <v>0</v>
      </c>
      <c r="AI303" s="70">
        <f t="shared" si="240"/>
        <v>0</v>
      </c>
      <c r="AK303" s="79">
        <v>0</v>
      </c>
      <c r="AL303" s="80">
        <f t="shared" si="224"/>
        <v>0</v>
      </c>
      <c r="AM303" s="79">
        <v>0</v>
      </c>
      <c r="AN303" s="80">
        <f t="shared" si="225"/>
        <v>0</v>
      </c>
      <c r="AO303" s="79">
        <v>0</v>
      </c>
      <c r="AP303" s="80">
        <f t="shared" si="226"/>
        <v>0</v>
      </c>
      <c r="AQ303" s="79">
        <v>0</v>
      </c>
      <c r="AR303" s="81">
        <f t="shared" si="227"/>
        <v>0</v>
      </c>
      <c r="AS303" s="80">
        <f t="shared" si="241"/>
        <v>0</v>
      </c>
      <c r="AT303" s="70">
        <f t="shared" si="242"/>
        <v>0</v>
      </c>
      <c r="AU303" s="80">
        <f t="shared" si="243"/>
        <v>0</v>
      </c>
      <c r="AV303" s="70">
        <f t="shared" si="244"/>
        <v>0</v>
      </c>
      <c r="AW303" s="80">
        <f t="shared" si="245"/>
        <v>0</v>
      </c>
      <c r="AX303" s="70">
        <f t="shared" si="246"/>
        <v>0</v>
      </c>
      <c r="AY303" s="82"/>
      <c r="BA303" s="79">
        <v>0</v>
      </c>
      <c r="BB303" s="80">
        <f t="shared" si="228"/>
        <v>0</v>
      </c>
      <c r="BC303" s="79">
        <v>0</v>
      </c>
      <c r="BD303" s="80">
        <f t="shared" si="229"/>
        <v>0</v>
      </c>
      <c r="BE303" s="79">
        <v>0</v>
      </c>
      <c r="BF303" s="81">
        <f t="shared" si="230"/>
        <v>0</v>
      </c>
      <c r="BG303" s="80">
        <f t="shared" si="247"/>
        <v>0</v>
      </c>
      <c r="BH303" s="70">
        <f t="shared" si="248"/>
        <v>0</v>
      </c>
      <c r="BI303" s="80">
        <f t="shared" si="249"/>
        <v>0</v>
      </c>
      <c r="BJ303" s="70">
        <f t="shared" si="250"/>
        <v>0</v>
      </c>
      <c r="BK303" s="82"/>
    </row>
    <row r="304" spans="5:63" ht="11.95" thickBot="1" x14ac:dyDescent="0.3">
      <c r="E304" s="3"/>
      <c r="F304" s="3"/>
      <c r="G304" s="3"/>
      <c r="H304" s="3" t="s">
        <v>354</v>
      </c>
      <c r="I304" s="18"/>
      <c r="J304" s="18"/>
      <c r="K304" s="18"/>
      <c r="L304" s="78"/>
      <c r="M304" s="79">
        <v>0</v>
      </c>
      <c r="N304" s="80">
        <f t="shared" si="220"/>
        <v>0</v>
      </c>
      <c r="O304" s="79">
        <v>0</v>
      </c>
      <c r="P304" s="80">
        <f t="shared" si="221"/>
        <v>0</v>
      </c>
      <c r="Q304" s="79">
        <v>0</v>
      </c>
      <c r="R304" s="80">
        <f t="shared" si="222"/>
        <v>0</v>
      </c>
      <c r="S304" s="79">
        <v>0</v>
      </c>
      <c r="T304" s="81">
        <f t="shared" si="223"/>
        <v>0</v>
      </c>
      <c r="U304" s="80">
        <f t="shared" si="231"/>
        <v>0</v>
      </c>
      <c r="V304" s="70">
        <f t="shared" si="232"/>
        <v>0</v>
      </c>
      <c r="W304" s="80">
        <f t="shared" si="233"/>
        <v>0</v>
      </c>
      <c r="X304" s="70">
        <f t="shared" si="234"/>
        <v>0</v>
      </c>
      <c r="Y304" s="80">
        <f t="shared" si="235"/>
        <v>0</v>
      </c>
      <c r="Z304" s="70">
        <f t="shared" si="236"/>
        <v>0</v>
      </c>
      <c r="AA304" s="82"/>
      <c r="AC304" s="79">
        <v>0</v>
      </c>
      <c r="AD304" s="79">
        <v>0</v>
      </c>
      <c r="AE304" s="79">
        <v>0</v>
      </c>
      <c r="AF304" s="83">
        <f t="shared" si="237"/>
        <v>0</v>
      </c>
      <c r="AG304" s="70">
        <f t="shared" si="238"/>
        <v>0</v>
      </c>
      <c r="AH304" s="83">
        <f t="shared" si="239"/>
        <v>0</v>
      </c>
      <c r="AI304" s="70">
        <f t="shared" si="240"/>
        <v>0</v>
      </c>
      <c r="AK304" s="79">
        <v>0</v>
      </c>
      <c r="AL304" s="80">
        <f t="shared" si="224"/>
        <v>0</v>
      </c>
      <c r="AM304" s="79">
        <v>0</v>
      </c>
      <c r="AN304" s="80">
        <f t="shared" si="225"/>
        <v>0</v>
      </c>
      <c r="AO304" s="79">
        <v>0</v>
      </c>
      <c r="AP304" s="80">
        <f t="shared" si="226"/>
        <v>0</v>
      </c>
      <c r="AQ304" s="79">
        <v>0</v>
      </c>
      <c r="AR304" s="81">
        <f t="shared" si="227"/>
        <v>0</v>
      </c>
      <c r="AS304" s="80">
        <f t="shared" si="241"/>
        <v>0</v>
      </c>
      <c r="AT304" s="70">
        <f t="shared" si="242"/>
        <v>0</v>
      </c>
      <c r="AU304" s="80">
        <f t="shared" si="243"/>
        <v>0</v>
      </c>
      <c r="AV304" s="70">
        <f t="shared" si="244"/>
        <v>0</v>
      </c>
      <c r="AW304" s="80">
        <f t="shared" si="245"/>
        <v>0</v>
      </c>
      <c r="AX304" s="70">
        <f t="shared" si="246"/>
        <v>0</v>
      </c>
      <c r="AY304" s="82"/>
      <c r="BA304" s="79">
        <v>0</v>
      </c>
      <c r="BB304" s="80">
        <f t="shared" si="228"/>
        <v>0</v>
      </c>
      <c r="BC304" s="79">
        <v>0</v>
      </c>
      <c r="BD304" s="80">
        <f t="shared" si="229"/>
        <v>0</v>
      </c>
      <c r="BE304" s="79">
        <v>0</v>
      </c>
      <c r="BF304" s="81">
        <f t="shared" si="230"/>
        <v>0</v>
      </c>
      <c r="BG304" s="80">
        <f t="shared" si="247"/>
        <v>0</v>
      </c>
      <c r="BH304" s="70">
        <f t="shared" si="248"/>
        <v>0</v>
      </c>
      <c r="BI304" s="80">
        <f t="shared" si="249"/>
        <v>0</v>
      </c>
      <c r="BJ304" s="70">
        <f t="shared" si="250"/>
        <v>0</v>
      </c>
      <c r="BK304" s="82"/>
    </row>
    <row r="305" spans="5:63" ht="11.95" thickBot="1" x14ac:dyDescent="0.3">
      <c r="E305" s="3"/>
      <c r="F305" s="3"/>
      <c r="G305" s="3"/>
      <c r="H305" s="3" t="s">
        <v>355</v>
      </c>
      <c r="I305" s="18"/>
      <c r="J305" s="18"/>
      <c r="K305" s="18"/>
      <c r="L305" s="78"/>
      <c r="M305" s="79"/>
      <c r="N305" s="80">
        <f t="shared" ref="N305:N336" si="251">IFERROR(M305/SUMIFS(M:M, $H:$H, "[+] Net Sales"),0)</f>
        <v>0</v>
      </c>
      <c r="O305" s="79"/>
      <c r="P305" s="80">
        <f t="shared" ref="P305:P336" si="252">IFERROR(O305/SUMIFS(O:O, $H:$H, "[+] Net Sales"),0)</f>
        <v>0</v>
      </c>
      <c r="Q305" s="79"/>
      <c r="R305" s="80">
        <f t="shared" ref="R305:R336" si="253">IFERROR(Q305/SUMIFS(Q:Q, $H:$H, "[+] Net Sales"),0)</f>
        <v>0</v>
      </c>
      <c r="S305" s="79"/>
      <c r="T305" s="81">
        <f t="shared" ref="T305:T336" si="254">IFERROR(S305/SUMIFS(S:S, $H:$H, "[+] Net Sales"),0)</f>
        <v>0</v>
      </c>
      <c r="U305" s="80">
        <f t="shared" si="231"/>
        <v>0</v>
      </c>
      <c r="V305" s="70">
        <f t="shared" si="232"/>
        <v>0</v>
      </c>
      <c r="W305" s="80">
        <f t="shared" si="233"/>
        <v>0</v>
      </c>
      <c r="X305" s="70">
        <f t="shared" si="234"/>
        <v>0</v>
      </c>
      <c r="Y305" s="80">
        <f t="shared" si="235"/>
        <v>0</v>
      </c>
      <c r="Z305" s="70">
        <f t="shared" si="236"/>
        <v>0</v>
      </c>
      <c r="AA305" s="82"/>
      <c r="AC305" s="79">
        <v>0</v>
      </c>
      <c r="AD305" s="79">
        <v>0</v>
      </c>
      <c r="AE305" s="79">
        <v>0</v>
      </c>
      <c r="AF305" s="83">
        <f t="shared" si="237"/>
        <v>0</v>
      </c>
      <c r="AG305" s="70">
        <f t="shared" si="238"/>
        <v>0</v>
      </c>
      <c r="AH305" s="83">
        <f t="shared" si="239"/>
        <v>0</v>
      </c>
      <c r="AI305" s="70">
        <f t="shared" si="240"/>
        <v>0</v>
      </c>
      <c r="AK305" s="79">
        <v>0</v>
      </c>
      <c r="AL305" s="80">
        <f t="shared" ref="AL305:AL336" si="255">IFERROR(AK305/SUMIFS(AK:AK, $H:$H, "[+] Net Sales"),0)</f>
        <v>0</v>
      </c>
      <c r="AM305" s="79">
        <v>0</v>
      </c>
      <c r="AN305" s="80">
        <f t="shared" ref="AN305:AN336" si="256">IFERROR(AM305/SUMIFS(AM:AM, $H:$H, "[+] Net Sales"),0)</f>
        <v>0</v>
      </c>
      <c r="AO305" s="79">
        <v>0</v>
      </c>
      <c r="AP305" s="80">
        <f t="shared" ref="AP305:AP336" si="257">IFERROR(AO305/SUMIFS(AO:AO, $H:$H, "[+] Net Sales"),0)</f>
        <v>0</v>
      </c>
      <c r="AQ305" s="79">
        <v>0</v>
      </c>
      <c r="AR305" s="81">
        <f t="shared" ref="AR305:AR336" si="258">IFERROR(AQ305/SUMIFS(AQ:AQ, $H:$H, "[+] Net Sales"),0)</f>
        <v>0</v>
      </c>
      <c r="AS305" s="80">
        <f t="shared" si="241"/>
        <v>0</v>
      </c>
      <c r="AT305" s="70">
        <f t="shared" si="242"/>
        <v>0</v>
      </c>
      <c r="AU305" s="80">
        <f t="shared" si="243"/>
        <v>0</v>
      </c>
      <c r="AV305" s="70">
        <f t="shared" si="244"/>
        <v>0</v>
      </c>
      <c r="AW305" s="80">
        <f t="shared" si="245"/>
        <v>0</v>
      </c>
      <c r="AX305" s="70">
        <f t="shared" si="246"/>
        <v>0</v>
      </c>
      <c r="AY305" s="82"/>
      <c r="BA305" s="79">
        <v>0</v>
      </c>
      <c r="BB305" s="80">
        <f t="shared" ref="BB305:BB336" si="259">IFERROR(BA305/SUMIFS(BA:BA, $H:$H, "[+] Net Sales"),0)</f>
        <v>0</v>
      </c>
      <c r="BC305" s="79">
        <v>0</v>
      </c>
      <c r="BD305" s="80">
        <f t="shared" ref="BD305:BD336" si="260">IFERROR(BC305/SUMIFS(BC:BC, $H:$H, "[+] Net Sales"),0)</f>
        <v>0</v>
      </c>
      <c r="BE305" s="79">
        <v>0</v>
      </c>
      <c r="BF305" s="81">
        <f t="shared" ref="BF305:BF336" si="261">IFERROR(BE305/SUMIFS(BE:BE, $H:$H, "[+] Net Sales"),0)</f>
        <v>0</v>
      </c>
      <c r="BG305" s="80">
        <f t="shared" si="247"/>
        <v>0</v>
      </c>
      <c r="BH305" s="70">
        <f t="shared" si="248"/>
        <v>0</v>
      </c>
      <c r="BI305" s="80">
        <f t="shared" si="249"/>
        <v>0</v>
      </c>
      <c r="BJ305" s="70">
        <f t="shared" si="250"/>
        <v>0</v>
      </c>
      <c r="BK305" s="82"/>
    </row>
    <row r="306" spans="5:63" ht="11.95" thickBot="1" x14ac:dyDescent="0.3">
      <c r="E306" s="3"/>
      <c r="F306" s="3"/>
      <c r="G306" s="3"/>
      <c r="H306" s="3" t="s">
        <v>356</v>
      </c>
      <c r="I306" s="18"/>
      <c r="J306" s="18"/>
      <c r="K306" s="18"/>
      <c r="L306" s="78"/>
      <c r="M306" s="79"/>
      <c r="N306" s="80">
        <f t="shared" si="251"/>
        <v>0</v>
      </c>
      <c r="O306" s="79"/>
      <c r="P306" s="80">
        <f t="shared" si="252"/>
        <v>0</v>
      </c>
      <c r="Q306" s="79"/>
      <c r="R306" s="80">
        <f t="shared" si="253"/>
        <v>0</v>
      </c>
      <c r="S306" s="79"/>
      <c r="T306" s="81">
        <f t="shared" si="254"/>
        <v>0</v>
      </c>
      <c r="U306" s="80">
        <f t="shared" si="231"/>
        <v>0</v>
      </c>
      <c r="V306" s="70">
        <f t="shared" si="232"/>
        <v>0</v>
      </c>
      <c r="W306" s="80">
        <f t="shared" si="233"/>
        <v>0</v>
      </c>
      <c r="X306" s="70">
        <f t="shared" si="234"/>
        <v>0</v>
      </c>
      <c r="Y306" s="80">
        <f t="shared" si="235"/>
        <v>0</v>
      </c>
      <c r="Z306" s="70">
        <f t="shared" si="236"/>
        <v>0</v>
      </c>
      <c r="AA306" s="82"/>
      <c r="AC306" s="79">
        <v>0</v>
      </c>
      <c r="AD306" s="79">
        <v>0</v>
      </c>
      <c r="AE306" s="79">
        <v>0</v>
      </c>
      <c r="AF306" s="83">
        <f t="shared" si="237"/>
        <v>0</v>
      </c>
      <c r="AG306" s="70">
        <f t="shared" si="238"/>
        <v>0</v>
      </c>
      <c r="AH306" s="83">
        <f t="shared" si="239"/>
        <v>0</v>
      </c>
      <c r="AI306" s="70">
        <f t="shared" si="240"/>
        <v>0</v>
      </c>
      <c r="AK306" s="79">
        <v>0</v>
      </c>
      <c r="AL306" s="80">
        <f t="shared" si="255"/>
        <v>0</v>
      </c>
      <c r="AM306" s="79">
        <v>0</v>
      </c>
      <c r="AN306" s="80">
        <f t="shared" si="256"/>
        <v>0</v>
      </c>
      <c r="AO306" s="79">
        <v>0</v>
      </c>
      <c r="AP306" s="80">
        <f t="shared" si="257"/>
        <v>0</v>
      </c>
      <c r="AQ306" s="79">
        <v>0</v>
      </c>
      <c r="AR306" s="81">
        <f t="shared" si="258"/>
        <v>0</v>
      </c>
      <c r="AS306" s="80">
        <f t="shared" si="241"/>
        <v>0</v>
      </c>
      <c r="AT306" s="70">
        <f t="shared" si="242"/>
        <v>0</v>
      </c>
      <c r="AU306" s="80">
        <f t="shared" si="243"/>
        <v>0</v>
      </c>
      <c r="AV306" s="70">
        <f t="shared" si="244"/>
        <v>0</v>
      </c>
      <c r="AW306" s="80">
        <f t="shared" si="245"/>
        <v>0</v>
      </c>
      <c r="AX306" s="70">
        <f t="shared" si="246"/>
        <v>0</v>
      </c>
      <c r="AY306" s="82"/>
      <c r="BA306" s="79">
        <v>0</v>
      </c>
      <c r="BB306" s="80">
        <f t="shared" si="259"/>
        <v>0</v>
      </c>
      <c r="BC306" s="79">
        <v>0</v>
      </c>
      <c r="BD306" s="80">
        <f t="shared" si="260"/>
        <v>0</v>
      </c>
      <c r="BE306" s="79">
        <v>0</v>
      </c>
      <c r="BF306" s="81">
        <f t="shared" si="261"/>
        <v>0</v>
      </c>
      <c r="BG306" s="80">
        <f t="shared" si="247"/>
        <v>0</v>
      </c>
      <c r="BH306" s="70">
        <f t="shared" si="248"/>
        <v>0</v>
      </c>
      <c r="BI306" s="80">
        <f t="shared" si="249"/>
        <v>0</v>
      </c>
      <c r="BJ306" s="70">
        <f t="shared" si="250"/>
        <v>0</v>
      </c>
      <c r="BK306" s="82"/>
    </row>
    <row r="307" spans="5:63" ht="11.95" thickBot="1" x14ac:dyDescent="0.3">
      <c r="E307" s="3"/>
      <c r="F307" s="3"/>
      <c r="G307" s="3"/>
      <c r="H307" s="3" t="s">
        <v>357</v>
      </c>
      <c r="I307" s="18"/>
      <c r="J307" s="18"/>
      <c r="K307" s="18"/>
      <c r="L307" s="78"/>
      <c r="M307" s="79"/>
      <c r="N307" s="80">
        <f t="shared" si="251"/>
        <v>0</v>
      </c>
      <c r="O307" s="79"/>
      <c r="P307" s="80">
        <f t="shared" si="252"/>
        <v>0</v>
      </c>
      <c r="Q307" s="79"/>
      <c r="R307" s="80">
        <f t="shared" si="253"/>
        <v>0</v>
      </c>
      <c r="S307" s="79"/>
      <c r="T307" s="81">
        <f t="shared" si="254"/>
        <v>0</v>
      </c>
      <c r="U307" s="80">
        <f t="shared" si="231"/>
        <v>0</v>
      </c>
      <c r="V307" s="70">
        <f t="shared" si="232"/>
        <v>0</v>
      </c>
      <c r="W307" s="80">
        <f t="shared" si="233"/>
        <v>0</v>
      </c>
      <c r="X307" s="70">
        <f t="shared" si="234"/>
        <v>0</v>
      </c>
      <c r="Y307" s="80">
        <f t="shared" si="235"/>
        <v>0</v>
      </c>
      <c r="Z307" s="70">
        <f t="shared" si="236"/>
        <v>0</v>
      </c>
      <c r="AA307" s="82"/>
      <c r="AC307" s="79">
        <v>0</v>
      </c>
      <c r="AD307" s="79">
        <v>0</v>
      </c>
      <c r="AE307" s="79">
        <v>0</v>
      </c>
      <c r="AF307" s="83">
        <f t="shared" si="237"/>
        <v>0</v>
      </c>
      <c r="AG307" s="70">
        <f t="shared" si="238"/>
        <v>0</v>
      </c>
      <c r="AH307" s="83">
        <f t="shared" si="239"/>
        <v>0</v>
      </c>
      <c r="AI307" s="70">
        <f t="shared" si="240"/>
        <v>0</v>
      </c>
      <c r="AK307" s="79">
        <v>0</v>
      </c>
      <c r="AL307" s="80">
        <f t="shared" si="255"/>
        <v>0</v>
      </c>
      <c r="AM307" s="79">
        <v>0</v>
      </c>
      <c r="AN307" s="80">
        <f t="shared" si="256"/>
        <v>0</v>
      </c>
      <c r="AO307" s="79">
        <v>0</v>
      </c>
      <c r="AP307" s="80">
        <f t="shared" si="257"/>
        <v>0</v>
      </c>
      <c r="AQ307" s="79">
        <v>0</v>
      </c>
      <c r="AR307" s="81">
        <f t="shared" si="258"/>
        <v>0</v>
      </c>
      <c r="AS307" s="80">
        <f t="shared" si="241"/>
        <v>0</v>
      </c>
      <c r="AT307" s="70">
        <f t="shared" si="242"/>
        <v>0</v>
      </c>
      <c r="AU307" s="80">
        <f t="shared" si="243"/>
        <v>0</v>
      </c>
      <c r="AV307" s="70">
        <f t="shared" si="244"/>
        <v>0</v>
      </c>
      <c r="AW307" s="80">
        <f t="shared" si="245"/>
        <v>0</v>
      </c>
      <c r="AX307" s="70">
        <f t="shared" si="246"/>
        <v>0</v>
      </c>
      <c r="AY307" s="82"/>
      <c r="BA307" s="79">
        <v>0</v>
      </c>
      <c r="BB307" s="80">
        <f t="shared" si="259"/>
        <v>0</v>
      </c>
      <c r="BC307" s="79">
        <v>0</v>
      </c>
      <c r="BD307" s="80">
        <f t="shared" si="260"/>
        <v>0</v>
      </c>
      <c r="BE307" s="79">
        <v>0</v>
      </c>
      <c r="BF307" s="81">
        <f t="shared" si="261"/>
        <v>0</v>
      </c>
      <c r="BG307" s="80">
        <f t="shared" si="247"/>
        <v>0</v>
      </c>
      <c r="BH307" s="70">
        <f t="shared" si="248"/>
        <v>0</v>
      </c>
      <c r="BI307" s="80">
        <f t="shared" si="249"/>
        <v>0</v>
      </c>
      <c r="BJ307" s="70">
        <f t="shared" si="250"/>
        <v>0</v>
      </c>
      <c r="BK307" s="82"/>
    </row>
    <row r="308" spans="5:63" ht="11.95" thickBot="1" x14ac:dyDescent="0.3">
      <c r="E308" s="3"/>
      <c r="F308" s="3"/>
      <c r="G308" s="3"/>
      <c r="H308" s="3" t="s">
        <v>358</v>
      </c>
      <c r="I308" s="18"/>
      <c r="J308" s="18"/>
      <c r="K308" s="18"/>
      <c r="L308" s="78"/>
      <c r="M308" s="79"/>
      <c r="N308" s="80">
        <f t="shared" si="251"/>
        <v>0</v>
      </c>
      <c r="O308" s="79"/>
      <c r="P308" s="80">
        <f t="shared" si="252"/>
        <v>0</v>
      </c>
      <c r="Q308" s="79"/>
      <c r="R308" s="80">
        <f t="shared" si="253"/>
        <v>0</v>
      </c>
      <c r="S308" s="79"/>
      <c r="T308" s="81">
        <f t="shared" si="254"/>
        <v>0</v>
      </c>
      <c r="U308" s="80">
        <f t="shared" si="231"/>
        <v>0</v>
      </c>
      <c r="V308" s="70">
        <f t="shared" si="232"/>
        <v>0</v>
      </c>
      <c r="W308" s="80">
        <f t="shared" si="233"/>
        <v>0</v>
      </c>
      <c r="X308" s="70">
        <f t="shared" si="234"/>
        <v>0</v>
      </c>
      <c r="Y308" s="80">
        <f t="shared" si="235"/>
        <v>0</v>
      </c>
      <c r="Z308" s="70">
        <f t="shared" si="236"/>
        <v>0</v>
      </c>
      <c r="AA308" s="82"/>
      <c r="AC308" s="79">
        <v>0</v>
      </c>
      <c r="AD308" s="79">
        <v>0</v>
      </c>
      <c r="AE308" s="79">
        <v>0</v>
      </c>
      <c r="AF308" s="83">
        <f t="shared" si="237"/>
        <v>0</v>
      </c>
      <c r="AG308" s="70">
        <f t="shared" si="238"/>
        <v>0</v>
      </c>
      <c r="AH308" s="83">
        <f t="shared" si="239"/>
        <v>0</v>
      </c>
      <c r="AI308" s="70">
        <f t="shared" si="240"/>
        <v>0</v>
      </c>
      <c r="AK308" s="79">
        <v>0</v>
      </c>
      <c r="AL308" s="80">
        <f t="shared" si="255"/>
        <v>0</v>
      </c>
      <c r="AM308" s="79">
        <v>0</v>
      </c>
      <c r="AN308" s="80">
        <f t="shared" si="256"/>
        <v>0</v>
      </c>
      <c r="AO308" s="79">
        <v>0</v>
      </c>
      <c r="AP308" s="80">
        <f t="shared" si="257"/>
        <v>0</v>
      </c>
      <c r="AQ308" s="79">
        <v>0</v>
      </c>
      <c r="AR308" s="81">
        <f t="shared" si="258"/>
        <v>0</v>
      </c>
      <c r="AS308" s="80">
        <f t="shared" si="241"/>
        <v>0</v>
      </c>
      <c r="AT308" s="70">
        <f t="shared" si="242"/>
        <v>0</v>
      </c>
      <c r="AU308" s="80">
        <f t="shared" si="243"/>
        <v>0</v>
      </c>
      <c r="AV308" s="70">
        <f t="shared" si="244"/>
        <v>0</v>
      </c>
      <c r="AW308" s="80">
        <f t="shared" si="245"/>
        <v>0</v>
      </c>
      <c r="AX308" s="70">
        <f t="shared" si="246"/>
        <v>0</v>
      </c>
      <c r="AY308" s="82"/>
      <c r="BA308" s="79">
        <v>0</v>
      </c>
      <c r="BB308" s="80">
        <f t="shared" si="259"/>
        <v>0</v>
      </c>
      <c r="BC308" s="79">
        <v>0</v>
      </c>
      <c r="BD308" s="80">
        <f t="shared" si="260"/>
        <v>0</v>
      </c>
      <c r="BE308" s="79">
        <v>0</v>
      </c>
      <c r="BF308" s="81">
        <f t="shared" si="261"/>
        <v>0</v>
      </c>
      <c r="BG308" s="80">
        <f t="shared" si="247"/>
        <v>0</v>
      </c>
      <c r="BH308" s="70">
        <f t="shared" si="248"/>
        <v>0</v>
      </c>
      <c r="BI308" s="80">
        <f t="shared" si="249"/>
        <v>0</v>
      </c>
      <c r="BJ308" s="70">
        <f t="shared" si="250"/>
        <v>0</v>
      </c>
      <c r="BK308" s="82"/>
    </row>
    <row r="309" spans="5:63" ht="11.95" thickBot="1" x14ac:dyDescent="0.3">
      <c r="E309" s="3"/>
      <c r="F309" s="3"/>
      <c r="G309" s="3"/>
      <c r="H309" s="3" t="s">
        <v>359</v>
      </c>
      <c r="I309" s="18"/>
      <c r="J309" s="18"/>
      <c r="K309" s="18"/>
      <c r="L309" s="78"/>
      <c r="M309" s="79"/>
      <c r="N309" s="80">
        <f t="shared" si="251"/>
        <v>0</v>
      </c>
      <c r="O309" s="79"/>
      <c r="P309" s="80">
        <f t="shared" si="252"/>
        <v>0</v>
      </c>
      <c r="Q309" s="79"/>
      <c r="R309" s="80">
        <f t="shared" si="253"/>
        <v>0</v>
      </c>
      <c r="S309" s="79"/>
      <c r="T309" s="81">
        <f t="shared" si="254"/>
        <v>0</v>
      </c>
      <c r="U309" s="80">
        <f t="shared" si="231"/>
        <v>0</v>
      </c>
      <c r="V309" s="70">
        <f t="shared" si="232"/>
        <v>0</v>
      </c>
      <c r="W309" s="80">
        <f t="shared" si="233"/>
        <v>0</v>
      </c>
      <c r="X309" s="70">
        <f t="shared" si="234"/>
        <v>0</v>
      </c>
      <c r="Y309" s="80">
        <f t="shared" si="235"/>
        <v>0</v>
      </c>
      <c r="Z309" s="70">
        <f t="shared" si="236"/>
        <v>0</v>
      </c>
      <c r="AA309" s="82"/>
      <c r="AC309" s="79">
        <v>0</v>
      </c>
      <c r="AD309" s="79">
        <v>0</v>
      </c>
      <c r="AE309" s="79">
        <v>0</v>
      </c>
      <c r="AF309" s="83">
        <f t="shared" si="237"/>
        <v>0</v>
      </c>
      <c r="AG309" s="70">
        <f t="shared" si="238"/>
        <v>0</v>
      </c>
      <c r="AH309" s="83">
        <f t="shared" si="239"/>
        <v>0</v>
      </c>
      <c r="AI309" s="70">
        <f t="shared" si="240"/>
        <v>0</v>
      </c>
      <c r="AK309" s="79">
        <v>0</v>
      </c>
      <c r="AL309" s="80">
        <f t="shared" si="255"/>
        <v>0</v>
      </c>
      <c r="AM309" s="79">
        <v>0</v>
      </c>
      <c r="AN309" s="80">
        <f t="shared" si="256"/>
        <v>0</v>
      </c>
      <c r="AO309" s="79">
        <v>0</v>
      </c>
      <c r="AP309" s="80">
        <f t="shared" si="257"/>
        <v>0</v>
      </c>
      <c r="AQ309" s="79">
        <v>0</v>
      </c>
      <c r="AR309" s="81">
        <f t="shared" si="258"/>
        <v>0</v>
      </c>
      <c r="AS309" s="80">
        <f t="shared" si="241"/>
        <v>0</v>
      </c>
      <c r="AT309" s="70">
        <f t="shared" si="242"/>
        <v>0</v>
      </c>
      <c r="AU309" s="80">
        <f t="shared" si="243"/>
        <v>0</v>
      </c>
      <c r="AV309" s="70">
        <f t="shared" si="244"/>
        <v>0</v>
      </c>
      <c r="AW309" s="80">
        <f t="shared" si="245"/>
        <v>0</v>
      </c>
      <c r="AX309" s="70">
        <f t="shared" si="246"/>
        <v>0</v>
      </c>
      <c r="AY309" s="82"/>
      <c r="BA309" s="79">
        <v>0</v>
      </c>
      <c r="BB309" s="80">
        <f t="shared" si="259"/>
        <v>0</v>
      </c>
      <c r="BC309" s="79">
        <v>0</v>
      </c>
      <c r="BD309" s="80">
        <f t="shared" si="260"/>
        <v>0</v>
      </c>
      <c r="BE309" s="79">
        <v>0</v>
      </c>
      <c r="BF309" s="81">
        <f t="shared" si="261"/>
        <v>0</v>
      </c>
      <c r="BG309" s="80">
        <f t="shared" si="247"/>
        <v>0</v>
      </c>
      <c r="BH309" s="70">
        <f t="shared" si="248"/>
        <v>0</v>
      </c>
      <c r="BI309" s="80">
        <f t="shared" si="249"/>
        <v>0</v>
      </c>
      <c r="BJ309" s="70">
        <f t="shared" si="250"/>
        <v>0</v>
      </c>
      <c r="BK309" s="82"/>
    </row>
    <row r="310" spans="5:63" ht="11.95" thickBot="1" x14ac:dyDescent="0.3">
      <c r="E310" s="3"/>
      <c r="F310" s="3"/>
      <c r="G310" s="3"/>
      <c r="H310" s="3" t="s">
        <v>360</v>
      </c>
      <c r="I310" s="18"/>
      <c r="J310" s="18"/>
      <c r="K310" s="18"/>
      <c r="L310" s="78"/>
      <c r="M310" s="79"/>
      <c r="N310" s="80">
        <f t="shared" si="251"/>
        <v>0</v>
      </c>
      <c r="O310" s="79"/>
      <c r="P310" s="80">
        <f t="shared" si="252"/>
        <v>0</v>
      </c>
      <c r="Q310" s="79"/>
      <c r="R310" s="80">
        <f t="shared" si="253"/>
        <v>0</v>
      </c>
      <c r="S310" s="79"/>
      <c r="T310" s="81">
        <f t="shared" si="254"/>
        <v>0</v>
      </c>
      <c r="U310" s="80">
        <f t="shared" si="231"/>
        <v>0</v>
      </c>
      <c r="V310" s="70">
        <f t="shared" si="232"/>
        <v>0</v>
      </c>
      <c r="W310" s="80">
        <f t="shared" si="233"/>
        <v>0</v>
      </c>
      <c r="X310" s="70">
        <f t="shared" si="234"/>
        <v>0</v>
      </c>
      <c r="Y310" s="80">
        <f t="shared" si="235"/>
        <v>0</v>
      </c>
      <c r="Z310" s="70">
        <f t="shared" si="236"/>
        <v>0</v>
      </c>
      <c r="AA310" s="82"/>
      <c r="AC310" s="79">
        <v>0</v>
      </c>
      <c r="AD310" s="79">
        <v>0</v>
      </c>
      <c r="AE310" s="79">
        <v>0</v>
      </c>
      <c r="AF310" s="83">
        <f t="shared" si="237"/>
        <v>0</v>
      </c>
      <c r="AG310" s="70">
        <f t="shared" si="238"/>
        <v>0</v>
      </c>
      <c r="AH310" s="83">
        <f t="shared" si="239"/>
        <v>0</v>
      </c>
      <c r="AI310" s="70">
        <f t="shared" si="240"/>
        <v>0</v>
      </c>
      <c r="AK310" s="79">
        <v>0</v>
      </c>
      <c r="AL310" s="80">
        <f t="shared" si="255"/>
        <v>0</v>
      </c>
      <c r="AM310" s="79">
        <v>0</v>
      </c>
      <c r="AN310" s="80">
        <f t="shared" si="256"/>
        <v>0</v>
      </c>
      <c r="AO310" s="79">
        <v>0</v>
      </c>
      <c r="AP310" s="80">
        <f t="shared" si="257"/>
        <v>0</v>
      </c>
      <c r="AQ310" s="79">
        <v>0</v>
      </c>
      <c r="AR310" s="81">
        <f t="shared" si="258"/>
        <v>0</v>
      </c>
      <c r="AS310" s="80">
        <f t="shared" si="241"/>
        <v>0</v>
      </c>
      <c r="AT310" s="70">
        <f t="shared" si="242"/>
        <v>0</v>
      </c>
      <c r="AU310" s="80">
        <f t="shared" si="243"/>
        <v>0</v>
      </c>
      <c r="AV310" s="70">
        <f t="shared" si="244"/>
        <v>0</v>
      </c>
      <c r="AW310" s="80">
        <f t="shared" si="245"/>
        <v>0</v>
      </c>
      <c r="AX310" s="70">
        <f t="shared" si="246"/>
        <v>0</v>
      </c>
      <c r="AY310" s="82"/>
      <c r="BA310" s="79">
        <v>0</v>
      </c>
      <c r="BB310" s="80">
        <f t="shared" si="259"/>
        <v>0</v>
      </c>
      <c r="BC310" s="79">
        <v>0</v>
      </c>
      <c r="BD310" s="80">
        <f t="shared" si="260"/>
        <v>0</v>
      </c>
      <c r="BE310" s="79">
        <v>0</v>
      </c>
      <c r="BF310" s="81">
        <f t="shared" si="261"/>
        <v>0</v>
      </c>
      <c r="BG310" s="80">
        <f t="shared" si="247"/>
        <v>0</v>
      </c>
      <c r="BH310" s="70">
        <f t="shared" si="248"/>
        <v>0</v>
      </c>
      <c r="BI310" s="80">
        <f t="shared" si="249"/>
        <v>0</v>
      </c>
      <c r="BJ310" s="70">
        <f t="shared" si="250"/>
        <v>0</v>
      </c>
      <c r="BK310" s="82"/>
    </row>
    <row r="311" spans="5:63" ht="11.95" thickBot="1" x14ac:dyDescent="0.3">
      <c r="E311" s="3"/>
      <c r="F311" s="3"/>
      <c r="G311" s="3"/>
      <c r="H311" s="3" t="s">
        <v>361</v>
      </c>
      <c r="I311" s="18"/>
      <c r="J311" s="18"/>
      <c r="K311" s="18"/>
      <c r="L311" s="78"/>
      <c r="M311" s="79"/>
      <c r="N311" s="80">
        <f t="shared" si="251"/>
        <v>0</v>
      </c>
      <c r="O311" s="79"/>
      <c r="P311" s="80">
        <f t="shared" si="252"/>
        <v>0</v>
      </c>
      <c r="Q311" s="79"/>
      <c r="R311" s="80">
        <f t="shared" si="253"/>
        <v>0</v>
      </c>
      <c r="S311" s="79"/>
      <c r="T311" s="81">
        <f t="shared" si="254"/>
        <v>0</v>
      </c>
      <c r="U311" s="80">
        <f t="shared" si="231"/>
        <v>0</v>
      </c>
      <c r="V311" s="70">
        <f t="shared" si="232"/>
        <v>0</v>
      </c>
      <c r="W311" s="80">
        <f t="shared" si="233"/>
        <v>0</v>
      </c>
      <c r="X311" s="70">
        <f t="shared" si="234"/>
        <v>0</v>
      </c>
      <c r="Y311" s="80">
        <f t="shared" si="235"/>
        <v>0</v>
      </c>
      <c r="Z311" s="70">
        <f t="shared" si="236"/>
        <v>0</v>
      </c>
      <c r="AA311" s="82"/>
      <c r="AC311" s="79">
        <v>0</v>
      </c>
      <c r="AD311" s="79">
        <v>0</v>
      </c>
      <c r="AE311" s="79">
        <v>0</v>
      </c>
      <c r="AF311" s="83">
        <f t="shared" si="237"/>
        <v>0</v>
      </c>
      <c r="AG311" s="70">
        <f t="shared" si="238"/>
        <v>0</v>
      </c>
      <c r="AH311" s="83">
        <f t="shared" si="239"/>
        <v>0</v>
      </c>
      <c r="AI311" s="70">
        <f t="shared" si="240"/>
        <v>0</v>
      </c>
      <c r="AK311" s="79">
        <v>0</v>
      </c>
      <c r="AL311" s="80">
        <f t="shared" si="255"/>
        <v>0</v>
      </c>
      <c r="AM311" s="79">
        <v>0</v>
      </c>
      <c r="AN311" s="80">
        <f t="shared" si="256"/>
        <v>0</v>
      </c>
      <c r="AO311" s="79">
        <v>0</v>
      </c>
      <c r="AP311" s="80">
        <f t="shared" si="257"/>
        <v>0</v>
      </c>
      <c r="AQ311" s="79">
        <v>0</v>
      </c>
      <c r="AR311" s="81">
        <f t="shared" si="258"/>
        <v>0</v>
      </c>
      <c r="AS311" s="80">
        <f t="shared" si="241"/>
        <v>0</v>
      </c>
      <c r="AT311" s="70">
        <f t="shared" si="242"/>
        <v>0</v>
      </c>
      <c r="AU311" s="80">
        <f t="shared" si="243"/>
        <v>0</v>
      </c>
      <c r="AV311" s="70">
        <f t="shared" si="244"/>
        <v>0</v>
      </c>
      <c r="AW311" s="80">
        <f t="shared" si="245"/>
        <v>0</v>
      </c>
      <c r="AX311" s="70">
        <f t="shared" si="246"/>
        <v>0</v>
      </c>
      <c r="AY311" s="82"/>
      <c r="BA311" s="79">
        <v>0</v>
      </c>
      <c r="BB311" s="80">
        <f t="shared" si="259"/>
        <v>0</v>
      </c>
      <c r="BC311" s="79">
        <v>0</v>
      </c>
      <c r="BD311" s="80">
        <f t="shared" si="260"/>
        <v>0</v>
      </c>
      <c r="BE311" s="79">
        <v>0</v>
      </c>
      <c r="BF311" s="81">
        <f t="shared" si="261"/>
        <v>0</v>
      </c>
      <c r="BG311" s="80">
        <f t="shared" si="247"/>
        <v>0</v>
      </c>
      <c r="BH311" s="70">
        <f t="shared" si="248"/>
        <v>0</v>
      </c>
      <c r="BI311" s="80">
        <f t="shared" si="249"/>
        <v>0</v>
      </c>
      <c r="BJ311" s="70">
        <f t="shared" si="250"/>
        <v>0</v>
      </c>
      <c r="BK311" s="82"/>
    </row>
    <row r="312" spans="5:63" ht="11.95" thickBot="1" x14ac:dyDescent="0.3">
      <c r="E312" s="3"/>
      <c r="F312" s="3"/>
      <c r="G312" s="3"/>
      <c r="H312" s="3" t="s">
        <v>362</v>
      </c>
      <c r="I312" s="18"/>
      <c r="J312" s="18"/>
      <c r="K312" s="18"/>
      <c r="L312" s="78"/>
      <c r="M312" s="79"/>
      <c r="N312" s="80">
        <f t="shared" si="251"/>
        <v>0</v>
      </c>
      <c r="O312" s="79"/>
      <c r="P312" s="80">
        <f t="shared" si="252"/>
        <v>0</v>
      </c>
      <c r="Q312" s="79"/>
      <c r="R312" s="80">
        <f t="shared" si="253"/>
        <v>0</v>
      </c>
      <c r="S312" s="79"/>
      <c r="T312" s="81">
        <f t="shared" si="254"/>
        <v>0</v>
      </c>
      <c r="U312" s="80">
        <f t="shared" si="231"/>
        <v>0</v>
      </c>
      <c r="V312" s="70">
        <f t="shared" si="232"/>
        <v>0</v>
      </c>
      <c r="W312" s="80">
        <f t="shared" si="233"/>
        <v>0</v>
      </c>
      <c r="X312" s="70">
        <f t="shared" si="234"/>
        <v>0</v>
      </c>
      <c r="Y312" s="80">
        <f t="shared" si="235"/>
        <v>0</v>
      </c>
      <c r="Z312" s="70">
        <f t="shared" si="236"/>
        <v>0</v>
      </c>
      <c r="AA312" s="82"/>
      <c r="AC312" s="79">
        <v>0</v>
      </c>
      <c r="AD312" s="79">
        <v>0</v>
      </c>
      <c r="AE312" s="79">
        <v>0</v>
      </c>
      <c r="AF312" s="83">
        <f t="shared" si="237"/>
        <v>0</v>
      </c>
      <c r="AG312" s="70">
        <f t="shared" si="238"/>
        <v>0</v>
      </c>
      <c r="AH312" s="83">
        <f t="shared" si="239"/>
        <v>0</v>
      </c>
      <c r="AI312" s="70">
        <f t="shared" si="240"/>
        <v>0</v>
      </c>
      <c r="AK312" s="79">
        <v>0</v>
      </c>
      <c r="AL312" s="80">
        <f t="shared" si="255"/>
        <v>0</v>
      </c>
      <c r="AM312" s="79">
        <v>0</v>
      </c>
      <c r="AN312" s="80">
        <f t="shared" si="256"/>
        <v>0</v>
      </c>
      <c r="AO312" s="79">
        <v>0</v>
      </c>
      <c r="AP312" s="80">
        <f t="shared" si="257"/>
        <v>0</v>
      </c>
      <c r="AQ312" s="79">
        <v>0</v>
      </c>
      <c r="AR312" s="81">
        <f t="shared" si="258"/>
        <v>0</v>
      </c>
      <c r="AS312" s="80">
        <f t="shared" si="241"/>
        <v>0</v>
      </c>
      <c r="AT312" s="70">
        <f t="shared" si="242"/>
        <v>0</v>
      </c>
      <c r="AU312" s="80">
        <f t="shared" si="243"/>
        <v>0</v>
      </c>
      <c r="AV312" s="70">
        <f t="shared" si="244"/>
        <v>0</v>
      </c>
      <c r="AW312" s="80">
        <f t="shared" si="245"/>
        <v>0</v>
      </c>
      <c r="AX312" s="70">
        <f t="shared" si="246"/>
        <v>0</v>
      </c>
      <c r="AY312" s="82"/>
      <c r="BA312" s="79">
        <v>0</v>
      </c>
      <c r="BB312" s="80">
        <f t="shared" si="259"/>
        <v>0</v>
      </c>
      <c r="BC312" s="79">
        <v>0</v>
      </c>
      <c r="BD312" s="80">
        <f t="shared" si="260"/>
        <v>0</v>
      </c>
      <c r="BE312" s="79">
        <v>0</v>
      </c>
      <c r="BF312" s="81">
        <f t="shared" si="261"/>
        <v>0</v>
      </c>
      <c r="BG312" s="80">
        <f t="shared" si="247"/>
        <v>0</v>
      </c>
      <c r="BH312" s="70">
        <f t="shared" si="248"/>
        <v>0</v>
      </c>
      <c r="BI312" s="80">
        <f t="shared" si="249"/>
        <v>0</v>
      </c>
      <c r="BJ312" s="70">
        <f t="shared" si="250"/>
        <v>0</v>
      </c>
      <c r="BK312" s="82"/>
    </row>
    <row r="313" spans="5:63" ht="11.95" thickBot="1" x14ac:dyDescent="0.3">
      <c r="E313" s="3"/>
      <c r="F313" s="3"/>
      <c r="G313" s="3"/>
      <c r="H313" s="3" t="s">
        <v>363</v>
      </c>
      <c r="I313" s="18"/>
      <c r="J313" s="18"/>
      <c r="K313" s="18"/>
      <c r="L313" s="78"/>
      <c r="M313" s="79"/>
      <c r="N313" s="80">
        <f t="shared" si="251"/>
        <v>0</v>
      </c>
      <c r="O313" s="79"/>
      <c r="P313" s="80">
        <f t="shared" si="252"/>
        <v>0</v>
      </c>
      <c r="Q313" s="79"/>
      <c r="R313" s="80">
        <f t="shared" si="253"/>
        <v>0</v>
      </c>
      <c r="S313" s="79"/>
      <c r="T313" s="81">
        <f t="shared" si="254"/>
        <v>0</v>
      </c>
      <c r="U313" s="80">
        <f t="shared" si="231"/>
        <v>0</v>
      </c>
      <c r="V313" s="70">
        <f t="shared" si="232"/>
        <v>0</v>
      </c>
      <c r="W313" s="80">
        <f t="shared" si="233"/>
        <v>0</v>
      </c>
      <c r="X313" s="70">
        <f t="shared" si="234"/>
        <v>0</v>
      </c>
      <c r="Y313" s="80">
        <f t="shared" si="235"/>
        <v>0</v>
      </c>
      <c r="Z313" s="70">
        <f t="shared" si="236"/>
        <v>0</v>
      </c>
      <c r="AA313" s="82"/>
      <c r="AC313" s="79">
        <v>0</v>
      </c>
      <c r="AD313" s="79">
        <v>0</v>
      </c>
      <c r="AE313" s="79">
        <v>0</v>
      </c>
      <c r="AF313" s="83">
        <f t="shared" si="237"/>
        <v>0</v>
      </c>
      <c r="AG313" s="70">
        <f t="shared" si="238"/>
        <v>0</v>
      </c>
      <c r="AH313" s="83">
        <f t="shared" si="239"/>
        <v>0</v>
      </c>
      <c r="AI313" s="70">
        <f t="shared" si="240"/>
        <v>0</v>
      </c>
      <c r="AK313" s="79">
        <v>0</v>
      </c>
      <c r="AL313" s="80">
        <f t="shared" si="255"/>
        <v>0</v>
      </c>
      <c r="AM313" s="79">
        <v>0</v>
      </c>
      <c r="AN313" s="80">
        <f t="shared" si="256"/>
        <v>0</v>
      </c>
      <c r="AO313" s="79">
        <v>0</v>
      </c>
      <c r="AP313" s="80">
        <f t="shared" si="257"/>
        <v>0</v>
      </c>
      <c r="AQ313" s="79">
        <v>0</v>
      </c>
      <c r="AR313" s="81">
        <f t="shared" si="258"/>
        <v>0</v>
      </c>
      <c r="AS313" s="80">
        <f t="shared" si="241"/>
        <v>0</v>
      </c>
      <c r="AT313" s="70">
        <f t="shared" si="242"/>
        <v>0</v>
      </c>
      <c r="AU313" s="80">
        <f t="shared" si="243"/>
        <v>0</v>
      </c>
      <c r="AV313" s="70">
        <f t="shared" si="244"/>
        <v>0</v>
      </c>
      <c r="AW313" s="80">
        <f t="shared" si="245"/>
        <v>0</v>
      </c>
      <c r="AX313" s="70">
        <f t="shared" si="246"/>
        <v>0</v>
      </c>
      <c r="AY313" s="82"/>
      <c r="BA313" s="79">
        <v>0</v>
      </c>
      <c r="BB313" s="80">
        <f t="shared" si="259"/>
        <v>0</v>
      </c>
      <c r="BC313" s="79">
        <v>0</v>
      </c>
      <c r="BD313" s="80">
        <f t="shared" si="260"/>
        <v>0</v>
      </c>
      <c r="BE313" s="79">
        <v>0</v>
      </c>
      <c r="BF313" s="81">
        <f t="shared" si="261"/>
        <v>0</v>
      </c>
      <c r="BG313" s="80">
        <f t="shared" si="247"/>
        <v>0</v>
      </c>
      <c r="BH313" s="70">
        <f t="shared" si="248"/>
        <v>0</v>
      </c>
      <c r="BI313" s="80">
        <f t="shared" si="249"/>
        <v>0</v>
      </c>
      <c r="BJ313" s="70">
        <f t="shared" si="250"/>
        <v>0</v>
      </c>
      <c r="BK313" s="82"/>
    </row>
    <row r="314" spans="5:63" ht="11.95" thickBot="1" x14ac:dyDescent="0.3">
      <c r="E314" s="3"/>
      <c r="F314" s="3"/>
      <c r="G314" s="3"/>
      <c r="H314" s="3" t="s">
        <v>364</v>
      </c>
      <c r="I314" s="18"/>
      <c r="J314" s="18"/>
      <c r="K314" s="18"/>
      <c r="L314" s="78"/>
      <c r="M314" s="79"/>
      <c r="N314" s="80">
        <f t="shared" si="251"/>
        <v>0</v>
      </c>
      <c r="O314" s="79"/>
      <c r="P314" s="80">
        <f t="shared" si="252"/>
        <v>0</v>
      </c>
      <c r="Q314" s="79"/>
      <c r="R314" s="80">
        <f t="shared" si="253"/>
        <v>0</v>
      </c>
      <c r="S314" s="79"/>
      <c r="T314" s="81">
        <f t="shared" si="254"/>
        <v>0</v>
      </c>
      <c r="U314" s="80">
        <f t="shared" si="231"/>
        <v>0</v>
      </c>
      <c r="V314" s="70">
        <f t="shared" si="232"/>
        <v>0</v>
      </c>
      <c r="W314" s="80">
        <f t="shared" si="233"/>
        <v>0</v>
      </c>
      <c r="X314" s="70">
        <f t="shared" si="234"/>
        <v>0</v>
      </c>
      <c r="Y314" s="80">
        <f t="shared" si="235"/>
        <v>0</v>
      </c>
      <c r="Z314" s="70">
        <f t="shared" si="236"/>
        <v>0</v>
      </c>
      <c r="AA314" s="82"/>
      <c r="AC314" s="79">
        <v>0</v>
      </c>
      <c r="AD314" s="79">
        <v>0</v>
      </c>
      <c r="AE314" s="79">
        <v>0</v>
      </c>
      <c r="AF314" s="83">
        <f t="shared" si="237"/>
        <v>0</v>
      </c>
      <c r="AG314" s="70">
        <f t="shared" si="238"/>
        <v>0</v>
      </c>
      <c r="AH314" s="83">
        <f t="shared" si="239"/>
        <v>0</v>
      </c>
      <c r="AI314" s="70">
        <f t="shared" si="240"/>
        <v>0</v>
      </c>
      <c r="AK314" s="79">
        <v>0</v>
      </c>
      <c r="AL314" s="80">
        <f t="shared" si="255"/>
        <v>0</v>
      </c>
      <c r="AM314" s="79">
        <v>0</v>
      </c>
      <c r="AN314" s="80">
        <f t="shared" si="256"/>
        <v>0</v>
      </c>
      <c r="AO314" s="79">
        <v>0</v>
      </c>
      <c r="AP314" s="80">
        <f t="shared" si="257"/>
        <v>0</v>
      </c>
      <c r="AQ314" s="79">
        <v>0</v>
      </c>
      <c r="AR314" s="81">
        <f t="shared" si="258"/>
        <v>0</v>
      </c>
      <c r="AS314" s="80">
        <f t="shared" si="241"/>
        <v>0</v>
      </c>
      <c r="AT314" s="70">
        <f t="shared" si="242"/>
        <v>0</v>
      </c>
      <c r="AU314" s="80">
        <f t="shared" si="243"/>
        <v>0</v>
      </c>
      <c r="AV314" s="70">
        <f t="shared" si="244"/>
        <v>0</v>
      </c>
      <c r="AW314" s="80">
        <f t="shared" si="245"/>
        <v>0</v>
      </c>
      <c r="AX314" s="70">
        <f t="shared" si="246"/>
        <v>0</v>
      </c>
      <c r="AY314" s="82"/>
      <c r="BA314" s="79">
        <v>0</v>
      </c>
      <c r="BB314" s="80">
        <f t="shared" si="259"/>
        <v>0</v>
      </c>
      <c r="BC314" s="79">
        <v>0</v>
      </c>
      <c r="BD314" s="80">
        <f t="shared" si="260"/>
        <v>0</v>
      </c>
      <c r="BE314" s="79">
        <v>0</v>
      </c>
      <c r="BF314" s="81">
        <f t="shared" si="261"/>
        <v>0</v>
      </c>
      <c r="BG314" s="80">
        <f t="shared" si="247"/>
        <v>0</v>
      </c>
      <c r="BH314" s="70">
        <f t="shared" si="248"/>
        <v>0</v>
      </c>
      <c r="BI314" s="80">
        <f t="shared" si="249"/>
        <v>0</v>
      </c>
      <c r="BJ314" s="70">
        <f t="shared" si="250"/>
        <v>0</v>
      </c>
      <c r="BK314" s="82"/>
    </row>
    <row r="315" spans="5:63" ht="11.95" thickBot="1" x14ac:dyDescent="0.3">
      <c r="E315" s="3"/>
      <c r="F315" s="3"/>
      <c r="G315" s="3"/>
      <c r="H315" s="3" t="s">
        <v>365</v>
      </c>
      <c r="I315" s="18"/>
      <c r="J315" s="18"/>
      <c r="K315" s="18"/>
      <c r="L315" s="78"/>
      <c r="M315" s="79"/>
      <c r="N315" s="80">
        <f t="shared" si="251"/>
        <v>0</v>
      </c>
      <c r="O315" s="79"/>
      <c r="P315" s="80">
        <f t="shared" si="252"/>
        <v>0</v>
      </c>
      <c r="Q315" s="79"/>
      <c r="R315" s="80">
        <f t="shared" si="253"/>
        <v>0</v>
      </c>
      <c r="S315" s="79"/>
      <c r="T315" s="81">
        <f t="shared" si="254"/>
        <v>0</v>
      </c>
      <c r="U315" s="80">
        <f t="shared" si="231"/>
        <v>0</v>
      </c>
      <c r="V315" s="70">
        <f t="shared" si="232"/>
        <v>0</v>
      </c>
      <c r="W315" s="80">
        <f t="shared" si="233"/>
        <v>0</v>
      </c>
      <c r="X315" s="70">
        <f t="shared" si="234"/>
        <v>0</v>
      </c>
      <c r="Y315" s="80">
        <f t="shared" si="235"/>
        <v>0</v>
      </c>
      <c r="Z315" s="70">
        <f t="shared" si="236"/>
        <v>0</v>
      </c>
      <c r="AA315" s="82"/>
      <c r="AC315" s="79">
        <v>0</v>
      </c>
      <c r="AD315" s="79">
        <v>0</v>
      </c>
      <c r="AE315" s="79">
        <v>0</v>
      </c>
      <c r="AF315" s="83">
        <f t="shared" si="237"/>
        <v>0</v>
      </c>
      <c r="AG315" s="70">
        <f t="shared" si="238"/>
        <v>0</v>
      </c>
      <c r="AH315" s="83">
        <f t="shared" si="239"/>
        <v>0</v>
      </c>
      <c r="AI315" s="70">
        <f t="shared" si="240"/>
        <v>0</v>
      </c>
      <c r="AK315" s="79">
        <v>0</v>
      </c>
      <c r="AL315" s="80">
        <f t="shared" si="255"/>
        <v>0</v>
      </c>
      <c r="AM315" s="79">
        <v>0</v>
      </c>
      <c r="AN315" s="80">
        <f t="shared" si="256"/>
        <v>0</v>
      </c>
      <c r="AO315" s="79">
        <v>0</v>
      </c>
      <c r="AP315" s="80">
        <f t="shared" si="257"/>
        <v>0</v>
      </c>
      <c r="AQ315" s="79">
        <v>0</v>
      </c>
      <c r="AR315" s="81">
        <f t="shared" si="258"/>
        <v>0</v>
      </c>
      <c r="AS315" s="80">
        <f t="shared" si="241"/>
        <v>0</v>
      </c>
      <c r="AT315" s="70">
        <f t="shared" si="242"/>
        <v>0</v>
      </c>
      <c r="AU315" s="80">
        <f t="shared" si="243"/>
        <v>0</v>
      </c>
      <c r="AV315" s="70">
        <f t="shared" si="244"/>
        <v>0</v>
      </c>
      <c r="AW315" s="80">
        <f t="shared" si="245"/>
        <v>0</v>
      </c>
      <c r="AX315" s="70">
        <f t="shared" si="246"/>
        <v>0</v>
      </c>
      <c r="AY315" s="82"/>
      <c r="BA315" s="79">
        <v>0</v>
      </c>
      <c r="BB315" s="80">
        <f t="shared" si="259"/>
        <v>0</v>
      </c>
      <c r="BC315" s="79">
        <v>0</v>
      </c>
      <c r="BD315" s="80">
        <f t="shared" si="260"/>
        <v>0</v>
      </c>
      <c r="BE315" s="79">
        <v>0</v>
      </c>
      <c r="BF315" s="81">
        <f t="shared" si="261"/>
        <v>0</v>
      </c>
      <c r="BG315" s="80">
        <f t="shared" si="247"/>
        <v>0</v>
      </c>
      <c r="BH315" s="70">
        <f t="shared" si="248"/>
        <v>0</v>
      </c>
      <c r="BI315" s="80">
        <f t="shared" si="249"/>
        <v>0</v>
      </c>
      <c r="BJ315" s="70">
        <f t="shared" si="250"/>
        <v>0</v>
      </c>
      <c r="BK315" s="82"/>
    </row>
    <row r="316" spans="5:63" ht="11.95" thickBot="1" x14ac:dyDescent="0.3">
      <c r="E316" s="3"/>
      <c r="F316" s="3"/>
      <c r="G316" s="3"/>
      <c r="H316" s="3" t="s">
        <v>366</v>
      </c>
      <c r="I316" s="18"/>
      <c r="J316" s="18"/>
      <c r="K316" s="18"/>
      <c r="L316" s="78"/>
      <c r="M316" s="79"/>
      <c r="N316" s="80">
        <f t="shared" si="251"/>
        <v>0</v>
      </c>
      <c r="O316" s="79"/>
      <c r="P316" s="80">
        <f t="shared" si="252"/>
        <v>0</v>
      </c>
      <c r="Q316" s="79"/>
      <c r="R316" s="80">
        <f t="shared" si="253"/>
        <v>0</v>
      </c>
      <c r="S316" s="79"/>
      <c r="T316" s="81">
        <f t="shared" si="254"/>
        <v>0</v>
      </c>
      <c r="U316" s="80">
        <f t="shared" si="231"/>
        <v>0</v>
      </c>
      <c r="V316" s="70">
        <f t="shared" si="232"/>
        <v>0</v>
      </c>
      <c r="W316" s="80">
        <f t="shared" si="233"/>
        <v>0</v>
      </c>
      <c r="X316" s="70">
        <f t="shared" si="234"/>
        <v>0</v>
      </c>
      <c r="Y316" s="80">
        <f t="shared" si="235"/>
        <v>0</v>
      </c>
      <c r="Z316" s="70">
        <f t="shared" si="236"/>
        <v>0</v>
      </c>
      <c r="AA316" s="82"/>
      <c r="AC316" s="79">
        <v>0</v>
      </c>
      <c r="AD316" s="79">
        <v>0</v>
      </c>
      <c r="AE316" s="79">
        <v>0</v>
      </c>
      <c r="AF316" s="83">
        <f t="shared" si="237"/>
        <v>0</v>
      </c>
      <c r="AG316" s="70">
        <f t="shared" si="238"/>
        <v>0</v>
      </c>
      <c r="AH316" s="83">
        <f t="shared" si="239"/>
        <v>0</v>
      </c>
      <c r="AI316" s="70">
        <f t="shared" si="240"/>
        <v>0</v>
      </c>
      <c r="AK316" s="79">
        <v>0</v>
      </c>
      <c r="AL316" s="80">
        <f t="shared" si="255"/>
        <v>0</v>
      </c>
      <c r="AM316" s="79">
        <v>0</v>
      </c>
      <c r="AN316" s="80">
        <f t="shared" si="256"/>
        <v>0</v>
      </c>
      <c r="AO316" s="79">
        <v>0</v>
      </c>
      <c r="AP316" s="80">
        <f t="shared" si="257"/>
        <v>0</v>
      </c>
      <c r="AQ316" s="79">
        <v>0</v>
      </c>
      <c r="AR316" s="81">
        <f t="shared" si="258"/>
        <v>0</v>
      </c>
      <c r="AS316" s="80">
        <f t="shared" si="241"/>
        <v>0</v>
      </c>
      <c r="AT316" s="70">
        <f t="shared" si="242"/>
        <v>0</v>
      </c>
      <c r="AU316" s="80">
        <f t="shared" si="243"/>
        <v>0</v>
      </c>
      <c r="AV316" s="70">
        <f t="shared" si="244"/>
        <v>0</v>
      </c>
      <c r="AW316" s="80">
        <f t="shared" si="245"/>
        <v>0</v>
      </c>
      <c r="AX316" s="70">
        <f t="shared" si="246"/>
        <v>0</v>
      </c>
      <c r="AY316" s="82"/>
      <c r="BA316" s="79">
        <v>0</v>
      </c>
      <c r="BB316" s="80">
        <f t="shared" si="259"/>
        <v>0</v>
      </c>
      <c r="BC316" s="79">
        <v>0</v>
      </c>
      <c r="BD316" s="80">
        <f t="shared" si="260"/>
        <v>0</v>
      </c>
      <c r="BE316" s="79">
        <v>0</v>
      </c>
      <c r="BF316" s="81">
        <f t="shared" si="261"/>
        <v>0</v>
      </c>
      <c r="BG316" s="80">
        <f t="shared" si="247"/>
        <v>0</v>
      </c>
      <c r="BH316" s="70">
        <f t="shared" si="248"/>
        <v>0</v>
      </c>
      <c r="BI316" s="80">
        <f t="shared" si="249"/>
        <v>0</v>
      </c>
      <c r="BJ316" s="70">
        <f t="shared" si="250"/>
        <v>0</v>
      </c>
      <c r="BK316" s="82"/>
    </row>
    <row r="317" spans="5:63" ht="11.95" thickBot="1" x14ac:dyDescent="0.3">
      <c r="E317" s="3"/>
      <c r="F317" s="3"/>
      <c r="G317" s="3"/>
      <c r="H317" s="3" t="s">
        <v>367</v>
      </c>
      <c r="I317" s="18"/>
      <c r="J317" s="18"/>
      <c r="K317" s="18"/>
      <c r="L317" s="78"/>
      <c r="M317" s="79"/>
      <c r="N317" s="80">
        <f t="shared" si="251"/>
        <v>0</v>
      </c>
      <c r="O317" s="79"/>
      <c r="P317" s="80">
        <f t="shared" si="252"/>
        <v>0</v>
      </c>
      <c r="Q317" s="79"/>
      <c r="R317" s="80">
        <f t="shared" si="253"/>
        <v>0</v>
      </c>
      <c r="S317" s="79"/>
      <c r="T317" s="81">
        <f t="shared" si="254"/>
        <v>0</v>
      </c>
      <c r="U317" s="80">
        <f t="shared" si="231"/>
        <v>0</v>
      </c>
      <c r="V317" s="70">
        <f t="shared" si="232"/>
        <v>0</v>
      </c>
      <c r="W317" s="80">
        <f t="shared" si="233"/>
        <v>0</v>
      </c>
      <c r="X317" s="70">
        <f t="shared" si="234"/>
        <v>0</v>
      </c>
      <c r="Y317" s="80">
        <f t="shared" si="235"/>
        <v>0</v>
      </c>
      <c r="Z317" s="70">
        <f t="shared" si="236"/>
        <v>0</v>
      </c>
      <c r="AA317" s="82"/>
      <c r="AC317" s="79">
        <v>0</v>
      </c>
      <c r="AD317" s="79">
        <v>0</v>
      </c>
      <c r="AE317" s="79">
        <v>0</v>
      </c>
      <c r="AF317" s="83">
        <f t="shared" si="237"/>
        <v>0</v>
      </c>
      <c r="AG317" s="70">
        <f t="shared" si="238"/>
        <v>0</v>
      </c>
      <c r="AH317" s="83">
        <f t="shared" si="239"/>
        <v>0</v>
      </c>
      <c r="AI317" s="70">
        <f t="shared" si="240"/>
        <v>0</v>
      </c>
      <c r="AK317" s="79">
        <v>0</v>
      </c>
      <c r="AL317" s="80">
        <f t="shared" si="255"/>
        <v>0</v>
      </c>
      <c r="AM317" s="79">
        <v>0</v>
      </c>
      <c r="AN317" s="80">
        <f t="shared" si="256"/>
        <v>0</v>
      </c>
      <c r="AO317" s="79">
        <v>0</v>
      </c>
      <c r="AP317" s="80">
        <f t="shared" si="257"/>
        <v>0</v>
      </c>
      <c r="AQ317" s="79">
        <v>0</v>
      </c>
      <c r="AR317" s="81">
        <f t="shared" si="258"/>
        <v>0</v>
      </c>
      <c r="AS317" s="80">
        <f t="shared" si="241"/>
        <v>0</v>
      </c>
      <c r="AT317" s="70">
        <f t="shared" si="242"/>
        <v>0</v>
      </c>
      <c r="AU317" s="80">
        <f t="shared" si="243"/>
        <v>0</v>
      </c>
      <c r="AV317" s="70">
        <f t="shared" si="244"/>
        <v>0</v>
      </c>
      <c r="AW317" s="80">
        <f t="shared" si="245"/>
        <v>0</v>
      </c>
      <c r="AX317" s="70">
        <f t="shared" si="246"/>
        <v>0</v>
      </c>
      <c r="AY317" s="82"/>
      <c r="BA317" s="79">
        <v>0</v>
      </c>
      <c r="BB317" s="80">
        <f t="shared" si="259"/>
        <v>0</v>
      </c>
      <c r="BC317" s="79">
        <v>0</v>
      </c>
      <c r="BD317" s="80">
        <f t="shared" si="260"/>
        <v>0</v>
      </c>
      <c r="BE317" s="79">
        <v>0</v>
      </c>
      <c r="BF317" s="81">
        <f t="shared" si="261"/>
        <v>0</v>
      </c>
      <c r="BG317" s="80">
        <f t="shared" si="247"/>
        <v>0</v>
      </c>
      <c r="BH317" s="70">
        <f t="shared" si="248"/>
        <v>0</v>
      </c>
      <c r="BI317" s="80">
        <f t="shared" si="249"/>
        <v>0</v>
      </c>
      <c r="BJ317" s="70">
        <f t="shared" si="250"/>
        <v>0</v>
      </c>
      <c r="BK317" s="82"/>
    </row>
    <row r="318" spans="5:63" ht="11.95" thickBot="1" x14ac:dyDescent="0.3">
      <c r="E318" s="3"/>
      <c r="F318" s="3"/>
      <c r="G318" s="3"/>
      <c r="H318" s="3" t="s">
        <v>368</v>
      </c>
      <c r="I318" s="18"/>
      <c r="J318" s="18"/>
      <c r="K318" s="18"/>
      <c r="L318" s="78"/>
      <c r="M318" s="79"/>
      <c r="N318" s="80">
        <f t="shared" si="251"/>
        <v>0</v>
      </c>
      <c r="O318" s="79"/>
      <c r="P318" s="80">
        <f t="shared" si="252"/>
        <v>0</v>
      </c>
      <c r="Q318" s="79"/>
      <c r="R318" s="80">
        <f t="shared" si="253"/>
        <v>0</v>
      </c>
      <c r="S318" s="79"/>
      <c r="T318" s="81">
        <f t="shared" si="254"/>
        <v>0</v>
      </c>
      <c r="U318" s="80">
        <f t="shared" si="231"/>
        <v>0</v>
      </c>
      <c r="V318" s="70">
        <f t="shared" si="232"/>
        <v>0</v>
      </c>
      <c r="W318" s="80">
        <f t="shared" si="233"/>
        <v>0</v>
      </c>
      <c r="X318" s="70">
        <f t="shared" si="234"/>
        <v>0</v>
      </c>
      <c r="Y318" s="80">
        <f t="shared" si="235"/>
        <v>0</v>
      </c>
      <c r="Z318" s="70">
        <f t="shared" si="236"/>
        <v>0</v>
      </c>
      <c r="AA318" s="82"/>
      <c r="AC318" s="79">
        <v>0</v>
      </c>
      <c r="AD318" s="79">
        <v>0</v>
      </c>
      <c r="AE318" s="79">
        <v>0</v>
      </c>
      <c r="AF318" s="83">
        <f t="shared" si="237"/>
        <v>0</v>
      </c>
      <c r="AG318" s="70">
        <f t="shared" si="238"/>
        <v>0</v>
      </c>
      <c r="AH318" s="83">
        <f t="shared" si="239"/>
        <v>0</v>
      </c>
      <c r="AI318" s="70">
        <f t="shared" si="240"/>
        <v>0</v>
      </c>
      <c r="AK318" s="79">
        <v>0</v>
      </c>
      <c r="AL318" s="80">
        <f t="shared" si="255"/>
        <v>0</v>
      </c>
      <c r="AM318" s="79">
        <v>0</v>
      </c>
      <c r="AN318" s="80">
        <f t="shared" si="256"/>
        <v>0</v>
      </c>
      <c r="AO318" s="79">
        <v>0</v>
      </c>
      <c r="AP318" s="80">
        <f t="shared" si="257"/>
        <v>0</v>
      </c>
      <c r="AQ318" s="79">
        <v>0</v>
      </c>
      <c r="AR318" s="81">
        <f t="shared" si="258"/>
        <v>0</v>
      </c>
      <c r="AS318" s="80">
        <f t="shared" si="241"/>
        <v>0</v>
      </c>
      <c r="AT318" s="70">
        <f t="shared" si="242"/>
        <v>0</v>
      </c>
      <c r="AU318" s="80">
        <f t="shared" si="243"/>
        <v>0</v>
      </c>
      <c r="AV318" s="70">
        <f t="shared" si="244"/>
        <v>0</v>
      </c>
      <c r="AW318" s="80">
        <f t="shared" si="245"/>
        <v>0</v>
      </c>
      <c r="AX318" s="70">
        <f t="shared" si="246"/>
        <v>0</v>
      </c>
      <c r="AY318" s="82"/>
      <c r="BA318" s="79">
        <v>0</v>
      </c>
      <c r="BB318" s="80">
        <f t="shared" si="259"/>
        <v>0</v>
      </c>
      <c r="BC318" s="79">
        <v>0</v>
      </c>
      <c r="BD318" s="80">
        <f t="shared" si="260"/>
        <v>0</v>
      </c>
      <c r="BE318" s="79">
        <v>0</v>
      </c>
      <c r="BF318" s="81">
        <f t="shared" si="261"/>
        <v>0</v>
      </c>
      <c r="BG318" s="80">
        <f t="shared" si="247"/>
        <v>0</v>
      </c>
      <c r="BH318" s="70">
        <f t="shared" si="248"/>
        <v>0</v>
      </c>
      <c r="BI318" s="80">
        <f t="shared" si="249"/>
        <v>0</v>
      </c>
      <c r="BJ318" s="70">
        <f t="shared" si="250"/>
        <v>0</v>
      </c>
      <c r="BK318" s="82"/>
    </row>
    <row r="319" spans="5:63" ht="11.95" thickBot="1" x14ac:dyDescent="0.3">
      <c r="E319" s="3"/>
      <c r="F319" s="3"/>
      <c r="G319" s="3"/>
      <c r="H319" s="3" t="s">
        <v>369</v>
      </c>
      <c r="I319" s="18"/>
      <c r="J319" s="18"/>
      <c r="K319" s="18"/>
      <c r="L319" s="78"/>
      <c r="M319" s="79"/>
      <c r="N319" s="80">
        <f t="shared" si="251"/>
        <v>0</v>
      </c>
      <c r="O319" s="79"/>
      <c r="P319" s="80">
        <f t="shared" si="252"/>
        <v>0</v>
      </c>
      <c r="Q319" s="79"/>
      <c r="R319" s="80">
        <f t="shared" si="253"/>
        <v>0</v>
      </c>
      <c r="S319" s="79"/>
      <c r="T319" s="81">
        <f t="shared" si="254"/>
        <v>0</v>
      </c>
      <c r="U319" s="80">
        <f t="shared" si="231"/>
        <v>0</v>
      </c>
      <c r="V319" s="70">
        <f t="shared" si="232"/>
        <v>0</v>
      </c>
      <c r="W319" s="80">
        <f t="shared" si="233"/>
        <v>0</v>
      </c>
      <c r="X319" s="70">
        <f t="shared" si="234"/>
        <v>0</v>
      </c>
      <c r="Y319" s="80">
        <f t="shared" si="235"/>
        <v>0</v>
      </c>
      <c r="Z319" s="70">
        <f t="shared" si="236"/>
        <v>0</v>
      </c>
      <c r="AA319" s="82"/>
      <c r="AC319" s="79">
        <v>0</v>
      </c>
      <c r="AD319" s="79">
        <v>0</v>
      </c>
      <c r="AE319" s="79">
        <v>0</v>
      </c>
      <c r="AF319" s="83">
        <f t="shared" si="237"/>
        <v>0</v>
      </c>
      <c r="AG319" s="70">
        <f t="shared" si="238"/>
        <v>0</v>
      </c>
      <c r="AH319" s="83">
        <f t="shared" si="239"/>
        <v>0</v>
      </c>
      <c r="AI319" s="70">
        <f t="shared" si="240"/>
        <v>0</v>
      </c>
      <c r="AK319" s="79">
        <v>0</v>
      </c>
      <c r="AL319" s="80">
        <f t="shared" si="255"/>
        <v>0</v>
      </c>
      <c r="AM319" s="79">
        <v>0</v>
      </c>
      <c r="AN319" s="80">
        <f t="shared" si="256"/>
        <v>0</v>
      </c>
      <c r="AO319" s="79">
        <v>0</v>
      </c>
      <c r="AP319" s="80">
        <f t="shared" si="257"/>
        <v>0</v>
      </c>
      <c r="AQ319" s="79">
        <v>0</v>
      </c>
      <c r="AR319" s="81">
        <f t="shared" si="258"/>
        <v>0</v>
      </c>
      <c r="AS319" s="80">
        <f t="shared" si="241"/>
        <v>0</v>
      </c>
      <c r="AT319" s="70">
        <f t="shared" si="242"/>
        <v>0</v>
      </c>
      <c r="AU319" s="80">
        <f t="shared" si="243"/>
        <v>0</v>
      </c>
      <c r="AV319" s="70">
        <f t="shared" si="244"/>
        <v>0</v>
      </c>
      <c r="AW319" s="80">
        <f t="shared" si="245"/>
        <v>0</v>
      </c>
      <c r="AX319" s="70">
        <f t="shared" si="246"/>
        <v>0</v>
      </c>
      <c r="AY319" s="82"/>
      <c r="BA319" s="79">
        <v>0</v>
      </c>
      <c r="BB319" s="80">
        <f t="shared" si="259"/>
        <v>0</v>
      </c>
      <c r="BC319" s="79">
        <v>0</v>
      </c>
      <c r="BD319" s="80">
        <f t="shared" si="260"/>
        <v>0</v>
      </c>
      <c r="BE319" s="79">
        <v>0</v>
      </c>
      <c r="BF319" s="81">
        <f t="shared" si="261"/>
        <v>0</v>
      </c>
      <c r="BG319" s="80">
        <f t="shared" si="247"/>
        <v>0</v>
      </c>
      <c r="BH319" s="70">
        <f t="shared" si="248"/>
        <v>0</v>
      </c>
      <c r="BI319" s="80">
        <f t="shared" si="249"/>
        <v>0</v>
      </c>
      <c r="BJ319" s="70">
        <f t="shared" si="250"/>
        <v>0</v>
      </c>
      <c r="BK319" s="82"/>
    </row>
    <row r="320" spans="5:63" ht="11.95" thickBot="1" x14ac:dyDescent="0.3">
      <c r="E320" s="3"/>
      <c r="F320" s="3"/>
      <c r="G320" s="3"/>
      <c r="H320" s="3" t="s">
        <v>370</v>
      </c>
      <c r="I320" s="18"/>
      <c r="J320" s="18"/>
      <c r="K320" s="18"/>
      <c r="L320" s="78"/>
      <c r="M320" s="79"/>
      <c r="N320" s="80">
        <f t="shared" si="251"/>
        <v>0</v>
      </c>
      <c r="O320" s="79"/>
      <c r="P320" s="80">
        <f t="shared" si="252"/>
        <v>0</v>
      </c>
      <c r="Q320" s="79"/>
      <c r="R320" s="80">
        <f t="shared" si="253"/>
        <v>0</v>
      </c>
      <c r="S320" s="79"/>
      <c r="T320" s="81">
        <f t="shared" si="254"/>
        <v>0</v>
      </c>
      <c r="U320" s="80">
        <f t="shared" si="231"/>
        <v>0</v>
      </c>
      <c r="V320" s="70">
        <f t="shared" si="232"/>
        <v>0</v>
      </c>
      <c r="W320" s="80">
        <f t="shared" si="233"/>
        <v>0</v>
      </c>
      <c r="X320" s="70">
        <f t="shared" si="234"/>
        <v>0</v>
      </c>
      <c r="Y320" s="80">
        <f t="shared" si="235"/>
        <v>0</v>
      </c>
      <c r="Z320" s="70">
        <f t="shared" si="236"/>
        <v>0</v>
      </c>
      <c r="AA320" s="82"/>
      <c r="AC320" s="79">
        <v>0</v>
      </c>
      <c r="AD320" s="79">
        <v>0</v>
      </c>
      <c r="AE320" s="79">
        <v>0</v>
      </c>
      <c r="AF320" s="83">
        <f t="shared" si="237"/>
        <v>0</v>
      </c>
      <c r="AG320" s="70">
        <f t="shared" si="238"/>
        <v>0</v>
      </c>
      <c r="AH320" s="83">
        <f t="shared" si="239"/>
        <v>0</v>
      </c>
      <c r="AI320" s="70">
        <f t="shared" si="240"/>
        <v>0</v>
      </c>
      <c r="AK320" s="79">
        <v>0</v>
      </c>
      <c r="AL320" s="80">
        <f t="shared" si="255"/>
        <v>0</v>
      </c>
      <c r="AM320" s="79">
        <v>0</v>
      </c>
      <c r="AN320" s="80">
        <f t="shared" si="256"/>
        <v>0</v>
      </c>
      <c r="AO320" s="79">
        <v>0</v>
      </c>
      <c r="AP320" s="80">
        <f t="shared" si="257"/>
        <v>0</v>
      </c>
      <c r="AQ320" s="79">
        <v>0</v>
      </c>
      <c r="AR320" s="81">
        <f t="shared" si="258"/>
        <v>0</v>
      </c>
      <c r="AS320" s="80">
        <f t="shared" si="241"/>
        <v>0</v>
      </c>
      <c r="AT320" s="70">
        <f t="shared" si="242"/>
        <v>0</v>
      </c>
      <c r="AU320" s="80">
        <f t="shared" si="243"/>
        <v>0</v>
      </c>
      <c r="AV320" s="70">
        <f t="shared" si="244"/>
        <v>0</v>
      </c>
      <c r="AW320" s="80">
        <f t="shared" si="245"/>
        <v>0</v>
      </c>
      <c r="AX320" s="70">
        <f t="shared" si="246"/>
        <v>0</v>
      </c>
      <c r="AY320" s="82"/>
      <c r="BA320" s="79">
        <v>0</v>
      </c>
      <c r="BB320" s="80">
        <f t="shared" si="259"/>
        <v>0</v>
      </c>
      <c r="BC320" s="79">
        <v>0</v>
      </c>
      <c r="BD320" s="80">
        <f t="shared" si="260"/>
        <v>0</v>
      </c>
      <c r="BE320" s="79">
        <v>0</v>
      </c>
      <c r="BF320" s="81">
        <f t="shared" si="261"/>
        <v>0</v>
      </c>
      <c r="BG320" s="80">
        <f t="shared" si="247"/>
        <v>0</v>
      </c>
      <c r="BH320" s="70">
        <f t="shared" si="248"/>
        <v>0</v>
      </c>
      <c r="BI320" s="80">
        <f t="shared" si="249"/>
        <v>0</v>
      </c>
      <c r="BJ320" s="70">
        <f t="shared" si="250"/>
        <v>0</v>
      </c>
      <c r="BK320" s="82"/>
    </row>
    <row r="321" spans="1:63" ht="11.95" hidden="1" thickBot="1" x14ac:dyDescent="0.3">
      <c r="B321" t="s">
        <v>1</v>
      </c>
      <c r="N321" s="80">
        <f t="shared" si="251"/>
        <v>0</v>
      </c>
      <c r="P321" s="80">
        <f t="shared" si="252"/>
        <v>0</v>
      </c>
      <c r="R321" s="80">
        <f t="shared" si="253"/>
        <v>0</v>
      </c>
      <c r="T321" s="81">
        <f t="shared" si="254"/>
        <v>0</v>
      </c>
      <c r="U321" s="80"/>
      <c r="V321" s="84"/>
      <c r="W321" s="80"/>
      <c r="X321" s="84"/>
      <c r="Y321" s="80"/>
      <c r="Z321" s="84"/>
      <c r="AA321" s="82"/>
      <c r="AF321" s="15"/>
      <c r="AG321" s="84"/>
      <c r="AH321" s="15"/>
      <c r="AI321" s="84"/>
      <c r="AL321" s="80">
        <f t="shared" si="255"/>
        <v>0</v>
      </c>
      <c r="AN321" s="80">
        <f t="shared" si="256"/>
        <v>0</v>
      </c>
      <c r="AP321" s="80">
        <f t="shared" si="257"/>
        <v>0</v>
      </c>
      <c r="AR321" s="81">
        <f t="shared" si="258"/>
        <v>0</v>
      </c>
      <c r="AS321" s="80"/>
      <c r="AT321" s="84"/>
      <c r="AU321" s="80"/>
      <c r="AV321" s="84"/>
      <c r="AW321" s="80"/>
      <c r="AX321" s="84"/>
      <c r="AY321" s="82"/>
      <c r="BB321" s="80">
        <f t="shared" si="259"/>
        <v>0</v>
      </c>
      <c r="BD321" s="80">
        <f t="shared" si="260"/>
        <v>0</v>
      </c>
      <c r="BF321" s="81">
        <f t="shared" si="261"/>
        <v>0</v>
      </c>
      <c r="BG321" s="80"/>
      <c r="BH321" s="84"/>
      <c r="BI321" s="80"/>
      <c r="BJ321" s="84"/>
      <c r="BK321" s="82"/>
    </row>
    <row r="322" spans="1:63" ht="12.45" thickBot="1" x14ac:dyDescent="0.3">
      <c r="B322" t="str">
        <f>B144</f>
        <v>#showrow</v>
      </c>
      <c r="E322" s="19"/>
      <c r="F322" s="19"/>
      <c r="G322" s="19"/>
      <c r="H322" s="19" t="s">
        <v>81</v>
      </c>
      <c r="I322" s="85"/>
      <c r="J322" s="85"/>
      <c r="K322" s="85"/>
      <c r="L322" s="85">
        <v>-1</v>
      </c>
      <c r="M322" s="85">
        <f>SUMIFS(M145:M321,$I145:$I321,"&lt;&gt;"&amp;$I$29,$E145:$E321,"&lt;&gt;*[-]*",$F145:$F321,"&lt;&gt;*[-]*",$G145:$G321,"&lt;&gt;*[-]*",$H145:$H321,"*[+]*", $H145:$H321, "&lt;&gt;*Operating Expenses*")</f>
        <v>437290.13999999996</v>
      </c>
      <c r="N322" s="86">
        <f t="shared" si="251"/>
        <v>0.66819004596863041</v>
      </c>
      <c r="O322" s="85">
        <f>SUMIFS(O145:O321,$I145:$I321,"&lt;&gt;"&amp;$I$29,$E145:$E321,"&lt;&gt;*[-]*",$F145:$F321,"&lt;&gt;*[-]*",$G145:$G321,"&lt;&gt;*[-]*",$H145:$H321,"*[+]*", $H145:$H321, "&lt;&gt;*Operating Expenses*")</f>
        <v>0</v>
      </c>
      <c r="P322" s="86">
        <f t="shared" si="252"/>
        <v>0</v>
      </c>
      <c r="Q322" s="85">
        <f>SUMIFS(Q145:Q321,$I145:$I321,"&lt;&gt;"&amp;$I$29,$E145:$E321,"&lt;&gt;*[-]*",$F145:$F321,"&lt;&gt;*[-]*",$G145:$G321,"&lt;&gt;*[-]*",$H145:$H321,"*[+]*", $H145:$H321, "&lt;&gt;*Operating Expenses*")</f>
        <v>500895.530316666</v>
      </c>
      <c r="R322" s="86">
        <f t="shared" si="253"/>
        <v>0.90427340528030242</v>
      </c>
      <c r="S322" s="85">
        <f>SUMIFS(S145:S321,$I145:$I321,"&lt;&gt;"&amp;$I$29,$E145:$E321,"&lt;&gt;*[-]*",$F145:$F321,"&lt;&gt;*[-]*",$G145:$G321,"&lt;&gt;*[-]*",$H145:$H321,"*[+]*", $H145:$H321, "&lt;&gt;*Operating Expenses*")</f>
        <v>451591.77999999997</v>
      </c>
      <c r="T322" s="86">
        <f t="shared" si="254"/>
        <v>0.88553136015602252</v>
      </c>
      <c r="U322" s="86">
        <f>IFERROR(($O322-M322)/ABS(M322),0)</f>
        <v>-1</v>
      </c>
      <c r="V322" s="87">
        <f>IFERROR((O322-$M322), 0-$M322)</f>
        <v>-437290.13999999996</v>
      </c>
      <c r="W322" s="86">
        <f>IFERROR((Q322-$M322)/ABS($M322),0)</f>
        <v>0.14545352043992132</v>
      </c>
      <c r="X322" s="87">
        <f>IFERROR((Q322-$M322), 0 -$M322)</f>
        <v>63605.390316666046</v>
      </c>
      <c r="Y322" s="86">
        <f>IFERROR((S322-$M322)/ABS($M322),0)</f>
        <v>3.2705150863909294E-2</v>
      </c>
      <c r="Z322" s="87">
        <f>IFERROR((S322-$M322),0-$M322)</f>
        <v>14301.640000000014</v>
      </c>
      <c r="AA322" s="88"/>
      <c r="AC322" s="85">
        <f>SUMIFS(AC145:AC321,$I145:$I321,"&lt;&gt;"&amp;$I$29,$E145:$E321,"&lt;&gt;*[-]*",$F145:$F321,"&lt;&gt;*[-]*",$G145:$G321,"&lt;&gt;*[-]*",$H145:$H321,"*[+]*", $H145:$H321, "&lt;&gt;*Operating Expenses*")</f>
        <v>437290.13999999996</v>
      </c>
      <c r="AD322" s="85">
        <f>SUMIFS(AD145:AD321,$I145:$I321,"&lt;&gt;"&amp;$I$29,$E145:$E321,"&lt;&gt;*[-]*",$F145:$F321,"&lt;&gt;*[-]*",$G145:$G321,"&lt;&gt;*[-]*",$H145:$H321,"*[+]*", $H145:$H321, "&lt;&gt;*Operating Expenses*")</f>
        <v>451591.77999999997</v>
      </c>
      <c r="AE322" s="85">
        <f>SUMIFS(AE145:AE321,$I145:$I321,"&lt;&gt;"&amp;$I$29,$E145:$E321,"&lt;&gt;*[-]*",$F145:$F321,"&lt;&gt;*[-]*",$G145:$G321,"&lt;&gt;*[-]*",$H145:$H321,"*[+]*", $H145:$H321, "&lt;&gt;*Operating Expenses*")</f>
        <v>500895.530316666</v>
      </c>
      <c r="AF322" s="89">
        <f>IFERROR((AD322-$AC322)/ABS($AC322),0)</f>
        <v>3.2705150863909294E-2</v>
      </c>
      <c r="AG322" s="87">
        <f>(AD322-$AC322)</f>
        <v>14301.640000000014</v>
      </c>
      <c r="AH322" s="89">
        <f>IFERROR((AE322-$AC322)/ABS($AC322),0)</f>
        <v>0.14545352043992132</v>
      </c>
      <c r="AI322" s="87">
        <f>(AE322-$AC322)</f>
        <v>63605.390316666046</v>
      </c>
      <c r="AK322" s="85">
        <f>SUMIFS(AK145:AK321,$I145:$I321,"&lt;&gt;"&amp;$I$29,$E145:$E321,"&lt;&gt;*[-]*",$F145:$F321,"&lt;&gt;*[-]*",$G145:$G321,"&lt;&gt;*[-]*",$H145:$H321,"*[+]*", $H145:$H321, "&lt;&gt;*Operating Expenses*")</f>
        <v>437290.13999999996</v>
      </c>
      <c r="AL322" s="86">
        <f t="shared" si="255"/>
        <v>0.66819004596863041</v>
      </c>
      <c r="AM322" s="85">
        <f>SUMIFS(AM145:AM321,$I145:$I321,"&lt;&gt;"&amp;$I$29,$E145:$E321,"&lt;&gt;*[-]*",$F145:$F321,"&lt;&gt;*[-]*",$G145:$G321,"&lt;&gt;*[-]*",$H145:$H321,"*[+]*", $H145:$H321, "&lt;&gt;*Operating Expenses*")</f>
        <v>0</v>
      </c>
      <c r="AN322" s="86">
        <f t="shared" si="256"/>
        <v>0</v>
      </c>
      <c r="AO322" s="85">
        <f>SUMIFS(AO145:AO321,$I145:$I321,"&lt;&gt;"&amp;$I$29,$E145:$E321,"&lt;&gt;*[-]*",$F145:$F321,"&lt;&gt;*[-]*",$G145:$G321,"&lt;&gt;*[-]*",$H145:$H321,"*[+]*", $H145:$H321, "&lt;&gt;*Operating Expenses*")</f>
        <v>500895.530316666</v>
      </c>
      <c r="AP322" s="86">
        <f t="shared" si="257"/>
        <v>0.90427340528030242</v>
      </c>
      <c r="AQ322" s="85">
        <f>SUMIFS(AQ145:AQ321,$I145:$I321,"&lt;&gt;"&amp;$I$29,$E145:$E321,"&lt;&gt;*[-]*",$F145:$F321,"&lt;&gt;*[-]*",$G145:$G321,"&lt;&gt;*[-]*",$H145:$H321,"*[+]*", $H145:$H321, "&lt;&gt;*Operating Expenses*")</f>
        <v>451591.77999999997</v>
      </c>
      <c r="AR322" s="86">
        <f t="shared" si="258"/>
        <v>0.88553136015602252</v>
      </c>
      <c r="AS322" s="86">
        <f>IFERROR((AM322-$AK322)/ABS($AK322),0)</f>
        <v>-1</v>
      </c>
      <c r="AT322" s="87">
        <f>(AM322-$AK322)</f>
        <v>-437290.13999999996</v>
      </c>
      <c r="AU322" s="86">
        <f>IFERROR((AO322-$AK322)/ABS($AO322),0)</f>
        <v>0.1269833457616496</v>
      </c>
      <c r="AV322" s="87">
        <f>(AO322-$AK322)</f>
        <v>63605.390316666046</v>
      </c>
      <c r="AW322" s="86">
        <f>IFERROR((AQ322-$AK322)/ABS($AK322),0)</f>
        <v>3.2705150863909294E-2</v>
      </c>
      <c r="AX322" s="87">
        <f>(AQ322-$AK322)</f>
        <v>14301.640000000014</v>
      </c>
      <c r="AY322" s="88"/>
      <c r="BA322" s="85">
        <f>SUMIFS(BA145:BA321,$I145:$I321,"&lt;&gt;"&amp;$I$29,$E145:$E321,"&lt;&gt;*[-]*",$F145:$F321,"&lt;&gt;*[-]*",$G145:$G321,"&lt;&gt;*[-]*",$H145:$H321,"*[+]*", $H145:$H321, "&lt;&gt;*Operating Expenses*")</f>
        <v>1701528</v>
      </c>
      <c r="BB322" s="86">
        <f t="shared" si="259"/>
        <v>0.76260701084932359</v>
      </c>
      <c r="BC322" s="85">
        <f>SUMIFS(BC145:BC321,$I145:$I321,"&lt;&gt;"&amp;$I$29,$E145:$E321,"&lt;&gt;*[-]*",$F145:$F321,"&lt;&gt;*[-]*",$G145:$G321,"&lt;&gt;*[-]*",$H145:$H321,"*[+]*", $H145:$H321, "&lt;&gt;*Operating Expenses*")</f>
        <v>1701528</v>
      </c>
      <c r="BD322" s="86">
        <f t="shared" si="260"/>
        <v>0.76260701084932359</v>
      </c>
      <c r="BE322" s="85">
        <f>SUMIFS(BE145:BE321,$I145:$I321,"&lt;&gt;"&amp;$I$29,$E145:$E321,"&lt;&gt;*[-]*",$F145:$F321,"&lt;&gt;*[-]*",$G145:$G321,"&lt;&gt;*[-]*",$H145:$H321,"*[+]*", $H145:$H321, "&lt;&gt;*Operating Expenses*")</f>
        <v>2597341.0800000005</v>
      </c>
      <c r="BF322" s="86">
        <f t="shared" si="261"/>
        <v>1.2930929452174231</v>
      </c>
      <c r="BG322" s="86">
        <f>IFERROR((BC322-$BA322)/ABS($BA322),0)</f>
        <v>0</v>
      </c>
      <c r="BH322" s="87">
        <f>(BC322-$BA322)</f>
        <v>0</v>
      </c>
      <c r="BI322" s="86">
        <f>IFERROR((BE322-$BA322)/ABS($BA322),0)</f>
        <v>0.52647566187567907</v>
      </c>
      <c r="BJ322" s="87">
        <f>(BE322-$BA322)</f>
        <v>895813.08000000054</v>
      </c>
      <c r="BK322" s="102"/>
    </row>
    <row r="323" spans="1:63" ht="11.95" x14ac:dyDescent="0.25">
      <c r="E323" s="19"/>
      <c r="F323" s="19"/>
      <c r="G323" s="19"/>
      <c r="H323" s="19"/>
      <c r="I323" s="85"/>
      <c r="J323" s="85"/>
      <c r="K323" s="85"/>
      <c r="L323" s="85"/>
      <c r="N323" s="48"/>
      <c r="P323" s="48"/>
      <c r="R323" s="48"/>
      <c r="T323" s="48"/>
      <c r="U323" s="48"/>
      <c r="V323" s="15"/>
      <c r="W323" s="48"/>
      <c r="X323" s="15"/>
      <c r="Y323" s="48"/>
      <c r="Z323" s="15"/>
      <c r="AA323" s="15"/>
      <c r="AC323" s="85"/>
      <c r="AD323" s="85"/>
      <c r="AE323" s="85"/>
      <c r="AF323" s="73"/>
      <c r="AG323" s="87"/>
      <c r="AH323" s="73"/>
      <c r="AI323" s="87"/>
      <c r="AL323" s="48"/>
      <c r="AN323" s="48"/>
      <c r="AP323" s="48"/>
      <c r="AR323" s="48"/>
      <c r="AS323" s="48"/>
      <c r="AT323" s="15"/>
      <c r="AU323" s="48"/>
      <c r="AV323" s="15"/>
      <c r="AW323" s="48"/>
      <c r="AX323" s="15"/>
      <c r="AY323" s="15"/>
      <c r="BB323" s="48"/>
      <c r="BD323" s="48"/>
      <c r="BF323" s="48"/>
      <c r="BG323" s="48"/>
      <c r="BH323" s="15"/>
      <c r="BI323" s="48"/>
      <c r="BJ323" s="15"/>
      <c r="BK323" s="15"/>
    </row>
    <row r="324" spans="1:63" x14ac:dyDescent="0.25">
      <c r="A324" s="24"/>
      <c r="B324" s="24" t="str">
        <f>B322</f>
        <v>#showrow</v>
      </c>
      <c r="C324" s="24"/>
      <c r="D324" s="24"/>
      <c r="E324" s="24"/>
      <c r="F324" s="24"/>
      <c r="G324" s="24"/>
      <c r="H324" s="25" t="s">
        <v>32</v>
      </c>
      <c r="I324" s="24"/>
      <c r="J324" s="24"/>
      <c r="K324" s="24"/>
      <c r="L324" s="24"/>
      <c r="M324" s="26">
        <f>M141-M322-M330</f>
        <v>217143.23000000004</v>
      </c>
      <c r="N324" s="91">
        <f>IFERROR(M324/SUMIFS(M:M, $H:$H, "[+] Net Sales"),0)</f>
        <v>0.33180017467459233</v>
      </c>
      <c r="O324" s="26">
        <f>O141-O322-O330</f>
        <v>0</v>
      </c>
      <c r="P324" s="91">
        <f>IFERROR(O324/SUMIFS(O:O, $H:$H, "[+] Net Sales"),0)</f>
        <v>0</v>
      </c>
      <c r="Q324" s="26">
        <f>Q141-Q322-Q330</f>
        <v>53024.918290799949</v>
      </c>
      <c r="R324" s="91">
        <f>IFERROR(Q324/SUMIFS(Q:Q, $H:$H, "[+] Net Sales"),0)</f>
        <v>9.572659471969755E-2</v>
      </c>
      <c r="S324" s="26">
        <f>S141-S322-S330</f>
        <v>58375.23000000004</v>
      </c>
      <c r="T324" s="91">
        <f>IFERROR(S324/SUMIFS(S:S, $H:$H, "[+] Net Sales"),0)</f>
        <v>0.11446863984397744</v>
      </c>
      <c r="U324" s="91">
        <f>IFERROR((M324-$O324)/ABS($O324),0)</f>
        <v>0</v>
      </c>
      <c r="V324" s="92">
        <f>(M324-$O324)</f>
        <v>217143.23000000004</v>
      </c>
      <c r="W324" s="91">
        <f>IFERROR(($M324-Q324)/ABS(Q324),0)</f>
        <v>3.0951167300087161</v>
      </c>
      <c r="X324" s="92">
        <f>($M324-Q324)</f>
        <v>164118.31170920009</v>
      </c>
      <c r="Y324" s="91">
        <f>IFERROR(($M324-S324)/ABS(S324),0)</f>
        <v>2.7197837164838563</v>
      </c>
      <c r="Z324" s="92">
        <f>($M324-S324)</f>
        <v>158768</v>
      </c>
      <c r="AA324" s="88"/>
      <c r="AC324" s="26">
        <f>AC141-AC322-AC330</f>
        <v>217143.23000000004</v>
      </c>
      <c r="AD324" s="26">
        <f>AD141-AD322-AD330</f>
        <v>58375.23000000004</v>
      </c>
      <c r="AE324" s="26">
        <f>AE141-AE322-AE330</f>
        <v>53024.918290799949</v>
      </c>
      <c r="AF324" s="94">
        <f>IFERROR((AC324-$AD324)/ABS($AD324),0)</f>
        <v>2.7197837164838563</v>
      </c>
      <c r="AG324" s="92">
        <f>(AC324-$AD324)</f>
        <v>158768</v>
      </c>
      <c r="AH324" s="103">
        <f>IFERROR(($AC324-AD324)/ABS(AD324),0)</f>
        <v>2.7197837164838563</v>
      </c>
      <c r="AI324" s="92">
        <f>($AC324-AE324)</f>
        <v>164118.31170920009</v>
      </c>
      <c r="AJ324" s="24"/>
      <c r="AK324" s="26">
        <f>AK141-AK322-AK330</f>
        <v>217143.23000000004</v>
      </c>
      <c r="AL324" s="91">
        <f>IFERROR(AK324/SUMIFS(AK:AK, $H:$H, "[+] Net Sales"),0)</f>
        <v>0.33180017467459233</v>
      </c>
      <c r="AM324" s="26">
        <f>AM141-AM322-AM330</f>
        <v>0</v>
      </c>
      <c r="AN324" s="91">
        <f>IFERROR(AM324/SUMIFS(AM:AM, $H:$H, "[+] Net Sales"),0)</f>
        <v>0</v>
      </c>
      <c r="AO324" s="26">
        <f>AO141-AO322-AO330</f>
        <v>53024.918290799949</v>
      </c>
      <c r="AP324" s="91">
        <f>IFERROR(AO324/SUMIFS(AO:AO, $H:$H, "[+] Net Sales"),0)</f>
        <v>9.572659471969755E-2</v>
      </c>
      <c r="AQ324" s="26">
        <f>AQ141-AQ322-AQ330</f>
        <v>58375.23000000004</v>
      </c>
      <c r="AR324" s="91">
        <f>IFERROR(AQ324/SUMIFS(AQ:AQ, $H:$H, "[+] Net Sales"),0)</f>
        <v>0.11446863984397744</v>
      </c>
      <c r="AS324" s="91">
        <f>IFERROR((AK324-$AM324)/ABS($AM324),0)</f>
        <v>0</v>
      </c>
      <c r="AT324" s="92">
        <f>(AK324-$AM324)</f>
        <v>217143.23000000004</v>
      </c>
      <c r="AU324" s="91">
        <f>IFERROR(($AK324-AO324)/ABS(AO324),0)</f>
        <v>3.0951167300087161</v>
      </c>
      <c r="AV324" s="92">
        <f>($AK324-AO324)</f>
        <v>164118.31170920009</v>
      </c>
      <c r="AW324" s="91">
        <f>IFERROR(($AK324-AQ324)/ABS(AQ324),0)</f>
        <v>2.7197837164838563</v>
      </c>
      <c r="AX324" s="92">
        <f>($AK324-AQ324)</f>
        <v>158768</v>
      </c>
      <c r="AY324" s="88"/>
      <c r="BA324" s="26">
        <f>BA141-BA322-BA330</f>
        <v>529671</v>
      </c>
      <c r="BB324" s="91">
        <f>IFERROR(BA324/SUMIFS(BA:BA, $H:$H, "[+] Net Sales"),0)</f>
        <v>0.23739298915067639</v>
      </c>
      <c r="BC324" s="26">
        <f>BC141-BC322-BC330</f>
        <v>529671</v>
      </c>
      <c r="BD324" s="91">
        <f>IFERROR(BC324/SUMIFS(BC:BC, $H:$H, "[+] Net Sales"),0)</f>
        <v>0.23739298915067639</v>
      </c>
      <c r="BE324" s="26">
        <f>BE141-BE322-BE330</f>
        <v>-1190745.4600000004</v>
      </c>
      <c r="BF324" s="91">
        <f>IFERROR(BE324/SUMIFS(BE:BE, $H:$H, "[+] Net Sales"),0)</f>
        <v>-0.59281569360758557</v>
      </c>
      <c r="BG324" s="91">
        <f>IFERROR((BA324-$BC324)/ABS($BC324),0)</f>
        <v>0</v>
      </c>
      <c r="BH324" s="92">
        <f>(BA324-$BC324)</f>
        <v>0</v>
      </c>
      <c r="BI324" s="91">
        <f>IFERROR(($BA324-BE324)/ABS(BE324),0)</f>
        <v>1.4448230270808673</v>
      </c>
      <c r="BJ324" s="92">
        <f>($BA324-BE324)</f>
        <v>1720416.4600000004</v>
      </c>
      <c r="BK324" s="104"/>
    </row>
    <row r="325" spans="1:63" x14ac:dyDescent="0.25">
      <c r="H325" s="27" t="s">
        <v>33</v>
      </c>
      <c r="M325" s="96">
        <f>IFERROR(M324/M63,"")</f>
        <v>0.33180017467459233</v>
      </c>
      <c r="N325" s="105"/>
      <c r="O325" s="96" t="str">
        <f>IFERROR(O324/O63,"")</f>
        <v/>
      </c>
      <c r="P325" s="105"/>
      <c r="Q325" s="96">
        <f>IFERROR(Q324/Q63,"")</f>
        <v>9.572659471969755E-2</v>
      </c>
      <c r="R325" s="105"/>
      <c r="S325" s="96">
        <f>IFERROR(S324/S63,"")</f>
        <v>0.11446863984397744</v>
      </c>
      <c r="T325" s="105"/>
      <c r="U325" s="105"/>
      <c r="V325" s="106"/>
      <c r="W325" s="105"/>
      <c r="X325" s="106"/>
      <c r="Y325" s="105"/>
      <c r="Z325" s="106"/>
      <c r="AA325" s="106"/>
      <c r="AC325" s="8">
        <f>IFERROR(AC324/AC63,"")</f>
        <v>0.33180017467459233</v>
      </c>
      <c r="AD325" s="8">
        <f>IFERROR(AD324/AD63,"")</f>
        <v>0.11446863984397744</v>
      </c>
      <c r="AE325" s="8">
        <f>IFERROR(AE324/AE63,"")</f>
        <v>9.572659471969755E-2</v>
      </c>
      <c r="AF325" s="107"/>
      <c r="AG325" s="84"/>
      <c r="AH325" s="15"/>
      <c r="AI325" s="84"/>
      <c r="AK325" s="96">
        <f>IFERROR(AK324/AK63,"")</f>
        <v>0.33180017467459233</v>
      </c>
      <c r="AL325" s="105"/>
      <c r="AM325" s="96" t="str">
        <f>IFERROR(AM324/AM63,"")</f>
        <v/>
      </c>
      <c r="AN325" s="105"/>
      <c r="AO325" s="96">
        <f>IFERROR(AO324/AO63,"")</f>
        <v>9.572659471969755E-2</v>
      </c>
      <c r="AP325" s="105"/>
      <c r="AQ325" s="96">
        <f>IFERROR(AQ324/AQ63,"")</f>
        <v>0.11446863984397744</v>
      </c>
      <c r="AR325" s="105"/>
      <c r="AS325" s="105"/>
      <c r="AT325" s="106"/>
      <c r="AU325" s="105"/>
      <c r="AV325" s="106"/>
      <c r="AW325" s="105"/>
      <c r="AX325" s="106"/>
      <c r="AY325" s="106"/>
      <c r="BA325" s="96">
        <f>IFERROR(BA324/BA63,"")</f>
        <v>0.23739298915067639</v>
      </c>
      <c r="BB325" s="105"/>
      <c r="BC325" s="96">
        <f>IFERROR(BC324/BC63,"")</f>
        <v>0.23739298915067639</v>
      </c>
      <c r="BD325" s="105"/>
      <c r="BE325" s="96">
        <f>IFERROR(BE324/BE63,"")</f>
        <v>-0.59281569360758557</v>
      </c>
      <c r="BF325" s="108"/>
      <c r="BG325" s="105"/>
      <c r="BH325" s="106"/>
      <c r="BI325" s="105"/>
      <c r="BJ325" s="106"/>
      <c r="BK325" s="109"/>
    </row>
    <row r="326" spans="1:63" x14ac:dyDescent="0.25">
      <c r="N326" s="90"/>
      <c r="P326" s="90"/>
      <c r="R326" s="90"/>
      <c r="T326" s="90"/>
      <c r="U326" s="90"/>
      <c r="V326" s="84"/>
      <c r="W326" s="90"/>
      <c r="X326" s="84"/>
      <c r="Y326" s="90"/>
      <c r="Z326" s="84"/>
      <c r="AA326" s="84"/>
      <c r="AF326" s="15"/>
      <c r="AG326" s="84"/>
      <c r="AH326" s="15"/>
      <c r="AI326" s="84"/>
      <c r="AL326" s="90"/>
      <c r="AN326" s="90"/>
      <c r="AP326" s="90"/>
      <c r="AR326" s="90"/>
      <c r="AS326" s="90"/>
      <c r="AT326" s="84"/>
      <c r="AU326" s="90"/>
      <c r="AV326" s="84"/>
      <c r="AW326" s="90"/>
      <c r="AX326" s="84"/>
      <c r="AY326" s="84"/>
      <c r="BB326" s="90"/>
      <c r="BD326" s="90"/>
      <c r="BF326" s="90"/>
      <c r="BG326" s="90"/>
      <c r="BH326" s="84"/>
      <c r="BI326" s="90"/>
      <c r="BJ326" s="84"/>
      <c r="BK326" s="84"/>
    </row>
    <row r="327" spans="1:63" ht="12.45" hidden="1" thickBot="1" x14ac:dyDescent="0.3">
      <c r="B327" t="str">
        <f>IF(COUNTBLANK(B328:B329)&gt;0,"#showrow","#hiderow")</f>
        <v>#hiderow</v>
      </c>
      <c r="E327" s="4"/>
      <c r="F327" s="4"/>
      <c r="G327" s="4"/>
      <c r="H327" s="4" t="s">
        <v>18</v>
      </c>
      <c r="I327" s="4"/>
      <c r="J327" s="5"/>
      <c r="K327" s="5"/>
      <c r="L327" s="5"/>
      <c r="M327" s="5"/>
      <c r="N327" s="74"/>
      <c r="O327" s="5"/>
      <c r="P327" s="74"/>
      <c r="Q327" s="5"/>
      <c r="R327" s="74"/>
      <c r="S327" s="5"/>
      <c r="T327" s="74"/>
      <c r="U327" s="74"/>
      <c r="V327" s="75"/>
      <c r="W327" s="74"/>
      <c r="X327" s="75"/>
      <c r="Y327" s="74"/>
      <c r="Z327" s="75"/>
      <c r="AA327" s="75"/>
      <c r="AC327" s="5"/>
      <c r="AD327" s="5"/>
      <c r="AE327" s="5"/>
      <c r="AF327" s="77"/>
      <c r="AG327" s="75"/>
      <c r="AH327" s="77"/>
      <c r="AI327" s="75"/>
      <c r="AK327" s="5"/>
      <c r="AL327" s="74"/>
      <c r="AM327" s="5"/>
      <c r="AN327" s="74"/>
      <c r="AO327" s="5"/>
      <c r="AP327" s="74"/>
      <c r="AQ327" s="5"/>
      <c r="AR327" s="74"/>
      <c r="AS327" s="74"/>
      <c r="AT327" s="75"/>
      <c r="AU327" s="74"/>
      <c r="AV327" s="75"/>
      <c r="AW327" s="74"/>
      <c r="AX327" s="75"/>
      <c r="AY327" s="75"/>
      <c r="BA327" s="5"/>
      <c r="BB327" s="74"/>
      <c r="BC327" s="5"/>
      <c r="BD327" s="74"/>
      <c r="BE327" s="5"/>
      <c r="BF327" s="74"/>
      <c r="BG327" s="74"/>
      <c r="BH327" s="75"/>
      <c r="BI327" s="74"/>
      <c r="BJ327" s="75"/>
      <c r="BK327" s="75"/>
    </row>
    <row r="328" spans="1:63" ht="11.95" hidden="1" thickBot="1" x14ac:dyDescent="0.3">
      <c r="B328" t="s">
        <v>1</v>
      </c>
      <c r="E328" s="3"/>
      <c r="F328" s="3"/>
      <c r="G328" s="3"/>
      <c r="H328" s="3" t="s">
        <v>6</v>
      </c>
      <c r="I328" s="18"/>
      <c r="J328" s="18"/>
      <c r="K328" s="18"/>
      <c r="L328" s="78"/>
      <c r="M328" s="79"/>
      <c r="N328" s="72"/>
      <c r="O328" s="79"/>
      <c r="P328" s="72"/>
      <c r="Q328" s="79"/>
      <c r="R328" s="72"/>
      <c r="S328" s="79"/>
      <c r="T328" s="72"/>
      <c r="U328" s="72">
        <f>IFERROR(($O328-M328)/ABS(M328),0)</f>
        <v>0</v>
      </c>
      <c r="V328" s="70">
        <f>($O328-M328)</f>
        <v>0</v>
      </c>
      <c r="W328" s="72">
        <f>IFERROR(($M328-Q328)/ABS(Q328),0)</f>
        <v>0</v>
      </c>
      <c r="X328" s="70">
        <f>($M328-Q328)</f>
        <v>0</v>
      </c>
      <c r="Y328" s="72">
        <f>IFERROR(($M328-S328)/ABS(S328),0)</f>
        <v>0</v>
      </c>
      <c r="Z328" s="70">
        <f>($M328-S328)</f>
        <v>0</v>
      </c>
      <c r="AA328" s="70"/>
      <c r="AC328" s="79"/>
      <c r="AD328" s="79"/>
      <c r="AE328" s="79"/>
      <c r="AF328" s="83">
        <f t="shared" ref="AF328" si="262">IFERROR(($AC328-AD328)/ABS(AD328),0)</f>
        <v>0</v>
      </c>
      <c r="AG328" s="70">
        <f>($AC328-AD328)</f>
        <v>0</v>
      </c>
      <c r="AH328" s="83">
        <f>IFERROR(($AC328-AE328)/ABS(AE328),0)</f>
        <v>0</v>
      </c>
      <c r="AI328" s="70">
        <f>($AC328-AE328)</f>
        <v>0</v>
      </c>
      <c r="AK328" s="79"/>
      <c r="AL328" s="72"/>
      <c r="AM328" s="79"/>
      <c r="AN328" s="72"/>
      <c r="AO328" s="79"/>
      <c r="AP328" s="72"/>
      <c r="AQ328" s="79"/>
      <c r="AR328" s="72"/>
      <c r="AS328" s="72">
        <f>IFERROR(($O328-AK328)/ABS(AK328),0)</f>
        <v>0</v>
      </c>
      <c r="AT328" s="70">
        <f>($AK328-AM328)</f>
        <v>0</v>
      </c>
      <c r="AU328" s="72">
        <f>IFERROR(($M328-AO328)/ABS(AO328),0)</f>
        <v>0</v>
      </c>
      <c r="AV328" s="70">
        <f>($AK328-AO328)</f>
        <v>0</v>
      </c>
      <c r="AW328" s="72">
        <f>IFERROR(($M328-AQ328)/ABS(AQ328),0)</f>
        <v>0</v>
      </c>
      <c r="AX328" s="70">
        <f>($AK328-AQ328)</f>
        <v>0</v>
      </c>
      <c r="AY328" s="70"/>
      <c r="BA328" s="79"/>
      <c r="BB328" s="72"/>
      <c r="BC328" s="79"/>
      <c r="BD328" s="72"/>
      <c r="BE328" s="79"/>
      <c r="BF328" s="72"/>
      <c r="BG328" s="72">
        <f>IFERROR(($BA328-BC328)/ABS(BC328),0)</f>
        <v>0</v>
      </c>
      <c r="BH328" s="70">
        <f>($BA328-BC328)</f>
        <v>0</v>
      </c>
      <c r="BI328" s="72">
        <f>IFERROR(($BA328-BE328)/ABS(BE328),0)</f>
        <v>0</v>
      </c>
      <c r="BJ328" s="70">
        <f>($BA328-BE328)</f>
        <v>0</v>
      </c>
      <c r="BK328" s="70"/>
    </row>
    <row r="329" spans="1:63" ht="11.95" hidden="1" thickBot="1" x14ac:dyDescent="0.3">
      <c r="B329" t="s">
        <v>1</v>
      </c>
      <c r="N329" s="90"/>
      <c r="P329" s="90"/>
      <c r="R329" s="90"/>
      <c r="T329" s="90"/>
      <c r="U329" s="90"/>
      <c r="V329" s="84"/>
      <c r="W329" s="90"/>
      <c r="X329" s="84"/>
      <c r="Y329" s="90"/>
      <c r="Z329" s="84"/>
      <c r="AA329" s="84"/>
      <c r="AF329" s="15"/>
      <c r="AG329" s="84"/>
      <c r="AH329" s="15"/>
      <c r="AI329" s="84"/>
      <c r="AL329" s="90"/>
      <c r="AN329" s="90"/>
      <c r="AP329" s="90"/>
      <c r="AR329" s="90"/>
      <c r="AS329" s="90"/>
      <c r="AT329" s="84"/>
      <c r="AU329" s="90"/>
      <c r="AV329" s="84"/>
      <c r="AW329" s="90"/>
      <c r="AX329" s="84"/>
      <c r="AY329" s="84"/>
      <c r="BB329" s="90"/>
      <c r="BD329" s="90"/>
      <c r="BF329" s="90"/>
      <c r="BG329" s="90"/>
      <c r="BH329" s="84"/>
      <c r="BI329" s="90"/>
      <c r="BJ329" s="84"/>
      <c r="BK329" s="84"/>
    </row>
    <row r="330" spans="1:63" ht="11.95" hidden="1" x14ac:dyDescent="0.25">
      <c r="B330" t="str">
        <f>B327</f>
        <v>#hiderow</v>
      </c>
      <c r="E330" s="19"/>
      <c r="F330" s="19"/>
      <c r="G330" s="19"/>
      <c r="H330" s="19" t="s">
        <v>82</v>
      </c>
      <c r="I330" s="85"/>
      <c r="J330" s="85"/>
      <c r="K330" s="85"/>
      <c r="L330" s="85">
        <v>-1</v>
      </c>
      <c r="M330" s="85">
        <f>SUMIFS(M328:M329,$I328:$I329,"&lt;&gt;"&amp;$I$29,$E328:$E329,"&lt;&gt;*[-]*",$F328:$F329,"&lt;&gt;*[-]*",$G328:$G329,"&lt;&gt;*[-]*",$H328:$H329,"*[+] Other Income/Expense*")</f>
        <v>0</v>
      </c>
      <c r="N330" s="110"/>
      <c r="O330" s="85">
        <f>SUMIFS(O328:O329,$I328:$I329,"&lt;&gt;"&amp;$I$29,$E328:$E329,"&lt;&gt;*[-]*",$F328:$F329,"&lt;&gt;*[-]*",$G328:$G329,"&lt;&gt;*[-]*",$H328:$H329,"*[+] Other Income/Expense*")</f>
        <v>0</v>
      </c>
      <c r="P330" s="110"/>
      <c r="Q330" s="85">
        <f>SUMIFS(Q328:Q329,$I328:$I329,"&lt;&gt;"&amp;$I$29,$E328:$E329,"&lt;&gt;*[-]*",$F328:$F329,"&lt;&gt;*[-]*",$G328:$G329,"&lt;&gt;*[-]*",$H328:$H329,"*[+] Other Income/Expense*")</f>
        <v>0</v>
      </c>
      <c r="R330" s="110"/>
      <c r="S330" s="85">
        <f>SUMIFS(S328:S329,$I328:$I329,"&lt;&gt;"&amp;$I$29,$E328:$E329,"&lt;&gt;*[-]*",$F328:$F329,"&lt;&gt;*[-]*",$G328:$G329,"&lt;&gt;*[-]*",$H328:$H329,"*[+] Other Income/Expense*")</f>
        <v>0</v>
      </c>
      <c r="T330" s="110"/>
      <c r="U330" s="110">
        <f>IFERROR(($O330-M330)/ABS(M330),0)</f>
        <v>0</v>
      </c>
      <c r="V330" s="87">
        <f>($O330-M330)</f>
        <v>0</v>
      </c>
      <c r="W330" s="110">
        <f>IFERROR(($M330-Q330)/ABS(Q330),0)</f>
        <v>0</v>
      </c>
      <c r="X330" s="87">
        <f>($M330-Q330)</f>
        <v>0</v>
      </c>
      <c r="Y330" s="110">
        <f>IFERROR(($M330-S330)/ABS(S330),0)</f>
        <v>0</v>
      </c>
      <c r="Z330" s="87">
        <f>($M330-S330)</f>
        <v>0</v>
      </c>
      <c r="AA330" s="87"/>
      <c r="AC330" s="85">
        <f>SUMIFS(AC328:AC329,$I328:$I329,"&lt;&gt;"&amp;$I$29,$E328:$E329,"&lt;&gt;*[-]*",$F328:$F329,"&lt;&gt;*[-]*",$G328:$G329,"&lt;&gt;*[-]*",$H328:$H329,"*[+] Other Income/Expense*")</f>
        <v>0</v>
      </c>
      <c r="AD330" s="85">
        <f>SUMIFS(AD328:AD329,$I328:$I329,"&lt;&gt;"&amp;$I$29,$E328:$E329,"&lt;&gt;*[-]*",$F328:$F329,"&lt;&gt;*[-]*",$G328:$G329,"&lt;&gt;*[-]*",$H328:$H329,"*[+] Other Income/Expense*")</f>
        <v>0</v>
      </c>
      <c r="AE330" s="85">
        <f>SUMIFS(AE328:AE329,$I328:$I329,"&lt;&gt;"&amp;$I$29,$E328:$E329,"&lt;&gt;*[-]*",$F328:$F329,"&lt;&gt;*[-]*",$G328:$G329,"&lt;&gt;*[-]*",$H328:$H329,"*[+] Other Income/Expense*")</f>
        <v>0</v>
      </c>
      <c r="AF330" s="89">
        <f t="shared" ref="AF330" si="263">IFERROR(($AC330-AD330)/ABS(AD330),0)</f>
        <v>0</v>
      </c>
      <c r="AG330" s="87">
        <f>($AC330-AD330)</f>
        <v>0</v>
      </c>
      <c r="AH330" s="89">
        <f>IFERROR(($AC330-AE330)/ABS(AE330),0)</f>
        <v>0</v>
      </c>
      <c r="AI330" s="87">
        <f>($AC330-AE330)</f>
        <v>0</v>
      </c>
      <c r="AK330" s="85">
        <f>SUMIFS(AK328:AK329,$I328:$I329,"&lt;&gt;"&amp;$I$29,$E328:$E329,"&lt;&gt;*[-]*",$F328:$F329,"&lt;&gt;*[-]*",$G328:$G329,"&lt;&gt;*[-]*",$H328:$H329,"*[+] Other Income/Expense*")</f>
        <v>0</v>
      </c>
      <c r="AL330" s="110"/>
      <c r="AM330" s="85">
        <f>SUMIFS(AM328:AM329,$I328:$I329,"&lt;&gt;"&amp;$I$29,$E328:$E329,"&lt;&gt;*[-]*",$F328:$F329,"&lt;&gt;*[-]*",$G328:$G329,"&lt;&gt;*[-]*",$H328:$H329,"*[+] Other Income/Expense*")</f>
        <v>0</v>
      </c>
      <c r="AN330" s="110"/>
      <c r="AO330" s="85">
        <f>SUMIFS(AO328:AO329,$I328:$I329,"&lt;&gt;"&amp;$I$29,$E328:$E329,"&lt;&gt;*[-]*",$F328:$F329,"&lt;&gt;*[-]*",$G328:$G329,"&lt;&gt;*[-]*",$H328:$H329,"*[+] Other Income/Expense*")</f>
        <v>0</v>
      </c>
      <c r="AP330" s="110"/>
      <c r="AQ330" s="85">
        <f>SUMIFS(AQ328:AQ329,$I328:$I329,"&lt;&gt;"&amp;$I$29,$E328:$E329,"&lt;&gt;*[-]*",$F328:$F329,"&lt;&gt;*[-]*",$G328:$G329,"&lt;&gt;*[-]*",$H328:$H329,"*[+] Other Income/Expense*")</f>
        <v>0</v>
      </c>
      <c r="AR330" s="110"/>
      <c r="AS330" s="110">
        <f>IFERROR(($O330-AK330)/ABS(AK330),0)</f>
        <v>0</v>
      </c>
      <c r="AT330" s="87">
        <f>($AK330-AM330)</f>
        <v>0</v>
      </c>
      <c r="AU330" s="110">
        <f>IFERROR(($M330-AO330)/ABS(AO330),0)</f>
        <v>0</v>
      </c>
      <c r="AV330" s="87">
        <f>($AK330-AO330)</f>
        <v>0</v>
      </c>
      <c r="AW330" s="110">
        <f>IFERROR(($M330-AQ330)/ABS(AQ330),0)</f>
        <v>0</v>
      </c>
      <c r="AX330" s="87">
        <f>($AK330-AQ330)</f>
        <v>0</v>
      </c>
      <c r="AY330" s="87"/>
      <c r="BA330" s="85">
        <f>SUMIFS(BA328:BA329,$I328:$I329,"&lt;&gt;"&amp;$I$29,$E328:$E329,"&lt;&gt;*[-]*",$F328:$F329,"&lt;&gt;*[-]*",$G328:$G329,"&lt;&gt;*[-]*",$H328:$H329,"*[+] Other Income/Expense*")</f>
        <v>0</v>
      </c>
      <c r="BB330" s="110"/>
      <c r="BC330" s="85">
        <f>SUMIFS(BC328:BC329,$I328:$I329,"&lt;&gt;"&amp;$I$29,$E328:$E329,"&lt;&gt;*[-]*",$F328:$F329,"&lt;&gt;*[-]*",$G328:$G329,"&lt;&gt;*[-]*",$H328:$H329,"*[+] Other Income/Expense*")</f>
        <v>0</v>
      </c>
      <c r="BD330" s="110"/>
      <c r="BE330" s="85">
        <f>SUMIFS(BE328:BE329,$I328:$I329,"&lt;&gt;"&amp;$I$29,$E328:$E329,"&lt;&gt;*[-]*",$F328:$F329,"&lt;&gt;*[-]*",$G328:$G329,"&lt;&gt;*[-]*",$H328:$H329,"*[+] Other Income/Expense*")</f>
        <v>0</v>
      </c>
      <c r="BF330" s="110"/>
      <c r="BG330" s="110"/>
      <c r="BH330" s="87">
        <f>($BA330-BC330)</f>
        <v>0</v>
      </c>
      <c r="BI330" s="110">
        <f>IFERROR(($BA330-BE330)/ABS(BE330),0)</f>
        <v>0</v>
      </c>
      <c r="BJ330" s="87">
        <f>($BA330-BE330)</f>
        <v>0</v>
      </c>
      <c r="BK330" s="87"/>
    </row>
    <row r="331" spans="1:63" hidden="1" x14ac:dyDescent="0.25">
      <c r="B331" t="str">
        <f>B330</f>
        <v>#hiderow</v>
      </c>
      <c r="N331" s="90"/>
      <c r="P331" s="90"/>
      <c r="R331" s="90"/>
      <c r="T331" s="90"/>
      <c r="U331" s="90"/>
      <c r="V331" s="84"/>
      <c r="W331" s="90"/>
      <c r="X331" s="84"/>
      <c r="Y331" s="90"/>
      <c r="Z331" s="84"/>
      <c r="AA331" s="84"/>
      <c r="AF331" s="15"/>
      <c r="AG331" s="84"/>
      <c r="AH331" s="15"/>
      <c r="AI331" s="84"/>
      <c r="AL331" s="90"/>
      <c r="AN331" s="90"/>
      <c r="AP331" s="90"/>
      <c r="AR331" s="90"/>
      <c r="AS331" s="90"/>
      <c r="AT331" s="84"/>
      <c r="AU331" s="90"/>
      <c r="AV331" s="84"/>
      <c r="AW331" s="90"/>
      <c r="AX331" s="84"/>
      <c r="AY331" s="84"/>
      <c r="BB331" s="90"/>
      <c r="BD331" s="90"/>
      <c r="BF331" s="90"/>
      <c r="BG331" s="90"/>
      <c r="BH331" s="84"/>
      <c r="BI331" s="90"/>
      <c r="BJ331" s="84"/>
      <c r="BK331" s="84"/>
    </row>
    <row r="332" spans="1:63" ht="12.45" hidden="1" thickBot="1" x14ac:dyDescent="0.3">
      <c r="B332" t="str">
        <f>IF(COUNTBLANK(B333:B334)&gt;0,"#showrow","#hiderow")</f>
        <v>#hiderow</v>
      </c>
      <c r="E332" s="4"/>
      <c r="F332" s="4"/>
      <c r="G332" s="4"/>
      <c r="H332" s="4" t="s">
        <v>19</v>
      </c>
      <c r="I332" s="4"/>
      <c r="J332" s="5"/>
      <c r="K332" s="5"/>
      <c r="L332" s="5"/>
      <c r="M332" s="5"/>
      <c r="N332" s="74"/>
      <c r="O332" s="5"/>
      <c r="P332" s="74"/>
      <c r="Q332" s="5"/>
      <c r="R332" s="74"/>
      <c r="S332" s="5"/>
      <c r="T332" s="74"/>
      <c r="U332" s="74"/>
      <c r="V332" s="75"/>
      <c r="W332" s="74"/>
      <c r="X332" s="75"/>
      <c r="Y332" s="74"/>
      <c r="Z332" s="75"/>
      <c r="AA332" s="75"/>
      <c r="AC332" s="5"/>
      <c r="AD332" s="5"/>
      <c r="AE332" s="5"/>
      <c r="AF332" s="77"/>
      <c r="AG332" s="75"/>
      <c r="AH332" s="77"/>
      <c r="AI332" s="75"/>
      <c r="AK332" s="23"/>
      <c r="AL332" s="74"/>
      <c r="AM332" s="23"/>
      <c r="AN332" s="74"/>
      <c r="AO332" s="23"/>
      <c r="AP332" s="74"/>
      <c r="AQ332" s="5"/>
      <c r="AR332" s="74"/>
      <c r="AS332" s="74"/>
      <c r="AT332" s="75"/>
      <c r="AU332" s="74"/>
      <c r="AV332" s="75"/>
      <c r="AW332" s="74"/>
      <c r="AX332" s="75"/>
      <c r="AY332" s="75"/>
      <c r="BA332" s="5"/>
      <c r="BB332" s="74"/>
      <c r="BC332" s="5"/>
      <c r="BD332" s="74"/>
      <c r="BE332" s="5"/>
      <c r="BF332" s="74"/>
      <c r="BG332" s="74"/>
      <c r="BH332" s="75"/>
      <c r="BI332" s="74"/>
      <c r="BJ332" s="75"/>
      <c r="BK332" s="75"/>
    </row>
    <row r="333" spans="1:63" ht="11.95" hidden="1" thickBot="1" x14ac:dyDescent="0.3">
      <c r="B333" t="s">
        <v>1</v>
      </c>
      <c r="E333" s="3"/>
      <c r="F333" s="3"/>
      <c r="G333" s="3"/>
      <c r="H333" s="3" t="s">
        <v>6</v>
      </c>
      <c r="I333" s="18"/>
      <c r="J333" s="18"/>
      <c r="K333" s="18"/>
      <c r="L333" s="78"/>
      <c r="M333" s="79"/>
      <c r="N333" s="72"/>
      <c r="O333" s="79"/>
      <c r="P333" s="72"/>
      <c r="Q333" s="79"/>
      <c r="R333" s="72"/>
      <c r="S333" s="79"/>
      <c r="T333" s="72"/>
      <c r="U333" s="72">
        <f>IFERROR(($O333-M333)/ABS(M333),0)</f>
        <v>0</v>
      </c>
      <c r="V333" s="70">
        <f>($O333-M333)</f>
        <v>0</v>
      </c>
      <c r="W333" s="72">
        <f>IFERROR(($M333-Q333)/ABS(Q333),0)</f>
        <v>0</v>
      </c>
      <c r="X333" s="70">
        <f>($M333-Q333)</f>
        <v>0</v>
      </c>
      <c r="Y333" s="72">
        <f>IFERROR(($M333-S333)/ABS(S333),0)</f>
        <v>0</v>
      </c>
      <c r="Z333" s="70">
        <f>($M333-S333)</f>
        <v>0</v>
      </c>
      <c r="AA333" s="70"/>
      <c r="AC333" s="79"/>
      <c r="AD333" s="79"/>
      <c r="AE333" s="79"/>
      <c r="AF333" s="83">
        <f t="shared" ref="AF333" si="264">IFERROR(($AC333-AD333)/ABS(AD333),0)</f>
        <v>0</v>
      </c>
      <c r="AG333" s="70">
        <f>($AC333-AD333)</f>
        <v>0</v>
      </c>
      <c r="AH333" s="83">
        <f>IFERROR(($AC333-AE333)/ABS(AE333),0)</f>
        <v>0</v>
      </c>
      <c r="AI333" s="70">
        <f>($AC333-AE333)</f>
        <v>0</v>
      </c>
      <c r="AK333" s="79"/>
      <c r="AL333" s="72"/>
      <c r="AM333" s="79"/>
      <c r="AN333" s="72"/>
      <c r="AO333" s="79"/>
      <c r="AP333" s="72"/>
      <c r="AQ333" s="79"/>
      <c r="AR333" s="72"/>
      <c r="AS333" s="72">
        <f>IFERROR(($O333-AK333)/ABS(AK333),0)</f>
        <v>0</v>
      </c>
      <c r="AT333" s="70">
        <f>($AK333-AM333)</f>
        <v>0</v>
      </c>
      <c r="AU333" s="72">
        <f>IFERROR(($M333-AO333)/ABS(AO333),0)</f>
        <v>0</v>
      </c>
      <c r="AV333" s="70">
        <f>($AK333-AO333)</f>
        <v>0</v>
      </c>
      <c r="AW333" s="72">
        <f>IFERROR(($M333-AQ333)/ABS(AQ333),0)</f>
        <v>0</v>
      </c>
      <c r="AX333" s="70">
        <f>($AK333-AQ333)</f>
        <v>0</v>
      </c>
      <c r="AY333" s="70"/>
      <c r="BA333" s="79"/>
      <c r="BB333" s="72"/>
      <c r="BC333" s="79"/>
      <c r="BD333" s="72"/>
      <c r="BE333" s="79"/>
      <c r="BF333" s="72"/>
      <c r="BG333" s="72">
        <f>IFERROR(($BA333-BC333)/ABS(BC333),0)</f>
        <v>0</v>
      </c>
      <c r="BH333" s="70">
        <f>($BA333-BC333)</f>
        <v>0</v>
      </c>
      <c r="BI333" s="72">
        <f>IFERROR(($BA333-BE333)/ABS(BE333),0)</f>
        <v>0</v>
      </c>
      <c r="BJ333" s="70">
        <f>($BA333-BE333)</f>
        <v>0</v>
      </c>
      <c r="BK333" s="70"/>
    </row>
    <row r="334" spans="1:63" ht="11.95" hidden="1" thickBot="1" x14ac:dyDescent="0.3">
      <c r="B334" t="s">
        <v>1</v>
      </c>
      <c r="N334" s="90"/>
      <c r="P334" s="90"/>
      <c r="R334" s="90"/>
      <c r="T334" s="90"/>
      <c r="U334" s="90"/>
      <c r="V334" s="84"/>
      <c r="W334" s="90"/>
      <c r="X334" s="84"/>
      <c r="Y334" s="90"/>
      <c r="Z334" s="84"/>
      <c r="AA334" s="84"/>
      <c r="AF334" s="15"/>
      <c r="AG334" s="84"/>
      <c r="AH334" s="15"/>
      <c r="AI334" s="84"/>
      <c r="AL334" s="90"/>
      <c r="AN334" s="90"/>
      <c r="AP334" s="90"/>
      <c r="AR334" s="90"/>
      <c r="AS334" s="90"/>
      <c r="AT334" s="84"/>
      <c r="AU334" s="90"/>
      <c r="AV334" s="84"/>
      <c r="AW334" s="90"/>
      <c r="AX334" s="84"/>
      <c r="AY334" s="84"/>
      <c r="BB334" s="90"/>
      <c r="BD334" s="90"/>
      <c r="BF334" s="90"/>
      <c r="BG334" s="90"/>
      <c r="BH334" s="84"/>
      <c r="BI334" s="90"/>
      <c r="BJ334" s="84"/>
      <c r="BK334" s="84"/>
    </row>
    <row r="335" spans="1:63" ht="11.95" hidden="1" x14ac:dyDescent="0.25">
      <c r="B335" t="str">
        <f>B332</f>
        <v>#hiderow</v>
      </c>
      <c r="E335" s="19"/>
      <c r="F335" s="19"/>
      <c r="G335" s="19"/>
      <c r="H335" s="19" t="s">
        <v>83</v>
      </c>
      <c r="I335" s="85"/>
      <c r="J335" s="85"/>
      <c r="K335" s="85"/>
      <c r="L335" s="85">
        <v>-1</v>
      </c>
      <c r="M335" s="85">
        <f>SUMIFS(M333:M334,$I333:$I334,"&lt;&gt;"&amp;$I$29,$E333:$E334,"&lt;&gt;*[-]*",$F333:$F334,"&lt;&gt;*[-]*",$G333:$G334,"&lt;&gt;*[-]*",$H333:$H334,"*[+]*")</f>
        <v>0</v>
      </c>
      <c r="N335" s="110"/>
      <c r="O335" s="85">
        <f>SUMIFS(O333:O334,$I333:$I334,"&lt;&gt;"&amp;$I$29,$E333:$E334,"&lt;&gt;*[-]*",$F333:$F334,"&lt;&gt;*[-]*",$G333:$G334,"&lt;&gt;*[-]*",$H333:$H334,"*[+]*")</f>
        <v>0</v>
      </c>
      <c r="P335" s="110"/>
      <c r="Q335" s="85">
        <f>SUMIFS(Q333:Q334,$I333:$I334,"&lt;&gt;"&amp;$I$29,$E333:$E334,"&lt;&gt;*[-]*",$F333:$F334,"&lt;&gt;*[-]*",$G333:$G334,"&lt;&gt;*[-]*",$H333:$H334,"*[+]*")</f>
        <v>0</v>
      </c>
      <c r="R335" s="110"/>
      <c r="S335" s="85">
        <f>SUMIFS(S333:S334,$I333:$I334,"&lt;&gt;"&amp;$I$29,$E333:$E334,"&lt;&gt;*[-]*",$F333:$F334,"&lt;&gt;*[-]*",$G333:$G334,"&lt;&gt;*[-]*",$H333:$H334,"*[+]*")</f>
        <v>0</v>
      </c>
      <c r="T335" s="110"/>
      <c r="U335" s="110">
        <f>IFERROR(($O335-M335)/ABS(M335),0)</f>
        <v>0</v>
      </c>
      <c r="V335" s="87">
        <f>($O335-M335)</f>
        <v>0</v>
      </c>
      <c r="W335" s="110">
        <f>IFERROR(($M335-Q335)/ABS(Q335),0)</f>
        <v>0</v>
      </c>
      <c r="X335" s="87">
        <f>($M335-Q335)</f>
        <v>0</v>
      </c>
      <c r="Y335" s="110">
        <f>IFERROR(($M335-S335)/ABS(S335),0)</f>
        <v>0</v>
      </c>
      <c r="Z335" s="87">
        <f>($M335-S335)</f>
        <v>0</v>
      </c>
      <c r="AA335" s="87"/>
      <c r="AC335" s="85">
        <f>SUMIFS(AC333:AC334,$I333:$I334,"&lt;&gt;"&amp;$I$29,$E333:$E334,"&lt;&gt;*[-]*",$F333:$F334,"&lt;&gt;*[-]*",$G333:$G334,"&lt;&gt;*[-]*",$H333:$H334,"*[+]*")</f>
        <v>0</v>
      </c>
      <c r="AD335" s="85">
        <f>SUMIFS(AD333:AD334,$I333:$I334,"&lt;&gt;"&amp;$I$29,$E333:$E334,"&lt;&gt;*[-]*",$F333:$F334,"&lt;&gt;*[-]*",$G333:$G334,"&lt;&gt;*[-]*",$H333:$H334,"*[+]*")</f>
        <v>0</v>
      </c>
      <c r="AE335" s="85">
        <f>SUMIFS(AE333:AE334,$I333:$I334,"&lt;&gt;"&amp;$I$29,$E333:$E334,"&lt;&gt;*[-]*",$F333:$F334,"&lt;&gt;*[-]*",$G333:$G334,"&lt;&gt;*[-]*",$H333:$H334,"*[+]*")</f>
        <v>0</v>
      </c>
      <c r="AF335" s="89">
        <f t="shared" ref="AF335" si="265">IFERROR(($AC335-AD335)/ABS(AD335),0)</f>
        <v>0</v>
      </c>
      <c r="AG335" s="87">
        <f>($AC335-AD335)</f>
        <v>0</v>
      </c>
      <c r="AH335" s="89">
        <f>IFERROR(($AC335-AE335)/ABS(AE335),0)</f>
        <v>0</v>
      </c>
      <c r="AI335" s="87">
        <f>($AC335-AE335)</f>
        <v>0</v>
      </c>
      <c r="AK335" s="85">
        <f>SUMIFS(AK333:AK334,$I333:$I334,"&lt;&gt;"&amp;$I$29,$E333:$E334,"&lt;&gt;*[-]*",$F333:$F334,"&lt;&gt;*[-]*",$G333:$G334,"&lt;&gt;*[-]*",$H333:$H334,"*[+]*")</f>
        <v>0</v>
      </c>
      <c r="AL335" s="110"/>
      <c r="AM335" s="85">
        <f>SUMIFS(AM333:AM334,$I333:$I334,"&lt;&gt;"&amp;$I$29,$E333:$E334,"&lt;&gt;*[-]*",$F333:$F334,"&lt;&gt;*[-]*",$G333:$G334,"&lt;&gt;*[-]*",$H333:$H334,"*[+]*")</f>
        <v>0</v>
      </c>
      <c r="AN335" s="110"/>
      <c r="AO335" s="85">
        <f>SUMIFS(AO333:AO334,$I333:$I334,"&lt;&gt;"&amp;$I$29,$E333:$E334,"&lt;&gt;*[-]*",$F333:$F334,"&lt;&gt;*[-]*",$G333:$G334,"&lt;&gt;*[-]*",$H333:$H334,"*[+]*")</f>
        <v>0</v>
      </c>
      <c r="AP335" s="110"/>
      <c r="AQ335" s="85">
        <f>SUMIFS(AQ333:AQ334,$I333:$I334,"&lt;&gt;"&amp;$I$29,$E333:$E334,"&lt;&gt;*[-]*",$F333:$F334,"&lt;&gt;*[-]*",$G333:$G334,"&lt;&gt;*[-]*",$H333:$H334,"*[+]*")</f>
        <v>0</v>
      </c>
      <c r="AR335" s="110"/>
      <c r="AS335" s="110">
        <f>IFERROR(($O335-AK335)/ABS(AK335),0)</f>
        <v>0</v>
      </c>
      <c r="AT335" s="87">
        <f>($AK335-AM335)</f>
        <v>0</v>
      </c>
      <c r="AU335" s="110">
        <f>IFERROR(($M335-AO335)/ABS(AO335),0)</f>
        <v>0</v>
      </c>
      <c r="AV335" s="87">
        <f>($AK335-AO335)</f>
        <v>0</v>
      </c>
      <c r="AW335" s="110">
        <f>IFERROR(($M335-AQ335)/ABS(AQ335),0)</f>
        <v>0</v>
      </c>
      <c r="AX335" s="87">
        <f>($AK335-AQ335)</f>
        <v>0</v>
      </c>
      <c r="AY335" s="87"/>
      <c r="BA335" s="85">
        <f>SUMIFS(BA333:BA334,$I333:$I334,"&lt;&gt;"&amp;$I$29,$E333:$E334,"&lt;&gt;*[-]*",$F333:$F334,"&lt;&gt;*[-]*",$G333:$G334,"&lt;&gt;*[-]*",$H333:$H334,"*[+]*")</f>
        <v>0</v>
      </c>
      <c r="BB335" s="110"/>
      <c r="BC335" s="85">
        <f>SUMIFS(BC333:BC334,$I333:$I334,"&lt;&gt;"&amp;$I$29,$E333:$E334,"&lt;&gt;*[-]*",$F333:$F334,"&lt;&gt;*[-]*",$G333:$G334,"&lt;&gt;*[-]*",$H333:$H334,"*[+]*")</f>
        <v>0</v>
      </c>
      <c r="BD335" s="110"/>
      <c r="BE335" s="85">
        <f>SUMIFS(BE333:BE334,$I333:$I334,"&lt;&gt;"&amp;$I$29,$E333:$E334,"&lt;&gt;*[-]*",$F333:$F334,"&lt;&gt;*[-]*",$G333:$G334,"&lt;&gt;*[-]*",$H333:$H334,"*[+]*")</f>
        <v>0</v>
      </c>
      <c r="BF335" s="110"/>
      <c r="BG335" s="110">
        <f>IFERROR(($BA335-BC335)/ABS(BC335),0)</f>
        <v>0</v>
      </c>
      <c r="BH335" s="87">
        <f>($BA335-BC335)</f>
        <v>0</v>
      </c>
      <c r="BI335" s="110">
        <f>IFERROR(($BA335-BE335)/ABS(BE335),0)</f>
        <v>0</v>
      </c>
      <c r="BJ335" s="87">
        <f>($BA335-BE335)</f>
        <v>0</v>
      </c>
      <c r="BK335" s="87"/>
    </row>
    <row r="336" spans="1:63" hidden="1" x14ac:dyDescent="0.25">
      <c r="B336" t="str">
        <f>B335</f>
        <v>#hiderow</v>
      </c>
      <c r="N336" s="90"/>
      <c r="P336" s="90"/>
      <c r="R336" s="90"/>
      <c r="T336" s="90"/>
      <c r="U336" s="90"/>
      <c r="V336" s="84"/>
      <c r="W336" s="90"/>
      <c r="X336" s="84"/>
      <c r="Y336" s="90"/>
      <c r="Z336" s="84"/>
      <c r="AA336" s="84"/>
      <c r="AF336" s="15"/>
      <c r="AG336" s="84"/>
      <c r="AH336" s="15"/>
      <c r="AI336" s="84"/>
      <c r="AL336" s="90"/>
      <c r="AN336" s="90"/>
      <c r="AP336" s="90"/>
      <c r="AR336" s="90"/>
      <c r="AS336" s="90"/>
      <c r="AT336" s="84"/>
      <c r="AU336" s="90"/>
      <c r="AV336" s="84"/>
      <c r="AW336" s="90"/>
      <c r="AX336" s="84"/>
      <c r="AY336" s="84"/>
      <c r="BB336" s="90"/>
      <c r="BD336" s="90"/>
      <c r="BF336" s="90"/>
      <c r="BG336" s="90"/>
      <c r="BH336" s="84"/>
      <c r="BI336" s="90"/>
      <c r="BJ336" s="84"/>
      <c r="BK336" s="84"/>
    </row>
    <row r="337" spans="2:63" ht="12.45" thickBot="1" x14ac:dyDescent="0.3">
      <c r="B337" t="str">
        <f>IF(COUNTBLANK(B338:B341)&gt;0,"#showrow","#hiderow")</f>
        <v>#showrow</v>
      </c>
      <c r="E337" s="4"/>
      <c r="F337" s="4"/>
      <c r="G337" s="4"/>
      <c r="H337" s="4" t="s">
        <v>28</v>
      </c>
      <c r="I337" s="4"/>
      <c r="J337" s="5"/>
      <c r="K337" s="5"/>
      <c r="L337" s="5"/>
      <c r="M337" s="5"/>
      <c r="N337" s="74"/>
      <c r="O337" s="5"/>
      <c r="P337" s="74"/>
      <c r="Q337" s="5"/>
      <c r="R337" s="74"/>
      <c r="S337" s="5"/>
      <c r="T337" s="74"/>
      <c r="U337" s="74"/>
      <c r="V337" s="75"/>
      <c r="W337" s="74"/>
      <c r="X337" s="75"/>
      <c r="Y337" s="74"/>
      <c r="Z337" s="75"/>
      <c r="AA337" s="75"/>
      <c r="AC337" s="5"/>
      <c r="AD337" s="5"/>
      <c r="AE337" s="5"/>
      <c r="AF337" s="77"/>
      <c r="AG337" s="75"/>
      <c r="AH337" s="77"/>
      <c r="AI337" s="75"/>
      <c r="AK337" s="5"/>
      <c r="AL337" s="74"/>
      <c r="AM337" s="5"/>
      <c r="AN337" s="74"/>
      <c r="AO337" s="5"/>
      <c r="AP337" s="74"/>
      <c r="AQ337" s="5"/>
      <c r="AR337" s="74"/>
      <c r="AS337" s="74"/>
      <c r="AT337" s="75"/>
      <c r="AU337" s="74"/>
      <c r="AV337" s="75"/>
      <c r="AW337" s="74"/>
      <c r="AX337" s="75"/>
      <c r="AY337" s="75"/>
      <c r="BA337" s="5"/>
      <c r="BB337" s="74"/>
      <c r="BC337" s="5"/>
      <c r="BD337" s="74"/>
      <c r="BE337" s="5"/>
      <c r="BF337" s="74"/>
      <c r="BG337" s="74"/>
      <c r="BH337" s="75"/>
      <c r="BI337" s="74"/>
      <c r="BJ337" s="75"/>
      <c r="BK337" s="75"/>
    </row>
    <row r="338" spans="2:63" ht="11.95" hidden="1" thickBot="1" x14ac:dyDescent="0.3">
      <c r="B338" t="s">
        <v>1</v>
      </c>
      <c r="E338" s="3"/>
      <c r="F338" s="3"/>
      <c r="G338" s="3"/>
      <c r="H338" s="3" t="s">
        <v>6</v>
      </c>
      <c r="I338" s="18"/>
      <c r="J338" s="18"/>
      <c r="K338" s="18"/>
      <c r="L338" s="78"/>
      <c r="M338" s="79"/>
      <c r="N338" s="72"/>
      <c r="O338" s="79"/>
      <c r="P338" s="72"/>
      <c r="Q338" s="79"/>
      <c r="R338" s="72"/>
      <c r="S338" s="79"/>
      <c r="T338" s="72"/>
      <c r="U338" s="72"/>
      <c r="V338" s="70"/>
      <c r="W338" s="72">
        <f>IFERROR(($M338-Q338)/ABS(Q338),0)</f>
        <v>0</v>
      </c>
      <c r="X338" s="70">
        <f>($M338-Q338)</f>
        <v>0</v>
      </c>
      <c r="Y338" s="72">
        <f>IFERROR(($M338-S338)/ABS(S338),0)</f>
        <v>0</v>
      </c>
      <c r="Z338" s="70">
        <f>($M338-S338)</f>
        <v>0</v>
      </c>
      <c r="AA338" s="70"/>
      <c r="AC338" s="79"/>
      <c r="AD338" s="79"/>
      <c r="AE338" s="79"/>
      <c r="AF338" s="83">
        <f t="shared" ref="AF338" si="266">IFERROR(($AC338-AD338)/ABS(AD338),0)</f>
        <v>0</v>
      </c>
      <c r="AG338" s="70">
        <f>($AC338-AD338)</f>
        <v>0</v>
      </c>
      <c r="AH338" s="83">
        <f>IFERROR(($AC338-AE338)/ABS(AE338),0)</f>
        <v>0</v>
      </c>
      <c r="AI338" s="70">
        <f>($AC338-AE338)</f>
        <v>0</v>
      </c>
      <c r="AK338" s="79"/>
      <c r="AL338" s="72"/>
      <c r="AM338" s="79"/>
      <c r="AN338" s="72"/>
      <c r="AO338" s="79"/>
      <c r="AP338" s="72"/>
      <c r="AQ338" s="79"/>
      <c r="AR338" s="72"/>
      <c r="AS338" s="72"/>
      <c r="AT338" s="70">
        <f>($AK338-AM338)</f>
        <v>0</v>
      </c>
      <c r="AU338" s="72">
        <f>IFERROR(($M338-AO338)/ABS(AO338),0)</f>
        <v>0</v>
      </c>
      <c r="AV338" s="70">
        <f>($AK338-AO338)</f>
        <v>0</v>
      </c>
      <c r="AW338" s="72">
        <f>IFERROR(($M338-AQ338)/ABS(AQ338),0)</f>
        <v>0</v>
      </c>
      <c r="AX338" s="70">
        <f>($AK338-AQ338)</f>
        <v>0</v>
      </c>
      <c r="AY338" s="70"/>
      <c r="BA338" s="79"/>
      <c r="BB338" s="72"/>
      <c r="BC338" s="79"/>
      <c r="BD338" s="72"/>
      <c r="BE338" s="79"/>
      <c r="BF338" s="72"/>
      <c r="BG338" s="72"/>
      <c r="BH338" s="70">
        <f>($BA338-BC338)</f>
        <v>0</v>
      </c>
      <c r="BI338" s="72">
        <f>IFERROR(($BA338-BE338)/ABS(BE338),0)</f>
        <v>0</v>
      </c>
      <c r="BJ338" s="70">
        <f>($BA338-BE338)</f>
        <v>0</v>
      </c>
      <c r="BK338" s="70"/>
    </row>
    <row r="339" spans="2:63" ht="11.95" thickBot="1" x14ac:dyDescent="0.3">
      <c r="E339" s="3"/>
      <c r="F339" s="3"/>
      <c r="G339" s="3"/>
      <c r="H339" s="3" t="s">
        <v>194</v>
      </c>
      <c r="I339" s="18"/>
      <c r="J339" s="18"/>
      <c r="K339" s="18"/>
      <c r="L339" s="78"/>
      <c r="M339" s="79">
        <v>41.16</v>
      </c>
      <c r="N339" s="72"/>
      <c r="O339" s="79">
        <v>0</v>
      </c>
      <c r="P339" s="72"/>
      <c r="Q339" s="79">
        <v>0</v>
      </c>
      <c r="R339" s="72"/>
      <c r="S339" s="79">
        <v>41.16</v>
      </c>
      <c r="T339" s="72"/>
      <c r="U339" s="72"/>
      <c r="V339" s="70"/>
      <c r="W339" s="72">
        <f t="shared" ref="W339:W340" si="267">IFERROR(($M339-Q339)/ABS(Q339),0)</f>
        <v>0</v>
      </c>
      <c r="X339" s="70">
        <f t="shared" ref="X339:X340" si="268">($M339-Q339)</f>
        <v>41.16</v>
      </c>
      <c r="Y339" s="72">
        <f t="shared" ref="Y339:Y340" si="269">IFERROR(($M339-S339)/ABS(S339),0)</f>
        <v>0</v>
      </c>
      <c r="Z339" s="70">
        <f t="shared" ref="Z339:Z340" si="270">($M339-S339)</f>
        <v>0</v>
      </c>
      <c r="AA339" s="70"/>
      <c r="AC339" s="79">
        <v>41.16</v>
      </c>
      <c r="AD339" s="79">
        <v>41.16</v>
      </c>
      <c r="AE339" s="79">
        <v>0</v>
      </c>
      <c r="AF339" s="83">
        <f t="shared" ref="AF339:AF340" si="271">IFERROR(($AC339-AD339)/ABS(AD339),0)</f>
        <v>0</v>
      </c>
      <c r="AG339" s="70">
        <f t="shared" ref="AG339:AG340" si="272">($AC339-AD339)</f>
        <v>0</v>
      </c>
      <c r="AH339" s="83">
        <f t="shared" ref="AH339:AH340" si="273">IFERROR(($AC339-AE339)/ABS(AE339),0)</f>
        <v>0</v>
      </c>
      <c r="AI339" s="70">
        <f t="shared" ref="AI339:AI340" si="274">($AC339-AE339)</f>
        <v>41.16</v>
      </c>
      <c r="AK339" s="79">
        <v>41.16</v>
      </c>
      <c r="AL339" s="72"/>
      <c r="AM339" s="79">
        <v>0</v>
      </c>
      <c r="AN339" s="72"/>
      <c r="AO339" s="79">
        <v>0</v>
      </c>
      <c r="AP339" s="72"/>
      <c r="AQ339" s="79">
        <v>41.16</v>
      </c>
      <c r="AR339" s="72"/>
      <c r="AS339" s="72"/>
      <c r="AT339" s="70">
        <f t="shared" ref="AT339:AT340" si="275">($AK339-AM339)</f>
        <v>41.16</v>
      </c>
      <c r="AU339" s="72">
        <f t="shared" ref="AU339:AU340" si="276">IFERROR(($M339-AO339)/ABS(AO339),0)</f>
        <v>0</v>
      </c>
      <c r="AV339" s="70">
        <f t="shared" ref="AV339:AV340" si="277">($AK339-AO339)</f>
        <v>41.16</v>
      </c>
      <c r="AW339" s="72">
        <f t="shared" ref="AW339:AW340" si="278">IFERROR(($M339-AQ339)/ABS(AQ339),0)</f>
        <v>0</v>
      </c>
      <c r="AX339" s="70">
        <f t="shared" ref="AX339:AX340" si="279">($AK339-AQ339)</f>
        <v>0</v>
      </c>
      <c r="AY339" s="70"/>
      <c r="BA339" s="79">
        <v>0</v>
      </c>
      <c r="BB339" s="72"/>
      <c r="BC339" s="79">
        <v>0</v>
      </c>
      <c r="BD339" s="72"/>
      <c r="BE339" s="79">
        <v>226.36</v>
      </c>
      <c r="BF339" s="72"/>
      <c r="BG339" s="72"/>
      <c r="BH339" s="70">
        <f t="shared" ref="BH339:BH340" si="280">($BA339-BC339)</f>
        <v>0</v>
      </c>
      <c r="BI339" s="72">
        <f t="shared" ref="BI339:BI340" si="281">IFERROR(($BA339-BE339)/ABS(BE339),0)</f>
        <v>-1</v>
      </c>
      <c r="BJ339" s="70">
        <f t="shared" ref="BJ339:BJ340" si="282">($BA339-BE339)</f>
        <v>-226.36</v>
      </c>
      <c r="BK339" s="70"/>
    </row>
    <row r="340" spans="2:63" ht="11.95" thickBot="1" x14ac:dyDescent="0.3">
      <c r="E340" s="3"/>
      <c r="F340" s="3"/>
      <c r="G340" s="3"/>
      <c r="H340" s="3" t="s">
        <v>195</v>
      </c>
      <c r="I340" s="18"/>
      <c r="J340" s="18"/>
      <c r="K340" s="18"/>
      <c r="L340" s="78"/>
      <c r="M340" s="79">
        <v>41.16</v>
      </c>
      <c r="N340" s="72"/>
      <c r="O340" s="79"/>
      <c r="P340" s="72"/>
      <c r="Q340" s="79"/>
      <c r="R340" s="72"/>
      <c r="S340" s="79">
        <v>41.16</v>
      </c>
      <c r="T340" s="72"/>
      <c r="U340" s="72"/>
      <c r="V340" s="70"/>
      <c r="W340" s="72">
        <f t="shared" si="267"/>
        <v>0</v>
      </c>
      <c r="X340" s="70">
        <f t="shared" si="268"/>
        <v>41.16</v>
      </c>
      <c r="Y340" s="72">
        <f t="shared" si="269"/>
        <v>0</v>
      </c>
      <c r="Z340" s="70">
        <f t="shared" si="270"/>
        <v>0</v>
      </c>
      <c r="AA340" s="70"/>
      <c r="AC340" s="79">
        <v>41.16</v>
      </c>
      <c r="AD340" s="79">
        <v>41.16</v>
      </c>
      <c r="AE340" s="79">
        <v>0</v>
      </c>
      <c r="AF340" s="83">
        <f t="shared" si="271"/>
        <v>0</v>
      </c>
      <c r="AG340" s="70">
        <f t="shared" si="272"/>
        <v>0</v>
      </c>
      <c r="AH340" s="83">
        <f t="shared" si="273"/>
        <v>0</v>
      </c>
      <c r="AI340" s="70">
        <f t="shared" si="274"/>
        <v>41.16</v>
      </c>
      <c r="AK340" s="79">
        <v>41.16</v>
      </c>
      <c r="AL340" s="72"/>
      <c r="AM340" s="79">
        <v>0</v>
      </c>
      <c r="AN340" s="72"/>
      <c r="AO340" s="79">
        <v>0</v>
      </c>
      <c r="AP340" s="72"/>
      <c r="AQ340" s="79">
        <v>41.16</v>
      </c>
      <c r="AR340" s="72"/>
      <c r="AS340" s="72"/>
      <c r="AT340" s="70">
        <f t="shared" si="275"/>
        <v>41.16</v>
      </c>
      <c r="AU340" s="72">
        <f t="shared" si="276"/>
        <v>0</v>
      </c>
      <c r="AV340" s="70">
        <f t="shared" si="277"/>
        <v>41.16</v>
      </c>
      <c r="AW340" s="72">
        <f t="shared" si="278"/>
        <v>0</v>
      </c>
      <c r="AX340" s="70">
        <f t="shared" si="279"/>
        <v>0</v>
      </c>
      <c r="AY340" s="70"/>
      <c r="BA340" s="79">
        <v>0</v>
      </c>
      <c r="BB340" s="72"/>
      <c r="BC340" s="79">
        <v>0</v>
      </c>
      <c r="BD340" s="72"/>
      <c r="BE340" s="79">
        <v>226.36</v>
      </c>
      <c r="BF340" s="72"/>
      <c r="BG340" s="72"/>
      <c r="BH340" s="70">
        <f t="shared" si="280"/>
        <v>0</v>
      </c>
      <c r="BI340" s="72">
        <f t="shared" si="281"/>
        <v>-1</v>
      </c>
      <c r="BJ340" s="70">
        <f t="shared" si="282"/>
        <v>-226.36</v>
      </c>
      <c r="BK340" s="70"/>
    </row>
    <row r="341" spans="2:63" ht="11.95" hidden="1" thickBot="1" x14ac:dyDescent="0.3">
      <c r="B341" t="s">
        <v>1</v>
      </c>
      <c r="N341" s="90"/>
      <c r="P341" s="90"/>
      <c r="R341" s="90"/>
      <c r="T341" s="90"/>
      <c r="U341" s="90"/>
      <c r="V341" s="84"/>
      <c r="W341" s="90"/>
      <c r="X341" s="84"/>
      <c r="Y341" s="90"/>
      <c r="Z341" s="84"/>
      <c r="AA341" s="84"/>
      <c r="AF341" s="15"/>
      <c r="AG341" s="84"/>
      <c r="AH341" s="15"/>
      <c r="AI341" s="84"/>
      <c r="AL341" s="90"/>
      <c r="AN341" s="90"/>
      <c r="AP341" s="90"/>
      <c r="AR341" s="90"/>
      <c r="AS341" s="90"/>
      <c r="AT341" s="84"/>
      <c r="AU341" s="90"/>
      <c r="AV341" s="84"/>
      <c r="AW341" s="90"/>
      <c r="AX341" s="84"/>
      <c r="AY341" s="84"/>
      <c r="BB341" s="90"/>
      <c r="BD341" s="90"/>
      <c r="BF341" s="90"/>
      <c r="BG341" s="90"/>
      <c r="BH341" s="84"/>
      <c r="BI341" s="90"/>
      <c r="BJ341" s="84"/>
      <c r="BK341" s="84"/>
    </row>
    <row r="342" spans="2:63" ht="11.95" x14ac:dyDescent="0.25">
      <c r="B342" t="str">
        <f>B337</f>
        <v>#showrow</v>
      </c>
      <c r="E342" s="19"/>
      <c r="F342" s="19"/>
      <c r="G342" s="19"/>
      <c r="H342" s="19" t="s">
        <v>84</v>
      </c>
      <c r="I342" s="85"/>
      <c r="J342" s="85"/>
      <c r="K342" s="85"/>
      <c r="L342" s="85">
        <v>-1</v>
      </c>
      <c r="M342" s="85">
        <f>SUMIFS(M338:M341,$I338:$I341,"&lt;&gt;"&amp;$I$29,$E338:$E341,"&lt;&gt;*[-]*",$F338:$F341,"&lt;&gt;*[-]*",$G338:$G341,"&lt;&gt;*[-]*",$H338:$H341,"*[+]*")</f>
        <v>41.16</v>
      </c>
      <c r="N342" s="110"/>
      <c r="O342" s="85">
        <f>SUMIFS(O338:O341,$I338:$I341,"&lt;&gt;"&amp;$I$29,$E338:$E341,"&lt;&gt;*[-]*",$F338:$F341,"&lt;&gt;*[-]*",$G338:$G341,"&lt;&gt;*[-]*",$H338:$H341,"*[+]*")</f>
        <v>0</v>
      </c>
      <c r="P342" s="110"/>
      <c r="Q342" s="85">
        <f>SUMIFS(Q338:Q341,$I338:$I341,"&lt;&gt;"&amp;$I$29,$E338:$E341,"&lt;&gt;*[-]*",$F338:$F341,"&lt;&gt;*[-]*",$G338:$G341,"&lt;&gt;*[-]*",$H338:$H341,"*[+]*")</f>
        <v>0</v>
      </c>
      <c r="R342" s="110"/>
      <c r="S342" s="85">
        <f>SUMIFS(S338:S341,$I338:$I341,"&lt;&gt;"&amp;$I$29,$E338:$E341,"&lt;&gt;*[-]*",$F338:$F341,"&lt;&gt;*[-]*",$G338:$G341,"&lt;&gt;*[-]*",$H338:$H341,"*[+]*")</f>
        <v>41.16</v>
      </c>
      <c r="T342" s="110"/>
      <c r="U342" s="110"/>
      <c r="V342" s="87"/>
      <c r="W342" s="110">
        <f>IFERROR(($M342-Q342)/ABS(Q342),0)</f>
        <v>0</v>
      </c>
      <c r="X342" s="87">
        <f>($M342-Q342)</f>
        <v>41.16</v>
      </c>
      <c r="Y342" s="110">
        <f>IFERROR(($M342-S342)/ABS(S342),0)</f>
        <v>0</v>
      </c>
      <c r="Z342" s="87">
        <f>($M342-S342)</f>
        <v>0</v>
      </c>
      <c r="AA342" s="87"/>
      <c r="AC342" s="85">
        <f>SUMIFS(AC338:AC341,$I338:$I341,"&lt;&gt;"&amp;$I$29,$E338:$E341,"&lt;&gt;*[-]*",$F338:$F341,"&lt;&gt;*[-]*",$G338:$G341,"&lt;&gt;*[-]*",$H338:$H341,"*[+]*")</f>
        <v>41.16</v>
      </c>
      <c r="AD342" s="85">
        <f>SUMIFS(AD338:AD341,$I338:$I341,"&lt;&gt;"&amp;$I$29,$E338:$E341,"&lt;&gt;*[-]*",$F338:$F341,"&lt;&gt;*[-]*",$G338:$G341,"&lt;&gt;*[-]*",$H338:$H341,"*[+]*")</f>
        <v>41.16</v>
      </c>
      <c r="AE342" s="85">
        <f>SUMIFS(AE338:AE341,$I338:$I341,"&lt;&gt;"&amp;$I$29,$E338:$E341,"&lt;&gt;*[-]*",$F338:$F341,"&lt;&gt;*[-]*",$G338:$G341,"&lt;&gt;*[-]*",$H338:$H341,"*[+]*")</f>
        <v>0</v>
      </c>
      <c r="AF342" s="89">
        <f t="shared" ref="AF342" si="283">IFERROR(($AC342-AD342)/ABS(AD342),0)</f>
        <v>0</v>
      </c>
      <c r="AG342" s="87">
        <f>($AC342-AD342)</f>
        <v>0</v>
      </c>
      <c r="AH342" s="89">
        <f>IFERROR(($AC342-AE342)/ABS(AE342),0)</f>
        <v>0</v>
      </c>
      <c r="AI342" s="87">
        <f>($AC342-AE342)</f>
        <v>41.16</v>
      </c>
      <c r="AK342" s="85">
        <f>SUMIFS(AK338:AK341,$I338:$I341,"&lt;&gt;"&amp;$I$29,$E338:$E341,"&lt;&gt;*[-]*",$F338:$F341,"&lt;&gt;*[-]*",$G338:$G341,"&lt;&gt;*[-]*",$H338:$H341,"*[+]*")</f>
        <v>41.16</v>
      </c>
      <c r="AL342" s="110"/>
      <c r="AM342" s="85">
        <f>SUMIFS(AM338:AM341,$I338:$I341,"&lt;&gt;"&amp;$I$29,$E338:$E341,"&lt;&gt;*[-]*",$F338:$F341,"&lt;&gt;*[-]*",$G338:$G341,"&lt;&gt;*[-]*",$H338:$H341,"*[+]*")</f>
        <v>0</v>
      </c>
      <c r="AN342" s="110"/>
      <c r="AO342" s="85">
        <f>SUMIFS(AO338:AO341,$I338:$I341,"&lt;&gt;"&amp;$I$29,$E338:$E341,"&lt;&gt;*[-]*",$F338:$F341,"&lt;&gt;*[-]*",$G338:$G341,"&lt;&gt;*[-]*",$H338:$H341,"*[+]*")</f>
        <v>0</v>
      </c>
      <c r="AP342" s="110"/>
      <c r="AQ342" s="85">
        <f>SUMIFS(AQ338:AQ341,$I338:$I341,"&lt;&gt;"&amp;$I$29,$E338:$E341,"&lt;&gt;*[-]*",$F338:$F341,"&lt;&gt;*[-]*",$G338:$G341,"&lt;&gt;*[-]*",$H338:$H341,"*[+]*")</f>
        <v>41.16</v>
      </c>
      <c r="AR342" s="110"/>
      <c r="AS342" s="110"/>
      <c r="AT342" s="87">
        <f>($AK342-AM342)</f>
        <v>41.16</v>
      </c>
      <c r="AU342" s="110">
        <f>IFERROR(($M342-AO342)/ABS(AO342),0)</f>
        <v>0</v>
      </c>
      <c r="AV342" s="87">
        <f>($AK342-AO342)</f>
        <v>41.16</v>
      </c>
      <c r="AW342" s="110">
        <f>IFERROR(($M342-AQ342)/ABS(AQ342),0)</f>
        <v>0</v>
      </c>
      <c r="AX342" s="87">
        <f>($AK342-AQ342)</f>
        <v>0</v>
      </c>
      <c r="AY342" s="87"/>
      <c r="BA342" s="85">
        <f>SUMIFS(BA338:BA341,$I338:$I341,"&lt;&gt;"&amp;$I$29,$E338:$E341,"&lt;&gt;*[-]*",$F338:$F341,"&lt;&gt;*[-]*",$G338:$G341,"&lt;&gt;*[-]*",$H338:$H341,"*[+]*")</f>
        <v>0</v>
      </c>
      <c r="BB342" s="110"/>
      <c r="BC342" s="85">
        <f>SUMIFS(BC338:BC341,$I338:$I341,"&lt;&gt;"&amp;$I$29,$E338:$E341,"&lt;&gt;*[-]*",$F338:$F341,"&lt;&gt;*[-]*",$G338:$G341,"&lt;&gt;*[-]*",$H338:$H341,"*[+]*")</f>
        <v>0</v>
      </c>
      <c r="BD342" s="110"/>
      <c r="BE342" s="85">
        <f>SUMIFS(BE338:BE341,$I338:$I341,"&lt;&gt;"&amp;$I$29,$E338:$E341,"&lt;&gt;*[-]*",$F338:$F341,"&lt;&gt;*[-]*",$G338:$G341,"&lt;&gt;*[-]*",$H338:$H341,"*[+]*")</f>
        <v>226.36</v>
      </c>
      <c r="BF342" s="110"/>
      <c r="BG342" s="110"/>
      <c r="BH342" s="87">
        <f>($BA342-BC342)</f>
        <v>0</v>
      </c>
      <c r="BI342" s="110">
        <f>IFERROR(($BA342-BE342)/ABS(BE342),0)</f>
        <v>-1</v>
      </c>
      <c r="BJ342" s="87">
        <f>($BA342-BE342)</f>
        <v>-226.36</v>
      </c>
      <c r="BK342" s="87"/>
    </row>
    <row r="343" spans="2:63" ht="11.95" thickBot="1" x14ac:dyDescent="0.3">
      <c r="B343" t="str">
        <f>B342</f>
        <v>#showrow</v>
      </c>
      <c r="N343" s="90"/>
      <c r="P343" s="90"/>
      <c r="R343" s="90"/>
      <c r="T343" s="90"/>
      <c r="U343" s="90"/>
      <c r="V343" s="84"/>
      <c r="W343" s="90"/>
      <c r="X343" s="84"/>
      <c r="Y343" s="90"/>
      <c r="Z343" s="84"/>
      <c r="AA343" s="84"/>
      <c r="AF343" s="15"/>
      <c r="AG343" s="84"/>
      <c r="AH343" s="15"/>
      <c r="AI343" s="84"/>
      <c r="AL343" s="90"/>
      <c r="AN343" s="90"/>
      <c r="AP343" s="90"/>
      <c r="AR343" s="90"/>
      <c r="AS343" s="90"/>
      <c r="AT343" s="84"/>
      <c r="AU343" s="90"/>
      <c r="AV343" s="84"/>
      <c r="AW343" s="90"/>
      <c r="AX343" s="84"/>
      <c r="AY343" s="84"/>
      <c r="BB343" s="90"/>
      <c r="BD343" s="90"/>
      <c r="BF343" s="90"/>
      <c r="BG343" s="90"/>
      <c r="BH343" s="84"/>
      <c r="BI343" s="90"/>
      <c r="BJ343" s="84"/>
      <c r="BK343" s="84"/>
    </row>
    <row r="344" spans="2:63" ht="12.45" hidden="1" thickBot="1" x14ac:dyDescent="0.3">
      <c r="B344" t="str">
        <f>IF(COUNTBLANK(B345:B346)&gt;0,"#showrow","#hiderow")</f>
        <v>#hiderow</v>
      </c>
      <c r="E344" s="4"/>
      <c r="F344" s="4"/>
      <c r="G344" s="4"/>
      <c r="H344" s="4" t="s">
        <v>29</v>
      </c>
      <c r="I344" s="4"/>
      <c r="J344" s="5"/>
      <c r="K344" s="5"/>
      <c r="L344" s="5"/>
      <c r="M344" s="5"/>
      <c r="N344" s="74"/>
      <c r="O344" s="5"/>
      <c r="P344" s="74"/>
      <c r="Q344" s="5"/>
      <c r="R344" s="74"/>
      <c r="S344" s="5"/>
      <c r="T344" s="74"/>
      <c r="U344" s="74"/>
      <c r="V344" s="75"/>
      <c r="W344" s="74"/>
      <c r="X344" s="75"/>
      <c r="Y344" s="74"/>
      <c r="Z344" s="75"/>
      <c r="AA344" s="75"/>
      <c r="AC344" s="5"/>
      <c r="AD344" s="5"/>
      <c r="AE344" s="5"/>
      <c r="AF344" s="77"/>
      <c r="AG344" s="75"/>
      <c r="AH344" s="77"/>
      <c r="AI344" s="75"/>
      <c r="AK344" s="5"/>
      <c r="AL344" s="74"/>
      <c r="AM344" s="5"/>
      <c r="AN344" s="74"/>
      <c r="AO344" s="5"/>
      <c r="AP344" s="74"/>
      <c r="AQ344" s="5"/>
      <c r="AR344" s="74"/>
      <c r="AS344" s="74"/>
      <c r="AT344" s="75"/>
      <c r="AU344" s="74"/>
      <c r="AV344" s="75"/>
      <c r="AW344" s="74"/>
      <c r="AX344" s="75"/>
      <c r="AY344" s="75"/>
      <c r="BA344" s="5"/>
      <c r="BB344" s="74"/>
      <c r="BC344" s="5"/>
      <c r="BD344" s="74"/>
      <c r="BE344" s="5"/>
      <c r="BF344" s="74"/>
      <c r="BG344" s="74"/>
      <c r="BH344" s="75"/>
      <c r="BI344" s="74"/>
      <c r="BJ344" s="75"/>
      <c r="BK344" s="75"/>
    </row>
    <row r="345" spans="2:63" ht="11.95" hidden="1" thickBot="1" x14ac:dyDescent="0.3">
      <c r="B345" t="s">
        <v>1</v>
      </c>
      <c r="E345" s="3"/>
      <c r="F345" s="3"/>
      <c r="G345" s="3"/>
      <c r="H345" s="3" t="s">
        <v>6</v>
      </c>
      <c r="I345" s="18"/>
      <c r="J345" s="18"/>
      <c r="K345" s="18"/>
      <c r="L345" s="78"/>
      <c r="M345" s="79"/>
      <c r="N345" s="72"/>
      <c r="O345" s="79"/>
      <c r="P345" s="72"/>
      <c r="Q345" s="79"/>
      <c r="R345" s="72"/>
      <c r="S345" s="79"/>
      <c r="T345" s="72"/>
      <c r="U345" s="72">
        <f>IFERROR(($O345-M345)/ABS(M345),0)</f>
        <v>0</v>
      </c>
      <c r="V345" s="70">
        <f>($O345-M345)</f>
        <v>0</v>
      </c>
      <c r="W345" s="72">
        <f>IFERROR(($M345-Q345)/ABS(Q345),0)</f>
        <v>0</v>
      </c>
      <c r="X345" s="70">
        <f>($M345-Q345)</f>
        <v>0</v>
      </c>
      <c r="Y345" s="72">
        <f>IFERROR(($M345-S345)/ABS(S345),0)</f>
        <v>0</v>
      </c>
      <c r="Z345" s="70">
        <f>($M345-S345)</f>
        <v>0</v>
      </c>
      <c r="AA345" s="70"/>
      <c r="AC345" s="79"/>
      <c r="AD345" s="79"/>
      <c r="AE345" s="79"/>
      <c r="AF345" s="83">
        <f t="shared" ref="AF345" si="284">IFERROR(($AC345-AD345)/ABS(AD345),0)</f>
        <v>0</v>
      </c>
      <c r="AG345" s="70">
        <f>($AC345-AD345)</f>
        <v>0</v>
      </c>
      <c r="AH345" s="83">
        <f>IFERROR(($AC345-AE345)/ABS(AE345),0)</f>
        <v>0</v>
      </c>
      <c r="AI345" s="70">
        <f>($AC345-AE345)</f>
        <v>0</v>
      </c>
      <c r="AK345" s="79"/>
      <c r="AL345" s="72"/>
      <c r="AM345" s="79"/>
      <c r="AN345" s="72"/>
      <c r="AO345" s="79"/>
      <c r="AP345" s="72"/>
      <c r="AQ345" s="79"/>
      <c r="AR345" s="72"/>
      <c r="AS345" s="72">
        <f>IFERROR(($O345-AK345)/ABS(AK345),0)</f>
        <v>0</v>
      </c>
      <c r="AT345" s="70">
        <f>($AK345-AM345)</f>
        <v>0</v>
      </c>
      <c r="AU345" s="72">
        <f>IFERROR(($M345-AO345)/ABS(AO345),0)</f>
        <v>0</v>
      </c>
      <c r="AV345" s="70">
        <f>($AK345-AO345)</f>
        <v>0</v>
      </c>
      <c r="AW345" s="72">
        <f>IFERROR(($M345-AQ345)/ABS(AQ345),0)</f>
        <v>0</v>
      </c>
      <c r="AX345" s="70">
        <f>($AK345-AQ345)</f>
        <v>0</v>
      </c>
      <c r="AY345" s="70"/>
      <c r="BA345" s="79"/>
      <c r="BB345" s="72"/>
      <c r="BC345" s="79"/>
      <c r="BD345" s="72"/>
      <c r="BE345" s="79"/>
      <c r="BF345" s="72"/>
      <c r="BG345" s="72">
        <f>IFERROR(($BA345-BC345)/ABS(BC345),0)</f>
        <v>0</v>
      </c>
      <c r="BH345" s="70">
        <f>($BA345-BC345)</f>
        <v>0</v>
      </c>
      <c r="BI345" s="72">
        <f>IFERROR(($BA345-BE345)/ABS(BE345),0)</f>
        <v>0</v>
      </c>
      <c r="BJ345" s="70">
        <f>($BA345-BE345)</f>
        <v>0</v>
      </c>
      <c r="BK345" s="70"/>
    </row>
    <row r="346" spans="2:63" ht="11.95" hidden="1" thickBot="1" x14ac:dyDescent="0.3">
      <c r="B346" t="s">
        <v>1</v>
      </c>
      <c r="N346" s="90"/>
      <c r="P346" s="90"/>
      <c r="R346" s="90"/>
      <c r="T346" s="90"/>
      <c r="U346" s="90"/>
      <c r="V346" s="84"/>
      <c r="W346" s="90"/>
      <c r="X346" s="84"/>
      <c r="Y346" s="90"/>
      <c r="Z346" s="84"/>
      <c r="AA346" s="84"/>
      <c r="AF346" s="15"/>
      <c r="AG346" s="84"/>
      <c r="AH346" s="15"/>
      <c r="AI346" s="84"/>
      <c r="AL346" s="90"/>
      <c r="AN346" s="90"/>
      <c r="AP346" s="90"/>
      <c r="AR346" s="90"/>
      <c r="AS346" s="90"/>
      <c r="AT346" s="84"/>
      <c r="AU346" s="90"/>
      <c r="AV346" s="84"/>
      <c r="AW346" s="90"/>
      <c r="AX346" s="84"/>
      <c r="AY346" s="84"/>
      <c r="BB346" s="90"/>
      <c r="BD346" s="90"/>
      <c r="BF346" s="90"/>
      <c r="BG346" s="90"/>
      <c r="BH346" s="84"/>
      <c r="BI346" s="90"/>
      <c r="BJ346" s="84"/>
      <c r="BK346" s="84"/>
    </row>
    <row r="347" spans="2:63" ht="11.95" hidden="1" x14ac:dyDescent="0.25">
      <c r="B347" t="str">
        <f>B344</f>
        <v>#hiderow</v>
      </c>
      <c r="E347" s="19"/>
      <c r="F347" s="19"/>
      <c r="G347" s="19"/>
      <c r="H347" s="19" t="s">
        <v>85</v>
      </c>
      <c r="I347" s="85"/>
      <c r="J347" s="85"/>
      <c r="K347" s="85"/>
      <c r="L347" s="85">
        <v>-1</v>
      </c>
      <c r="M347" s="85">
        <f>SUMIFS(M345:M346,$I345:$I346,"&lt;&gt;"&amp;$I$29,$E345:$E346,"&lt;&gt;*[-]*",$F345:$F346,"&lt;&gt;*[-]*",$G345:$G346,"&lt;&gt;*[-]*",$H345:$H346,"*Restructuring*")</f>
        <v>0</v>
      </c>
      <c r="N347" s="110"/>
      <c r="O347" s="85">
        <f>SUMIFS(O345:O346,$I345:$I346,"&lt;&gt;"&amp;$I$29,$E345:$E346,"&lt;&gt;*[-]*",$F345:$F346,"&lt;&gt;*[-]*",$G345:$G346,"&lt;&gt;*[-]*",$H345:$H346,"*Restructuring*")</f>
        <v>0</v>
      </c>
      <c r="P347" s="110"/>
      <c r="Q347" s="85">
        <f>SUMIFS(Q345:Q346,$I345:$I346,"&lt;&gt;"&amp;$I$29,$E345:$E346,"&lt;&gt;*[-]*",$F345:$F346,"&lt;&gt;*[-]*",$G345:$G346,"&lt;&gt;*[-]*",$H345:$H346,"*Restructuring*")</f>
        <v>0</v>
      </c>
      <c r="R347" s="110"/>
      <c r="S347" s="85">
        <f>SUMIFS(S345:S346,$I345:$I346,"&lt;&gt;"&amp;$I$29,$E345:$E346,"&lt;&gt;*[-]*",$F345:$F346,"&lt;&gt;*[-]*",$G345:$G346,"&lt;&gt;*[-]*",$H345:$H346,"*Restructuring*")</f>
        <v>0</v>
      </c>
      <c r="T347" s="110"/>
      <c r="U347" s="110">
        <f>IFERROR(($O347-M347)/ABS(M347),0)</f>
        <v>0</v>
      </c>
      <c r="V347" s="87">
        <f>($O347-M347)</f>
        <v>0</v>
      </c>
      <c r="W347" s="110">
        <f>IFERROR(($M347-Q347)/ABS(Q347),0)</f>
        <v>0</v>
      </c>
      <c r="X347" s="87">
        <f>($M347-Q347)</f>
        <v>0</v>
      </c>
      <c r="Y347" s="110">
        <f>IFERROR(($M347-S347)/ABS(S347),0)</f>
        <v>0</v>
      </c>
      <c r="Z347" s="87">
        <f>($M347-S347)</f>
        <v>0</v>
      </c>
      <c r="AA347" s="87"/>
      <c r="AC347" s="85">
        <f>SUMIFS(AC345:AC346,$I345:$I346,"&lt;&gt;"&amp;$I$29,$E345:$E346,"&lt;&gt;*[-]*",$F345:$F346,"&lt;&gt;*[-]*",$G345:$G346,"&lt;&gt;*[-]*",$H345:$H346,"*Restructuring*")</f>
        <v>0</v>
      </c>
      <c r="AD347" s="85">
        <f>SUMIFS(AD345:AD346,$I345:$I346,"&lt;&gt;"&amp;$I$29,$E345:$E346,"&lt;&gt;*[-]*",$F345:$F346,"&lt;&gt;*[-]*",$G345:$G346,"&lt;&gt;*[-]*",$H345:$H346,"*Restructuring*")</f>
        <v>0</v>
      </c>
      <c r="AE347" s="85">
        <f>SUMIFS(AE345:AE346,$I345:$I346,"&lt;&gt;"&amp;$I$29,$E345:$E346,"&lt;&gt;*[-]*",$F345:$F346,"&lt;&gt;*[-]*",$G345:$G346,"&lt;&gt;*[-]*",$H345:$H346,"*Restructuring*")</f>
        <v>0</v>
      </c>
      <c r="AF347" s="89">
        <f t="shared" ref="AF347" si="285">IFERROR(($AC347-AD347)/ABS(AD347),0)</f>
        <v>0</v>
      </c>
      <c r="AG347" s="87">
        <f>($AC347-AD347)</f>
        <v>0</v>
      </c>
      <c r="AH347" s="89">
        <f>IFERROR(($AC347-AE347)/ABS(AE347),0)</f>
        <v>0</v>
      </c>
      <c r="AI347" s="87">
        <f>($AC347-AE347)</f>
        <v>0</v>
      </c>
      <c r="AK347" s="85">
        <f>SUMIFS(AK345:AK346,$I345:$I346,"&lt;&gt;"&amp;$I$29,$E345:$E346,"&lt;&gt;*[-]*",$F345:$F346,"&lt;&gt;*[-]*",$G345:$G346,"&lt;&gt;*[-]*",$H345:$H346,"*Restructuring*")</f>
        <v>0</v>
      </c>
      <c r="AL347" s="110"/>
      <c r="AM347" s="85">
        <f>SUMIFS(AM345:AM346,$I345:$I346,"&lt;&gt;"&amp;$I$29,$E345:$E346,"&lt;&gt;*[-]*",$F345:$F346,"&lt;&gt;*[-]*",$G345:$G346,"&lt;&gt;*[-]*",$H345:$H346,"*Restructuring*")</f>
        <v>0</v>
      </c>
      <c r="AN347" s="110"/>
      <c r="AO347" s="85">
        <f>SUMIFS(AO345:AO346,$I345:$I346,"&lt;&gt;"&amp;$I$29,$E345:$E346,"&lt;&gt;*[-]*",$F345:$F346,"&lt;&gt;*[-]*",$G345:$G346,"&lt;&gt;*[-]*",$H345:$H346,"*Restructuring*")</f>
        <v>0</v>
      </c>
      <c r="AP347" s="110"/>
      <c r="AQ347" s="85">
        <f>SUMIFS(AQ345:AQ346,$I345:$I346,"&lt;&gt;"&amp;$I$29,$E345:$E346,"&lt;&gt;*[-]*",$F345:$F346,"&lt;&gt;*[-]*",$G345:$G346,"&lt;&gt;*[-]*",$H345:$H346,"*Restructuring*")</f>
        <v>0</v>
      </c>
      <c r="AR347" s="110"/>
      <c r="AS347" s="110">
        <f>IFERROR(($O347-AK347)/ABS(AK347),0)</f>
        <v>0</v>
      </c>
      <c r="AT347" s="87">
        <f>($AK347-AM347)</f>
        <v>0</v>
      </c>
      <c r="AU347" s="110">
        <f>IFERROR(($M347-AO347)/ABS(AO347),0)</f>
        <v>0</v>
      </c>
      <c r="AV347" s="87">
        <f>($AK347-AO347)</f>
        <v>0</v>
      </c>
      <c r="AW347" s="110">
        <f>IFERROR(($M347-AQ347)/ABS(AQ347),0)</f>
        <v>0</v>
      </c>
      <c r="AX347" s="87">
        <f>($AK347-AQ347)</f>
        <v>0</v>
      </c>
      <c r="AY347" s="87"/>
      <c r="BA347" s="85">
        <f>SUMIFS(BA345:BA346,$I345:$I346,"&lt;&gt;"&amp;$I$29,$E345:$E346,"&lt;&gt;*[-]*",$F345:$F346,"&lt;&gt;*[-]*",$G345:$G346,"&lt;&gt;*[-]*",$H345:$H346,"*Restructuring*")</f>
        <v>0</v>
      </c>
      <c r="BB347" s="110"/>
      <c r="BC347" s="85">
        <f>SUMIFS(BC345:BC346,$I345:$I346,"&lt;&gt;"&amp;$I$29,$E345:$E346,"&lt;&gt;*[-]*",$F345:$F346,"&lt;&gt;*[-]*",$G345:$G346,"&lt;&gt;*[-]*",$H345:$H346,"*Restructuring*")</f>
        <v>0</v>
      </c>
      <c r="BD347" s="110"/>
      <c r="BE347" s="85">
        <f>SUMIFS(BE345:BE346,$I345:$I346,"&lt;&gt;"&amp;$I$29,$E345:$E346,"&lt;&gt;*[-]*",$F345:$F346,"&lt;&gt;*[-]*",$G345:$G346,"&lt;&gt;*[-]*",$H345:$H346,"*Restructuring*")</f>
        <v>0</v>
      </c>
      <c r="BF347" s="110"/>
      <c r="BG347" s="110">
        <f>IFERROR(($BA347-BC347)/ABS(BC347),0)</f>
        <v>0</v>
      </c>
      <c r="BH347" s="87">
        <f>($BA347-BC347)</f>
        <v>0</v>
      </c>
      <c r="BI347" s="110">
        <f>IFERROR(($BA347-BE347)/ABS(BE347),0)</f>
        <v>0</v>
      </c>
      <c r="BJ347" s="87">
        <f>($BA347-BE347)</f>
        <v>0</v>
      </c>
      <c r="BK347" s="87"/>
    </row>
    <row r="348" spans="2:63" hidden="1" x14ac:dyDescent="0.25">
      <c r="B348" t="str">
        <f>B347</f>
        <v>#hiderow</v>
      </c>
      <c r="N348" s="90"/>
      <c r="P348" s="90"/>
      <c r="R348" s="90"/>
      <c r="T348" s="90"/>
      <c r="U348" s="90"/>
      <c r="V348" s="84"/>
      <c r="W348" s="90"/>
      <c r="X348" s="84"/>
      <c r="Y348" s="90"/>
      <c r="Z348" s="84"/>
      <c r="AA348" s="84"/>
      <c r="AF348" s="15"/>
      <c r="AG348" s="84"/>
      <c r="AH348" s="15"/>
      <c r="AI348" s="84"/>
      <c r="AL348" s="90"/>
      <c r="AN348" s="90"/>
      <c r="AP348" s="90"/>
      <c r="AR348" s="90"/>
      <c r="AS348" s="90"/>
      <c r="AT348" s="84"/>
      <c r="AU348" s="90"/>
      <c r="AV348" s="84"/>
      <c r="AW348" s="90"/>
      <c r="AX348" s="84"/>
      <c r="AY348" s="84"/>
      <c r="BB348" s="90"/>
      <c r="BD348" s="90"/>
      <c r="BF348" s="90"/>
      <c r="BG348" s="90"/>
      <c r="BH348" s="84"/>
      <c r="BI348" s="90"/>
      <c r="BJ348" s="84"/>
      <c r="BK348" s="84"/>
    </row>
    <row r="349" spans="2:63" ht="12.45" hidden="1" thickBot="1" x14ac:dyDescent="0.3">
      <c r="B349" t="str">
        <f>IF(COUNTBLANK(B350:B351)&gt;0,"#showrow","#hiderow")</f>
        <v>#hiderow</v>
      </c>
      <c r="E349" s="4"/>
      <c r="F349" s="4"/>
      <c r="G349" s="4"/>
      <c r="H349" s="4" t="s">
        <v>30</v>
      </c>
      <c r="I349" s="4"/>
      <c r="J349" s="5"/>
      <c r="K349" s="5"/>
      <c r="L349" s="5"/>
      <c r="M349" s="5"/>
      <c r="N349" s="74"/>
      <c r="O349" s="5"/>
      <c r="P349" s="74"/>
      <c r="Q349" s="5"/>
      <c r="R349" s="74"/>
      <c r="S349" s="5"/>
      <c r="T349" s="74"/>
      <c r="U349" s="74"/>
      <c r="V349" s="75"/>
      <c r="W349" s="74"/>
      <c r="X349" s="75"/>
      <c r="Y349" s="74"/>
      <c r="Z349" s="75"/>
      <c r="AA349" s="75"/>
      <c r="AC349" s="5"/>
      <c r="AD349" s="5"/>
      <c r="AE349" s="5"/>
      <c r="AF349" s="77"/>
      <c r="AG349" s="75"/>
      <c r="AH349" s="77"/>
      <c r="AI349" s="75"/>
      <c r="AK349" s="5"/>
      <c r="AL349" s="74"/>
      <c r="AM349" s="5"/>
      <c r="AN349" s="74"/>
      <c r="AO349" s="5"/>
      <c r="AP349" s="74"/>
      <c r="AQ349" s="5"/>
      <c r="AR349" s="74"/>
      <c r="AS349" s="74"/>
      <c r="AT349" s="75"/>
      <c r="AU349" s="74"/>
      <c r="AV349" s="75"/>
      <c r="AW349" s="74"/>
      <c r="AX349" s="75"/>
      <c r="AY349" s="75"/>
      <c r="BA349" s="5"/>
      <c r="BB349" s="74"/>
      <c r="BC349" s="5"/>
      <c r="BD349" s="74"/>
      <c r="BE349" s="5"/>
      <c r="BF349" s="74"/>
      <c r="BG349" s="74"/>
      <c r="BH349" s="75"/>
      <c r="BI349" s="74"/>
      <c r="BJ349" s="75"/>
      <c r="BK349" s="75"/>
    </row>
    <row r="350" spans="2:63" ht="11.95" hidden="1" thickBot="1" x14ac:dyDescent="0.3">
      <c r="B350" t="s">
        <v>1</v>
      </c>
      <c r="E350" s="3"/>
      <c r="F350" s="3"/>
      <c r="G350" s="3"/>
      <c r="H350" s="3" t="s">
        <v>6</v>
      </c>
      <c r="I350" s="18"/>
      <c r="J350" s="18"/>
      <c r="K350" s="18"/>
      <c r="L350" s="78"/>
      <c r="M350" s="79"/>
      <c r="N350" s="72"/>
      <c r="O350" s="79"/>
      <c r="P350" s="72"/>
      <c r="Q350" s="79"/>
      <c r="R350" s="72"/>
      <c r="S350" s="79"/>
      <c r="T350" s="72"/>
      <c r="U350" s="72">
        <f>IFERROR(($O350-M350)/ABS(M350),0)</f>
        <v>0</v>
      </c>
      <c r="V350" s="70">
        <f>($O350-M350)</f>
        <v>0</v>
      </c>
      <c r="W350" s="72">
        <f>IFERROR(($M350-Q350)/ABS(Q350),0)</f>
        <v>0</v>
      </c>
      <c r="X350" s="70">
        <f>($M350-Q350)</f>
        <v>0</v>
      </c>
      <c r="Y350" s="72">
        <f>IFERROR(($M350-S350)/ABS(S350),0)</f>
        <v>0</v>
      </c>
      <c r="Z350" s="70">
        <f>($M350-S350)</f>
        <v>0</v>
      </c>
      <c r="AA350" s="70"/>
      <c r="AC350" s="79"/>
      <c r="AD350" s="79"/>
      <c r="AE350" s="79"/>
      <c r="AF350" s="83">
        <f t="shared" ref="AF350" si="286">IFERROR(($AC350-AD350)/ABS(AD350),0)</f>
        <v>0</v>
      </c>
      <c r="AG350" s="70">
        <f>($AC350-AD350)</f>
        <v>0</v>
      </c>
      <c r="AH350" s="83">
        <f>IFERROR(($AC350-AE350)/ABS(AE350),0)</f>
        <v>0</v>
      </c>
      <c r="AI350" s="70">
        <f>($AC350-AE350)</f>
        <v>0</v>
      </c>
      <c r="AK350" s="79"/>
      <c r="AL350" s="72"/>
      <c r="AM350" s="79"/>
      <c r="AN350" s="72"/>
      <c r="AO350" s="79"/>
      <c r="AP350" s="72"/>
      <c r="AQ350" s="79"/>
      <c r="AR350" s="72"/>
      <c r="AS350" s="72">
        <f>IFERROR(($O350-AK350)/ABS(AK350),0)</f>
        <v>0</v>
      </c>
      <c r="AT350" s="70">
        <f>($AK350-AM350)</f>
        <v>0</v>
      </c>
      <c r="AU350" s="72">
        <f>IFERROR(($M350-AO350)/ABS(AO350),0)</f>
        <v>0</v>
      </c>
      <c r="AV350" s="70">
        <f>($AK350-AO350)</f>
        <v>0</v>
      </c>
      <c r="AW350" s="72">
        <f>IFERROR(($M350-AQ350)/ABS(AQ350),0)</f>
        <v>0</v>
      </c>
      <c r="AX350" s="70">
        <f>($AK350-AQ350)</f>
        <v>0</v>
      </c>
      <c r="AY350" s="70"/>
      <c r="BA350" s="79"/>
      <c r="BB350" s="72"/>
      <c r="BC350" s="79"/>
      <c r="BD350" s="72"/>
      <c r="BE350" s="79"/>
      <c r="BF350" s="72"/>
      <c r="BG350" s="72">
        <f>IFERROR(($BA350-BC350)/ABS(BC350),0)</f>
        <v>0</v>
      </c>
      <c r="BH350" s="70">
        <f>($BA350-BC350)</f>
        <v>0</v>
      </c>
      <c r="BI350" s="72">
        <f>IFERROR(($BA350-BE350)/ABS(BE350),0)</f>
        <v>0</v>
      </c>
      <c r="BJ350" s="70">
        <f>($BA350-BE350)</f>
        <v>0</v>
      </c>
      <c r="BK350" s="70"/>
    </row>
    <row r="351" spans="2:63" ht="11.95" hidden="1" thickBot="1" x14ac:dyDescent="0.3">
      <c r="B351" t="s">
        <v>1</v>
      </c>
      <c r="N351" s="90"/>
      <c r="P351" s="90"/>
      <c r="R351" s="90"/>
      <c r="T351" s="90"/>
      <c r="U351" s="90"/>
      <c r="V351" s="84"/>
      <c r="W351" s="90"/>
      <c r="X351" s="84"/>
      <c r="Y351" s="90"/>
      <c r="Z351" s="84"/>
      <c r="AA351" s="84"/>
      <c r="AF351" s="15"/>
      <c r="AG351" s="84"/>
      <c r="AH351" s="15"/>
      <c r="AI351" s="84"/>
      <c r="AL351" s="90"/>
      <c r="AN351" s="90"/>
      <c r="AP351" s="90"/>
      <c r="AR351" s="90"/>
      <c r="AS351" s="90"/>
      <c r="AT351" s="84"/>
      <c r="AU351" s="90"/>
      <c r="AV351" s="84"/>
      <c r="AW351" s="90"/>
      <c r="AX351" s="84"/>
      <c r="AY351" s="84"/>
      <c r="BB351" s="90"/>
      <c r="BD351" s="90"/>
      <c r="BF351" s="90"/>
      <c r="BG351" s="90"/>
      <c r="BH351" s="84"/>
      <c r="BI351" s="90"/>
      <c r="BJ351" s="84"/>
      <c r="BK351" s="84"/>
    </row>
    <row r="352" spans="2:63" ht="11.95" hidden="1" x14ac:dyDescent="0.25">
      <c r="B352" t="str">
        <f>B349</f>
        <v>#hiderow</v>
      </c>
      <c r="E352" s="19"/>
      <c r="F352" s="19"/>
      <c r="G352" s="19"/>
      <c r="H352" s="19" t="s">
        <v>86</v>
      </c>
      <c r="I352" s="85"/>
      <c r="J352" s="85"/>
      <c r="K352" s="85"/>
      <c r="L352" s="85">
        <v>-1</v>
      </c>
      <c r="M352" s="85">
        <f>SUMIFS(M350:M351,$I350:$I351,"&lt;&gt;"&amp;$I$29,$E350:$E351,"&lt;&gt;*[-]*",$F350:$F351,"&lt;&gt;*[-]*",$G350:$G351,"&lt;&gt;*[-]*",$H350:$H351,"*[+]*")</f>
        <v>0</v>
      </c>
      <c r="N352" s="110"/>
      <c r="O352" s="85">
        <f>SUMIFS(O350:O351,$I350:$I351,"&lt;&gt;"&amp;$I$29,$E350:$E351,"&lt;&gt;*[-]*",$F350:$F351,"&lt;&gt;*[-]*",$G350:$G351,"&lt;&gt;*[-]*",$H350:$H351,"*[+]*")</f>
        <v>0</v>
      </c>
      <c r="P352" s="110"/>
      <c r="Q352" s="85">
        <f>SUMIFS(Q350:Q351,$I350:$I351,"&lt;&gt;"&amp;$I$29,$E350:$E351,"&lt;&gt;*[-]*",$F350:$F351,"&lt;&gt;*[-]*",$G350:$G351,"&lt;&gt;*[-]*",$H350:$H351,"*[+]*")</f>
        <v>0</v>
      </c>
      <c r="R352" s="110"/>
      <c r="S352" s="85">
        <f>SUMIFS(S350:S351,$I350:$I351,"&lt;&gt;"&amp;$I$29,$E350:$E351,"&lt;&gt;*[-]*",$F350:$F351,"&lt;&gt;*[-]*",$G350:$G351,"&lt;&gt;*[-]*",$H350:$H351,"*[+]*")</f>
        <v>0</v>
      </c>
      <c r="T352" s="110"/>
      <c r="U352" s="110">
        <f>IFERROR(($O352-M352)/ABS(M352),0)</f>
        <v>0</v>
      </c>
      <c r="V352" s="87">
        <f>($O352-M352)</f>
        <v>0</v>
      </c>
      <c r="W352" s="110">
        <f>IFERROR(($M352-Q352)/ABS(Q352),0)</f>
        <v>0</v>
      </c>
      <c r="X352" s="87">
        <f>($M352-Q352)</f>
        <v>0</v>
      </c>
      <c r="Y352" s="110">
        <f>IFERROR(($M352-S352)/ABS(S352),0)</f>
        <v>0</v>
      </c>
      <c r="Z352" s="87">
        <f>($M352-S352)</f>
        <v>0</v>
      </c>
      <c r="AA352" s="87"/>
      <c r="AC352" s="85">
        <f>SUMIFS(AC350:AC351,$I350:$I351,"&lt;&gt;"&amp;$I$29,$E350:$E351,"&lt;&gt;*[-]*",$F350:$F351,"&lt;&gt;*[-]*",$G350:$G351,"&lt;&gt;*[-]*",$H350:$H351,"*[+]*")</f>
        <v>0</v>
      </c>
      <c r="AD352" s="85">
        <f>SUMIFS(AD350:AD351,$I350:$I351,"&lt;&gt;"&amp;$I$29,$E350:$E351,"&lt;&gt;*[-]*",$F350:$F351,"&lt;&gt;*[-]*",$G350:$G351,"&lt;&gt;*[-]*",$H350:$H351,"*[+]*")</f>
        <v>0</v>
      </c>
      <c r="AE352" s="85">
        <f>SUMIFS(AE350:AE351,$I350:$I351,"&lt;&gt;"&amp;$I$29,$E350:$E351,"&lt;&gt;*[-]*",$F350:$F351,"&lt;&gt;*[-]*",$G350:$G351,"&lt;&gt;*[-]*",$H350:$H351,"*[+]*")</f>
        <v>0</v>
      </c>
      <c r="AF352" s="89">
        <f t="shared" ref="AF352" si="287">IFERROR(($AC352-AD352)/ABS(AD352),0)</f>
        <v>0</v>
      </c>
      <c r="AG352" s="87">
        <f>($AC352-AD352)</f>
        <v>0</v>
      </c>
      <c r="AH352" s="89">
        <f>IFERROR(($AC352-AE352)/ABS(AE352),0)</f>
        <v>0</v>
      </c>
      <c r="AI352" s="87">
        <f>($AC352-AE352)</f>
        <v>0</v>
      </c>
      <c r="AK352" s="85">
        <f>SUMIFS(AK350:AK351,$I350:$I351,"&lt;&gt;"&amp;$I$29,$E350:$E351,"&lt;&gt;*[-]*",$F350:$F351,"&lt;&gt;*[-]*",$G350:$G351,"&lt;&gt;*[-]*",$H350:$H351,"*[+]*")</f>
        <v>0</v>
      </c>
      <c r="AL352" s="110"/>
      <c r="AM352" s="85">
        <f>SUMIFS(AM350:AM351,$I350:$I351,"&lt;&gt;"&amp;$I$29,$E350:$E351,"&lt;&gt;*[-]*",$F350:$F351,"&lt;&gt;*[-]*",$G350:$G351,"&lt;&gt;*[-]*",$H350:$H351,"*[+]*")</f>
        <v>0</v>
      </c>
      <c r="AN352" s="110"/>
      <c r="AO352" s="85">
        <f>SUMIFS(AO350:AO351,$I350:$I351,"&lt;&gt;"&amp;$I$29,$E350:$E351,"&lt;&gt;*[-]*",$F350:$F351,"&lt;&gt;*[-]*",$G350:$G351,"&lt;&gt;*[-]*",$H350:$H351,"*[+]*")</f>
        <v>0</v>
      </c>
      <c r="AP352" s="110"/>
      <c r="AQ352" s="85">
        <f>SUMIFS(AQ350:AQ351,$I350:$I351,"&lt;&gt;"&amp;$I$29,$E350:$E351,"&lt;&gt;*[-]*",$F350:$F351,"&lt;&gt;*[-]*",$G350:$G351,"&lt;&gt;*[-]*",$H350:$H351,"*[+]*")</f>
        <v>0</v>
      </c>
      <c r="AR352" s="110"/>
      <c r="AS352" s="110">
        <f>IFERROR(($O352-AK352)/ABS(AK352),0)</f>
        <v>0</v>
      </c>
      <c r="AT352" s="87">
        <f>($AK352-AM352)</f>
        <v>0</v>
      </c>
      <c r="AU352" s="110">
        <f>IFERROR(($M352-AO352)/ABS(AO352),0)</f>
        <v>0</v>
      </c>
      <c r="AV352" s="87">
        <f>($AK352-AO352)</f>
        <v>0</v>
      </c>
      <c r="AW352" s="110">
        <f>IFERROR(($M352-AQ352)/ABS(AQ352),0)</f>
        <v>0</v>
      </c>
      <c r="AX352" s="87">
        <f>($AK352-AQ352)</f>
        <v>0</v>
      </c>
      <c r="AY352" s="87"/>
      <c r="BA352" s="85">
        <f>SUMIFS(BA350:BA351,$I350:$I351,"&lt;&gt;"&amp;$I$29,$E350:$E351,"&lt;&gt;*[-]*",$F350:$F351,"&lt;&gt;*[-]*",$G350:$G351,"&lt;&gt;*[-]*",$H350:$H351,"*[+]*")</f>
        <v>0</v>
      </c>
      <c r="BB352" s="110"/>
      <c r="BC352" s="85">
        <f>SUMIFS(BC350:BC351,$I350:$I351,"&lt;&gt;"&amp;$I$29,$E350:$E351,"&lt;&gt;*[-]*",$F350:$F351,"&lt;&gt;*[-]*",$G350:$G351,"&lt;&gt;*[-]*",$H350:$H351,"*[+]*")</f>
        <v>0</v>
      </c>
      <c r="BD352" s="110"/>
      <c r="BE352" s="85">
        <f>SUMIFS(BE350:BE351,$I350:$I351,"&lt;&gt;"&amp;$I$29,$E350:$E351,"&lt;&gt;*[-]*",$F350:$F351,"&lt;&gt;*[-]*",$G350:$G351,"&lt;&gt;*[-]*",$H350:$H351,"*[+]*")</f>
        <v>0</v>
      </c>
      <c r="BF352" s="110"/>
      <c r="BG352" s="110">
        <f>IFERROR(($BA352-BC352)/ABS(BC352),0)</f>
        <v>0</v>
      </c>
      <c r="BH352" s="87">
        <f>($BA352-BC352)</f>
        <v>0</v>
      </c>
      <c r="BI352" s="110">
        <f>IFERROR(($BA352-BE352)/ABS(BE352),0)</f>
        <v>0</v>
      </c>
      <c r="BJ352" s="87">
        <f>($BA352-BE352)</f>
        <v>0</v>
      </c>
      <c r="BK352" s="87"/>
    </row>
    <row r="353" spans="2:63" hidden="1" x14ac:dyDescent="0.25">
      <c r="B353" t="str">
        <f>B352</f>
        <v>#hiderow</v>
      </c>
      <c r="N353" s="90"/>
      <c r="P353" s="90"/>
      <c r="R353" s="90"/>
      <c r="T353" s="90"/>
      <c r="U353" s="90"/>
      <c r="V353" s="84"/>
      <c r="W353" s="90"/>
      <c r="X353" s="84"/>
      <c r="Y353" s="90"/>
      <c r="Z353" s="84"/>
      <c r="AA353" s="84"/>
      <c r="AF353" s="15"/>
      <c r="AG353" s="84"/>
      <c r="AH353" s="15"/>
      <c r="AI353" s="84"/>
      <c r="AL353" s="90"/>
      <c r="AN353" s="90"/>
      <c r="AP353" s="90"/>
      <c r="AR353" s="90"/>
      <c r="AS353" s="90"/>
      <c r="AT353" s="84"/>
      <c r="AU353" s="90"/>
      <c r="AV353" s="84"/>
      <c r="AW353" s="90"/>
      <c r="AX353" s="84"/>
      <c r="AY353" s="84"/>
      <c r="BB353" s="90"/>
      <c r="BD353" s="90"/>
      <c r="BF353" s="90"/>
      <c r="BG353" s="90"/>
      <c r="BH353" s="84"/>
      <c r="BI353" s="90"/>
      <c r="BJ353" s="84"/>
      <c r="BK353" s="84"/>
    </row>
    <row r="354" spans="2:63" ht="12.45" hidden="1" thickBot="1" x14ac:dyDescent="0.3">
      <c r="B354" t="str">
        <f>IF(COUNTBLANK(B355:B356)&gt;0,"#showrow","#hiderow")</f>
        <v>#hiderow</v>
      </c>
      <c r="E354" s="4"/>
      <c r="F354" s="4"/>
      <c r="G354" s="4"/>
      <c r="H354" s="4" t="s">
        <v>45</v>
      </c>
      <c r="I354" s="4"/>
      <c r="J354" s="5"/>
      <c r="K354" s="5"/>
      <c r="L354" s="5"/>
      <c r="M354" s="5"/>
      <c r="N354" s="74"/>
      <c r="O354" s="5"/>
      <c r="P354" s="74"/>
      <c r="Q354" s="5"/>
      <c r="R354" s="74"/>
      <c r="S354" s="5"/>
      <c r="T354" s="74"/>
      <c r="U354" s="74"/>
      <c r="V354" s="75"/>
      <c r="W354" s="74"/>
      <c r="X354" s="75"/>
      <c r="Y354" s="74"/>
      <c r="Z354" s="75"/>
      <c r="AA354" s="75"/>
      <c r="AC354" s="5"/>
      <c r="AD354" s="5"/>
      <c r="AE354" s="5"/>
      <c r="AF354" s="77"/>
      <c r="AG354" s="75"/>
      <c r="AH354" s="77"/>
      <c r="AI354" s="75"/>
      <c r="AK354" s="5"/>
      <c r="AL354" s="74"/>
      <c r="AM354" s="5"/>
      <c r="AN354" s="74"/>
      <c r="AO354" s="5"/>
      <c r="AP354" s="74"/>
      <c r="AQ354" s="5"/>
      <c r="AR354" s="74"/>
      <c r="AS354" s="74"/>
      <c r="AT354" s="75"/>
      <c r="AU354" s="74"/>
      <c r="AV354" s="75"/>
      <c r="AW354" s="74"/>
      <c r="AX354" s="75"/>
      <c r="AY354" s="75"/>
      <c r="BA354" s="5"/>
      <c r="BB354" s="74"/>
      <c r="BC354" s="5"/>
      <c r="BD354" s="74"/>
      <c r="BE354" s="5"/>
      <c r="BF354" s="74"/>
      <c r="BG354" s="74"/>
      <c r="BH354" s="75"/>
      <c r="BI354" s="74"/>
      <c r="BJ354" s="75"/>
      <c r="BK354" s="75"/>
    </row>
    <row r="355" spans="2:63" ht="11.95" hidden="1" thickBot="1" x14ac:dyDescent="0.3">
      <c r="B355" t="s">
        <v>1</v>
      </c>
      <c r="E355" s="3"/>
      <c r="F355" s="3"/>
      <c r="G355" s="3"/>
      <c r="H355" s="3" t="s">
        <v>6</v>
      </c>
      <c r="I355" s="18"/>
      <c r="J355" s="18"/>
      <c r="K355" s="18"/>
      <c r="L355" s="78"/>
      <c r="M355" s="79"/>
      <c r="N355" s="72"/>
      <c r="O355" s="79"/>
      <c r="P355" s="72"/>
      <c r="Q355" s="79"/>
      <c r="R355" s="72"/>
      <c r="S355" s="79"/>
      <c r="T355" s="72"/>
      <c r="U355" s="72">
        <f>IFERROR(($O355-M355)/ABS(M355),0)</f>
        <v>0</v>
      </c>
      <c r="V355" s="70">
        <f>($O355-M355)</f>
        <v>0</v>
      </c>
      <c r="W355" s="72">
        <f>IFERROR(($M355-Q355)/ABS(Q355),0)</f>
        <v>0</v>
      </c>
      <c r="X355" s="70">
        <f>($M355-Q355)</f>
        <v>0</v>
      </c>
      <c r="Y355" s="72">
        <f>IFERROR(($M355-S355)/ABS(S355),0)</f>
        <v>0</v>
      </c>
      <c r="Z355" s="70">
        <f>($M355-S355)</f>
        <v>0</v>
      </c>
      <c r="AA355" s="70"/>
      <c r="AC355" s="79"/>
      <c r="AD355" s="79"/>
      <c r="AE355" s="79"/>
      <c r="AF355" s="83">
        <f t="shared" ref="AF355" si="288">IFERROR(($AC355-AD355)/ABS(AD355),0)</f>
        <v>0</v>
      </c>
      <c r="AG355" s="70">
        <f>($AC355-AD355)</f>
        <v>0</v>
      </c>
      <c r="AH355" s="83">
        <f>IFERROR(($AC355-AE355)/ABS(AE355),0)</f>
        <v>0</v>
      </c>
      <c r="AI355" s="70">
        <f>($AC355-AE355)</f>
        <v>0</v>
      </c>
      <c r="AK355" s="79"/>
      <c r="AL355" s="72"/>
      <c r="AM355" s="79"/>
      <c r="AN355" s="72"/>
      <c r="AO355" s="79"/>
      <c r="AP355" s="72"/>
      <c r="AQ355" s="79"/>
      <c r="AR355" s="72"/>
      <c r="AS355" s="72">
        <f>IFERROR(($O355-AK355)/ABS(AK355),0)</f>
        <v>0</v>
      </c>
      <c r="AT355" s="70">
        <f>($AK355-AM355)</f>
        <v>0</v>
      </c>
      <c r="AU355" s="72">
        <f>IFERROR(($M355-AO355)/ABS(AO355),0)</f>
        <v>0</v>
      </c>
      <c r="AV355" s="70">
        <f>($AK355-AO355)</f>
        <v>0</v>
      </c>
      <c r="AW355" s="72">
        <f>IFERROR(($M355-AQ355)/ABS(AQ355),0)</f>
        <v>0</v>
      </c>
      <c r="AX355" s="70">
        <f>($AK355-AQ355)</f>
        <v>0</v>
      </c>
      <c r="AY355" s="70"/>
      <c r="BA355" s="79"/>
      <c r="BB355" s="72"/>
      <c r="BC355" s="79"/>
      <c r="BD355" s="72"/>
      <c r="BE355" s="79"/>
      <c r="BF355" s="72"/>
      <c r="BG355" s="72">
        <f>IFERROR(($BA355-BC355)/ABS(BC355),0)</f>
        <v>0</v>
      </c>
      <c r="BH355" s="70">
        <f>($BA355-BC355)</f>
        <v>0</v>
      </c>
      <c r="BI355" s="72">
        <f>IFERROR(($BA355-BE355)/ABS(BE355),0)</f>
        <v>0</v>
      </c>
      <c r="BJ355" s="70">
        <f>($BA355-BE355)</f>
        <v>0</v>
      </c>
      <c r="BK355" s="70"/>
    </row>
    <row r="356" spans="2:63" ht="11.95" hidden="1" thickBot="1" x14ac:dyDescent="0.3">
      <c r="B356" t="s">
        <v>1</v>
      </c>
      <c r="N356" s="90"/>
      <c r="P356" s="90"/>
      <c r="R356" s="90"/>
      <c r="T356" s="90"/>
      <c r="U356" s="90"/>
      <c r="V356" s="84"/>
      <c r="W356" s="90"/>
      <c r="X356" s="84"/>
      <c r="Y356" s="90"/>
      <c r="Z356" s="84"/>
      <c r="AA356" s="84"/>
      <c r="AF356" s="15"/>
      <c r="AG356" s="84"/>
      <c r="AH356" s="15"/>
      <c r="AI356" s="84"/>
      <c r="AL356" s="90"/>
      <c r="AN356" s="90"/>
      <c r="AP356" s="90"/>
      <c r="AR356" s="90"/>
      <c r="AS356" s="90"/>
      <c r="AT356" s="84"/>
      <c r="AU356" s="90"/>
      <c r="AV356" s="84"/>
      <c r="AW356" s="90"/>
      <c r="AX356" s="84"/>
      <c r="AY356" s="84"/>
      <c r="BB356" s="90"/>
      <c r="BD356" s="90"/>
      <c r="BF356" s="90"/>
      <c r="BG356" s="90"/>
      <c r="BH356" s="84"/>
      <c r="BI356" s="90"/>
      <c r="BJ356" s="84"/>
      <c r="BK356" s="84"/>
    </row>
    <row r="357" spans="2:63" ht="11.95" hidden="1" x14ac:dyDescent="0.25">
      <c r="B357" t="str">
        <f>B354</f>
        <v>#hiderow</v>
      </c>
      <c r="E357" s="19"/>
      <c r="F357" s="19"/>
      <c r="G357" s="19"/>
      <c r="H357" s="19" t="s">
        <v>87</v>
      </c>
      <c r="I357" s="85"/>
      <c r="J357" s="85"/>
      <c r="K357" s="85"/>
      <c r="L357" s="85">
        <v>-1</v>
      </c>
      <c r="M357" s="85">
        <f>SUMIFS(M355:M356,$I355:$I356,"&lt;&gt;"&amp;$I$29,$E355:$E356,"&lt;&gt;*[-]*",$F355:$F356,"&lt;&gt;*[-]*",$G355:$G356,"&lt;&gt;*[-]*",$H355:$H356,"*[+]*")</f>
        <v>0</v>
      </c>
      <c r="N357" s="110"/>
      <c r="O357" s="85">
        <f>SUMIFS(O355:O356,$I355:$I356,"&lt;&gt;"&amp;$I$29,$E355:$E356,"&lt;&gt;*[-]*",$F355:$F356,"&lt;&gt;*[-]*",$G355:$G356,"&lt;&gt;*[-]*",$H355:$H356,"*[+]*")</f>
        <v>0</v>
      </c>
      <c r="P357" s="110"/>
      <c r="Q357" s="85">
        <f>SUMIFS(Q355:Q356,$I355:$I356,"&lt;&gt;"&amp;$I$29,$E355:$E356,"&lt;&gt;*[-]*",$F355:$F356,"&lt;&gt;*[-]*",$G355:$G356,"&lt;&gt;*[-]*",$H355:$H356,"*[+]*")</f>
        <v>0</v>
      </c>
      <c r="R357" s="110"/>
      <c r="S357" s="85">
        <f>SUMIFS(S355:S356,$I355:$I356,"&lt;&gt;"&amp;$I$29,$E355:$E356,"&lt;&gt;*[-]*",$F355:$F356,"&lt;&gt;*[-]*",$G355:$G356,"&lt;&gt;*[-]*",$H355:$H356,"*[+]*")</f>
        <v>0</v>
      </c>
      <c r="T357" s="110"/>
      <c r="U357" s="110">
        <f>IFERROR(($O357-M357)/ABS(M357),0)</f>
        <v>0</v>
      </c>
      <c r="V357" s="87">
        <f>($O357-M357)</f>
        <v>0</v>
      </c>
      <c r="W357" s="110">
        <f>IFERROR(($M357-Q357)/ABS(Q357),0)</f>
        <v>0</v>
      </c>
      <c r="X357" s="87">
        <f>($M357-Q357)</f>
        <v>0</v>
      </c>
      <c r="Y357" s="110">
        <f>IFERROR(($M357-S357)/ABS(S357),0)</f>
        <v>0</v>
      </c>
      <c r="Z357" s="87">
        <f>($M357-S357)</f>
        <v>0</v>
      </c>
      <c r="AA357" s="87"/>
      <c r="AC357" s="85">
        <f>SUMIFS(AC355:AC356,$I355:$I356,"&lt;&gt;"&amp;$I$29,$E355:$E356,"&lt;&gt;*[-]*",$F355:$F356,"&lt;&gt;*[-]*",$G355:$G356,"&lt;&gt;*[-]*",$H355:$H356,"*[+]*")</f>
        <v>0</v>
      </c>
      <c r="AD357" s="85">
        <f>SUMIFS(AD355:AD356,$I355:$I356,"&lt;&gt;"&amp;$I$29,$E355:$E356,"&lt;&gt;*[-]*",$F355:$F356,"&lt;&gt;*[-]*",$G355:$G356,"&lt;&gt;*[-]*",$H355:$H356,"*[+]*")</f>
        <v>0</v>
      </c>
      <c r="AE357" s="85">
        <f>SUMIFS(AE355:AE356,$I355:$I356,"&lt;&gt;"&amp;$I$29,$E355:$E356,"&lt;&gt;*[-]*",$F355:$F356,"&lt;&gt;*[-]*",$G355:$G356,"&lt;&gt;*[-]*",$H355:$H356,"*[+]*")</f>
        <v>0</v>
      </c>
      <c r="AF357" s="89">
        <f t="shared" ref="AF357" si="289">IFERROR(($AC357-AD357)/ABS(AD357),0)</f>
        <v>0</v>
      </c>
      <c r="AG357" s="87">
        <f>($AC357-AD357)</f>
        <v>0</v>
      </c>
      <c r="AH357" s="89">
        <f>IFERROR(($AC357-AE357)/ABS(AE357),0)</f>
        <v>0</v>
      </c>
      <c r="AI357" s="87">
        <f>($AC357-AE357)</f>
        <v>0</v>
      </c>
      <c r="AK357" s="85">
        <f>SUMIFS(AK355:AK356,$I355:$I356,"&lt;&gt;"&amp;$I$29,$E355:$E356,"&lt;&gt;*[-]*",$F355:$F356,"&lt;&gt;*[-]*",$G355:$G356,"&lt;&gt;*[-]*",$H355:$H356,"*[+]*")</f>
        <v>0</v>
      </c>
      <c r="AL357" s="110"/>
      <c r="AM357" s="85"/>
      <c r="AN357" s="110"/>
      <c r="AO357" s="85"/>
      <c r="AP357" s="110"/>
      <c r="AQ357" s="85">
        <f>SUMIFS(AQ355:AQ356,$I355:$I356,"&lt;&gt;"&amp;$I$29,$E355:$E356,"&lt;&gt;*[-]*",$F355:$F356,"&lt;&gt;*[-]*",$G355:$G356,"&lt;&gt;*[-]*",$H355:$H356,"*[+]*")</f>
        <v>0</v>
      </c>
      <c r="AR357" s="110"/>
      <c r="AS357" s="110">
        <f>IFERROR(($O357-AK357)/ABS(AK357),0)</f>
        <v>0</v>
      </c>
      <c r="AT357" s="87">
        <f>($AK357-AM357)</f>
        <v>0</v>
      </c>
      <c r="AU357" s="110">
        <f>IFERROR(($M357-AO357)/ABS(AO357),0)</f>
        <v>0</v>
      </c>
      <c r="AV357" s="87">
        <f>($AK357-AO357)</f>
        <v>0</v>
      </c>
      <c r="AW357" s="110">
        <f>IFERROR(($M357-AQ357)/ABS(AQ357),0)</f>
        <v>0</v>
      </c>
      <c r="AX357" s="87">
        <f>($AK357-AQ357)</f>
        <v>0</v>
      </c>
      <c r="AY357" s="87"/>
      <c r="BA357" s="85">
        <f>SUMIFS(BA355:BA356,$I355:$I356,"&lt;&gt;"&amp;$I$29,$E355:$E356,"&lt;&gt;*[-]*",$F355:$F356,"&lt;&gt;*[-]*",$G355:$G356,"&lt;&gt;*[-]*",$H355:$H356,"*[+]*")</f>
        <v>0</v>
      </c>
      <c r="BB357" s="110"/>
      <c r="BC357" s="85">
        <f>SUMIFS(BC355:BC356,$I355:$I356,"&lt;&gt;"&amp;$I$29,$E355:$E356,"&lt;&gt;*[-]*",$F355:$F356,"&lt;&gt;*[-]*",$G355:$G356,"&lt;&gt;*[-]*",$H355:$H356,"*[+]*")</f>
        <v>0</v>
      </c>
      <c r="BD357" s="110"/>
      <c r="BE357" s="85">
        <f>SUMIFS(BE355:BE356,$I355:$I356,"&lt;&gt;"&amp;$I$29,$E355:$E356,"&lt;&gt;*[-]*",$F355:$F356,"&lt;&gt;*[-]*",$G355:$G356,"&lt;&gt;*[-]*",$H355:$H356,"*[+]*")</f>
        <v>0</v>
      </c>
      <c r="BF357" s="110"/>
      <c r="BG357" s="110">
        <f>IFERROR(($BA357-BC357)/ABS(BC357),0)</f>
        <v>0</v>
      </c>
      <c r="BH357" s="87">
        <f>($BA357-BC357)</f>
        <v>0</v>
      </c>
      <c r="BI357" s="110">
        <f>IFERROR(($BA357-BE357)/ABS(BE357),0)</f>
        <v>0</v>
      </c>
      <c r="BJ357" s="87">
        <f>($BA357-BE357)</f>
        <v>0</v>
      </c>
      <c r="BK357" s="87"/>
    </row>
    <row r="358" spans="2:63" hidden="1" x14ac:dyDescent="0.25">
      <c r="B358" t="str">
        <f>B357</f>
        <v>#hiderow</v>
      </c>
      <c r="N358" s="90"/>
      <c r="P358" s="90"/>
      <c r="R358" s="90"/>
      <c r="T358" s="90"/>
      <c r="U358" s="90"/>
      <c r="V358" s="84"/>
      <c r="W358" s="90"/>
      <c r="X358" s="84"/>
      <c r="Y358" s="90"/>
      <c r="Z358" s="84"/>
      <c r="AA358" s="84"/>
      <c r="AF358" s="15"/>
      <c r="AG358" s="84"/>
      <c r="AH358" s="15"/>
      <c r="AI358" s="84"/>
      <c r="AL358" s="90"/>
      <c r="AN358" s="90"/>
      <c r="AP358" s="90"/>
      <c r="AR358" s="90"/>
      <c r="AS358" s="90"/>
      <c r="AT358" s="84"/>
      <c r="AU358" s="90"/>
      <c r="AV358" s="84"/>
      <c r="AW358" s="90"/>
      <c r="AX358" s="84"/>
      <c r="AY358" s="84"/>
      <c r="BB358" s="90"/>
      <c r="BD358" s="90"/>
      <c r="BF358" s="90"/>
      <c r="BG358" s="90"/>
      <c r="BH358" s="84"/>
      <c r="BI358" s="90"/>
      <c r="BJ358" s="84"/>
      <c r="BK358" s="84"/>
    </row>
    <row r="359" spans="2:63" ht="12.45" hidden="1" thickBot="1" x14ac:dyDescent="0.3">
      <c r="B359" t="str">
        <f>IF(COUNTBLANK(B360:B361)&gt;0,"#showrow","#hiderow")</f>
        <v>#hiderow</v>
      </c>
      <c r="E359" s="4"/>
      <c r="F359" s="4"/>
      <c r="G359" s="4"/>
      <c r="H359" s="4" t="s">
        <v>88</v>
      </c>
      <c r="I359" s="4"/>
      <c r="J359" s="5"/>
      <c r="K359" s="5"/>
      <c r="L359" s="5"/>
      <c r="M359" s="5"/>
      <c r="N359" s="74"/>
      <c r="O359" s="5"/>
      <c r="P359" s="74"/>
      <c r="Q359" s="5"/>
      <c r="R359" s="74"/>
      <c r="S359" s="5"/>
      <c r="T359" s="74"/>
      <c r="U359" s="74"/>
      <c r="V359" s="75"/>
      <c r="W359" s="74"/>
      <c r="X359" s="75"/>
      <c r="Y359" s="74"/>
      <c r="Z359" s="75"/>
      <c r="AA359" s="75"/>
      <c r="AC359" s="5"/>
      <c r="AD359" s="5"/>
      <c r="AE359" s="5"/>
      <c r="AF359" s="77"/>
      <c r="AG359" s="75"/>
      <c r="AH359" s="77"/>
      <c r="AI359" s="75"/>
      <c r="AK359" s="5"/>
      <c r="AL359" s="74"/>
      <c r="AM359" s="5"/>
      <c r="AN359" s="74"/>
      <c r="AO359" s="5"/>
      <c r="AP359" s="74"/>
      <c r="AQ359" s="5"/>
      <c r="AR359" s="74"/>
      <c r="AS359" s="74"/>
      <c r="AT359" s="75"/>
      <c r="AU359" s="74"/>
      <c r="AV359" s="75"/>
      <c r="AW359" s="74"/>
      <c r="AX359" s="75"/>
      <c r="AY359" s="75"/>
      <c r="BA359" s="5"/>
      <c r="BB359" s="74"/>
      <c r="BC359" s="5"/>
      <c r="BD359" s="74"/>
      <c r="BE359" s="5"/>
      <c r="BF359" s="74"/>
      <c r="BG359" s="74"/>
      <c r="BH359" s="75"/>
      <c r="BI359" s="74"/>
      <c r="BJ359" s="75"/>
      <c r="BK359" s="75"/>
    </row>
    <row r="360" spans="2:63" ht="11.95" hidden="1" thickBot="1" x14ac:dyDescent="0.3">
      <c r="B360" t="s">
        <v>1</v>
      </c>
      <c r="E360" s="3"/>
      <c r="F360" s="3"/>
      <c r="G360" s="3"/>
      <c r="H360" s="3" t="s">
        <v>6</v>
      </c>
      <c r="I360" s="18"/>
      <c r="J360" s="18"/>
      <c r="K360" s="18"/>
      <c r="L360" s="78"/>
      <c r="M360" s="79"/>
      <c r="N360" s="72"/>
      <c r="O360" s="79"/>
      <c r="P360" s="72"/>
      <c r="Q360" s="79"/>
      <c r="R360" s="72"/>
      <c r="S360" s="79"/>
      <c r="T360" s="72"/>
      <c r="U360" s="72">
        <f>IFERROR(($O360-M360)/ABS(M360),0)</f>
        <v>0</v>
      </c>
      <c r="V360" s="70">
        <f>($O360-M360)</f>
        <v>0</v>
      </c>
      <c r="W360" s="72">
        <f>IFERROR(($M360-Q360)/ABS(Q360),0)</f>
        <v>0</v>
      </c>
      <c r="X360" s="70">
        <f>($M360-Q360)</f>
        <v>0</v>
      </c>
      <c r="Y360" s="72">
        <f>IFERROR(($M360-S360)/ABS(S360),0)</f>
        <v>0</v>
      </c>
      <c r="Z360" s="70">
        <f>($M360-S360)</f>
        <v>0</v>
      </c>
      <c r="AA360" s="70"/>
      <c r="AC360" s="79"/>
      <c r="AD360" s="79"/>
      <c r="AE360" s="79"/>
      <c r="AF360" s="83">
        <f t="shared" ref="AF360" si="290">IFERROR(($AC360-AD360)/ABS(AD360),0)</f>
        <v>0</v>
      </c>
      <c r="AG360" s="70">
        <f>($AC360-AD360)</f>
        <v>0</v>
      </c>
      <c r="AH360" s="83">
        <f>IFERROR(($AC360-AE360)/ABS(AE360),0)</f>
        <v>0</v>
      </c>
      <c r="AI360" s="70">
        <f>($AC360-AE360)</f>
        <v>0</v>
      </c>
      <c r="AK360" s="79"/>
      <c r="AL360" s="72"/>
      <c r="AM360" s="79"/>
      <c r="AN360" s="72"/>
      <c r="AO360" s="79"/>
      <c r="AP360" s="72"/>
      <c r="AQ360" s="79"/>
      <c r="AR360" s="72"/>
      <c r="AS360" s="72">
        <f>IFERROR(($O360-AK360)/ABS(AK360),0)</f>
        <v>0</v>
      </c>
      <c r="AT360" s="70">
        <f>($AK360-AM360)</f>
        <v>0</v>
      </c>
      <c r="AU360" s="72">
        <f>IFERROR(($M360-AO360)/ABS(AO360),0)</f>
        <v>0</v>
      </c>
      <c r="AV360" s="70">
        <f>($AK360-AO360)</f>
        <v>0</v>
      </c>
      <c r="AW360" s="72">
        <f>IFERROR(($M360-AQ360)/ABS(AQ360),0)</f>
        <v>0</v>
      </c>
      <c r="AX360" s="70">
        <f>($AK360-AQ360)</f>
        <v>0</v>
      </c>
      <c r="AY360" s="70"/>
      <c r="BA360" s="79"/>
      <c r="BB360" s="72"/>
      <c r="BC360" s="79"/>
      <c r="BD360" s="72"/>
      <c r="BE360" s="79"/>
      <c r="BF360" s="72"/>
      <c r="BG360" s="72">
        <f>IFERROR(($BA360-BC360)/ABS(BC360),0)</f>
        <v>0</v>
      </c>
      <c r="BH360" s="70">
        <f>($BA360-BC360)</f>
        <v>0</v>
      </c>
      <c r="BI360" s="72">
        <f>IFERROR(($BA360-BE360)/ABS(BE360),0)</f>
        <v>0</v>
      </c>
      <c r="BJ360" s="70">
        <f>($BA360-BE360)</f>
        <v>0</v>
      </c>
      <c r="BK360" s="70"/>
    </row>
    <row r="361" spans="2:63" ht="11.95" hidden="1" thickBot="1" x14ac:dyDescent="0.3">
      <c r="B361" t="s">
        <v>1</v>
      </c>
      <c r="N361" s="90"/>
      <c r="P361" s="90"/>
      <c r="R361" s="90"/>
      <c r="T361" s="90"/>
      <c r="U361" s="90"/>
      <c r="V361" s="84"/>
      <c r="W361" s="90"/>
      <c r="X361" s="84"/>
      <c r="Y361" s="90"/>
      <c r="Z361" s="84"/>
      <c r="AA361" s="84"/>
      <c r="AF361" s="15"/>
      <c r="AG361" s="84"/>
      <c r="AH361" s="15"/>
      <c r="AI361" s="84"/>
      <c r="AL361" s="90"/>
      <c r="AN361" s="90"/>
      <c r="AP361" s="90"/>
      <c r="AR361" s="90"/>
      <c r="AS361" s="90"/>
      <c r="AT361" s="84"/>
      <c r="AU361" s="90"/>
      <c r="AV361" s="84"/>
      <c r="AW361" s="90"/>
      <c r="AX361" s="84"/>
      <c r="AY361" s="84"/>
      <c r="BB361" s="90"/>
      <c r="BD361" s="90"/>
      <c r="BF361" s="90"/>
      <c r="BG361" s="90"/>
      <c r="BH361" s="84"/>
      <c r="BI361" s="90"/>
      <c r="BJ361" s="84"/>
      <c r="BK361" s="84"/>
    </row>
    <row r="362" spans="2:63" ht="11.95" hidden="1" x14ac:dyDescent="0.25">
      <c r="B362" t="str">
        <f>B359</f>
        <v>#hiderow</v>
      </c>
      <c r="E362" s="19"/>
      <c r="F362" s="19"/>
      <c r="G362" s="19"/>
      <c r="H362" s="19" t="s">
        <v>89</v>
      </c>
      <c r="I362" s="85"/>
      <c r="J362" s="85"/>
      <c r="K362" s="85"/>
      <c r="L362" s="85">
        <v>1</v>
      </c>
      <c r="M362" s="85">
        <f>SUMIFS(M360:M361,$I360:$I361,"&lt;&gt;"&amp;$I$29,$E360:$E361,"&lt;&gt;*[-]*",$F360:$F361,"&lt;&gt;*[-]*",$G360:$G361,"&lt;&gt;*[-]*",$H360:$H361,"*[+]*")</f>
        <v>0</v>
      </c>
      <c r="N362" s="110"/>
      <c r="O362" s="85">
        <f>SUMIFS(O360:O361,$I360:$I361,"&lt;&gt;"&amp;$I$29,$E360:$E361,"&lt;&gt;*[-]*",$F360:$F361,"&lt;&gt;*[-]*",$G360:$G361,"&lt;&gt;*[-]*",$H360:$H361,"*[+]*")</f>
        <v>0</v>
      </c>
      <c r="P362" s="110"/>
      <c r="Q362" s="85">
        <f>SUMIFS(Q360:Q361,$I360:$I361,"&lt;&gt;"&amp;$I$29,$E360:$E361,"&lt;&gt;*[-]*",$F360:$F361,"&lt;&gt;*[-]*",$G360:$G361,"&lt;&gt;*[-]*",$H360:$H361,"*[+]*")</f>
        <v>0</v>
      </c>
      <c r="R362" s="110"/>
      <c r="S362" s="85">
        <f>SUMIFS(S360:S361,$I360:$I361,"&lt;&gt;"&amp;$I$29,$E360:$E361,"&lt;&gt;*[-]*",$F360:$F361,"&lt;&gt;*[-]*",$G360:$G361,"&lt;&gt;*[-]*",$H360:$H361,"*[+]*")</f>
        <v>0</v>
      </c>
      <c r="T362" s="110"/>
      <c r="U362" s="110">
        <f>IFERROR(($O362-M362)/ABS(M362),0)</f>
        <v>0</v>
      </c>
      <c r="V362" s="87">
        <f>($O362-M362)</f>
        <v>0</v>
      </c>
      <c r="W362" s="110">
        <f>IFERROR(($M362-Q362)/ABS(Q362),0)</f>
        <v>0</v>
      </c>
      <c r="X362" s="87">
        <f>($M362-Q362)</f>
        <v>0</v>
      </c>
      <c r="Y362" s="110">
        <f>IFERROR(($M362-S362)/ABS(S362),0)</f>
        <v>0</v>
      </c>
      <c r="Z362" s="87">
        <f>($M362-S362)</f>
        <v>0</v>
      </c>
      <c r="AA362" s="87"/>
      <c r="AC362" s="85">
        <f>SUMIFS(AC360:AC361,$I360:$I361,"&lt;&gt;"&amp;$I$29,$E360:$E361,"&lt;&gt;*[-]*",$F360:$F361,"&lt;&gt;*[-]*",$G360:$G361,"&lt;&gt;*[-]*",$H360:$H361,"&lt;&gt;*[-]*")</f>
        <v>0</v>
      </c>
      <c r="AD362" s="85">
        <f>SUMIFS(AD360:AD361,$I360:$I361,"&lt;&gt;"&amp;$I$29,$E360:$E361,"&lt;&gt;*[-]*",$F360:$F361,"&lt;&gt;*[-]*",$G360:$G361,"&lt;&gt;*[-]*",$H360:$H361,"&lt;&gt;*[-]*")</f>
        <v>0</v>
      </c>
      <c r="AE362" s="85">
        <f>SUMIFS(AE360:AE361,$I360:$I361,"&lt;&gt;"&amp;$I$29,$E360:$E361,"&lt;&gt;*[-]*",$F360:$F361,"&lt;&gt;*[-]*",$G360:$G361,"&lt;&gt;*[-]*",$H360:$H361,"&lt;&gt;*[-]*")</f>
        <v>0</v>
      </c>
      <c r="AF362" s="89">
        <f t="shared" ref="AF362" si="291">IFERROR(($AC362-AD362)/ABS(AD362),0)</f>
        <v>0</v>
      </c>
      <c r="AG362" s="87">
        <f>($AC362-AD362)</f>
        <v>0</v>
      </c>
      <c r="AH362" s="89">
        <f>IFERROR(($AC362-AE362)/ABS(AE362),0)</f>
        <v>0</v>
      </c>
      <c r="AI362" s="87">
        <f>($AC362-AE362)</f>
        <v>0</v>
      </c>
      <c r="AK362" s="85">
        <f>SUMIFS(AK360:AK361,$I360:$I361,"&lt;&gt;"&amp;$I$29,$E360:$E361,"&lt;&gt;*[-]*",$F360:$F361,"&lt;&gt;*[-]*",$G360:$G361,"&lt;&gt;*[-]*",$H360:$H361,"*[+]*")</f>
        <v>0</v>
      </c>
      <c r="AL362" s="110"/>
      <c r="AM362" s="85"/>
      <c r="AN362" s="110"/>
      <c r="AO362" s="85"/>
      <c r="AP362" s="110"/>
      <c r="AQ362" s="85">
        <f>SUMIFS(AQ360:AQ361,$I360:$I361,"&lt;&gt;"&amp;$I$29,$E360:$E361,"&lt;&gt;*[-]*",$F360:$F361,"&lt;&gt;*[-]*",$G360:$G361,"&lt;&gt;*[-]*",$H360:$H361,"*[+]*")</f>
        <v>0</v>
      </c>
      <c r="AR362" s="110"/>
      <c r="AS362" s="110">
        <f>IFERROR(($O362-AK362)/ABS(AK362),0)</f>
        <v>0</v>
      </c>
      <c r="AT362" s="87">
        <f>($AK362-AM362)</f>
        <v>0</v>
      </c>
      <c r="AU362" s="110">
        <f>IFERROR(($M362-AO362)/ABS(AO362),0)</f>
        <v>0</v>
      </c>
      <c r="AV362" s="87">
        <f>($AK362-AO362)</f>
        <v>0</v>
      </c>
      <c r="AW362" s="110">
        <f>IFERROR(($M362-AQ362)/ABS(AQ362),0)</f>
        <v>0</v>
      </c>
      <c r="AX362" s="87">
        <f>($AK362-AQ362)</f>
        <v>0</v>
      </c>
      <c r="AY362" s="87"/>
      <c r="BA362" s="85">
        <f>SUMIFS(BA360:BA361,$I360:$I361,"&lt;&gt;"&amp;$I$29,$E360:$E361,"&lt;&gt;*[-]*",$F360:$F361,"&lt;&gt;*[-]*",$G360:$G361,"&lt;&gt;*[-]*",$H360:$H361,"*[+]*")</f>
        <v>0</v>
      </c>
      <c r="BB362" s="110"/>
      <c r="BC362" s="85">
        <f>SUMIFS(BC360:BC361,$I360:$I361,"&lt;&gt;"&amp;$I$29,$E360:$E361,"&lt;&gt;*[-]*",$F360:$F361,"&lt;&gt;*[-]*",$G360:$G361,"&lt;&gt;*[-]*",$H360:$H361,"*[+]*")</f>
        <v>0</v>
      </c>
      <c r="BD362" s="110"/>
      <c r="BE362" s="85">
        <f>SUMIFS(BE360:BE361,$I360:$I361,"&lt;&gt;"&amp;$I$29,$E360:$E361,"&lt;&gt;*[-]*",$F360:$F361,"&lt;&gt;*[-]*",$G360:$G361,"&lt;&gt;*[-]*",$H360:$H361,"*[+]*")</f>
        <v>0</v>
      </c>
      <c r="BF362" s="110"/>
      <c r="BG362" s="110">
        <f>IFERROR(($BA362-BC362)/ABS(BC362),0)</f>
        <v>0</v>
      </c>
      <c r="BH362" s="87">
        <f>($BA362-BC362)</f>
        <v>0</v>
      </c>
      <c r="BI362" s="110">
        <f>IFERROR(($BA362-BE362)/ABS(BE362),0)</f>
        <v>0</v>
      </c>
      <c r="BJ362" s="87">
        <f>($BA362-BE362)</f>
        <v>0</v>
      </c>
      <c r="BK362" s="87"/>
    </row>
    <row r="363" spans="2:63" hidden="1" x14ac:dyDescent="0.25">
      <c r="B363" t="str">
        <f>B362</f>
        <v>#hiderow</v>
      </c>
      <c r="N363" s="90"/>
      <c r="P363" s="90"/>
      <c r="R363" s="90"/>
      <c r="T363" s="90"/>
      <c r="U363" s="90"/>
      <c r="V363" s="84"/>
      <c r="W363" s="90"/>
      <c r="X363" s="84"/>
      <c r="Y363" s="90"/>
      <c r="Z363" s="84"/>
      <c r="AA363" s="84"/>
      <c r="AF363" s="15"/>
      <c r="AG363" s="84"/>
      <c r="AH363" s="15"/>
      <c r="AI363" s="84"/>
      <c r="AL363" s="90"/>
      <c r="AN363" s="90"/>
      <c r="AP363" s="90"/>
      <c r="AR363" s="90"/>
      <c r="AS363" s="90"/>
      <c r="AT363" s="84"/>
      <c r="AU363" s="90"/>
      <c r="AV363" s="84"/>
      <c r="AW363" s="90"/>
      <c r="AX363" s="84"/>
      <c r="AY363" s="84"/>
      <c r="BB363" s="90"/>
      <c r="BD363" s="90"/>
      <c r="BF363" s="90"/>
      <c r="BG363" s="90"/>
      <c r="BH363" s="84"/>
      <c r="BI363" s="90"/>
      <c r="BJ363" s="84"/>
      <c r="BK363" s="84"/>
    </row>
    <row r="364" spans="2:63" ht="11.95" hidden="1" thickBot="1" x14ac:dyDescent="0.3">
      <c r="B364" t="s">
        <v>1</v>
      </c>
      <c r="N364" s="90"/>
      <c r="P364" s="90"/>
      <c r="R364" s="90"/>
      <c r="T364" s="90"/>
      <c r="U364" s="90"/>
      <c r="V364" s="84"/>
      <c r="W364" s="90"/>
      <c r="X364" s="84"/>
      <c r="Y364" s="90"/>
      <c r="Z364" s="84"/>
      <c r="AA364" s="84"/>
      <c r="AF364" s="15"/>
      <c r="AG364" s="84"/>
      <c r="AH364" s="15"/>
      <c r="AI364" s="84"/>
      <c r="AL364" s="90"/>
      <c r="AN364" s="90"/>
      <c r="AP364" s="90"/>
      <c r="AR364" s="90"/>
      <c r="AS364" s="90"/>
      <c r="AT364" s="84"/>
      <c r="AU364" s="90"/>
      <c r="AV364" s="84"/>
      <c r="AW364" s="90"/>
      <c r="AX364" s="84"/>
      <c r="AY364" s="84"/>
      <c r="BB364" s="90"/>
      <c r="BD364" s="90"/>
      <c r="BF364" s="90"/>
      <c r="BG364" s="90"/>
      <c r="BH364" s="84"/>
      <c r="BI364" s="90"/>
      <c r="BJ364" s="84"/>
      <c r="BK364" s="84"/>
    </row>
    <row r="365" spans="2:63" ht="11.95" x14ac:dyDescent="0.25">
      <c r="B365" t="s">
        <v>90</v>
      </c>
      <c r="E365" s="19"/>
      <c r="F365" s="19"/>
      <c r="G365" s="19"/>
      <c r="H365" s="19" t="s">
        <v>91</v>
      </c>
      <c r="I365" s="85"/>
      <c r="J365" s="85"/>
      <c r="K365" s="85"/>
      <c r="L365" s="85"/>
      <c r="M365" s="85">
        <f>SUMPRODUCT($L$30:$L$364,M$30:M$364)</f>
        <v>217102.07000000004</v>
      </c>
      <c r="N365" s="110"/>
      <c r="O365" s="85">
        <f>SUMPRODUCT($L$30:$L$364,O$30:O$364)</f>
        <v>0</v>
      </c>
      <c r="P365" s="110"/>
      <c r="Q365" s="85">
        <f>SUMPRODUCT($L$30:$L$364,Q$30:Q$364)</f>
        <v>53024.918290799949</v>
      </c>
      <c r="R365" s="110"/>
      <c r="S365" s="85">
        <f>SUMPRODUCT($L$30:$L$364,S$30:S$364)</f>
        <v>58334.070000000036</v>
      </c>
      <c r="T365" s="110"/>
      <c r="U365" s="110">
        <f>IFERROR(($O365-M365)/ABS(M365),0)</f>
        <v>-1</v>
      </c>
      <c r="V365" s="87">
        <f>($O365-M365)</f>
        <v>-217102.07000000004</v>
      </c>
      <c r="W365" s="110">
        <f>IFERROR(($M365-Q365)/ABS(Q365),0)</f>
        <v>3.0943404911888037</v>
      </c>
      <c r="X365" s="87">
        <f>($M365-Q365)</f>
        <v>164077.15170920009</v>
      </c>
      <c r="Y365" s="110">
        <f>IFERROR(($M365-S365)/ABS(S365),0)</f>
        <v>2.7217027716392823</v>
      </c>
      <c r="Z365" s="87">
        <f>($M365-S365)</f>
        <v>158768</v>
      </c>
      <c r="AA365" s="87"/>
      <c r="AC365" s="85">
        <f>SUMPRODUCT($L$30:$L$364,AC$30:AC$364)</f>
        <v>217102.07000000004</v>
      </c>
      <c r="AD365" s="85">
        <f>SUMPRODUCT($L$30:$L$364,AD$30:AD$364)</f>
        <v>58334.070000000036</v>
      </c>
      <c r="AE365" s="85">
        <f>SUMPRODUCT($L$30:$L$364,AE$30:AE$364)</f>
        <v>53024.918290799949</v>
      </c>
      <c r="AF365" s="89">
        <f t="shared" ref="AF365" si="292">IFERROR(($AC365-AD365)/ABS(AD365),0)</f>
        <v>2.7217027716392823</v>
      </c>
      <c r="AG365" s="87">
        <f>($AC365-AD365)</f>
        <v>158768</v>
      </c>
      <c r="AH365" s="89">
        <f>IFERROR(($AC365-AE365)/ABS(AE365),0)</f>
        <v>3.0943404911888037</v>
      </c>
      <c r="AI365" s="87">
        <f>($AC365-AE365)</f>
        <v>164077.15170920009</v>
      </c>
      <c r="AK365" s="85">
        <f>SUMPRODUCT($L$30:$L$364,AK$30:AK$364)</f>
        <v>217102.07000000004</v>
      </c>
      <c r="AL365" s="110"/>
      <c r="AM365" s="85">
        <f>SUMPRODUCT($L$30:$L$364,AM$30:AM$364)</f>
        <v>0</v>
      </c>
      <c r="AN365" s="110"/>
      <c r="AO365" s="85">
        <f>SUMPRODUCT($L$30:$L$364,AO$30:AO$364)</f>
        <v>53024.918290799949</v>
      </c>
      <c r="AP365" s="110"/>
      <c r="AQ365" s="85">
        <f>SUMPRODUCT($L$30:$L$364,AQ$30:AQ$364)</f>
        <v>58334.070000000036</v>
      </c>
      <c r="AR365" s="110"/>
      <c r="AS365" s="110">
        <f>IFERROR(($O365-AK365)/ABS(AK365),0)</f>
        <v>-1</v>
      </c>
      <c r="AT365" s="87">
        <f>($AK365-AM365)</f>
        <v>217102.07000000004</v>
      </c>
      <c r="AU365" s="110">
        <f>IFERROR(($M365-AO365)/ABS(AO365),0)</f>
        <v>3.0943404911888037</v>
      </c>
      <c r="AV365" s="87">
        <f>($AK365-AO365)</f>
        <v>164077.15170920009</v>
      </c>
      <c r="AW365" s="110">
        <f>IFERROR(($M365-AQ365)/ABS(AQ365),0)</f>
        <v>2.7217027716392823</v>
      </c>
      <c r="AX365" s="87">
        <f>($AK365-AQ365)</f>
        <v>158768</v>
      </c>
      <c r="AY365" s="87"/>
      <c r="BA365" s="85">
        <f>SUMPRODUCT($L$30:$L$364,BA$30:BA$364)</f>
        <v>529671</v>
      </c>
      <c r="BB365" s="110"/>
      <c r="BC365" s="85">
        <f>SUMPRODUCT($L$30:$L$364,BC$30:BC$364)</f>
        <v>529671</v>
      </c>
      <c r="BD365" s="110"/>
      <c r="BE365" s="85">
        <f>SUMPRODUCT($L$30:$L$364,BE$30:BE$364)</f>
        <v>-1190971.8200000005</v>
      </c>
      <c r="BF365" s="110"/>
      <c r="BG365" s="110">
        <f>IFERROR(($BA365-BC365)/ABS(BC365),0)</f>
        <v>0</v>
      </c>
      <c r="BH365" s="87">
        <f>($BA365-BC365)</f>
        <v>0</v>
      </c>
      <c r="BI365" s="110">
        <f>IFERROR(($BA365-BE365)/ABS(BE365),0)</f>
        <v>1.4447384825612413</v>
      </c>
      <c r="BJ365" s="87">
        <f>($BA365-BE365)</f>
        <v>1720642.8200000005</v>
      </c>
      <c r="BK365" s="87"/>
    </row>
    <row r="366" spans="2:63" ht="11.95" thickBot="1" x14ac:dyDescent="0.3">
      <c r="B366" t="str">
        <f>B365</f>
        <v>#showrow</v>
      </c>
      <c r="N366" s="90"/>
      <c r="P366" s="90"/>
      <c r="R366" s="90"/>
      <c r="T366" s="90"/>
      <c r="U366" s="90"/>
      <c r="V366" s="84"/>
      <c r="W366" s="90"/>
      <c r="X366" s="84"/>
      <c r="Y366" s="90"/>
      <c r="Z366" s="84"/>
      <c r="AA366" s="84"/>
      <c r="AF366" s="15"/>
      <c r="AG366" s="84"/>
      <c r="AH366" s="15"/>
      <c r="AI366" s="84"/>
      <c r="AL366" s="90"/>
      <c r="AN366" s="90"/>
      <c r="AP366" s="90"/>
      <c r="AR366" s="90"/>
      <c r="AS366" s="90"/>
      <c r="AT366" s="84"/>
      <c r="AU366" s="90"/>
      <c r="AV366" s="84"/>
      <c r="AW366" s="90"/>
      <c r="AX366" s="84"/>
      <c r="AY366" s="84"/>
      <c r="BB366" s="90"/>
      <c r="BD366" s="90"/>
      <c r="BF366" s="90"/>
      <c r="BG366" s="90"/>
      <c r="BH366" s="84"/>
      <c r="BI366" s="90"/>
      <c r="BJ366" s="84"/>
      <c r="BK366" s="84"/>
    </row>
    <row r="367" spans="2:63" ht="23.35" hidden="1" thickBot="1" x14ac:dyDescent="0.5">
      <c r="B367" t="s">
        <v>1</v>
      </c>
      <c r="E367" s="2"/>
      <c r="F367" s="2"/>
      <c r="G367" s="2" t="s">
        <v>16</v>
      </c>
      <c r="H367" s="2"/>
      <c r="I367" s="2"/>
      <c r="J367" s="2"/>
      <c r="K367" s="2"/>
      <c r="L367" s="2"/>
      <c r="M367" s="2"/>
      <c r="N367" s="111"/>
      <c r="O367" s="2"/>
      <c r="P367" s="111"/>
      <c r="Q367" s="2"/>
      <c r="R367" s="111"/>
      <c r="S367" s="2"/>
      <c r="T367" s="111"/>
      <c r="U367" s="111"/>
      <c r="V367" s="112"/>
      <c r="W367" s="111"/>
      <c r="X367" s="112"/>
      <c r="Y367" s="111"/>
      <c r="Z367" s="112"/>
      <c r="AA367" s="112"/>
      <c r="AC367" s="2"/>
      <c r="AD367" s="2"/>
      <c r="AE367" s="2"/>
      <c r="AF367" s="113"/>
      <c r="AG367" s="112"/>
      <c r="AH367" s="113"/>
      <c r="AI367" s="112"/>
      <c r="AK367" s="2"/>
      <c r="AL367" s="111"/>
      <c r="AM367" s="2"/>
      <c r="AN367" s="111"/>
      <c r="AO367" s="2"/>
      <c r="AP367" s="111"/>
      <c r="AQ367" s="2"/>
      <c r="AR367" s="111"/>
      <c r="AS367" s="111"/>
      <c r="AT367" s="112"/>
      <c r="AU367" s="111"/>
      <c r="AV367" s="112"/>
      <c r="AW367" s="111"/>
      <c r="AX367" s="112"/>
      <c r="AY367" s="112"/>
      <c r="BA367" s="2"/>
      <c r="BB367" s="111"/>
      <c r="BC367" s="2"/>
      <c r="BD367" s="111"/>
      <c r="BE367" s="2"/>
      <c r="BF367" s="111"/>
      <c r="BG367" s="111"/>
      <c r="BH367" s="112"/>
      <c r="BI367" s="111"/>
      <c r="BJ367" s="112"/>
      <c r="BK367" s="112"/>
    </row>
    <row r="368" spans="2:63" ht="12.45" hidden="1" thickTop="1" thickBot="1" x14ac:dyDescent="0.3">
      <c r="B368" t="s">
        <v>1</v>
      </c>
      <c r="N368" s="90"/>
      <c r="P368" s="90"/>
      <c r="R368" s="90"/>
      <c r="T368" s="90"/>
      <c r="U368" s="90"/>
      <c r="V368" s="84"/>
      <c r="W368" s="90"/>
      <c r="X368" s="84"/>
      <c r="Y368" s="90"/>
      <c r="Z368" s="84"/>
      <c r="AA368" s="84"/>
      <c r="AF368" s="15"/>
      <c r="AG368" s="84"/>
      <c r="AH368" s="15"/>
      <c r="AI368" s="84"/>
      <c r="AL368" s="90"/>
      <c r="AN368" s="90"/>
      <c r="AP368" s="90"/>
      <c r="AR368" s="90"/>
      <c r="AS368" s="90"/>
      <c r="AT368" s="84"/>
      <c r="AU368" s="90"/>
      <c r="AV368" s="84"/>
      <c r="AW368" s="90"/>
      <c r="AX368" s="84"/>
      <c r="AY368" s="84"/>
      <c r="BB368" s="90"/>
      <c r="BD368" s="90"/>
      <c r="BF368" s="90"/>
      <c r="BG368" s="90"/>
      <c r="BH368" s="84"/>
      <c r="BI368" s="90"/>
      <c r="BJ368" s="84"/>
      <c r="BK368" s="84"/>
    </row>
    <row r="369" spans="2:63" ht="11.95" thickBot="1" x14ac:dyDescent="0.3">
      <c r="B369" t="s">
        <v>90</v>
      </c>
      <c r="E369" s="3">
        <f t="shared" ref="E369:E378" si="293">$E$5</f>
        <v>0</v>
      </c>
      <c r="F369" s="3">
        <f>$F$5</f>
        <v>0</v>
      </c>
      <c r="G369" s="3">
        <f t="shared" ref="G369:G378" si="294">$G$5</f>
        <v>0</v>
      </c>
      <c r="H369" s="3" t="s">
        <v>32</v>
      </c>
      <c r="I369" s="21"/>
      <c r="J369" s="21"/>
      <c r="K369" s="18"/>
      <c r="L369" s="78"/>
      <c r="M369" s="79">
        <v>217143.23</v>
      </c>
      <c r="N369" s="72"/>
      <c r="O369" s="79">
        <v>0</v>
      </c>
      <c r="P369" s="72"/>
      <c r="Q369" s="79">
        <v>53024.9182908</v>
      </c>
      <c r="R369" s="72"/>
      <c r="S369" s="79">
        <v>58375.23</v>
      </c>
      <c r="T369" s="72"/>
      <c r="U369" s="72"/>
      <c r="V369" s="70">
        <f>M369-O369</f>
        <v>217143.23</v>
      </c>
      <c r="W369" s="72">
        <f>IFERROR(($M369-#REF!)/ABS(#REF!),0)</f>
        <v>0</v>
      </c>
      <c r="X369" s="70">
        <f>M369-Q369</f>
        <v>164118.3117092</v>
      </c>
      <c r="Y369" s="72">
        <f t="shared" ref="Y369:Y378" si="295">IFERROR(($M369-S369)/ABS(S369),0)</f>
        <v>2.7197837164838576</v>
      </c>
      <c r="Z369" s="70">
        <f>($M369-S369)</f>
        <v>158768</v>
      </c>
      <c r="AA369" s="70"/>
      <c r="AC369" s="79">
        <v>217143.23</v>
      </c>
      <c r="AD369" s="79">
        <v>58375.23</v>
      </c>
      <c r="AE369" s="79">
        <v>53024.9182908</v>
      </c>
      <c r="AF369" s="83">
        <f t="shared" ref="AF369:AF378" si="296">IFERROR(($AC369-AD369)/ABS(AD369),0)</f>
        <v>2.7197837164838576</v>
      </c>
      <c r="AG369" s="70">
        <f t="shared" ref="AG369:AG378" si="297">($AC369-AD369)</f>
        <v>158768</v>
      </c>
      <c r="AH369" s="83">
        <f t="shared" ref="AH369:AH378" si="298">IFERROR(($AC369-AE369)/ABS(AE369),0)</f>
        <v>3.0951167300087112</v>
      </c>
      <c r="AI369" s="70">
        <f>($AC369-AE369)</f>
        <v>164118.3117092</v>
      </c>
      <c r="AK369" s="79">
        <v>217143.23</v>
      </c>
      <c r="AL369" s="72"/>
      <c r="AM369" s="79">
        <v>0</v>
      </c>
      <c r="AN369" s="72"/>
      <c r="AO369" s="79">
        <v>53024.9182908</v>
      </c>
      <c r="AP369" s="72"/>
      <c r="AQ369" s="79">
        <v>58375.23</v>
      </c>
      <c r="AR369" s="72"/>
      <c r="AS369" s="72"/>
      <c r="AT369" s="70">
        <f>AK369-AM369</f>
        <v>217143.23</v>
      </c>
      <c r="AU369" s="72">
        <f>IFERROR(($M369-#REF!)/ABS(#REF!),0)</f>
        <v>0</v>
      </c>
      <c r="AV369" s="70">
        <f>AK369-AO369</f>
        <v>164118.3117092</v>
      </c>
      <c r="AW369" s="72">
        <f t="shared" ref="AW369:AW378" si="299">IFERROR(($M369-AQ369)/ABS(AQ369),0)</f>
        <v>2.7197837164838576</v>
      </c>
      <c r="AX369" s="70">
        <f>($AK369-AQ369)</f>
        <v>158768</v>
      </c>
      <c r="AY369" s="70"/>
      <c r="BA369" s="79">
        <v>529671</v>
      </c>
      <c r="BB369" s="72"/>
      <c r="BC369" s="79">
        <v>529671</v>
      </c>
      <c r="BD369" s="72"/>
      <c r="BE369" s="79">
        <v>-1190745.46</v>
      </c>
      <c r="BF369" s="72"/>
      <c r="BG369" s="72"/>
      <c r="BH369" s="70">
        <f>BA369-BC369</f>
        <v>0</v>
      </c>
      <c r="BI369" s="72"/>
      <c r="BJ369" s="70">
        <f>BA369-BE369</f>
        <v>1720416.46</v>
      </c>
      <c r="BK369" s="70"/>
    </row>
    <row r="370" spans="2:63" hidden="1" x14ac:dyDescent="0.25">
      <c r="B370" t="s">
        <v>1</v>
      </c>
      <c r="E370" s="3">
        <f t="shared" si="293"/>
        <v>0</v>
      </c>
      <c r="F370" s="3">
        <f t="shared" ref="F370:F378" si="300">$F$5</f>
        <v>0</v>
      </c>
      <c r="G370" s="3">
        <f t="shared" si="294"/>
        <v>0</v>
      </c>
      <c r="H370" s="3" t="e">
        <f>IF(KPI_2="","Empty",KPI_2)</f>
        <v>#NAME?</v>
      </c>
      <c r="I370" s="21"/>
      <c r="J370" s="21"/>
      <c r="K370" s="18"/>
      <c r="L370" s="78"/>
      <c r="M370" s="78">
        <v>0</v>
      </c>
      <c r="N370" s="114"/>
      <c r="O370" s="78">
        <v>0</v>
      </c>
      <c r="P370" s="114"/>
      <c r="Q370" s="78">
        <v>0</v>
      </c>
      <c r="R370" s="114"/>
      <c r="S370" s="78">
        <v>0</v>
      </c>
      <c r="T370" s="114"/>
      <c r="U370" s="114"/>
      <c r="V370" s="71"/>
      <c r="W370" s="114">
        <f>IFERROR(($M370-#REF!)/ABS(#REF!),0)</f>
        <v>0</v>
      </c>
      <c r="X370" s="71" t="e">
        <f>($M370-#REF!)</f>
        <v>#REF!</v>
      </c>
      <c r="Y370" s="114">
        <f t="shared" si="295"/>
        <v>0</v>
      </c>
      <c r="Z370" s="71">
        <f>($M370-S370)</f>
        <v>0</v>
      </c>
      <c r="AA370" s="71"/>
      <c r="AC370" s="115">
        <v>0</v>
      </c>
      <c r="AD370" s="115">
        <v>0</v>
      </c>
      <c r="AE370" s="115">
        <v>0</v>
      </c>
      <c r="AF370" s="116">
        <f t="shared" si="296"/>
        <v>0</v>
      </c>
      <c r="AG370" s="71">
        <f t="shared" si="297"/>
        <v>0</v>
      </c>
      <c r="AH370" s="116">
        <f t="shared" si="298"/>
        <v>0</v>
      </c>
      <c r="AI370" s="71">
        <f>($AC370-AE370)</f>
        <v>0</v>
      </c>
      <c r="AK370" s="115">
        <v>0</v>
      </c>
      <c r="AL370" s="114"/>
      <c r="AM370" s="115">
        <v>0</v>
      </c>
      <c r="AN370" s="114"/>
      <c r="AO370" s="115">
        <v>0</v>
      </c>
      <c r="AP370" s="114"/>
      <c r="AQ370" s="115">
        <v>0</v>
      </c>
      <c r="AR370" s="114"/>
      <c r="AS370" s="114"/>
      <c r="AT370" s="71"/>
      <c r="AU370" s="114">
        <f>IFERROR(($M370-#REF!)/ABS(#REF!),0)</f>
        <v>0</v>
      </c>
      <c r="AV370" s="71" t="e">
        <f>($M370-#REF!)</f>
        <v>#REF!</v>
      </c>
      <c r="AW370" s="114">
        <f t="shared" si="299"/>
        <v>0</v>
      </c>
      <c r="AX370" s="71">
        <f>($M370-AQ370)</f>
        <v>0</v>
      </c>
      <c r="AY370" s="71"/>
      <c r="BA370" s="115">
        <v>0</v>
      </c>
      <c r="BB370" s="114"/>
      <c r="BC370" s="115">
        <v>0</v>
      </c>
      <c r="BD370" s="114"/>
      <c r="BE370" s="115">
        <v>0</v>
      </c>
      <c r="BF370" s="114"/>
      <c r="BG370" s="114"/>
      <c r="BH370" s="71"/>
      <c r="BI370" s="114"/>
      <c r="BJ370" s="71"/>
      <c r="BK370" s="71"/>
    </row>
    <row r="371" spans="2:63" hidden="1" x14ac:dyDescent="0.25">
      <c r="B371" t="s">
        <v>1</v>
      </c>
      <c r="E371" s="3">
        <f t="shared" si="293"/>
        <v>0</v>
      </c>
      <c r="F371" s="3">
        <f t="shared" si="300"/>
        <v>0</v>
      </c>
      <c r="G371" s="3">
        <f t="shared" si="294"/>
        <v>0</v>
      </c>
      <c r="H371" s="3" t="e">
        <f>IF(KPI_3="","Empty",KPI_3)</f>
        <v>#NAME?</v>
      </c>
      <c r="I371" s="21"/>
      <c r="J371" s="21"/>
      <c r="K371" s="18"/>
      <c r="L371" s="78"/>
      <c r="M371" s="117">
        <f>(M370/M63)</f>
        <v>0</v>
      </c>
      <c r="N371" s="118"/>
      <c r="O371" s="117">
        <v>0</v>
      </c>
      <c r="P371" s="118"/>
      <c r="Q371" s="117">
        <v>6536590.5470275404</v>
      </c>
      <c r="R371" s="118"/>
      <c r="S371" s="117">
        <f>($S370/S63)</f>
        <v>0</v>
      </c>
      <c r="T371" s="118"/>
      <c r="U371" s="118"/>
      <c r="V371" s="119"/>
      <c r="W371" s="118">
        <f>IFERROR(($M371-#REF!)/ABS(#REF!),0)</f>
        <v>0</v>
      </c>
      <c r="X371" s="119" t="e">
        <f>($M371-#REF!)*10000</f>
        <v>#REF!</v>
      </c>
      <c r="Y371" s="118">
        <f t="shared" si="295"/>
        <v>0</v>
      </c>
      <c r="Z371" s="119">
        <f>($M371-S371)*10000</f>
        <v>0</v>
      </c>
      <c r="AA371" s="119"/>
      <c r="AC371" s="117">
        <f>(AC370/AC63)</f>
        <v>0</v>
      </c>
      <c r="AD371" s="117">
        <f>(AD370/AD63)</f>
        <v>0</v>
      </c>
      <c r="AE371" s="117">
        <f>(AE370/AE63)</f>
        <v>0</v>
      </c>
      <c r="AF371" s="116">
        <f t="shared" si="296"/>
        <v>0</v>
      </c>
      <c r="AG371" s="119">
        <f>($M371-AD371)*10000</f>
        <v>0</v>
      </c>
      <c r="AH371" s="116">
        <f t="shared" si="298"/>
        <v>0</v>
      </c>
      <c r="AI371" s="119">
        <f>($M371-AE371)*10000</f>
        <v>0</v>
      </c>
      <c r="AK371" s="117">
        <f>(AK370/AK63)</f>
        <v>0</v>
      </c>
      <c r="AL371" s="118"/>
      <c r="AM371" s="117">
        <v>0</v>
      </c>
      <c r="AN371" s="118"/>
      <c r="AO371" s="117">
        <v>3787251.7157980902</v>
      </c>
      <c r="AP371" s="118"/>
      <c r="AQ371" s="117">
        <f>(AQ370/AQ63)</f>
        <v>0</v>
      </c>
      <c r="AR371" s="118"/>
      <c r="AS371" s="118"/>
      <c r="AT371" s="119"/>
      <c r="AU371" s="118">
        <f>IFERROR(($M371-#REF!)/ABS(#REF!),0)</f>
        <v>0</v>
      </c>
      <c r="AV371" s="119" t="e">
        <f>($M371-#REF!)*10000</f>
        <v>#REF!</v>
      </c>
      <c r="AW371" s="118">
        <f t="shared" si="299"/>
        <v>0</v>
      </c>
      <c r="AX371" s="119">
        <f>($M371-AQ371)*10000</f>
        <v>0</v>
      </c>
      <c r="AY371" s="119"/>
      <c r="BA371" s="117">
        <v>0</v>
      </c>
      <c r="BB371" s="118"/>
      <c r="BC371" s="117">
        <v>3787251.7157980902</v>
      </c>
      <c r="BD371" s="118"/>
      <c r="BE371" s="117">
        <v>19414959.440960001</v>
      </c>
      <c r="BF371" s="118"/>
      <c r="BG371" s="118"/>
      <c r="BH371" s="119"/>
      <c r="BI371" s="118"/>
      <c r="BJ371" s="119"/>
      <c r="BK371" s="119"/>
    </row>
    <row r="372" spans="2:63" hidden="1" x14ac:dyDescent="0.25">
      <c r="B372" t="s">
        <v>1</v>
      </c>
      <c r="E372" s="3">
        <f t="shared" si="293"/>
        <v>0</v>
      </c>
      <c r="F372" s="3">
        <f t="shared" si="300"/>
        <v>0</v>
      </c>
      <c r="G372" s="3">
        <f t="shared" si="294"/>
        <v>0</v>
      </c>
      <c r="H372" s="3" t="e">
        <f>IF(KPI_4="","Empty",KPI_4)</f>
        <v>#NAME?</v>
      </c>
      <c r="I372" s="21"/>
      <c r="J372" s="21"/>
      <c r="K372" s="18"/>
      <c r="L372" s="78"/>
      <c r="M372" s="117">
        <f>(M322/M63)</f>
        <v>0.66819004596863041</v>
      </c>
      <c r="N372" s="118"/>
      <c r="O372" s="117">
        <v>0</v>
      </c>
      <c r="P372" s="118"/>
      <c r="Q372" s="117">
        <v>0</v>
      </c>
      <c r="R372" s="118"/>
      <c r="S372" s="117">
        <f>(S322/S63)</f>
        <v>0.88553136015602252</v>
      </c>
      <c r="T372" s="118"/>
      <c r="U372" s="118"/>
      <c r="V372" s="119"/>
      <c r="W372" s="118">
        <f>IFERROR(($M372-#REF!)/ABS(#REF!),0)</f>
        <v>0</v>
      </c>
      <c r="X372" s="119" t="e">
        <f>($M372-#REF!)*10000</f>
        <v>#REF!</v>
      </c>
      <c r="Y372" s="118">
        <f t="shared" si="295"/>
        <v>-0.24543604435318764</v>
      </c>
      <c r="Z372" s="119">
        <f>($M372-S372)*10000</f>
        <v>-2173.4131418739212</v>
      </c>
      <c r="AA372" s="119"/>
      <c r="AC372" s="117">
        <f>(AC322/AC63)</f>
        <v>0.66819004596863041</v>
      </c>
      <c r="AD372" s="117">
        <f>(AD322/AD63)</f>
        <v>0.88553136015602252</v>
      </c>
      <c r="AE372" s="117">
        <f>(AE322/AE63)</f>
        <v>0.90427340528030242</v>
      </c>
      <c r="AF372" s="116">
        <f t="shared" si="296"/>
        <v>-0.24543604435318764</v>
      </c>
      <c r="AG372" s="119">
        <f>($M372-AD372)*10000</f>
        <v>-2173.4131418739212</v>
      </c>
      <c r="AH372" s="116">
        <f t="shared" si="298"/>
        <v>-0.26107519908593574</v>
      </c>
      <c r="AI372" s="119">
        <f>($M372-AE372)*10000</f>
        <v>-2360.8335931167203</v>
      </c>
      <c r="AK372" s="117">
        <f>(AK322/AK63)</f>
        <v>0.66819004596863041</v>
      </c>
      <c r="AL372" s="118"/>
      <c r="AM372" s="117">
        <v>0</v>
      </c>
      <c r="AN372" s="118"/>
      <c r="AO372" s="117">
        <v>0</v>
      </c>
      <c r="AP372" s="118"/>
      <c r="AQ372" s="117">
        <f>(AQ322/AQ63)</f>
        <v>0.88553136015602252</v>
      </c>
      <c r="AR372" s="118"/>
      <c r="AS372" s="118"/>
      <c r="AT372" s="119"/>
      <c r="AU372" s="118">
        <f>IFERROR(($M372-#REF!)/ABS(#REF!),0)</f>
        <v>0</v>
      </c>
      <c r="AV372" s="119" t="e">
        <f>($M372-#REF!)*10000</f>
        <v>#REF!</v>
      </c>
      <c r="AW372" s="118">
        <f t="shared" si="299"/>
        <v>-0.24543604435318764</v>
      </c>
      <c r="AX372" s="119">
        <f>($M372-AQ372)*10000</f>
        <v>-2173.4131418739212</v>
      </c>
      <c r="AY372" s="119"/>
      <c r="BA372" s="117">
        <v>0</v>
      </c>
      <c r="BB372" s="118"/>
      <c r="BC372" s="117">
        <v>0</v>
      </c>
      <c r="BD372" s="118"/>
      <c r="BE372" s="117">
        <v>0</v>
      </c>
      <c r="BF372" s="118"/>
      <c r="BG372" s="118"/>
      <c r="BH372" s="119"/>
      <c r="BI372" s="118"/>
      <c r="BJ372" s="119"/>
      <c r="BK372" s="119"/>
    </row>
    <row r="373" spans="2:63" hidden="1" x14ac:dyDescent="0.25">
      <c r="B373" t="s">
        <v>1</v>
      </c>
      <c r="E373" s="3">
        <f t="shared" si="293"/>
        <v>0</v>
      </c>
      <c r="F373" s="3">
        <f t="shared" si="300"/>
        <v>0</v>
      </c>
      <c r="G373" s="3">
        <f t="shared" si="294"/>
        <v>0</v>
      </c>
      <c r="H373" s="3" t="e">
        <f>IF(KPI_5="","Empty",KPI_5)</f>
        <v>#NAME?</v>
      </c>
      <c r="I373" s="21"/>
      <c r="J373" s="21"/>
      <c r="K373" s="18"/>
      <c r="L373" s="78"/>
      <c r="M373" s="78">
        <v>0</v>
      </c>
      <c r="N373" s="114"/>
      <c r="O373" s="78">
        <v>0</v>
      </c>
      <c r="P373" s="114"/>
      <c r="Q373" s="78">
        <v>0</v>
      </c>
      <c r="R373" s="114"/>
      <c r="S373" s="78">
        <v>0</v>
      </c>
      <c r="T373" s="114"/>
      <c r="U373" s="114"/>
      <c r="V373" s="71"/>
      <c r="W373" s="114">
        <f>IFERROR(($M373-#REF!)/ABS(#REF!),0)</f>
        <v>0</v>
      </c>
      <c r="X373" s="71" t="e">
        <f>($M373-#REF!)</f>
        <v>#REF!</v>
      </c>
      <c r="Y373" s="114">
        <f t="shared" si="295"/>
        <v>0</v>
      </c>
      <c r="Z373" s="71">
        <f t="shared" ref="Z373:Z378" si="301">($M373-S373)</f>
        <v>0</v>
      </c>
      <c r="AA373" s="71"/>
      <c r="AC373" s="115">
        <v>0</v>
      </c>
      <c r="AD373" s="115">
        <v>0</v>
      </c>
      <c r="AE373" s="115">
        <v>0</v>
      </c>
      <c r="AF373" s="116">
        <f t="shared" si="296"/>
        <v>0</v>
      </c>
      <c r="AG373" s="71">
        <f t="shared" si="297"/>
        <v>0</v>
      </c>
      <c r="AH373" s="116">
        <f t="shared" si="298"/>
        <v>0</v>
      </c>
      <c r="AI373" s="71">
        <f t="shared" ref="AI373:AI378" si="302">($AC373-AE373)</f>
        <v>0</v>
      </c>
      <c r="AK373" s="115">
        <v>0</v>
      </c>
      <c r="AL373" s="114"/>
      <c r="AM373" s="115">
        <v>0</v>
      </c>
      <c r="AN373" s="114"/>
      <c r="AO373" s="115">
        <v>0</v>
      </c>
      <c r="AP373" s="114"/>
      <c r="AQ373" s="115">
        <v>0</v>
      </c>
      <c r="AR373" s="114"/>
      <c r="AS373" s="114"/>
      <c r="AT373" s="71"/>
      <c r="AU373" s="114">
        <f>IFERROR(($M373-#REF!)/ABS(#REF!),0)</f>
        <v>0</v>
      </c>
      <c r="AV373" s="71" t="e">
        <f>($M373-#REF!)</f>
        <v>#REF!</v>
      </c>
      <c r="AW373" s="114">
        <f t="shared" si="299"/>
        <v>0</v>
      </c>
      <c r="AX373" s="71">
        <f t="shared" ref="AX373:AX378" si="303">($M373-AQ373)</f>
        <v>0</v>
      </c>
      <c r="AY373" s="71"/>
      <c r="BA373" s="115">
        <v>0</v>
      </c>
      <c r="BB373" s="114"/>
      <c r="BC373" s="115">
        <v>0</v>
      </c>
      <c r="BD373" s="114"/>
      <c r="BE373" s="115">
        <v>0</v>
      </c>
      <c r="BF373" s="114"/>
      <c r="BG373" s="114"/>
      <c r="BH373" s="71"/>
      <c r="BI373" s="114"/>
      <c r="BJ373" s="71"/>
      <c r="BK373" s="71"/>
    </row>
    <row r="374" spans="2:63" hidden="1" x14ac:dyDescent="0.25">
      <c r="B374" t="s">
        <v>1</v>
      </c>
      <c r="E374" s="3">
        <f t="shared" si="293"/>
        <v>0</v>
      </c>
      <c r="F374" s="3">
        <f t="shared" si="300"/>
        <v>0</v>
      </c>
      <c r="G374" s="3">
        <f t="shared" si="294"/>
        <v>0</v>
      </c>
      <c r="H374" s="3" t="e" cm="1">
        <f t="array" ref="H374">IF(KPI_6="","Empty",KPI_6)</f>
        <v>#NAME?</v>
      </c>
      <c r="I374" s="21"/>
      <c r="J374" s="21"/>
      <c r="K374" s="18"/>
      <c r="L374" s="78"/>
      <c r="M374" s="78"/>
      <c r="N374" s="114"/>
      <c r="O374" s="78"/>
      <c r="P374" s="114"/>
      <c r="Q374" s="78"/>
      <c r="R374" s="114"/>
      <c r="S374" s="78"/>
      <c r="T374" s="114"/>
      <c r="U374" s="114"/>
      <c r="V374" s="71"/>
      <c r="W374" s="114">
        <f>IFERROR(($M374-#REF!)/ABS(#REF!),0)</f>
        <v>0</v>
      </c>
      <c r="X374" s="71" t="e">
        <f>($M374-#REF!)</f>
        <v>#REF!</v>
      </c>
      <c r="Y374" s="114">
        <f t="shared" si="295"/>
        <v>0</v>
      </c>
      <c r="Z374" s="71">
        <f t="shared" si="301"/>
        <v>0</v>
      </c>
      <c r="AA374" s="71"/>
      <c r="AC374" s="115"/>
      <c r="AD374" s="115"/>
      <c r="AE374" s="115"/>
      <c r="AF374" s="116">
        <f t="shared" si="296"/>
        <v>0</v>
      </c>
      <c r="AG374" s="71">
        <f t="shared" si="297"/>
        <v>0</v>
      </c>
      <c r="AH374" s="116">
        <f t="shared" si="298"/>
        <v>0</v>
      </c>
      <c r="AI374" s="71">
        <f t="shared" si="302"/>
        <v>0</v>
      </c>
      <c r="AK374" s="115"/>
      <c r="AL374" s="114"/>
      <c r="AM374" s="115"/>
      <c r="AN374" s="114"/>
      <c r="AO374" s="115"/>
      <c r="AP374" s="114"/>
      <c r="AQ374" s="115"/>
      <c r="AR374" s="114"/>
      <c r="AS374" s="114"/>
      <c r="AT374" s="71"/>
      <c r="AU374" s="114">
        <f>IFERROR(($M374-#REF!)/ABS(#REF!),0)</f>
        <v>0</v>
      </c>
      <c r="AV374" s="71" t="e">
        <f>($M374-#REF!)</f>
        <v>#REF!</v>
      </c>
      <c r="AW374" s="114">
        <f t="shared" si="299"/>
        <v>0</v>
      </c>
      <c r="AX374" s="71">
        <f t="shared" si="303"/>
        <v>0</v>
      </c>
      <c r="AY374" s="71"/>
      <c r="BA374" s="115"/>
      <c r="BB374" s="114"/>
      <c r="BC374" s="115"/>
      <c r="BD374" s="114"/>
      <c r="BE374" s="115"/>
      <c r="BF374" s="114"/>
      <c r="BG374" s="114"/>
      <c r="BH374" s="71"/>
      <c r="BI374" s="114"/>
      <c r="BJ374" s="71"/>
      <c r="BK374" s="71"/>
    </row>
    <row r="375" spans="2:63" hidden="1" x14ac:dyDescent="0.25">
      <c r="B375" t="s">
        <v>1</v>
      </c>
      <c r="E375" s="3">
        <f t="shared" si="293"/>
        <v>0</v>
      </c>
      <c r="F375" s="3">
        <f t="shared" si="300"/>
        <v>0</v>
      </c>
      <c r="G375" s="3">
        <f t="shared" si="294"/>
        <v>0</v>
      </c>
      <c r="H375" s="3" t="e">
        <f>IF(KPI_7="","Empty",KPI_7)</f>
        <v>#NAME?</v>
      </c>
      <c r="I375" s="21"/>
      <c r="J375" s="21"/>
      <c r="K375" s="18"/>
      <c r="L375" s="78"/>
      <c r="M375" s="78">
        <v>0</v>
      </c>
      <c r="N375" s="114"/>
      <c r="O375" s="78">
        <v>0</v>
      </c>
      <c r="P375" s="114"/>
      <c r="Q375" s="78">
        <v>0</v>
      </c>
      <c r="R375" s="114"/>
      <c r="S375" s="78">
        <v>0</v>
      </c>
      <c r="T375" s="114"/>
      <c r="U375" s="114"/>
      <c r="V375" s="71"/>
      <c r="W375" s="114">
        <f>IFERROR(($M375-#REF!)/ABS(#REF!),0)</f>
        <v>0</v>
      </c>
      <c r="X375" s="71" t="e">
        <f>($M375-#REF!)</f>
        <v>#REF!</v>
      </c>
      <c r="Y375" s="114">
        <f t="shared" si="295"/>
        <v>0</v>
      </c>
      <c r="Z375" s="71">
        <f t="shared" si="301"/>
        <v>0</v>
      </c>
      <c r="AA375" s="71"/>
      <c r="AC375" s="115">
        <v>0</v>
      </c>
      <c r="AD375" s="115">
        <v>0</v>
      </c>
      <c r="AE375" s="115">
        <v>0</v>
      </c>
      <c r="AF375" s="116">
        <f t="shared" si="296"/>
        <v>0</v>
      </c>
      <c r="AG375" s="71">
        <f t="shared" si="297"/>
        <v>0</v>
      </c>
      <c r="AH375" s="116">
        <f t="shared" si="298"/>
        <v>0</v>
      </c>
      <c r="AI375" s="71">
        <f t="shared" si="302"/>
        <v>0</v>
      </c>
      <c r="AK375" s="115">
        <v>0</v>
      </c>
      <c r="AL375" s="114"/>
      <c r="AM375" s="115">
        <v>0</v>
      </c>
      <c r="AN375" s="114"/>
      <c r="AO375" s="115">
        <v>0</v>
      </c>
      <c r="AP375" s="114"/>
      <c r="AQ375" s="115">
        <v>0</v>
      </c>
      <c r="AR375" s="114"/>
      <c r="AS375" s="114"/>
      <c r="AT375" s="71"/>
      <c r="AU375" s="114">
        <f>IFERROR(($M375-#REF!)/ABS(#REF!),0)</f>
        <v>0</v>
      </c>
      <c r="AV375" s="71" t="e">
        <f>($M375-#REF!)</f>
        <v>#REF!</v>
      </c>
      <c r="AW375" s="114">
        <f t="shared" si="299"/>
        <v>0</v>
      </c>
      <c r="AX375" s="71">
        <f t="shared" si="303"/>
        <v>0</v>
      </c>
      <c r="AY375" s="71"/>
      <c r="BA375" s="115">
        <v>0</v>
      </c>
      <c r="BB375" s="114"/>
      <c r="BC375" s="115">
        <v>0</v>
      </c>
      <c r="BD375" s="114"/>
      <c r="BE375" s="115">
        <v>0</v>
      </c>
      <c r="BF375" s="114"/>
      <c r="BG375" s="114"/>
      <c r="BH375" s="71"/>
      <c r="BI375" s="114"/>
      <c r="BJ375" s="71"/>
      <c r="BK375" s="71"/>
    </row>
    <row r="376" spans="2:63" hidden="1" x14ac:dyDescent="0.25">
      <c r="B376" t="s">
        <v>1</v>
      </c>
      <c r="E376" s="3">
        <f t="shared" si="293"/>
        <v>0</v>
      </c>
      <c r="F376" s="3">
        <f t="shared" si="300"/>
        <v>0</v>
      </c>
      <c r="G376" s="3">
        <f t="shared" si="294"/>
        <v>0</v>
      </c>
      <c r="H376" s="3" t="e">
        <f>IF(KPI_8="","Empty",KPI_8)</f>
        <v>#NAME?</v>
      </c>
      <c r="I376" s="21"/>
      <c r="J376" s="21"/>
      <c r="K376" s="18"/>
      <c r="L376" s="78"/>
      <c r="M376" s="78">
        <v>0</v>
      </c>
      <c r="N376" s="114"/>
      <c r="O376" s="78">
        <v>0</v>
      </c>
      <c r="P376" s="114"/>
      <c r="Q376" s="78">
        <v>0</v>
      </c>
      <c r="R376" s="114"/>
      <c r="S376" s="78">
        <v>0</v>
      </c>
      <c r="T376" s="114"/>
      <c r="U376" s="114"/>
      <c r="V376" s="71"/>
      <c r="W376" s="114">
        <f>IFERROR(($M376-#REF!)/ABS(#REF!),0)</f>
        <v>0</v>
      </c>
      <c r="X376" s="71" t="e">
        <f>($M376-#REF!)</f>
        <v>#REF!</v>
      </c>
      <c r="Y376" s="114">
        <f t="shared" si="295"/>
        <v>0</v>
      </c>
      <c r="Z376" s="71">
        <f t="shared" si="301"/>
        <v>0</v>
      </c>
      <c r="AA376" s="71"/>
      <c r="AC376" s="115">
        <v>0</v>
      </c>
      <c r="AD376" s="115">
        <v>0</v>
      </c>
      <c r="AE376" s="115">
        <v>0</v>
      </c>
      <c r="AF376" s="116">
        <f t="shared" si="296"/>
        <v>0</v>
      </c>
      <c r="AG376" s="71">
        <f t="shared" si="297"/>
        <v>0</v>
      </c>
      <c r="AH376" s="116">
        <f t="shared" si="298"/>
        <v>0</v>
      </c>
      <c r="AI376" s="71">
        <f t="shared" si="302"/>
        <v>0</v>
      </c>
      <c r="AK376" s="115">
        <v>0</v>
      </c>
      <c r="AL376" s="114"/>
      <c r="AM376" s="115">
        <v>0</v>
      </c>
      <c r="AN376" s="114"/>
      <c r="AO376" s="115">
        <v>0</v>
      </c>
      <c r="AP376" s="114"/>
      <c r="AQ376" s="115">
        <v>0</v>
      </c>
      <c r="AR376" s="114"/>
      <c r="AS376" s="114"/>
      <c r="AT376" s="71"/>
      <c r="AU376" s="114">
        <f>IFERROR(($M376-#REF!)/ABS(#REF!),0)</f>
        <v>0</v>
      </c>
      <c r="AV376" s="71" t="e">
        <f>($M376-#REF!)</f>
        <v>#REF!</v>
      </c>
      <c r="AW376" s="114">
        <f t="shared" si="299"/>
        <v>0</v>
      </c>
      <c r="AX376" s="71">
        <f t="shared" si="303"/>
        <v>0</v>
      </c>
      <c r="AY376" s="71"/>
      <c r="BA376" s="115">
        <v>0</v>
      </c>
      <c r="BB376" s="114"/>
      <c r="BC376" s="115">
        <v>0</v>
      </c>
      <c r="BD376" s="114"/>
      <c r="BE376" s="115">
        <v>0</v>
      </c>
      <c r="BF376" s="114"/>
      <c r="BG376" s="114"/>
      <c r="BH376" s="71"/>
      <c r="BI376" s="114"/>
      <c r="BJ376" s="71"/>
      <c r="BK376" s="71"/>
    </row>
    <row r="377" spans="2:63" hidden="1" x14ac:dyDescent="0.25">
      <c r="B377" t="s">
        <v>1</v>
      </c>
      <c r="E377" s="3">
        <f t="shared" si="293"/>
        <v>0</v>
      </c>
      <c r="F377" s="3">
        <f t="shared" si="300"/>
        <v>0</v>
      </c>
      <c r="G377" s="3">
        <f t="shared" si="294"/>
        <v>0</v>
      </c>
      <c r="H377" s="3" t="e">
        <f>IF(KPI_9="","Empty",KPI_9)</f>
        <v>#NAME?</v>
      </c>
      <c r="I377" s="21"/>
      <c r="J377" s="21"/>
      <c r="K377" s="18"/>
      <c r="L377" s="78"/>
      <c r="M377" s="78">
        <v>0</v>
      </c>
      <c r="N377" s="114"/>
      <c r="O377" s="78">
        <v>0</v>
      </c>
      <c r="P377" s="114"/>
      <c r="Q377" s="78">
        <v>0</v>
      </c>
      <c r="R377" s="114"/>
      <c r="S377" s="78">
        <v>0</v>
      </c>
      <c r="T377" s="114"/>
      <c r="U377" s="114"/>
      <c r="V377" s="71"/>
      <c r="W377" s="114">
        <f>IFERROR(($M377-#REF!)/ABS(#REF!),0)</f>
        <v>0</v>
      </c>
      <c r="X377" s="71" t="e">
        <f>($M377-#REF!)</f>
        <v>#REF!</v>
      </c>
      <c r="Y377" s="114">
        <f t="shared" si="295"/>
        <v>0</v>
      </c>
      <c r="Z377" s="71">
        <f t="shared" si="301"/>
        <v>0</v>
      </c>
      <c r="AA377" s="71"/>
      <c r="AC377" s="115">
        <v>0</v>
      </c>
      <c r="AD377" s="115">
        <v>0</v>
      </c>
      <c r="AE377" s="115">
        <v>0</v>
      </c>
      <c r="AF377" s="116">
        <f t="shared" si="296"/>
        <v>0</v>
      </c>
      <c r="AG377" s="71">
        <f t="shared" si="297"/>
        <v>0</v>
      </c>
      <c r="AH377" s="116">
        <f t="shared" si="298"/>
        <v>0</v>
      </c>
      <c r="AI377" s="71">
        <f t="shared" si="302"/>
        <v>0</v>
      </c>
      <c r="AK377" s="115">
        <v>0</v>
      </c>
      <c r="AL377" s="114"/>
      <c r="AM377" s="115">
        <v>0</v>
      </c>
      <c r="AN377" s="114"/>
      <c r="AO377" s="115">
        <v>0</v>
      </c>
      <c r="AP377" s="114"/>
      <c r="AQ377" s="115">
        <v>0</v>
      </c>
      <c r="AR377" s="114"/>
      <c r="AS377" s="114"/>
      <c r="AT377" s="71"/>
      <c r="AU377" s="114">
        <f>IFERROR(($M377-#REF!)/ABS(#REF!),0)</f>
        <v>0</v>
      </c>
      <c r="AV377" s="71" t="e">
        <f>($M377-#REF!)</f>
        <v>#REF!</v>
      </c>
      <c r="AW377" s="114">
        <f t="shared" si="299"/>
        <v>0</v>
      </c>
      <c r="AX377" s="71">
        <f t="shared" si="303"/>
        <v>0</v>
      </c>
      <c r="AY377" s="71"/>
      <c r="BA377" s="115">
        <v>0</v>
      </c>
      <c r="BB377" s="114"/>
      <c r="BC377" s="115">
        <v>0</v>
      </c>
      <c r="BD377" s="114"/>
      <c r="BE377" s="115">
        <v>0</v>
      </c>
      <c r="BF377" s="114"/>
      <c r="BG377" s="114"/>
      <c r="BH377" s="71"/>
      <c r="BI377" s="114"/>
      <c r="BJ377" s="71"/>
      <c r="BK377" s="71"/>
    </row>
    <row r="378" spans="2:63" hidden="1" x14ac:dyDescent="0.25">
      <c r="B378" t="s">
        <v>1</v>
      </c>
      <c r="E378" s="3">
        <f t="shared" si="293"/>
        <v>0</v>
      </c>
      <c r="F378" s="3">
        <f t="shared" si="300"/>
        <v>0</v>
      </c>
      <c r="G378" s="3">
        <f t="shared" si="294"/>
        <v>0</v>
      </c>
      <c r="H378" s="3" t="e">
        <f>IF(KPI_10="","Empty",KPI_10)</f>
        <v>#NAME?</v>
      </c>
      <c r="I378" s="21"/>
      <c r="J378" s="21"/>
      <c r="K378" s="18"/>
      <c r="L378" s="78"/>
      <c r="M378" s="78">
        <v>0</v>
      </c>
      <c r="N378" s="114"/>
      <c r="O378" s="78">
        <v>0</v>
      </c>
      <c r="P378" s="114"/>
      <c r="Q378" s="78">
        <v>0</v>
      </c>
      <c r="R378" s="114"/>
      <c r="S378" s="78">
        <v>0</v>
      </c>
      <c r="T378" s="114"/>
      <c r="U378" s="114"/>
      <c r="V378" s="71"/>
      <c r="W378" s="114">
        <f>IFERROR(($M378-#REF!)/ABS(#REF!),0)</f>
        <v>0</v>
      </c>
      <c r="X378" s="71" t="e">
        <f>($M378-#REF!)</f>
        <v>#REF!</v>
      </c>
      <c r="Y378" s="114">
        <f t="shared" si="295"/>
        <v>0</v>
      </c>
      <c r="Z378" s="71">
        <f t="shared" si="301"/>
        <v>0</v>
      </c>
      <c r="AA378" s="71"/>
      <c r="AC378" s="115">
        <v>0</v>
      </c>
      <c r="AD378" s="115">
        <v>0</v>
      </c>
      <c r="AE378" s="115">
        <v>0</v>
      </c>
      <c r="AF378" s="116">
        <f t="shared" si="296"/>
        <v>0</v>
      </c>
      <c r="AG378" s="71">
        <f t="shared" si="297"/>
        <v>0</v>
      </c>
      <c r="AH378" s="116">
        <f t="shared" si="298"/>
        <v>0</v>
      </c>
      <c r="AI378" s="71">
        <f t="shared" si="302"/>
        <v>0</v>
      </c>
      <c r="AK378" s="115">
        <v>0</v>
      </c>
      <c r="AL378" s="114"/>
      <c r="AM378" s="115">
        <v>0</v>
      </c>
      <c r="AN378" s="114"/>
      <c r="AO378" s="115">
        <v>0</v>
      </c>
      <c r="AP378" s="114"/>
      <c r="AQ378" s="115">
        <v>0</v>
      </c>
      <c r="AR378" s="114"/>
      <c r="AS378" s="114"/>
      <c r="AT378" s="71"/>
      <c r="AU378" s="114">
        <f>IFERROR(($M378-#REF!)/ABS(#REF!),0)</f>
        <v>0</v>
      </c>
      <c r="AV378" s="71" t="e">
        <f>($M378-#REF!)</f>
        <v>#REF!</v>
      </c>
      <c r="AW378" s="114">
        <f t="shared" si="299"/>
        <v>0</v>
      </c>
      <c r="AX378" s="71">
        <f t="shared" si="303"/>
        <v>0</v>
      </c>
      <c r="AY378" s="71"/>
      <c r="BA378" s="115">
        <v>0</v>
      </c>
      <c r="BB378" s="114"/>
      <c r="BC378" s="115">
        <v>0</v>
      </c>
      <c r="BD378" s="114"/>
      <c r="BE378" s="115">
        <v>0</v>
      </c>
      <c r="BF378" s="114"/>
      <c r="BG378" s="114"/>
      <c r="BH378" s="71"/>
      <c r="BI378" s="114"/>
      <c r="BJ378" s="71"/>
      <c r="BK378" s="71"/>
    </row>
    <row r="379" spans="2:63" hidden="1" x14ac:dyDescent="0.25">
      <c r="B379" t="s">
        <v>1</v>
      </c>
      <c r="N379" s="90"/>
      <c r="P379" s="90"/>
      <c r="R379" s="90"/>
      <c r="T379" s="90"/>
      <c r="U379" s="90"/>
      <c r="V379" s="84"/>
      <c r="W379" s="90"/>
      <c r="X379" s="84"/>
      <c r="Y379" s="90"/>
      <c r="Z379" s="84"/>
      <c r="AA379" s="84"/>
      <c r="AF379" s="15"/>
      <c r="AG379" s="84"/>
      <c r="AH379" s="15"/>
      <c r="AI379" s="84"/>
      <c r="AL379" s="90"/>
      <c r="AN379" s="90"/>
      <c r="AP379" s="90"/>
      <c r="AR379" s="90"/>
      <c r="AS379" s="90"/>
      <c r="AT379" s="84"/>
      <c r="AU379" s="90"/>
      <c r="AV379" s="84"/>
      <c r="AW379" s="90"/>
      <c r="AX379" s="84"/>
      <c r="AY379" s="84"/>
      <c r="BB379" s="90"/>
      <c r="BD379" s="90"/>
      <c r="BF379" s="90"/>
      <c r="BG379" s="90"/>
      <c r="BH379" s="84"/>
      <c r="BI379" s="90"/>
      <c r="BJ379" s="84"/>
      <c r="BK379" s="84"/>
    </row>
    <row r="380" spans="2:63" hidden="1" x14ac:dyDescent="0.25">
      <c r="B380" t="s">
        <v>1</v>
      </c>
      <c r="N380" s="90"/>
      <c r="P380" s="90"/>
      <c r="R380" s="90"/>
      <c r="T380" s="90"/>
      <c r="U380" s="90"/>
      <c r="V380" s="84"/>
      <c r="W380" s="90"/>
      <c r="X380" s="84"/>
      <c r="Y380" s="90"/>
      <c r="Z380" s="84"/>
      <c r="AA380" s="84"/>
      <c r="AF380" s="15"/>
      <c r="AG380" s="84"/>
      <c r="AH380" s="15"/>
      <c r="AI380" s="84"/>
      <c r="AL380" s="90"/>
      <c r="AN380" s="90"/>
      <c r="AP380" s="90"/>
      <c r="AR380" s="90"/>
      <c r="AS380" s="90"/>
      <c r="AT380" s="84"/>
      <c r="AU380" s="90"/>
      <c r="AV380" s="84"/>
      <c r="AW380" s="90"/>
      <c r="AX380" s="84"/>
      <c r="AY380" s="84"/>
      <c r="BB380" s="90"/>
      <c r="BD380" s="90"/>
      <c r="BF380" s="90"/>
      <c r="BG380" s="90"/>
      <c r="BH380" s="84"/>
      <c r="BI380" s="90"/>
      <c r="BJ380" s="84"/>
      <c r="BK380" s="84"/>
    </row>
    <row r="381" spans="2:63" ht="12.45" thickBot="1" x14ac:dyDescent="0.3">
      <c r="B381" t="s">
        <v>90</v>
      </c>
      <c r="E381" s="4">
        <f>$E$5</f>
        <v>0</v>
      </c>
      <c r="F381" s="4">
        <f t="shared" ref="F381" si="304">$F$5</f>
        <v>0</v>
      </c>
      <c r="G381" s="4">
        <f>$G$5</f>
        <v>0</v>
      </c>
      <c r="H381" s="4" t="s">
        <v>20</v>
      </c>
      <c r="I381" s="5"/>
      <c r="J381" s="5"/>
      <c r="K381" s="5"/>
      <c r="L381" s="5"/>
      <c r="M381" s="120">
        <v>217102.07</v>
      </c>
      <c r="N381" s="121"/>
      <c r="O381" s="120">
        <v>0</v>
      </c>
      <c r="P381" s="121"/>
      <c r="Q381" s="120">
        <v>53024.9182908</v>
      </c>
      <c r="R381" s="121"/>
      <c r="S381" s="120">
        <v>58334.07</v>
      </c>
      <c r="T381" s="121"/>
      <c r="U381" s="121"/>
      <c r="V381" s="122"/>
      <c r="W381" s="121"/>
      <c r="X381" s="122"/>
      <c r="Y381" s="121"/>
      <c r="Z381" s="122"/>
      <c r="AA381" s="122"/>
      <c r="AC381" s="120">
        <v>217102.07</v>
      </c>
      <c r="AD381" s="120">
        <v>58334.07</v>
      </c>
      <c r="AE381" s="120">
        <v>53024.9182908</v>
      </c>
      <c r="AF381" s="123"/>
      <c r="AG381" s="122"/>
      <c r="AH381" s="123"/>
      <c r="AI381" s="122"/>
      <c r="AK381" s="120">
        <v>217102.07</v>
      </c>
      <c r="AL381" s="121"/>
      <c r="AM381" s="120">
        <v>0</v>
      </c>
      <c r="AN381" s="121"/>
      <c r="AO381" s="120">
        <v>53024.9182908</v>
      </c>
      <c r="AP381" s="121"/>
      <c r="AQ381" s="120">
        <v>58334.07</v>
      </c>
      <c r="AR381" s="121"/>
      <c r="AS381" s="121"/>
      <c r="AT381" s="122"/>
      <c r="AU381" s="121"/>
      <c r="AV381" s="122"/>
      <c r="AW381" s="121"/>
      <c r="AX381" s="122"/>
      <c r="AY381" s="122"/>
      <c r="BA381" s="120">
        <v>529671</v>
      </c>
      <c r="BB381" s="121"/>
      <c r="BC381" s="120">
        <v>529671</v>
      </c>
      <c r="BD381" s="121"/>
      <c r="BE381" s="120">
        <v>-1190971.82</v>
      </c>
      <c r="BF381" s="121"/>
      <c r="BG381" s="121"/>
      <c r="BH381" s="122"/>
      <c r="BI381" s="121"/>
      <c r="BJ381" s="122"/>
      <c r="BK381" s="122"/>
    </row>
    <row r="382" spans="2:63" hidden="1" x14ac:dyDescent="0.25">
      <c r="B382" t="s">
        <v>1</v>
      </c>
      <c r="M382" s="124">
        <f>_xlfn.IFNA(ROUND(M381-M365,0),0)</f>
        <v>0</v>
      </c>
      <c r="N382" s="125"/>
      <c r="O382" s="124"/>
      <c r="P382" s="125"/>
      <c r="Q382" s="124"/>
      <c r="R382" s="125"/>
      <c r="S382" s="124">
        <f>_xlfn.IFNA(ROUND(S381-S365,0),0)</f>
        <v>0</v>
      </c>
      <c r="T382" s="125"/>
      <c r="U382" s="125"/>
      <c r="V382" s="126"/>
      <c r="W382" s="125"/>
      <c r="X382" s="126"/>
      <c r="Y382" s="125"/>
      <c r="Z382" s="126"/>
      <c r="AA382" s="126"/>
      <c r="AC382" s="124">
        <f>_xlfn.IFNA(ROUND(AC381-AC365,0),0)</f>
        <v>0</v>
      </c>
      <c r="AD382" s="124">
        <f>_xlfn.IFNA(ROUND(AD381-AD365,0),0)</f>
        <v>0</v>
      </c>
      <c r="AE382" s="124">
        <f>_xlfn.IFNA(ROUND(AE381-AE365,0),0)</f>
        <v>0</v>
      </c>
      <c r="AF382" s="127"/>
      <c r="AG382" s="126"/>
      <c r="AH382" s="127"/>
      <c r="AI382" s="126"/>
      <c r="AK382" s="124">
        <f>_xlfn.IFNA(ROUND(AK381-AK365,0),0)</f>
        <v>0</v>
      </c>
      <c r="AL382" s="125"/>
      <c r="AM382" s="124"/>
      <c r="AN382" s="125"/>
      <c r="AO382" s="124"/>
      <c r="AP382" s="125"/>
      <c r="AQ382" s="124">
        <f>_xlfn.IFNA(ROUND(AQ381-AQ365,0),0)</f>
        <v>0</v>
      </c>
      <c r="AR382" s="125"/>
      <c r="AS382" s="125"/>
      <c r="AT382" s="126"/>
      <c r="AU382" s="125"/>
      <c r="AV382" s="126"/>
      <c r="AW382" s="125"/>
      <c r="AX382" s="126"/>
      <c r="AY382" s="126"/>
      <c r="BA382" s="124"/>
      <c r="BB382" s="125"/>
      <c r="BC382" s="124"/>
      <c r="BD382" s="125"/>
      <c r="BE382" s="124"/>
      <c r="BF382" s="125"/>
      <c r="BG382" s="125"/>
      <c r="BH382" s="126"/>
      <c r="BI382" s="125"/>
      <c r="BJ382" s="126"/>
      <c r="BK382" s="126"/>
    </row>
    <row r="383" spans="2:63" x14ac:dyDescent="0.25">
      <c r="N383" s="48"/>
      <c r="P383" s="48"/>
      <c r="R383" s="48"/>
      <c r="T383" s="48"/>
      <c r="U383" s="48"/>
      <c r="V383" s="15"/>
      <c r="W383" s="48"/>
      <c r="X383" s="15"/>
      <c r="Y383" s="48"/>
      <c r="Z383" s="15"/>
      <c r="AA383" s="15"/>
      <c r="AF383" s="15"/>
      <c r="AG383" s="15"/>
      <c r="AH383" s="15"/>
      <c r="AI383" s="15"/>
      <c r="AL383" s="48"/>
      <c r="AN383" s="48"/>
      <c r="AP383" s="48"/>
      <c r="AR383" s="48"/>
      <c r="AS383" s="48"/>
      <c r="AT383" s="15"/>
      <c r="AU383" s="48"/>
      <c r="AV383" s="15"/>
      <c r="AW383" s="48"/>
      <c r="AX383" s="15"/>
      <c r="AY383" s="15"/>
      <c r="BB383" s="48"/>
      <c r="BD383" s="48"/>
      <c r="BF383" s="48"/>
      <c r="BG383" s="48"/>
      <c r="BH383" s="15"/>
      <c r="BI383" s="48"/>
      <c r="BJ383" s="15"/>
      <c r="BK383" s="15"/>
    </row>
    <row r="384" spans="2:63" x14ac:dyDescent="0.25">
      <c r="M384" s="22">
        <f>M63-M140-M322-M330-M335-M347-M352-M342</f>
        <v>217102.07000000004</v>
      </c>
      <c r="N384" s="128"/>
      <c r="O384" s="22">
        <f>O63-O140-O322-O330-O335-O347-O352-O342</f>
        <v>0</v>
      </c>
      <c r="P384" s="128"/>
      <c r="Q384" s="22">
        <f>Q63-Q140-Q322-Q330-Q335-Q347-Q352-Q342</f>
        <v>53024.918290799949</v>
      </c>
      <c r="R384" s="128"/>
      <c r="S384" s="22">
        <f>S63-S140-S322-S330-S335-S347-S352-S342</f>
        <v>58334.070000000036</v>
      </c>
      <c r="T384" s="128"/>
      <c r="U384" s="128">
        <f t="shared" ref="U384:Z384" si="305">U63-U140-U322-U330-U335-U347-U352-U342</f>
        <v>2</v>
      </c>
      <c r="V384" s="129">
        <f t="shared" si="305"/>
        <v>1091736.31</v>
      </c>
      <c r="W384" s="128">
        <f t="shared" si="305"/>
        <v>1.0360153559036687</v>
      </c>
      <c r="X384" s="129">
        <f t="shared" si="305"/>
        <v>36879.171075868013</v>
      </c>
      <c r="Y384" s="128">
        <f t="shared" si="305"/>
        <v>1.2505930962128966</v>
      </c>
      <c r="Z384" s="129">
        <f t="shared" si="305"/>
        <v>130177.51999999999</v>
      </c>
      <c r="AA384" s="129"/>
      <c r="AC384" s="22">
        <f t="shared" ref="AC384:AK384" si="306">AC63-AC140-AC322-AC330-AC335-AC347-AC352-AC342</f>
        <v>217102.07000000004</v>
      </c>
      <c r="AD384" s="22">
        <f t="shared" si="306"/>
        <v>58334.070000000036</v>
      </c>
      <c r="AE384" s="22">
        <f t="shared" si="306"/>
        <v>53024.918290799949</v>
      </c>
      <c r="AF384" s="129">
        <f t="shared" si="306"/>
        <v>1.2505930962128966</v>
      </c>
      <c r="AG384" s="129">
        <f t="shared" si="306"/>
        <v>130177.51999999999</v>
      </c>
      <c r="AH384" s="129">
        <f t="shared" si="306"/>
        <v>1.0360153559036687</v>
      </c>
      <c r="AI384" s="129">
        <f t="shared" si="306"/>
        <v>36879.171075868013</v>
      </c>
      <c r="AJ384" s="22">
        <f t="shared" si="306"/>
        <v>0</v>
      </c>
      <c r="AK384" s="22">
        <f t="shared" si="306"/>
        <v>217102.07000000004</v>
      </c>
      <c r="AL384" s="128"/>
      <c r="AM384" s="22">
        <f>AM63-AM140-AM322-AM330-AM335-AM347-AM352-AM342</f>
        <v>0</v>
      </c>
      <c r="AN384" s="128"/>
      <c r="AO384" s="22">
        <f>AO63-AO140-AO322-AO330-AO335-AO347-AO352-AO342</f>
        <v>53024.918290799949</v>
      </c>
      <c r="AP384" s="128"/>
      <c r="AQ384" s="22">
        <f>AQ63-AQ140-AQ322-AQ330-AQ335-AQ347-AQ352-AQ342</f>
        <v>58334.070000000036</v>
      </c>
      <c r="AR384" s="128"/>
      <c r="AS384" s="128">
        <f t="shared" ref="AS384:AX384" si="307">AS63-AS140-AS322-AS330-AS335-AS347-AS352-AS342</f>
        <v>2</v>
      </c>
      <c r="AT384" s="129">
        <f t="shared" si="307"/>
        <v>1091695.1500000001</v>
      </c>
      <c r="AU384" s="128">
        <f t="shared" si="307"/>
        <v>5.4485530581940278E-2</v>
      </c>
      <c r="AV384" s="129">
        <f t="shared" si="307"/>
        <v>36879.171075868013</v>
      </c>
      <c r="AW384" s="128">
        <f t="shared" si="307"/>
        <v>1.2505930962128966</v>
      </c>
      <c r="AX384" s="129">
        <f t="shared" si="307"/>
        <v>130177.51999999999</v>
      </c>
      <c r="AY384" s="129"/>
      <c r="BA384" s="22">
        <f>BA63-BA140-BA322-BA330-BA335-BA347-BA352-BA342</f>
        <v>529671</v>
      </c>
      <c r="BB384" s="128"/>
      <c r="BC384" s="22">
        <f>BC63-BC140-BC322-BC330-BC335-BC347-BC352-BC342</f>
        <v>529671</v>
      </c>
      <c r="BD384" s="128"/>
      <c r="BE384" s="22">
        <f>BE63-BE140-BE322-BE330-BE335-BE347-BE352-BE342</f>
        <v>-1190971.8200000005</v>
      </c>
      <c r="BF384" s="128"/>
      <c r="BG384" s="128">
        <f>BG63-BG140-BG322-BG330-BG335-BG347-BG352-BG342</f>
        <v>0</v>
      </c>
      <c r="BH384" s="129">
        <f>BH63-BH140-BH322-BH330-BH335-BH347-BH352-BH342</f>
        <v>0</v>
      </c>
      <c r="BI384" s="128">
        <f>BI63-BI140-BI322-BI330-BI335-BI347-BI352-BI342</f>
        <v>0.58433250594345409</v>
      </c>
      <c r="BJ384" s="129">
        <f>BJ63-BJ140-BJ322-BJ330-BJ335-BJ347-BJ352-BJ342</f>
        <v>-1275045.6000000003</v>
      </c>
      <c r="BK384" s="129"/>
    </row>
    <row r="385" spans="14:63" x14ac:dyDescent="0.25">
      <c r="N385" s="48"/>
      <c r="P385" s="48"/>
      <c r="R385" s="48"/>
      <c r="T385" s="48"/>
      <c r="U385" s="48"/>
      <c r="V385" s="15"/>
      <c r="W385" s="48"/>
      <c r="X385" s="15"/>
      <c r="Y385" s="48"/>
      <c r="Z385" s="15"/>
      <c r="AA385" s="15"/>
      <c r="AF385" s="15"/>
      <c r="AG385" s="15"/>
      <c r="AH385" s="15"/>
      <c r="AI385" s="15"/>
      <c r="AL385" s="48"/>
      <c r="AN385" s="48"/>
      <c r="AP385" s="48"/>
      <c r="AR385" s="48"/>
      <c r="AS385" s="48"/>
      <c r="AT385" s="15"/>
      <c r="AU385" s="48"/>
      <c r="AV385" s="15"/>
      <c r="AW385" s="48"/>
      <c r="AX385" s="15"/>
      <c r="AY385" s="15"/>
      <c r="BB385" s="48"/>
      <c r="BD385" s="48"/>
      <c r="BF385" s="48"/>
      <c r="BG385" s="48"/>
      <c r="BH385" s="15"/>
      <c r="BI385" s="48"/>
      <c r="BJ385" s="15"/>
      <c r="BK385" s="15"/>
    </row>
    <row r="386" spans="14:63" x14ac:dyDescent="0.25">
      <c r="N386" s="48"/>
      <c r="P386" s="48"/>
      <c r="R386" s="48"/>
      <c r="S386" s="22">
        <f>S365-S384</f>
        <v>0</v>
      </c>
      <c r="T386" s="48"/>
      <c r="U386" s="48"/>
      <c r="V386" s="15"/>
      <c r="W386" s="48"/>
      <c r="X386" s="15"/>
      <c r="Y386" s="48"/>
      <c r="Z386" s="15"/>
      <c r="AA386" s="15"/>
      <c r="AF386" s="15"/>
      <c r="AG386" s="15"/>
      <c r="AH386" s="15"/>
      <c r="AI386" s="15"/>
      <c r="AS386" s="15"/>
      <c r="AT386" s="15"/>
      <c r="AU386" s="15"/>
      <c r="AV386" s="15"/>
      <c r="AW386" s="15"/>
      <c r="AX386" s="15"/>
      <c r="AY386" s="15"/>
      <c r="BG386" s="15"/>
      <c r="BH386" s="15"/>
      <c r="BI386" s="15"/>
      <c r="BJ386" s="15"/>
    </row>
  </sheetData>
  <conditionalFormatting sqref="AF29 AH29">
    <cfRule type="dataBar" priority="1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{F86E920B-0175-4029-A2AA-F5633D90AD89}</x14:id>
        </ext>
      </extLst>
    </cfRule>
  </conditionalFormatting>
  <conditionalFormatting sqref="AF63 AH63">
    <cfRule type="dataBar" priority="1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{44C81D7E-44CE-4586-BA93-E5424D4A1591}</x14:id>
        </ext>
      </extLst>
    </cfRule>
  </conditionalFormatting>
  <conditionalFormatting sqref="AF140 AH140">
    <cfRule type="dataBar" priority="4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{2D8687E1-6AA0-4DC0-B67E-15243332AB71}</x14:id>
        </ext>
      </extLst>
    </cfRule>
  </conditionalFormatting>
  <conditionalFormatting sqref="AF322:AF323 AH322:AH323">
    <cfRule type="dataBar" priority="5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{BC88E369-702D-4985-B90A-048366693A55}</x14:id>
        </ext>
      </extLst>
    </cfRule>
  </conditionalFormatting>
  <conditionalFormatting sqref="AF342 AH342">
    <cfRule type="dataBar" priority="1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{2AA7B309-EDF7-4C72-9BAA-B47DC8E3965C}</x14:id>
        </ext>
      </extLst>
    </cfRule>
  </conditionalFormatting>
  <conditionalFormatting sqref="AF360 AF362 AH360 AH362">
    <cfRule type="dataBar" priority="1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{E655F839-88C1-4A97-B492-2E74C9750510}</x14:id>
        </ext>
      </extLst>
    </cfRule>
  </conditionalFormatting>
  <conditionalFormatting sqref="AF365 AH365">
    <cfRule type="dataBar" priority="1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{A7543283-6FD6-480B-80B5-B81A06930433}</x14:id>
        </ext>
      </extLst>
    </cfRule>
  </conditionalFormatting>
  <conditionalFormatting sqref="AF370">
    <cfRule type="dataBar" priority="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{9B365870-A3E6-4C83-A134-5F3EBA3E4565}</x14:id>
        </ext>
      </extLst>
    </cfRule>
  </conditionalFormatting>
  <conditionalFormatting sqref="AF372 AH372">
    <cfRule type="dataBar" priority="2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{0682E8F7-8081-4938-9D7D-050B2B1F3195}</x14:id>
        </ext>
      </extLst>
    </cfRule>
    <cfRule type="dataBar" priority="2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{1CC2FBB5-51F1-413D-84F5-28F824C4F7CC}</x14:id>
        </ext>
      </extLst>
    </cfRule>
  </conditionalFormatting>
  <conditionalFormatting sqref="AF374 AH374">
    <cfRule type="dataBar" priority="2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{D7FF55BC-70EB-4DC6-979A-039841035465}</x14:id>
        </ext>
      </extLst>
    </cfRule>
  </conditionalFormatting>
  <conditionalFormatting sqref="AH66:AH138 AF66:AF138">
    <cfRule type="dataBar" priority="11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{4A6EAA23-75C6-4985-B17D-A75818B93314}</x14:id>
        </ext>
      </extLst>
    </cfRule>
  </conditionalFormatting>
  <conditionalFormatting sqref="AH145:AH320 AF145:AF320">
    <cfRule type="dataBar" priority="2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{4A817332-0DD6-447D-8F43-FE568D131C4B}</x14:id>
        </ext>
      </extLst>
    </cfRule>
  </conditionalFormatting>
  <conditionalFormatting sqref="AH324">
    <cfRule type="dataBar" priority="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{E0390816-FEBA-44DC-B191-E872427B4C24}</x14:id>
        </ext>
      </extLst>
    </cfRule>
  </conditionalFormatting>
  <conditionalFormatting sqref="AH328 AF328 AF338:AF340 AH338:AH340 AH31:AH61 AF31:AF61">
    <cfRule type="dataBar" priority="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{93F89BC3-860E-4853-94F7-E47C164E9F63}</x14:id>
        </ext>
      </extLst>
    </cfRule>
  </conditionalFormatting>
  <conditionalFormatting sqref="AH330 AF330">
    <cfRule type="dataBar" priority="1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{17565597-AA22-4E50-B721-30E7C22EBE65}</x14:id>
        </ext>
      </extLst>
    </cfRule>
  </conditionalFormatting>
  <conditionalFormatting sqref="AH335 AF335 AF333 AH333">
    <cfRule type="dataBar" priority="13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{C8061906-EF02-44F8-B1C8-F75206D63A63}</x14:id>
        </ext>
      </extLst>
    </cfRule>
  </conditionalFormatting>
  <conditionalFormatting sqref="AH347 AF347 AF345 AH345">
    <cfRule type="dataBar" priority="1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{84A0D101-C4DD-48F5-876F-80579CB92AB5}</x14:id>
        </ext>
      </extLst>
    </cfRule>
  </conditionalFormatting>
  <conditionalFormatting sqref="AH352 AF352 AF350 AH350">
    <cfRule type="dataBar" priority="1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{956796C3-48C4-46C1-8759-4681369D88F2}</x14:id>
        </ext>
      </extLst>
    </cfRule>
  </conditionalFormatting>
  <conditionalFormatting sqref="AH357 AF357 AF355 AH355">
    <cfRule type="dataBar" priority="17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{4BAC4AA1-15F5-4775-A9C3-53CD3E6DC551}</x14:id>
        </ext>
      </extLst>
    </cfRule>
  </conditionalFormatting>
  <conditionalFormatting sqref="AH369 AF369">
    <cfRule type="dataBar" priority="7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{54B7377D-6FBD-41A1-A81A-A9AF7869EF2D}</x14:id>
        </ext>
      </extLst>
    </cfRule>
  </conditionalFormatting>
  <conditionalFormatting sqref="AH370">
    <cfRule type="dataBar" priority="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{CAA83C75-04DA-4E88-89F8-82BB9F9A8DE5}</x14:id>
        </ext>
      </extLst>
    </cfRule>
  </conditionalFormatting>
  <conditionalFormatting sqref="AH371 AF371">
    <cfRule type="dataBar" priority="2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{78145186-3205-4B32-BE58-C3BCBC7F44DA}</x14:id>
        </ext>
      </extLst>
    </cfRule>
  </conditionalFormatting>
  <conditionalFormatting sqref="AH373 AF373">
    <cfRule type="dataBar" priority="2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{5D467AF3-D445-4F98-9125-BD9AA50B073D}</x14:id>
        </ext>
      </extLst>
    </cfRule>
  </conditionalFormatting>
  <conditionalFormatting sqref="AH375 AF375">
    <cfRule type="dataBar" priority="2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{0377F9F8-F481-4EC6-9EB5-08503EAD1209}</x14:id>
        </ext>
      </extLst>
    </cfRule>
  </conditionalFormatting>
  <conditionalFormatting sqref="AH376 AF376">
    <cfRule type="dataBar" priority="2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{94A36FF1-BA12-40BB-ACD8-E3FBEA74B7B1}</x14:id>
        </ext>
      </extLst>
    </cfRule>
  </conditionalFormatting>
  <conditionalFormatting sqref="AH377 AF377">
    <cfRule type="dataBar" priority="27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{D8FBDAEF-2274-4DCD-BC71-0CEF3E5F53CD}</x14:id>
        </ext>
      </extLst>
    </cfRule>
  </conditionalFormatting>
  <conditionalFormatting sqref="AH378 AF378">
    <cfRule type="dataBar" priority="2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{A22C3C9F-4377-4C98-80C7-54EA7F6C3347}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6E920B-0175-4029-A2AA-F5633D90AD8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AF29 AH29</xm:sqref>
        </x14:conditionalFormatting>
        <x14:conditionalFormatting xmlns:xm="http://schemas.microsoft.com/office/excel/2006/main">
          <x14:cfRule type="dataBar" id="{44C81D7E-44CE-4586-BA93-E5424D4A159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AF63 AH63</xm:sqref>
        </x14:conditionalFormatting>
        <x14:conditionalFormatting xmlns:xm="http://schemas.microsoft.com/office/excel/2006/main">
          <x14:cfRule type="dataBar" id="{2D8687E1-6AA0-4DC0-B67E-15243332AB7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AF140 AH140</xm:sqref>
        </x14:conditionalFormatting>
        <x14:conditionalFormatting xmlns:xm="http://schemas.microsoft.com/office/excel/2006/main">
          <x14:cfRule type="dataBar" id="{BC88E369-702D-4985-B90A-048366693A5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AF322:AF323 AH322:AH323</xm:sqref>
        </x14:conditionalFormatting>
        <x14:conditionalFormatting xmlns:xm="http://schemas.microsoft.com/office/excel/2006/main">
          <x14:cfRule type="dataBar" id="{2AA7B309-EDF7-4C72-9BAA-B47DC8E3965C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AF342 AH342</xm:sqref>
        </x14:conditionalFormatting>
        <x14:conditionalFormatting xmlns:xm="http://schemas.microsoft.com/office/excel/2006/main">
          <x14:cfRule type="dataBar" id="{E655F839-88C1-4A97-B492-2E74C9750510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AF360 AF362 AH360 AH362</xm:sqref>
        </x14:conditionalFormatting>
        <x14:conditionalFormatting xmlns:xm="http://schemas.microsoft.com/office/excel/2006/main">
          <x14:cfRule type="dataBar" id="{A7543283-6FD6-480B-80B5-B81A0693043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AF365 AH365</xm:sqref>
        </x14:conditionalFormatting>
        <x14:conditionalFormatting xmlns:xm="http://schemas.microsoft.com/office/excel/2006/main">
          <x14:cfRule type="dataBar" id="{9B365870-A3E6-4C83-A134-5F3EBA3E456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AF370</xm:sqref>
        </x14:conditionalFormatting>
        <x14:conditionalFormatting xmlns:xm="http://schemas.microsoft.com/office/excel/2006/main">
          <x14:cfRule type="dataBar" id="{0682E8F7-8081-4938-9D7D-050B2B1F319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14:cfRule type="dataBar" id="{1CC2FBB5-51F1-413D-84F5-28F824C4F7CC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AF372 AH372</xm:sqref>
        </x14:conditionalFormatting>
        <x14:conditionalFormatting xmlns:xm="http://schemas.microsoft.com/office/excel/2006/main">
          <x14:cfRule type="dataBar" id="{D7FF55BC-70EB-4DC6-979A-03984103546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AF374 AH374</xm:sqref>
        </x14:conditionalFormatting>
        <x14:conditionalFormatting xmlns:xm="http://schemas.microsoft.com/office/excel/2006/main">
          <x14:cfRule type="dataBar" id="{4A6EAA23-75C6-4985-B17D-A75818B9331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AH66:AH138 AF66:AF138</xm:sqref>
        </x14:conditionalFormatting>
        <x14:conditionalFormatting xmlns:xm="http://schemas.microsoft.com/office/excel/2006/main">
          <x14:cfRule type="dataBar" id="{4A817332-0DD6-447D-8F43-FE568D131C4B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AH145:AH320 AF145:AF320</xm:sqref>
        </x14:conditionalFormatting>
        <x14:conditionalFormatting xmlns:xm="http://schemas.microsoft.com/office/excel/2006/main">
          <x14:cfRule type="dataBar" id="{E0390816-FEBA-44DC-B191-E872427B4C2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AH324</xm:sqref>
        </x14:conditionalFormatting>
        <x14:conditionalFormatting xmlns:xm="http://schemas.microsoft.com/office/excel/2006/main">
          <x14:cfRule type="dataBar" id="{93F89BC3-860E-4853-94F7-E47C164E9F6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AH328 AF328 AF338:AF340 AH338:AH340 AH31:AH61 AF31:AF61</xm:sqref>
        </x14:conditionalFormatting>
        <x14:conditionalFormatting xmlns:xm="http://schemas.microsoft.com/office/excel/2006/main">
          <x14:cfRule type="dataBar" id="{17565597-AA22-4E50-B721-30E7C22EBE6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AH330 AF330</xm:sqref>
        </x14:conditionalFormatting>
        <x14:conditionalFormatting xmlns:xm="http://schemas.microsoft.com/office/excel/2006/main">
          <x14:cfRule type="dataBar" id="{C8061906-EF02-44F8-B1C8-F75206D63A6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AH335 AF335 AF333 AH333</xm:sqref>
        </x14:conditionalFormatting>
        <x14:conditionalFormatting xmlns:xm="http://schemas.microsoft.com/office/excel/2006/main">
          <x14:cfRule type="dataBar" id="{84A0D101-C4DD-48F5-876F-80579CB92AB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AH347 AF347 AF345 AH345</xm:sqref>
        </x14:conditionalFormatting>
        <x14:conditionalFormatting xmlns:xm="http://schemas.microsoft.com/office/excel/2006/main">
          <x14:cfRule type="dataBar" id="{956796C3-48C4-46C1-8759-4681369D88F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AH352 AF352 AF350 AH350</xm:sqref>
        </x14:conditionalFormatting>
        <x14:conditionalFormatting xmlns:xm="http://schemas.microsoft.com/office/excel/2006/main">
          <x14:cfRule type="dataBar" id="{4BAC4AA1-15F5-4775-A9C3-53CD3E6DC55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AH357 AF357 AF355 AH355</xm:sqref>
        </x14:conditionalFormatting>
        <x14:conditionalFormatting xmlns:xm="http://schemas.microsoft.com/office/excel/2006/main">
          <x14:cfRule type="dataBar" id="{54B7377D-6FBD-41A1-A81A-A9AF7869EF2D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AH369 AF369</xm:sqref>
        </x14:conditionalFormatting>
        <x14:conditionalFormatting xmlns:xm="http://schemas.microsoft.com/office/excel/2006/main">
          <x14:cfRule type="dataBar" id="{CAA83C75-04DA-4E88-89F8-82BB9F9A8DE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AH370</xm:sqref>
        </x14:conditionalFormatting>
        <x14:conditionalFormatting xmlns:xm="http://schemas.microsoft.com/office/excel/2006/main">
          <x14:cfRule type="dataBar" id="{78145186-3205-4B32-BE58-C3BCBC7F44DA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AH371 AF371</xm:sqref>
        </x14:conditionalFormatting>
        <x14:conditionalFormatting xmlns:xm="http://schemas.microsoft.com/office/excel/2006/main">
          <x14:cfRule type="dataBar" id="{5D467AF3-D445-4F98-9125-BD9AA50B073D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AH373 AF373</xm:sqref>
        </x14:conditionalFormatting>
        <x14:conditionalFormatting xmlns:xm="http://schemas.microsoft.com/office/excel/2006/main">
          <x14:cfRule type="dataBar" id="{0377F9F8-F481-4EC6-9EB5-08503EAD120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AH375 AF375</xm:sqref>
        </x14:conditionalFormatting>
        <x14:conditionalFormatting xmlns:xm="http://schemas.microsoft.com/office/excel/2006/main">
          <x14:cfRule type="dataBar" id="{94A36FF1-BA12-40BB-ACD8-E3FBEA74B7B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AH376 AF376</xm:sqref>
        </x14:conditionalFormatting>
        <x14:conditionalFormatting xmlns:xm="http://schemas.microsoft.com/office/excel/2006/main">
          <x14:cfRule type="dataBar" id="{D8FBDAEF-2274-4DCD-BC71-0CEF3E5F53CD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AH377 AF377</xm:sqref>
        </x14:conditionalFormatting>
        <x14:conditionalFormatting xmlns:xm="http://schemas.microsoft.com/office/excel/2006/main">
          <x14:cfRule type="dataBar" id="{A22C3C9F-4377-4C98-80C7-54EA7F6C3347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AH378 AF378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A10A-7C83-4D03-8CCC-B2EA7F3497B2}">
  <sheetPr codeName="Sheet3">
    <tabColor theme="3"/>
    <outlinePr summaryBelow="0"/>
  </sheetPr>
  <dimension ref="A1:BT236"/>
  <sheetViews>
    <sheetView topLeftCell="H18" zoomScaleNormal="100" workbookViewId="0">
      <pane xSplit="5" ySplit="4" topLeftCell="M32" activePane="bottomRight" state="frozen"/>
      <selection activeCell="H18" sqref="H18"/>
      <selection pane="topRight" activeCell="M18" sqref="M18"/>
      <selection pane="bottomLeft" activeCell="H22" sqref="H22"/>
      <selection pane="bottomRight" activeCell="H19" sqref="H19"/>
    </sheetView>
  </sheetViews>
  <sheetFormatPr defaultRowHeight="11.4" outlineLevelRow="2" x14ac:dyDescent="0.25"/>
  <cols>
    <col min="1" max="1" width="0" hidden="1" customWidth="1"/>
    <col min="2" max="7" width="8.77734375" hidden="1" customWidth="1"/>
    <col min="8" max="8" width="42" customWidth="1"/>
    <col min="9" max="10" width="8.77734375" hidden="1" customWidth="1"/>
    <col min="11" max="11" width="0" hidden="1" customWidth="1"/>
    <col min="12" max="12" width="8.77734375" hidden="1" customWidth="1"/>
    <col min="13" max="13" width="11.109375" bestFit="1" customWidth="1"/>
    <col min="14" max="14" width="8.77734375" style="29"/>
    <col min="15" max="15" width="12.77734375" hidden="1" customWidth="1"/>
    <col min="16" max="16" width="8.77734375" style="29" hidden="1" customWidth="1"/>
    <col min="17" max="17" width="8.77734375" customWidth="1"/>
    <col min="18" max="18" width="8.77734375" style="29" customWidth="1"/>
    <col min="19" max="19" width="11.109375" bestFit="1" customWidth="1"/>
    <col min="20" max="20" width="8.77734375" style="29"/>
    <col min="21" max="21" width="8.77734375" style="29" hidden="1" customWidth="1"/>
    <col min="22" max="22" width="8.77734375" hidden="1" customWidth="1"/>
    <col min="23" max="23" width="8.77734375" style="29" customWidth="1"/>
    <col min="24" max="24" width="8.77734375" customWidth="1"/>
    <col min="25" max="25" width="8.77734375" style="29"/>
    <col min="27" max="27" width="11.88671875" bestFit="1" customWidth="1"/>
    <col min="28" max="28" width="8.77734375" hidden="1" customWidth="1"/>
    <col min="29" max="31" width="8.77734375" style="47" hidden="1" customWidth="1"/>
    <col min="32" max="32" width="8.77734375" style="170" hidden="1" customWidth="1"/>
    <col min="33" max="33" width="8.77734375" style="47" hidden="1" customWidth="1"/>
    <col min="34" max="34" width="8.77734375" style="170" hidden="1" customWidth="1"/>
    <col min="35" max="35" width="8.77734375" style="47" hidden="1" customWidth="1"/>
    <col min="36" max="36" width="0" hidden="1" customWidth="1"/>
    <col min="37" max="37" width="10.77734375" bestFit="1" customWidth="1"/>
    <col min="38" max="38" width="8.77734375" style="29"/>
    <col min="39" max="39" width="12.77734375" hidden="1" customWidth="1"/>
    <col min="40" max="40" width="8.77734375" style="29" hidden="1" customWidth="1"/>
    <col min="41" max="41" width="8.77734375" customWidth="1"/>
    <col min="42" max="42" width="8.77734375" style="29" customWidth="1"/>
    <col min="43" max="43" width="10.6640625" bestFit="1" customWidth="1"/>
    <col min="44" max="44" width="8.77734375" style="29"/>
    <col min="45" max="45" width="8.77734375" style="29" hidden="1" customWidth="1"/>
    <col min="46" max="46" width="8.77734375" hidden="1" customWidth="1"/>
    <col min="47" max="47" width="8.77734375" style="29" customWidth="1"/>
    <col min="48" max="48" width="8.77734375" customWidth="1"/>
    <col min="49" max="49" width="8.77734375" style="29"/>
    <col min="52" max="52" width="0" hidden="1" customWidth="1"/>
    <col min="53" max="53" width="13" customWidth="1"/>
    <col min="54" max="54" width="8.77734375" style="29"/>
    <col min="55" max="55" width="13" hidden="1" customWidth="1"/>
    <col min="56" max="56" width="8.77734375" style="29" hidden="1" customWidth="1"/>
    <col min="57" max="57" width="13" customWidth="1"/>
    <col min="58" max="58" width="8.77734375" style="29"/>
    <col min="59" max="59" width="8.77734375" style="29" hidden="1" customWidth="1"/>
    <col min="60" max="60" width="8.77734375" hidden="1" customWidth="1"/>
    <col min="61" max="61" width="8.77734375" style="29"/>
    <col min="63" max="63" width="8.77734375" hidden="1" customWidth="1"/>
  </cols>
  <sheetData>
    <row r="1" spans="2:63" hidden="1" x14ac:dyDescent="0.25">
      <c r="B1" t="s">
        <v>0</v>
      </c>
      <c r="N1" s="145"/>
      <c r="P1" s="145"/>
      <c r="R1" s="145"/>
      <c r="T1" s="145"/>
      <c r="U1" s="145"/>
      <c r="V1" s="15"/>
      <c r="W1" s="145"/>
      <c r="X1" s="15"/>
      <c r="Y1" s="145"/>
      <c r="Z1" s="15"/>
      <c r="AA1" s="15"/>
      <c r="AF1" s="169"/>
      <c r="AG1" s="49"/>
      <c r="AH1" s="169"/>
      <c r="AI1" s="49"/>
      <c r="AL1" s="145"/>
      <c r="AN1" s="145"/>
      <c r="AP1" s="145"/>
      <c r="AR1" s="145"/>
      <c r="AS1" s="145"/>
      <c r="AT1" s="15"/>
      <c r="AU1" s="145"/>
      <c r="AV1" s="15"/>
      <c r="AW1" s="145"/>
      <c r="AX1" s="15"/>
      <c r="AY1" s="15"/>
      <c r="BB1" s="145"/>
      <c r="BD1" s="145"/>
      <c r="BF1" s="145"/>
      <c r="BG1" s="145"/>
      <c r="BH1" s="15"/>
      <c r="BI1" s="145"/>
      <c r="BJ1" s="15"/>
      <c r="BK1" s="15"/>
    </row>
    <row r="2" spans="2:63" hidden="1" x14ac:dyDescent="0.25">
      <c r="B2" t="s">
        <v>1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I2" t="s">
        <v>0</v>
      </c>
      <c r="J2" t="s">
        <v>0</v>
      </c>
      <c r="L2" t="s">
        <v>0</v>
      </c>
      <c r="N2" s="96"/>
      <c r="O2" s="46" t="str">
        <f>IF(VALUE(TRIM(LEFT(Scenario!$A$4,2)))&lt;4, "#hidecolumn", "#showcolumn")</f>
        <v>#hidecolumn</v>
      </c>
      <c r="P2" s="146" t="str">
        <f>O2</f>
        <v>#hidecolumn</v>
      </c>
      <c r="Q2" s="46" t="str">
        <f>IF(VALUE(TRIM(LEFT(Scenario!$A$4,2)))&lt;4, "#showcolumn", "#hidecolumn")</f>
        <v>#showcolumn</v>
      </c>
      <c r="R2" s="146" t="str">
        <f>Q2</f>
        <v>#showcolumn</v>
      </c>
      <c r="U2" s="29" t="str">
        <f>V2</f>
        <v>#hidecolumn</v>
      </c>
      <c r="V2" s="46" t="str">
        <f>IF(VALUE(TRIM(LEFT(Scenario!$A$4,2)))&lt;4, "#hidecolumn", "#showcolumn")</f>
        <v>#hidecolumn</v>
      </c>
      <c r="W2" s="29" t="str">
        <f>X2</f>
        <v>#showcolumn</v>
      </c>
      <c r="X2" s="46" t="str">
        <f>IF(VALUE(TRIM(LEFT(Scenario!$A$4,2)))&lt;4, "#showcolumn", "#hidecolumn")</f>
        <v>#showcolumn</v>
      </c>
      <c r="AB2" s="47" t="s">
        <v>0</v>
      </c>
      <c r="AC2" s="47" t="s">
        <v>0</v>
      </c>
      <c r="AD2" s="47" t="s">
        <v>0</v>
      </c>
      <c r="AE2" s="47" t="s">
        <v>0</v>
      </c>
      <c r="AF2" s="170" t="s">
        <v>0</v>
      </c>
      <c r="AG2" s="47" t="s">
        <v>0</v>
      </c>
      <c r="AH2" s="170" t="s">
        <v>0</v>
      </c>
      <c r="AI2" s="47" t="s">
        <v>0</v>
      </c>
      <c r="AM2" s="46" t="str">
        <f>IF(VALUE(TRIM(LEFT(Scenario!$A$4,2)))&lt;4, "#hidecolumn", "#showcolumn")</f>
        <v>#hidecolumn</v>
      </c>
      <c r="AN2" s="146" t="str">
        <f>AM2</f>
        <v>#hidecolumn</v>
      </c>
      <c r="AO2" s="46" t="str">
        <f>IF(VALUE(TRIM(LEFT(Scenario!$A$4,2)))&lt;4, "#showcolumn", "#hidecolumn")</f>
        <v>#showcolumn</v>
      </c>
      <c r="AP2" s="146" t="str">
        <f>AO2</f>
        <v>#showcolumn</v>
      </c>
      <c r="AS2" s="29" t="str">
        <f>AT2</f>
        <v>#hidecolumn</v>
      </c>
      <c r="AT2" s="46" t="str">
        <f>IF(VALUE(TRIM(LEFT(Scenario!$A$4,2)))&lt;4, "#hidecolumn", "#showcolumn")</f>
        <v>#hidecolumn</v>
      </c>
      <c r="AU2" s="29" t="str">
        <f>AV2</f>
        <v>#showcolumn</v>
      </c>
      <c r="AV2" s="46" t="str">
        <f>IF(VALUE(TRIM(LEFT(Scenario!$A$4,2)))&lt;4, "#showcolumn", "#hidecolumn")</f>
        <v>#showcolumn</v>
      </c>
      <c r="BC2" s="46" t="str">
        <f>IF(VALUE(TRIM(LEFT(Scenario!$A$4,2)))&gt;=4, "#showcolumn", "#hidecolumn")</f>
        <v>#hidecolumn</v>
      </c>
      <c r="BD2" s="146" t="str">
        <f>BC2</f>
        <v>#hidecolumn</v>
      </c>
      <c r="BG2" s="29" t="str">
        <f>BC2</f>
        <v>#hidecolumn</v>
      </c>
      <c r="BH2" s="258" t="str">
        <f>BD2</f>
        <v>#hidecolumn</v>
      </c>
      <c r="BK2" s="15" t="s">
        <v>0</v>
      </c>
    </row>
    <row r="3" spans="2:63" hidden="1" x14ac:dyDescent="0.25">
      <c r="B3" t="s">
        <v>1</v>
      </c>
      <c r="C3" t="str">
        <f>_xlfn.CONCAT("Section: ", LEFT(E6,3))</f>
        <v>Section: 609</v>
      </c>
      <c r="N3" s="145"/>
      <c r="P3" s="145"/>
      <c r="R3" s="145"/>
      <c r="T3" s="145"/>
      <c r="U3" s="145"/>
      <c r="V3" s="15"/>
      <c r="W3" s="145"/>
      <c r="X3" s="15"/>
      <c r="Y3" s="145"/>
      <c r="Z3" s="15"/>
      <c r="AA3" s="15"/>
      <c r="AF3" s="169"/>
      <c r="AG3" s="49"/>
      <c r="AH3" s="169"/>
      <c r="AI3" s="49"/>
      <c r="AL3" s="145"/>
      <c r="AN3" s="145"/>
      <c r="AP3" s="145"/>
      <c r="AR3" s="145"/>
      <c r="AS3" s="145"/>
      <c r="AT3" s="15"/>
      <c r="AU3" s="145"/>
      <c r="AV3" s="15"/>
      <c r="AW3" s="145"/>
      <c r="AX3" s="15"/>
      <c r="AY3" s="15"/>
      <c r="BB3" s="145"/>
      <c r="BD3" s="145"/>
      <c r="BF3" s="145"/>
      <c r="BG3" s="145"/>
      <c r="BH3" s="15"/>
      <c r="BI3" s="145"/>
      <c r="BJ3" s="15"/>
      <c r="BK3" s="15"/>
    </row>
    <row r="4" spans="2:63" hidden="1" x14ac:dyDescent="0.25">
      <c r="B4" t="s">
        <v>1</v>
      </c>
      <c r="C4" t="s">
        <v>68</v>
      </c>
      <c r="D4" t="s">
        <v>69</v>
      </c>
      <c r="L4">
        <f>VALUE(TRIM(LEFT(Scenario!$A$4,2)))</f>
        <v>1</v>
      </c>
      <c r="M4" s="40">
        <f>Scenario!$A$1</f>
        <v>2026</v>
      </c>
      <c r="N4" s="164"/>
      <c r="O4" s="40">
        <f>Scenario!$A$1</f>
        <v>2026</v>
      </c>
      <c r="P4" s="147"/>
      <c r="Q4" s="40">
        <f>Scenario!$A$1</f>
        <v>2026</v>
      </c>
      <c r="R4" s="147"/>
      <c r="S4" s="40">
        <f>Scenario!$A$1-1</f>
        <v>2025</v>
      </c>
      <c r="T4" s="147"/>
      <c r="U4" s="162"/>
      <c r="V4" s="41"/>
      <c r="W4" s="162"/>
      <c r="X4" s="41"/>
      <c r="Y4" s="162"/>
      <c r="Z4" s="41"/>
      <c r="AA4" s="41"/>
      <c r="AB4" s="41"/>
      <c r="AC4" s="36">
        <f>Scenario!$A$1</f>
        <v>2026</v>
      </c>
      <c r="AD4" s="36">
        <f>Scenario!$A$1-1</f>
        <v>2025</v>
      </c>
      <c r="AE4" s="36">
        <f>Scenario!$A$1</f>
        <v>2026</v>
      </c>
      <c r="AF4" s="222"/>
      <c r="AG4" s="223"/>
      <c r="AH4" s="222"/>
      <c r="AI4" s="223"/>
      <c r="AK4" s="34">
        <f>Scenario!$A$1</f>
        <v>2026</v>
      </c>
      <c r="AL4" s="145"/>
      <c r="AM4" s="34">
        <f>Scenario!$A$1</f>
        <v>2026</v>
      </c>
      <c r="AN4" s="145"/>
      <c r="AO4" s="34">
        <f>Scenario!$A$1</f>
        <v>2026</v>
      </c>
      <c r="AP4" s="145"/>
      <c r="AQ4" s="34">
        <f>Scenario!$A$1-1</f>
        <v>2025</v>
      </c>
      <c r="AR4" s="145"/>
      <c r="AS4" s="162"/>
      <c r="AT4" s="35"/>
      <c r="AU4" s="167"/>
      <c r="AV4" s="34"/>
      <c r="AW4" s="167"/>
      <c r="AX4" s="54"/>
      <c r="AY4" s="54"/>
      <c r="BA4" s="40">
        <f>AK4</f>
        <v>2026</v>
      </c>
      <c r="BB4" s="145"/>
      <c r="BC4" s="40">
        <f>AO4</f>
        <v>2026</v>
      </c>
      <c r="BD4" s="145"/>
      <c r="BE4" s="40">
        <f>BA4-1</f>
        <v>2025</v>
      </c>
      <c r="BF4" s="145"/>
      <c r="BG4" s="145"/>
      <c r="BH4" s="54"/>
      <c r="BI4" s="145"/>
      <c r="BJ4" s="54"/>
      <c r="BK4" s="54"/>
    </row>
    <row r="5" spans="2:63" hidden="1" x14ac:dyDescent="0.25">
      <c r="B5" t="s">
        <v>1</v>
      </c>
      <c r="C5" t="s">
        <v>3</v>
      </c>
      <c r="D5" t="s">
        <v>70</v>
      </c>
      <c r="M5" s="40">
        <f>VALUE(TRIM(LEFT(Scenario!$A$4,2)))</f>
        <v>1</v>
      </c>
      <c r="N5" s="164"/>
      <c r="O5" s="40">
        <f>VALUE(TRIM(LEFT(Scenario!$A$4,2)))</f>
        <v>1</v>
      </c>
      <c r="P5" s="147"/>
      <c r="Q5" s="40">
        <f>VALUE(TRIM(LEFT(Scenario!$A$4,2)))</f>
        <v>1</v>
      </c>
      <c r="R5" s="147"/>
      <c r="S5" s="40">
        <f>VALUE(TRIM(LEFT(Scenario!$A$4,2)))</f>
        <v>1</v>
      </c>
      <c r="T5" s="147"/>
      <c r="U5" s="162"/>
      <c r="V5" s="42"/>
      <c r="W5" s="162"/>
      <c r="X5" s="42"/>
      <c r="Y5" s="162"/>
      <c r="Z5" s="42"/>
      <c r="AA5" s="42"/>
      <c r="AB5" s="42"/>
      <c r="AC5" s="36" t="str">
        <f>VALUE(TRIM(LEFT(Scenario!$A$4,2)))&amp;" QTD"</f>
        <v>1 QTD</v>
      </c>
      <c r="AD5" s="36" t="str">
        <f>VALUE(TRIM(LEFT(Scenario!$A$4,2)))&amp;" QTD"</f>
        <v>1 QTD</v>
      </c>
      <c r="AE5" s="36" t="str">
        <f>VALUE(TRIM(LEFT(Scenario!$A$4,2)))&amp;" QTD"</f>
        <v>1 QTD</v>
      </c>
      <c r="AF5" s="222"/>
      <c r="AG5" s="223"/>
      <c r="AH5" s="222"/>
      <c r="AI5" s="223"/>
      <c r="AK5" s="34" t="str">
        <f>VALUE(TRIM(LEFT(Scenario!$A$4,2)))&amp;" YTD"</f>
        <v>1 YTD</v>
      </c>
      <c r="AL5" s="145"/>
      <c r="AM5" s="34" t="str">
        <f>VALUE(TRIM(LEFT(Scenario!$A$4,2)))&amp;" YTD"</f>
        <v>1 YTD</v>
      </c>
      <c r="AN5" s="145"/>
      <c r="AO5" s="34" t="str">
        <f>VALUE(TRIM(LEFT(Scenario!$A$4,2)))&amp;" YTD"</f>
        <v>1 YTD</v>
      </c>
      <c r="AP5" s="145"/>
      <c r="AQ5" s="34" t="str">
        <f>VALUE(TRIM(LEFT(Scenario!$A$4,2)))&amp;" YTD"</f>
        <v>1 YTD</v>
      </c>
      <c r="AR5" s="145"/>
      <c r="AS5" s="162"/>
      <c r="AT5" s="35"/>
      <c r="AU5" s="167"/>
      <c r="AV5" s="34"/>
      <c r="AW5" s="167"/>
      <c r="AX5" s="15"/>
      <c r="AY5" s="15"/>
      <c r="BA5" s="40" t="s">
        <v>34</v>
      </c>
      <c r="BB5" s="145"/>
      <c r="BC5" s="40" t="s">
        <v>34</v>
      </c>
      <c r="BD5" s="145"/>
      <c r="BE5" s="40" t="s">
        <v>34</v>
      </c>
      <c r="BF5" s="145"/>
      <c r="BG5" s="145"/>
      <c r="BH5" s="15"/>
      <c r="BI5" s="145"/>
      <c r="BJ5" s="15"/>
      <c r="BK5" s="15"/>
    </row>
    <row r="6" spans="2:63" hidden="1" x14ac:dyDescent="0.25">
      <c r="B6" t="s">
        <v>1</v>
      </c>
      <c r="C6" t="s">
        <v>10</v>
      </c>
      <c r="D6" t="s">
        <v>13</v>
      </c>
      <c r="E6" s="28" t="s">
        <v>131</v>
      </c>
      <c r="M6" s="40" t="str">
        <f>"Actual"</f>
        <v>Actual</v>
      </c>
      <c r="N6" s="164"/>
      <c r="O6" s="40" t="str">
        <f>Scenario!$A$2</f>
        <v>Plan</v>
      </c>
      <c r="P6" s="147"/>
      <c r="Q6" s="43" t="s">
        <v>8</v>
      </c>
      <c r="R6" s="147"/>
      <c r="S6" s="40" t="str">
        <f>"Actual"</f>
        <v>Actual</v>
      </c>
      <c r="T6" s="165"/>
      <c r="U6" s="162"/>
      <c r="V6" s="42"/>
      <c r="W6" s="162"/>
      <c r="X6" s="42"/>
      <c r="Y6" s="162"/>
      <c r="Z6" s="42"/>
      <c r="AA6" s="42"/>
      <c r="AB6" s="42"/>
      <c r="AC6" s="36" t="str">
        <f>"Actual"</f>
        <v>Actual</v>
      </c>
      <c r="AD6" s="36" t="str">
        <f>"Actual"</f>
        <v>Actual</v>
      </c>
      <c r="AE6" s="37" t="s">
        <v>8</v>
      </c>
      <c r="AF6" s="222"/>
      <c r="AG6" s="36"/>
      <c r="AH6" s="224"/>
      <c r="AI6" s="223"/>
      <c r="AK6" s="34" t="str">
        <f>"Actual"</f>
        <v>Actual</v>
      </c>
      <c r="AL6" s="145"/>
      <c r="AM6" s="40" t="str">
        <f>Scenario!$A$2</f>
        <v>Plan</v>
      </c>
      <c r="AN6" s="145"/>
      <c r="AO6" s="44" t="s">
        <v>8</v>
      </c>
      <c r="AP6" s="145"/>
      <c r="AQ6" s="34" t="str">
        <f>"Actual"</f>
        <v>Actual</v>
      </c>
      <c r="AR6" s="145"/>
      <c r="AS6" s="162"/>
      <c r="AT6" s="35"/>
      <c r="AU6" s="168"/>
      <c r="AV6" s="44"/>
      <c r="AW6" s="167"/>
      <c r="AX6" s="15"/>
      <c r="AY6" s="15"/>
      <c r="BA6" s="40" t="str">
        <f>IF(VALUE(TRIM(LEFT(Scenario!$A$4,2)))&lt;4, "Plan", Scenario!$A$2)</f>
        <v>Plan</v>
      </c>
      <c r="BB6" s="145"/>
      <c r="BC6" s="43" t="s">
        <v>8</v>
      </c>
      <c r="BD6" s="145"/>
      <c r="BE6" s="40" t="str">
        <f>"Actual"</f>
        <v>Actual</v>
      </c>
      <c r="BF6" s="145"/>
      <c r="BG6" s="145"/>
      <c r="BH6" s="15"/>
      <c r="BI6" s="145"/>
      <c r="BJ6" s="15"/>
      <c r="BK6" s="15"/>
    </row>
    <row r="7" spans="2:63" hidden="1" x14ac:dyDescent="0.25">
      <c r="B7" t="s">
        <v>1</v>
      </c>
      <c r="C7" t="s">
        <v>4</v>
      </c>
      <c r="D7" t="s">
        <v>71</v>
      </c>
      <c r="M7" s="1"/>
      <c r="N7" s="145"/>
      <c r="O7" s="1"/>
      <c r="P7" s="145"/>
      <c r="Q7" s="1"/>
      <c r="R7" s="145"/>
      <c r="S7" s="1"/>
      <c r="T7" s="145"/>
      <c r="U7" s="145"/>
      <c r="V7" s="15"/>
      <c r="W7" s="145"/>
      <c r="X7" s="15"/>
      <c r="Y7" s="145"/>
      <c r="Z7" s="15"/>
      <c r="AA7" s="15"/>
      <c r="AC7" s="57"/>
      <c r="AD7" s="57"/>
      <c r="AE7" s="57"/>
      <c r="AF7" s="169"/>
      <c r="AG7" s="49"/>
      <c r="AH7" s="169"/>
      <c r="AI7" s="49"/>
      <c r="AK7" s="1"/>
      <c r="AL7" s="145"/>
      <c r="AM7" s="1"/>
      <c r="AN7" s="145"/>
      <c r="AO7" s="1"/>
      <c r="AP7" s="145"/>
      <c r="AQ7" s="1"/>
      <c r="AR7" s="145"/>
      <c r="AS7" s="145"/>
      <c r="AT7" s="15"/>
      <c r="AU7" s="145"/>
      <c r="AV7" s="15"/>
      <c r="AW7" s="145"/>
      <c r="AX7" s="15"/>
      <c r="AY7" s="15"/>
      <c r="BA7" s="1"/>
      <c r="BB7" s="145"/>
      <c r="BC7" s="1"/>
      <c r="BD7" s="145"/>
      <c r="BE7" s="1"/>
      <c r="BF7" s="145"/>
      <c r="BG7" s="145"/>
      <c r="BH7" s="15"/>
      <c r="BI7" s="145"/>
      <c r="BJ7" s="15"/>
      <c r="BK7" s="15"/>
    </row>
    <row r="8" spans="2:63" hidden="1" x14ac:dyDescent="0.25">
      <c r="B8" t="s">
        <v>1</v>
      </c>
      <c r="C8" t="s">
        <v>14</v>
      </c>
      <c r="D8" t="s">
        <v>71</v>
      </c>
      <c r="N8" s="145"/>
      <c r="P8" s="145"/>
      <c r="R8" s="145"/>
      <c r="T8" s="145"/>
      <c r="U8" s="145"/>
      <c r="V8" s="15"/>
      <c r="W8" s="145"/>
      <c r="X8" s="15"/>
      <c r="Y8" s="145"/>
      <c r="Z8" s="15"/>
      <c r="AA8" s="15"/>
      <c r="AF8" s="169"/>
      <c r="AG8" s="49"/>
      <c r="AH8" s="169"/>
      <c r="AI8" s="49"/>
      <c r="AL8" s="145"/>
      <c r="AN8" s="145"/>
      <c r="AP8" s="145"/>
      <c r="AR8" s="145"/>
      <c r="AS8" s="145"/>
      <c r="AT8" s="15"/>
      <c r="AU8" s="145"/>
      <c r="AV8" s="15"/>
      <c r="AW8" s="145"/>
      <c r="AX8" s="15"/>
      <c r="AY8" s="15"/>
      <c r="BB8" s="145"/>
      <c r="BD8" s="145"/>
      <c r="BF8" s="145"/>
      <c r="BG8" s="145"/>
      <c r="BH8" s="15"/>
      <c r="BI8" s="145"/>
      <c r="BJ8" s="15"/>
      <c r="BK8" s="15"/>
    </row>
    <row r="9" spans="2:63" hidden="1" x14ac:dyDescent="0.25">
      <c r="B9" t="s">
        <v>1</v>
      </c>
      <c r="C9" t="s">
        <v>5</v>
      </c>
      <c r="D9" t="s">
        <v>71</v>
      </c>
      <c r="N9" s="148"/>
      <c r="P9" s="148"/>
      <c r="R9" s="148"/>
      <c r="T9" s="148"/>
      <c r="U9" s="148"/>
      <c r="W9" s="148"/>
      <c r="Y9" s="148"/>
      <c r="AL9" s="148"/>
      <c r="AN9" s="148"/>
      <c r="AP9" s="148"/>
      <c r="AR9" s="148"/>
      <c r="AS9" s="148"/>
      <c r="AU9" s="148"/>
      <c r="AW9" s="148"/>
      <c r="BB9" s="148"/>
      <c r="BD9" s="148"/>
      <c r="BF9" s="148"/>
      <c r="BG9" s="148"/>
      <c r="BI9" s="148"/>
    </row>
    <row r="10" spans="2:63" hidden="1" x14ac:dyDescent="0.25">
      <c r="B10" t="s">
        <v>1</v>
      </c>
      <c r="C10" t="s">
        <v>11</v>
      </c>
      <c r="D10" t="s">
        <v>13</v>
      </c>
      <c r="E10" s="28" t="s">
        <v>12</v>
      </c>
      <c r="N10" s="148"/>
      <c r="P10" s="148"/>
      <c r="R10" s="148"/>
      <c r="T10" s="148"/>
      <c r="U10" s="148"/>
      <c r="W10" s="148"/>
      <c r="Y10" s="148"/>
      <c r="AL10" s="148"/>
      <c r="AN10" s="148"/>
      <c r="AP10" s="148"/>
      <c r="AR10" s="148"/>
      <c r="AS10" s="148"/>
      <c r="AU10" s="148"/>
      <c r="AW10" s="148"/>
      <c r="BB10" s="148"/>
      <c r="BD10" s="148"/>
      <c r="BF10" s="148"/>
      <c r="BG10" s="148"/>
      <c r="BI10" s="148"/>
    </row>
    <row r="11" spans="2:63" hidden="1" x14ac:dyDescent="0.25">
      <c r="B11" t="s">
        <v>1</v>
      </c>
      <c r="C11" t="s">
        <v>15</v>
      </c>
      <c r="D11" t="s">
        <v>13</v>
      </c>
      <c r="E11" s="28" t="s">
        <v>35</v>
      </c>
      <c r="N11" s="148"/>
      <c r="P11" s="148"/>
      <c r="R11" s="148"/>
      <c r="T11" s="148"/>
      <c r="U11" s="148"/>
      <c r="W11" s="148"/>
      <c r="Y11" s="148"/>
      <c r="AL11" s="148"/>
      <c r="AN11" s="148"/>
      <c r="AP11" s="148"/>
      <c r="AR11" s="148"/>
      <c r="AS11" s="148"/>
      <c r="AU11" s="148"/>
      <c r="AW11" s="148"/>
      <c r="BB11" s="148"/>
      <c r="BD11" s="148"/>
      <c r="BF11" s="148"/>
      <c r="BG11" s="148"/>
      <c r="BI11" s="148"/>
    </row>
    <row r="12" spans="2:63" hidden="1" x14ac:dyDescent="0.25">
      <c r="E12" s="28" t="s">
        <v>92</v>
      </c>
      <c r="N12" s="148"/>
      <c r="P12" s="148"/>
      <c r="R12" s="148"/>
      <c r="T12" s="148"/>
      <c r="U12" s="148"/>
      <c r="W12" s="148"/>
      <c r="Y12" s="148"/>
      <c r="AL12" s="148"/>
      <c r="AN12" s="148"/>
      <c r="AP12" s="148"/>
      <c r="AR12" s="148"/>
      <c r="AS12" s="148"/>
      <c r="AU12" s="148"/>
      <c r="AW12" s="148"/>
      <c r="BB12" s="148"/>
      <c r="BD12" s="148"/>
      <c r="BF12" s="148"/>
      <c r="BG12" s="148"/>
      <c r="BI12" s="148"/>
    </row>
    <row r="13" spans="2:63" hidden="1" x14ac:dyDescent="0.25">
      <c r="E13" s="28" t="s">
        <v>93</v>
      </c>
      <c r="N13" s="148"/>
      <c r="P13" s="148"/>
      <c r="R13" s="148"/>
      <c r="T13" s="148"/>
      <c r="U13" s="148"/>
      <c r="W13" s="148"/>
      <c r="Y13" s="148"/>
      <c r="AL13" s="148"/>
      <c r="AN13" s="148"/>
      <c r="AP13" s="148"/>
      <c r="AR13" s="148"/>
      <c r="AS13" s="148"/>
      <c r="AU13" s="148"/>
      <c r="AW13" s="148"/>
      <c r="BB13" s="148"/>
      <c r="BD13" s="148"/>
      <c r="BF13" s="148"/>
      <c r="BG13" s="148"/>
      <c r="BI13" s="148"/>
    </row>
    <row r="14" spans="2:63" hidden="1" x14ac:dyDescent="0.25">
      <c r="E14" s="28" t="s">
        <v>94</v>
      </c>
      <c r="N14" s="148"/>
      <c r="P14" s="148"/>
      <c r="R14" s="148"/>
      <c r="T14" s="148"/>
      <c r="U14" s="148"/>
      <c r="W14" s="148"/>
      <c r="Y14" s="148"/>
      <c r="AL14" s="148"/>
      <c r="AN14" s="148"/>
      <c r="AP14" s="148"/>
      <c r="AR14" s="148"/>
      <c r="AS14" s="148"/>
      <c r="AU14" s="148"/>
      <c r="AW14" s="148"/>
      <c r="BB14" s="148"/>
      <c r="BD14" s="148"/>
      <c r="BF14" s="148"/>
      <c r="BG14" s="148"/>
      <c r="BI14" s="148"/>
    </row>
    <row r="15" spans="2:63" hidden="1" x14ac:dyDescent="0.25">
      <c r="E15" s="28" t="s">
        <v>95</v>
      </c>
      <c r="N15" s="148"/>
      <c r="P15" s="148"/>
      <c r="R15" s="148"/>
      <c r="T15" s="148"/>
      <c r="U15" s="148"/>
      <c r="W15" s="148"/>
      <c r="Y15" s="148"/>
      <c r="AL15" s="148"/>
      <c r="AN15" s="148"/>
      <c r="AP15" s="148"/>
      <c r="AR15" s="148"/>
      <c r="AS15" s="148"/>
      <c r="AU15" s="148"/>
      <c r="AW15" s="148"/>
      <c r="BB15" s="148"/>
      <c r="BD15" s="148"/>
      <c r="BF15" s="148"/>
      <c r="BG15" s="148"/>
      <c r="BI15" s="148"/>
    </row>
    <row r="16" spans="2:63" hidden="1" x14ac:dyDescent="0.25">
      <c r="E16" s="28" t="s">
        <v>96</v>
      </c>
      <c r="N16" s="148"/>
      <c r="P16" s="148"/>
      <c r="R16" s="148"/>
      <c r="T16" s="148"/>
      <c r="U16" s="148"/>
      <c r="W16" s="148"/>
      <c r="Y16" s="148"/>
      <c r="AL16" s="148"/>
      <c r="AN16" s="148"/>
      <c r="AP16" s="148"/>
      <c r="AR16" s="148"/>
      <c r="AS16" s="148"/>
      <c r="AU16" s="148"/>
      <c r="AW16" s="148"/>
      <c r="BB16" s="148"/>
      <c r="BD16" s="148"/>
      <c r="BF16" s="148"/>
      <c r="BG16" s="148"/>
      <c r="BI16" s="148"/>
    </row>
    <row r="17" spans="2:63" hidden="1" x14ac:dyDescent="0.25">
      <c r="B17" t="s">
        <v>1</v>
      </c>
      <c r="N17" s="148"/>
      <c r="P17" s="148"/>
      <c r="R17" s="148"/>
      <c r="T17" s="148"/>
      <c r="U17" s="148"/>
      <c r="W17" s="148"/>
      <c r="Y17" s="148"/>
      <c r="AL17" s="148"/>
      <c r="AN17" s="148"/>
      <c r="AP17" s="148"/>
      <c r="AR17" s="148"/>
      <c r="AS17" s="148"/>
      <c r="AU17" s="148"/>
      <c r="AW17" s="148"/>
      <c r="BB17" s="148"/>
      <c r="BD17" s="148"/>
      <c r="BF17" s="148"/>
      <c r="BG17" s="148"/>
      <c r="BI17" s="148"/>
    </row>
    <row r="18" spans="2:63" ht="29.05" x14ac:dyDescent="0.5">
      <c r="E18" s="9"/>
      <c r="F18" s="9"/>
      <c r="G18" s="9"/>
      <c r="H18" s="9" t="s">
        <v>26</v>
      </c>
      <c r="N18" s="145"/>
      <c r="P18" s="145"/>
      <c r="R18" s="145"/>
      <c r="T18" s="145"/>
      <c r="U18" s="145"/>
      <c r="V18" s="15"/>
      <c r="W18" s="145"/>
      <c r="X18" s="15"/>
      <c r="Y18" s="145"/>
      <c r="Z18" s="15"/>
      <c r="AA18" s="15"/>
      <c r="AF18" s="169"/>
      <c r="AG18" s="49"/>
      <c r="AH18" s="169"/>
      <c r="AI18" s="49"/>
      <c r="AL18" s="145"/>
      <c r="AN18" s="145"/>
      <c r="AP18" s="145"/>
      <c r="AR18" s="145"/>
      <c r="AS18" s="145"/>
      <c r="AT18" s="15"/>
      <c r="AU18" s="145"/>
      <c r="AV18" s="15"/>
      <c r="AW18" s="145"/>
      <c r="AX18" s="15"/>
      <c r="AY18" s="15"/>
      <c r="BB18" s="145"/>
      <c r="BD18" s="145"/>
      <c r="BF18" s="145"/>
      <c r="BG18" s="145"/>
      <c r="BH18" s="15"/>
      <c r="BI18" s="145"/>
      <c r="BJ18" s="15"/>
      <c r="BK18" s="15"/>
    </row>
    <row r="19" spans="2:63" ht="18.649999999999999" x14ac:dyDescent="0.4">
      <c r="F19" s="10"/>
      <c r="G19" s="10"/>
      <c r="H19" s="10" t="str">
        <f>E6</f>
        <v>609 (Brooklyn Navy Yard)</v>
      </c>
      <c r="M19" s="7" t="str">
        <f>_xlfn.XLOOKUP(M$5,'Month Name'!$D:$D, 'Month Name'!$C:$C)&amp;" "&amp;RIGHT(M4,2)</f>
        <v>Jan 26</v>
      </c>
      <c r="N19" s="149" t="s">
        <v>43</v>
      </c>
      <c r="P19" s="149" t="s">
        <v>72</v>
      </c>
      <c r="R19" s="149" t="s">
        <v>8</v>
      </c>
      <c r="T19" s="149" t="s">
        <v>36</v>
      </c>
      <c r="U19" s="145"/>
      <c r="V19" s="60"/>
      <c r="W19" s="145"/>
      <c r="X19" s="15"/>
      <c r="Y19" s="145"/>
      <c r="Z19" s="60"/>
      <c r="AA19" s="61"/>
      <c r="AF19" s="225" t="str">
        <f>_xlfn.CONCAT(TEXT((TRIM(MID(M5,4,3))),"mmm")," QTD ",RIGHT(M4,2))</f>
        <v xml:space="preserve"> QTD 26</v>
      </c>
      <c r="AG19" s="226"/>
      <c r="AH19" s="169"/>
      <c r="AI19" s="49"/>
      <c r="AK19" s="7" t="str">
        <f>_xlfn.XLOOKUP(M$5,'Month Name'!$D:$D, 'Month Name'!$C:$C)&amp;" YTD "&amp;RIGHT(M4,2)</f>
        <v>Jan YTD 26</v>
      </c>
      <c r="AL19" s="149" t="s">
        <v>43</v>
      </c>
      <c r="AN19" s="149" t="s">
        <v>72</v>
      </c>
      <c r="AP19" s="149" t="s">
        <v>8</v>
      </c>
      <c r="AR19" s="149" t="s">
        <v>36</v>
      </c>
      <c r="AS19" s="166"/>
      <c r="AT19" s="60"/>
      <c r="AU19" s="145"/>
      <c r="AV19" s="15"/>
      <c r="AW19" s="145"/>
      <c r="AX19" s="63"/>
      <c r="AY19" s="61"/>
      <c r="BB19" s="149" t="s">
        <v>72</v>
      </c>
      <c r="BD19" s="149" t="s">
        <v>8</v>
      </c>
      <c r="BF19" s="149" t="s">
        <v>36</v>
      </c>
      <c r="BG19" s="145"/>
      <c r="BH19" s="15"/>
      <c r="BI19" s="145"/>
      <c r="BJ19" s="63"/>
      <c r="BK19" s="61"/>
    </row>
    <row r="20" spans="2:63" ht="14.5" x14ac:dyDescent="0.25">
      <c r="D20" s="11"/>
      <c r="E20" s="11"/>
      <c r="F20" s="11"/>
      <c r="G20" s="11"/>
      <c r="H20" s="11"/>
      <c r="I20" s="64"/>
      <c r="J20" s="64"/>
      <c r="K20" s="12"/>
      <c r="L20" s="12"/>
      <c r="M20" s="38" t="str">
        <f>_xlfn.XLOOKUP(M$5,'Month Name'!$D:$D, 'Month Name'!$C:$C)&amp;" "&amp;RIGHT(M4,2)</f>
        <v>Jan 26</v>
      </c>
      <c r="N20" s="150" t="s">
        <v>73</v>
      </c>
      <c r="O20" s="38" t="str">
        <f>_xlfn.XLOOKUP(O$5,'Month Name'!$D:$D, 'Month Name'!$C:$C)&amp;" "&amp;RIGHT(O4,2)</f>
        <v>Jan 26</v>
      </c>
      <c r="P20" s="150" t="s">
        <v>73</v>
      </c>
      <c r="Q20" s="38" t="str">
        <f>_xlfn.XLOOKUP(Q$5,'Month Name'!$D:$D, 'Month Name'!$C:$C)&amp;" "&amp;RIGHT(Q4,2)</f>
        <v>Jan 26</v>
      </c>
      <c r="R20" s="150" t="s">
        <v>73</v>
      </c>
      <c r="S20" s="38" t="str">
        <f>_xlfn.XLOOKUP(S$5,'Month Name'!$D:$D, 'Month Name'!$C:$C)&amp;" "&amp;RIGHT(S4,2)</f>
        <v>Jan 25</v>
      </c>
      <c r="T20" s="150" t="s">
        <v>73</v>
      </c>
      <c r="U20" s="163" t="s">
        <v>24</v>
      </c>
      <c r="V20" s="66" t="s">
        <v>27</v>
      </c>
      <c r="W20" s="163" t="str">
        <f>Y20</f>
        <v>% Var</v>
      </c>
      <c r="X20" s="66" t="str">
        <f>Z20</f>
        <v>$ Var</v>
      </c>
      <c r="Y20" s="163" t="s">
        <v>24</v>
      </c>
      <c r="Z20" s="66" t="s">
        <v>27</v>
      </c>
      <c r="AA20" s="65"/>
      <c r="AC20" s="227" t="str">
        <f>AF19</f>
        <v xml:space="preserve"> QTD 26</v>
      </c>
      <c r="AD20" s="227" t="str">
        <f>_xlfn.CONCAT(TEXT((TRIM(MID(M5,4,3))),"mmm")," QTD ",RIGHT(S4,2))</f>
        <v xml:space="preserve"> QTD 25</v>
      </c>
      <c r="AE20" s="227" t="str">
        <f>AC20</f>
        <v xml:space="preserve"> QTD 26</v>
      </c>
      <c r="AF20" s="228" t="s">
        <v>24</v>
      </c>
      <c r="AG20" s="229" t="s">
        <v>27</v>
      </c>
      <c r="AH20" s="228" t="str">
        <f>AF20</f>
        <v>% Var</v>
      </c>
      <c r="AI20" s="229" t="str">
        <f>AG20</f>
        <v>$ Var</v>
      </c>
      <c r="AK20" s="38" t="str">
        <f>_xlfn.XLOOKUP(M$5,'Month Name'!$D:$D, 'Month Name'!$C:$C)&amp;" YTD "&amp;RIGHT(M4,2)</f>
        <v>Jan YTD 26</v>
      </c>
      <c r="AL20" s="150" t="s">
        <v>73</v>
      </c>
      <c r="AM20" s="38" t="str">
        <f>_xlfn.XLOOKUP(O$5,'Month Name'!$D:$D, 'Month Name'!$C:$C)&amp;" YTD "&amp;RIGHT(O4,2)</f>
        <v>Jan YTD 26</v>
      </c>
      <c r="AN20" s="150" t="s">
        <v>73</v>
      </c>
      <c r="AO20" s="38" t="str">
        <f>_xlfn.XLOOKUP(Q$5,'Month Name'!$D:$D, 'Month Name'!$C:$C)&amp;" YTD "&amp;RIGHT(Q4,2)</f>
        <v>Jan YTD 26</v>
      </c>
      <c r="AP20" s="150" t="s">
        <v>73</v>
      </c>
      <c r="AQ20" s="38" t="str">
        <f>_xlfn.XLOOKUP(S$5,'Month Name'!$D:$D, 'Month Name'!$C:$C)&amp;" YTD "&amp;RIGHT(S4,2)</f>
        <v>Jan YTD 25</v>
      </c>
      <c r="AR20" s="150" t="s">
        <v>73</v>
      </c>
      <c r="AS20" s="163" t="s">
        <v>24</v>
      </c>
      <c r="AT20" s="66" t="s">
        <v>27</v>
      </c>
      <c r="AU20" s="163" t="str">
        <f>AW20</f>
        <v>% Var</v>
      </c>
      <c r="AV20" s="66" t="str">
        <f>AX20</f>
        <v>$ Var</v>
      </c>
      <c r="AW20" s="163" t="s">
        <v>24</v>
      </c>
      <c r="AX20" s="66" t="s">
        <v>27</v>
      </c>
      <c r="AY20" s="65"/>
      <c r="BA20" s="39" t="str">
        <f>"Full Year "&amp;BA4</f>
        <v>Full Year 2026</v>
      </c>
      <c r="BB20" s="150" t="s">
        <v>73</v>
      </c>
      <c r="BC20" s="39" t="str">
        <f>"Full Year "&amp;BC4</f>
        <v>Full Year 2026</v>
      </c>
      <c r="BD20" s="150" t="s">
        <v>73</v>
      </c>
      <c r="BE20" s="39" t="str">
        <f>"Full Year "&amp;BE4</f>
        <v>Full Year 2025</v>
      </c>
      <c r="BF20" s="150" t="s">
        <v>73</v>
      </c>
      <c r="BG20" s="163" t="str">
        <f>BI20</f>
        <v>% Var</v>
      </c>
      <c r="BH20" s="66" t="str">
        <f>BJ20</f>
        <v>$ Var</v>
      </c>
      <c r="BI20" s="163" t="s">
        <v>24</v>
      </c>
      <c r="BJ20" s="66" t="s">
        <v>27</v>
      </c>
      <c r="BK20" s="65"/>
    </row>
    <row r="21" spans="2:63" ht="14.5" x14ac:dyDescent="0.25">
      <c r="D21" s="13"/>
      <c r="E21" s="13"/>
      <c r="F21" s="13"/>
      <c r="G21" s="13" t="str">
        <f>"in "&amp;$G$5&amp;" currency"</f>
        <v>in  currency</v>
      </c>
      <c r="H21" s="13"/>
      <c r="I21" s="64"/>
      <c r="J21" s="64"/>
      <c r="K21" s="45"/>
      <c r="L21" s="45"/>
      <c r="M21" s="30" t="str">
        <f>M6</f>
        <v>Actual</v>
      </c>
      <c r="N21" s="150" t="s">
        <v>74</v>
      </c>
      <c r="O21" s="30" t="str">
        <f>O6</f>
        <v>Plan</v>
      </c>
      <c r="P21" s="150" t="s">
        <v>74</v>
      </c>
      <c r="Q21" s="30" t="str">
        <f>IF(Q6="Plan", "Budget", Q6)</f>
        <v>Budget</v>
      </c>
      <c r="R21" s="150" t="s">
        <v>74</v>
      </c>
      <c r="S21" s="30" t="str">
        <f>"PY "&amp;S6</f>
        <v>PY Actual</v>
      </c>
      <c r="T21" s="150" t="s">
        <v>74</v>
      </c>
      <c r="U21" s="163" t="str">
        <f>O21</f>
        <v>Plan</v>
      </c>
      <c r="V21" s="69" t="str">
        <f>O21</f>
        <v>Plan</v>
      </c>
      <c r="W21" s="163" t="str">
        <f>Q21</f>
        <v>Budget</v>
      </c>
      <c r="X21" s="69" t="str">
        <f>Q21</f>
        <v>Budget</v>
      </c>
      <c r="Y21" s="163" t="s">
        <v>25</v>
      </c>
      <c r="Z21" s="69" t="s">
        <v>25</v>
      </c>
      <c r="AA21" s="68" t="s">
        <v>75</v>
      </c>
      <c r="AC21" s="230" t="str">
        <f>AC6</f>
        <v>Actual</v>
      </c>
      <c r="AD21" s="230" t="str">
        <f>"PY "&amp;AD6</f>
        <v>PY Actual</v>
      </c>
      <c r="AE21" s="230" t="s">
        <v>40</v>
      </c>
      <c r="AF21" s="228" t="s">
        <v>25</v>
      </c>
      <c r="AG21" s="231" t="s">
        <v>25</v>
      </c>
      <c r="AH21" s="228" t="str">
        <f>AE21</f>
        <v>Budget</v>
      </c>
      <c r="AI21" s="231" t="str">
        <f>AH21</f>
        <v>Budget</v>
      </c>
      <c r="AK21" s="30" t="str">
        <f>AK6</f>
        <v>Actual</v>
      </c>
      <c r="AL21" s="150" t="s">
        <v>74</v>
      </c>
      <c r="AM21" s="30" t="str">
        <f>AM6</f>
        <v>Plan</v>
      </c>
      <c r="AN21" s="150" t="s">
        <v>74</v>
      </c>
      <c r="AO21" s="30" t="str">
        <f>IF(AO6="Plan", "Budget", AO6)</f>
        <v>Budget</v>
      </c>
      <c r="AP21" s="150" t="s">
        <v>74</v>
      </c>
      <c r="AQ21" s="30" t="str">
        <f>"PY "&amp;AQ6</f>
        <v>PY Actual</v>
      </c>
      <c r="AR21" s="150" t="s">
        <v>74</v>
      </c>
      <c r="AS21" s="163" t="str">
        <f>AM21</f>
        <v>Plan</v>
      </c>
      <c r="AT21" s="69" t="str">
        <f>AM21</f>
        <v>Plan</v>
      </c>
      <c r="AU21" s="163" t="str">
        <f>AO21</f>
        <v>Budget</v>
      </c>
      <c r="AV21" s="69" t="str">
        <f>AO21</f>
        <v>Budget</v>
      </c>
      <c r="AW21" s="163" t="s">
        <v>25</v>
      </c>
      <c r="AX21" s="69" t="s">
        <v>25</v>
      </c>
      <c r="AY21" s="68" t="s">
        <v>75</v>
      </c>
      <c r="BA21" s="30" t="str">
        <f>IF(BA6="Plan", "Budget", BA6)</f>
        <v>Budget</v>
      </c>
      <c r="BB21" s="150" t="s">
        <v>74</v>
      </c>
      <c r="BC21" s="30" t="str">
        <f>IF(BC6="Plan", "Budget", BC6)</f>
        <v>Budget</v>
      </c>
      <c r="BD21" s="150" t="s">
        <v>74</v>
      </c>
      <c r="BE21" s="30" t="str">
        <f>BE6</f>
        <v>Actual</v>
      </c>
      <c r="BF21" s="150" t="s">
        <v>74</v>
      </c>
      <c r="BG21" s="163" t="str">
        <f>BC21</f>
        <v>Budget</v>
      </c>
      <c r="BH21" s="69" t="str">
        <f>BC21</f>
        <v>Budget</v>
      </c>
      <c r="BI21" s="163" t="s">
        <v>25</v>
      </c>
      <c r="BJ21" s="69" t="s">
        <v>25</v>
      </c>
      <c r="BK21" s="68" t="s">
        <v>75</v>
      </c>
    </row>
    <row r="22" spans="2:63" x14ac:dyDescent="0.25">
      <c r="N22" s="145"/>
      <c r="P22" s="145"/>
      <c r="R22" s="145"/>
      <c r="T22" s="145"/>
      <c r="U22" s="145"/>
      <c r="V22" s="15"/>
      <c r="W22" s="145"/>
      <c r="X22" s="15"/>
      <c r="Y22" s="145"/>
      <c r="Z22" s="15"/>
      <c r="AA22" s="15"/>
      <c r="AF22" s="169"/>
      <c r="AG22" s="49"/>
      <c r="AH22" s="169"/>
      <c r="AI22" s="49"/>
      <c r="AL22" s="145"/>
      <c r="AN22" s="145"/>
      <c r="AP22" s="145"/>
      <c r="AR22" s="145"/>
      <c r="AS22" s="145"/>
      <c r="AT22" s="15"/>
      <c r="AU22" s="145"/>
      <c r="AV22" s="15"/>
      <c r="AW22" s="145"/>
      <c r="AX22" s="15"/>
      <c r="AY22" s="15"/>
      <c r="BB22" s="145"/>
      <c r="BD22" s="145"/>
      <c r="BF22" s="145"/>
      <c r="BG22" s="145"/>
      <c r="BH22" s="15"/>
      <c r="BI22" s="145"/>
      <c r="BJ22" s="15"/>
      <c r="BK22" s="15"/>
    </row>
    <row r="23" spans="2:63" ht="12.45" hidden="1" thickBot="1" x14ac:dyDescent="0.3">
      <c r="B23" t="s">
        <v>1</v>
      </c>
      <c r="D23" s="4"/>
      <c r="E23" s="4"/>
      <c r="F23" s="4"/>
      <c r="G23" s="4"/>
      <c r="H23" s="4" t="s">
        <v>37</v>
      </c>
      <c r="I23" s="4">
        <f ca="1">YEAR(TODAY()-20)</f>
        <v>2026</v>
      </c>
      <c r="J23" s="5"/>
      <c r="N23" s="145"/>
      <c r="P23" s="145"/>
      <c r="R23" s="145"/>
      <c r="T23" s="145"/>
      <c r="U23" s="145"/>
      <c r="V23" s="15"/>
      <c r="W23" s="145"/>
      <c r="X23" s="15"/>
      <c r="Y23" s="145"/>
      <c r="Z23" s="15"/>
      <c r="AA23" s="15"/>
      <c r="AF23" s="169"/>
      <c r="AG23" s="49"/>
      <c r="AH23" s="169"/>
      <c r="AI23" s="49"/>
      <c r="AL23" s="145"/>
      <c r="AN23" s="145"/>
      <c r="AP23" s="145"/>
      <c r="AR23" s="145"/>
      <c r="AS23" s="145"/>
      <c r="AT23" s="15"/>
      <c r="AU23" s="145"/>
      <c r="AV23" s="15"/>
      <c r="AW23" s="145"/>
      <c r="AX23" s="15"/>
      <c r="AY23" s="15"/>
      <c r="BB23" s="145"/>
      <c r="BD23" s="145"/>
      <c r="BF23" s="145"/>
      <c r="BG23" s="145"/>
      <c r="BH23" s="15"/>
      <c r="BI23" s="145"/>
      <c r="BJ23" s="15"/>
      <c r="BK23" s="15"/>
    </row>
    <row r="24" spans="2:63" hidden="1" x14ac:dyDescent="0.25">
      <c r="B24" t="s">
        <v>1</v>
      </c>
      <c r="D24" s="3"/>
      <c r="E24" s="3"/>
      <c r="F24" s="3"/>
      <c r="G24" s="3"/>
      <c r="H24" s="3" t="s">
        <v>76</v>
      </c>
      <c r="I24" s="1">
        <f ca="1">MONTH(TODAY() - 20)</f>
        <v>2</v>
      </c>
      <c r="J24" s="6"/>
      <c r="N24" s="145"/>
      <c r="P24" s="145"/>
      <c r="R24" s="145"/>
      <c r="T24" s="145"/>
      <c r="U24" s="145"/>
      <c r="V24" s="15"/>
      <c r="W24" s="145"/>
      <c r="X24" s="15"/>
      <c r="Y24" s="145"/>
      <c r="Z24" s="15"/>
      <c r="AA24" s="15"/>
      <c r="AF24" s="169"/>
      <c r="AG24" s="49"/>
      <c r="AH24" s="169"/>
      <c r="AI24" s="49"/>
      <c r="AL24" s="145"/>
      <c r="AN24" s="145"/>
      <c r="AP24" s="145"/>
      <c r="AR24" s="145"/>
      <c r="AS24" s="145"/>
      <c r="AT24" s="15"/>
      <c r="AU24" s="145"/>
      <c r="AV24" s="15"/>
      <c r="AW24" s="145"/>
      <c r="AX24" s="15"/>
      <c r="AY24" s="15"/>
      <c r="BB24" s="145"/>
      <c r="BD24" s="145"/>
      <c r="BF24" s="145"/>
      <c r="BG24" s="145"/>
      <c r="BH24" s="15"/>
      <c r="BI24" s="145"/>
      <c r="BJ24" s="15"/>
      <c r="BK24" s="15"/>
    </row>
    <row r="25" spans="2:63" hidden="1" x14ac:dyDescent="0.25">
      <c r="B25" t="s">
        <v>1</v>
      </c>
      <c r="D25" s="3"/>
      <c r="E25" s="3"/>
      <c r="F25" s="3"/>
      <c r="G25" s="3"/>
      <c r="H25" s="3" t="s">
        <v>77</v>
      </c>
      <c r="I25" s="1" t="str">
        <f ca="1">_xlfn.CONCAT(I24," QTD")</f>
        <v>2 QTD</v>
      </c>
      <c r="J25" s="6"/>
      <c r="N25" s="145"/>
      <c r="P25" s="145"/>
      <c r="R25" s="145"/>
      <c r="T25" s="145"/>
      <c r="U25" s="145"/>
      <c r="V25" s="15"/>
      <c r="W25" s="145"/>
      <c r="X25" s="15"/>
      <c r="Y25" s="145"/>
      <c r="Z25" s="15"/>
      <c r="AA25" s="15"/>
      <c r="AF25" s="169"/>
      <c r="AG25" s="49"/>
      <c r="AH25" s="169"/>
      <c r="AI25" s="49"/>
      <c r="AL25" s="145"/>
      <c r="AN25" s="145"/>
      <c r="AP25" s="145"/>
      <c r="AR25" s="145"/>
      <c r="AS25" s="145"/>
      <c r="AT25" s="15"/>
      <c r="AU25" s="145"/>
      <c r="AV25" s="15"/>
      <c r="AW25" s="145"/>
      <c r="AX25" s="15"/>
      <c r="AY25" s="15"/>
      <c r="BB25" s="145"/>
      <c r="BD25" s="145"/>
      <c r="BF25" s="145"/>
      <c r="BG25" s="145"/>
      <c r="BH25" s="15"/>
      <c r="BI25" s="145"/>
      <c r="BJ25" s="15"/>
      <c r="BK25" s="15"/>
    </row>
    <row r="26" spans="2:63" hidden="1" x14ac:dyDescent="0.25">
      <c r="B26" t="s">
        <v>1</v>
      </c>
      <c r="D26" s="3"/>
      <c r="E26" s="3"/>
      <c r="F26" s="3"/>
      <c r="G26" s="3"/>
      <c r="H26" s="3" t="s">
        <v>78</v>
      </c>
      <c r="I26" s="1" t="str">
        <f ca="1">_xlfn.CONCAT(I24," YTD")</f>
        <v>2 YTD</v>
      </c>
      <c r="J26" s="6"/>
      <c r="N26" s="145"/>
      <c r="P26" s="145"/>
      <c r="R26" s="145"/>
      <c r="T26" s="145"/>
      <c r="U26" s="145"/>
      <c r="V26" s="15"/>
      <c r="W26" s="145"/>
      <c r="X26" s="15"/>
      <c r="Y26" s="145"/>
      <c r="Z26" s="15"/>
      <c r="AA26" s="15"/>
      <c r="AF26" s="169"/>
      <c r="AG26" s="49"/>
      <c r="AH26" s="169"/>
      <c r="AI26" s="49"/>
      <c r="AL26" s="145"/>
      <c r="AN26" s="145"/>
      <c r="AP26" s="145"/>
      <c r="AR26" s="145"/>
      <c r="AS26" s="145"/>
      <c r="AT26" s="15"/>
      <c r="AU26" s="145"/>
      <c r="AV26" s="15"/>
      <c r="AW26" s="145"/>
      <c r="AX26" s="15"/>
      <c r="AY26" s="15"/>
      <c r="BB26" s="145"/>
      <c r="BD26" s="145"/>
      <c r="BF26" s="145"/>
      <c r="BG26" s="145"/>
      <c r="BH26" s="15"/>
      <c r="BI26" s="145"/>
      <c r="BJ26" s="15"/>
      <c r="BK26" s="15"/>
    </row>
    <row r="27" spans="2:63" hidden="1" x14ac:dyDescent="0.25">
      <c r="B27" t="s">
        <v>1</v>
      </c>
      <c r="N27" s="145"/>
      <c r="P27" s="145"/>
      <c r="R27" s="145"/>
      <c r="T27" s="145"/>
      <c r="U27" s="145"/>
      <c r="V27" s="15"/>
      <c r="W27" s="145"/>
      <c r="X27" s="15"/>
      <c r="Y27" s="145"/>
      <c r="Z27" s="15"/>
      <c r="AA27" s="15"/>
      <c r="AF27" s="169"/>
      <c r="AG27" s="49"/>
      <c r="AH27" s="169"/>
      <c r="AI27" s="49"/>
      <c r="AL27" s="145"/>
      <c r="AN27" s="145"/>
      <c r="AP27" s="145"/>
      <c r="AR27" s="145"/>
      <c r="AS27" s="145"/>
      <c r="AT27" s="15"/>
      <c r="AU27" s="145"/>
      <c r="AV27" s="15"/>
      <c r="AW27" s="145"/>
      <c r="AX27" s="15"/>
      <c r="AY27" s="15"/>
      <c r="BB27" s="145"/>
      <c r="BD27" s="145"/>
      <c r="BF27" s="145"/>
      <c r="BG27" s="145"/>
      <c r="BH27" s="15"/>
      <c r="BI27" s="145"/>
      <c r="BJ27" s="15"/>
      <c r="BK27" s="15"/>
    </row>
    <row r="28" spans="2:63" ht="11.95" hidden="1" thickBot="1" x14ac:dyDescent="0.3">
      <c r="B28" t="s">
        <v>1</v>
      </c>
      <c r="N28" s="145"/>
      <c r="P28" s="145"/>
      <c r="R28" s="145"/>
      <c r="T28" s="145"/>
      <c r="U28" s="145"/>
      <c r="V28" s="15"/>
      <c r="W28" s="145"/>
      <c r="X28" s="15"/>
      <c r="Y28" s="145"/>
      <c r="Z28" s="15"/>
      <c r="AA28" s="15"/>
      <c r="AF28" s="169"/>
      <c r="AG28" s="49"/>
      <c r="AH28" s="169"/>
      <c r="AI28" s="49"/>
      <c r="AL28" s="145"/>
      <c r="AN28" s="145"/>
      <c r="AP28" s="145"/>
      <c r="AR28" s="145"/>
      <c r="AS28" s="145"/>
      <c r="AT28" s="15"/>
      <c r="AU28" s="145"/>
      <c r="AV28" s="15"/>
      <c r="AW28" s="145"/>
      <c r="AX28" s="15"/>
      <c r="AY28" s="15"/>
      <c r="BB28" s="145"/>
      <c r="BD28" s="145"/>
      <c r="BF28" s="145"/>
      <c r="BG28" s="145"/>
      <c r="BH28" s="15"/>
      <c r="BI28" s="145"/>
      <c r="BJ28" s="15"/>
      <c r="BK28" s="15"/>
    </row>
    <row r="29" spans="2:63" ht="14.5" hidden="1" thickBot="1" x14ac:dyDescent="0.3">
      <c r="B29" s="14" t="s">
        <v>1</v>
      </c>
      <c r="C29" s="15"/>
      <c r="G29" s="70" t="s">
        <v>22</v>
      </c>
      <c r="H29" s="70" t="s">
        <v>22</v>
      </c>
      <c r="I29" s="16" t="s">
        <v>23</v>
      </c>
      <c r="J29" s="16"/>
      <c r="K29" s="71"/>
      <c r="L29" s="17"/>
      <c r="M29" s="71"/>
      <c r="N29" s="151"/>
      <c r="O29" s="71"/>
      <c r="P29" s="151"/>
      <c r="Q29" s="71"/>
      <c r="R29" s="151"/>
      <c r="S29" s="71"/>
      <c r="T29" s="151"/>
      <c r="U29" s="151">
        <f>IFERROR(($O29-M29)/ABS(M29),0)</f>
        <v>0</v>
      </c>
      <c r="V29" s="70">
        <f>($O29-M29)</f>
        <v>0</v>
      </c>
      <c r="W29" s="151">
        <f>IFERROR(($M29-Q29)/ABS(Q29),0)</f>
        <v>0</v>
      </c>
      <c r="X29" s="70">
        <f>($M29-Q29)</f>
        <v>0</v>
      </c>
      <c r="Y29" s="151">
        <f>IFERROR(($M29-S29)/ABS(S29),0)</f>
        <v>0</v>
      </c>
      <c r="Z29" s="70">
        <f>($M29-S29)</f>
        <v>0</v>
      </c>
      <c r="AA29" s="70"/>
      <c r="AC29" s="232"/>
      <c r="AD29" s="232"/>
      <c r="AE29" s="232"/>
      <c r="AF29" s="233">
        <f>IFERROR(($AC29-AD29)/ABS(AD29),0)</f>
        <v>0</v>
      </c>
      <c r="AG29" s="139">
        <f>($AC29-AD29)</f>
        <v>0</v>
      </c>
      <c r="AH29" s="233">
        <f>IFERROR(($AC29-AE29)/ABS(AE29),0)</f>
        <v>0</v>
      </c>
      <c r="AI29" s="139">
        <f>($AC29-AE29)</f>
        <v>0</v>
      </c>
      <c r="AK29" s="71"/>
      <c r="AL29" s="151"/>
      <c r="AM29" s="71"/>
      <c r="AN29" s="151"/>
      <c r="AO29" s="71"/>
      <c r="AP29" s="151"/>
      <c r="AQ29" s="71"/>
      <c r="AR29" s="151"/>
      <c r="AS29" s="151">
        <f>IFERROR(($O29-AK29)/ABS(AK29),0)</f>
        <v>0</v>
      </c>
      <c r="AT29" s="70">
        <f>($O29-AK29)</f>
        <v>0</v>
      </c>
      <c r="AU29" s="151">
        <f>IFERROR(($M29-AO29)/ABS(AO29),0)</f>
        <v>0</v>
      </c>
      <c r="AV29" s="70">
        <f>($M29-AO29)</f>
        <v>0</v>
      </c>
      <c r="AW29" s="151">
        <f>IFERROR(($M29-AQ29)/ABS(AQ29),0)</f>
        <v>0</v>
      </c>
      <c r="AX29" s="70">
        <f>($M29-AQ29)</f>
        <v>0</v>
      </c>
      <c r="AY29" s="70"/>
      <c r="BA29" s="71"/>
      <c r="BB29" s="151"/>
      <c r="BC29" s="71"/>
      <c r="BD29" s="151"/>
      <c r="BE29" s="71"/>
      <c r="BF29" s="151"/>
      <c r="BG29" s="151">
        <f>IFERROR(($BA29-BC29)/ABS(BC29),0)</f>
        <v>0</v>
      </c>
      <c r="BH29" s="70">
        <f>($BA29-BC29)</f>
        <v>0</v>
      </c>
      <c r="BI29" s="151">
        <f>IFERROR(($BA29-BE29)/ABS(BE29),0)</f>
        <v>0</v>
      </c>
      <c r="BJ29" s="70">
        <f>($BA29-BE29)</f>
        <v>0</v>
      </c>
      <c r="BK29" s="70"/>
    </row>
    <row r="30" spans="2:63" ht="12.45" thickBot="1" x14ac:dyDescent="0.3">
      <c r="E30" s="4"/>
      <c r="F30" s="4"/>
      <c r="G30" s="4"/>
      <c r="H30" s="4" t="s">
        <v>7</v>
      </c>
      <c r="I30" s="4"/>
      <c r="J30" s="5"/>
      <c r="K30" s="5"/>
      <c r="L30" s="5"/>
      <c r="M30" s="5"/>
      <c r="N30" s="152"/>
      <c r="O30" s="5"/>
      <c r="P30" s="152"/>
      <c r="Q30" s="5"/>
      <c r="R30" s="152"/>
      <c r="S30" s="5"/>
      <c r="T30" s="152"/>
      <c r="U30" s="152"/>
      <c r="V30" s="75"/>
      <c r="W30" s="152"/>
      <c r="X30" s="75"/>
      <c r="Y30" s="152"/>
      <c r="Z30" s="75"/>
      <c r="AA30" s="76"/>
      <c r="AC30" s="133"/>
      <c r="AD30" s="133"/>
      <c r="AE30" s="133"/>
      <c r="AF30" s="171"/>
      <c r="AG30" s="134"/>
      <c r="AH30" s="171"/>
      <c r="AI30" s="134"/>
      <c r="AK30" s="5"/>
      <c r="AL30" s="152"/>
      <c r="AM30" s="5"/>
      <c r="AN30" s="152"/>
      <c r="AO30" s="5"/>
      <c r="AP30" s="152"/>
      <c r="AQ30" s="5"/>
      <c r="AR30" s="152"/>
      <c r="AS30" s="152"/>
      <c r="AT30" s="75"/>
      <c r="AU30" s="152"/>
      <c r="AV30" s="75"/>
      <c r="AW30" s="152"/>
      <c r="AX30" s="75"/>
      <c r="AY30" s="76"/>
      <c r="BA30" s="5"/>
      <c r="BB30" s="152"/>
      <c r="BC30" s="5"/>
      <c r="BD30" s="152"/>
      <c r="BE30" s="5"/>
      <c r="BF30" s="152"/>
      <c r="BG30" s="152"/>
      <c r="BH30" s="75"/>
      <c r="BI30" s="152"/>
      <c r="BJ30" s="75"/>
      <c r="BK30" s="76"/>
    </row>
    <row r="31" spans="2:63" ht="11.95" hidden="1" thickBot="1" x14ac:dyDescent="0.3">
      <c r="B31" t="s">
        <v>1</v>
      </c>
      <c r="E31" s="3"/>
      <c r="F31" s="3"/>
      <c r="G31" s="3"/>
      <c r="H31" s="3" t="s">
        <v>7</v>
      </c>
      <c r="I31" s="18"/>
      <c r="J31" s="18"/>
      <c r="K31" s="18"/>
      <c r="L31" s="78"/>
      <c r="M31" s="79">
        <v>529233.54</v>
      </c>
      <c r="N31" s="80"/>
      <c r="O31" s="79">
        <v>531599.25592372206</v>
      </c>
      <c r="P31" s="80"/>
      <c r="Q31" s="79">
        <v>531599.25592372206</v>
      </c>
      <c r="R31" s="80"/>
      <c r="S31" s="79">
        <v>182427.75</v>
      </c>
      <c r="T31" s="81"/>
      <c r="U31" s="80"/>
      <c r="V31" s="70"/>
      <c r="W31" s="80"/>
      <c r="X31" s="70"/>
      <c r="Y31" s="80"/>
      <c r="Z31" s="70"/>
      <c r="AA31" s="82"/>
      <c r="AC31" s="138">
        <v>529233.54</v>
      </c>
      <c r="AD31" s="138">
        <v>182427.75</v>
      </c>
      <c r="AE31" s="138">
        <v>531599.25592372206</v>
      </c>
      <c r="AF31" s="172"/>
      <c r="AG31" s="139"/>
      <c r="AH31" s="172"/>
      <c r="AI31" s="139"/>
      <c r="AK31" s="79">
        <v>529233.54</v>
      </c>
      <c r="AL31" s="80"/>
      <c r="AM31" s="79">
        <v>531599.25592372206</v>
      </c>
      <c r="AN31" s="80"/>
      <c r="AO31" s="79">
        <v>531599.25592372206</v>
      </c>
      <c r="AP31" s="80"/>
      <c r="AQ31" s="79">
        <v>182427.75</v>
      </c>
      <c r="AR31" s="81"/>
      <c r="AS31" s="80"/>
      <c r="AT31" s="70"/>
      <c r="AU31" s="80"/>
      <c r="AV31" s="70"/>
      <c r="AW31" s="80"/>
      <c r="AX31" s="70"/>
      <c r="AY31" s="82"/>
      <c r="BA31" s="79">
        <v>6910790.3270083899</v>
      </c>
      <c r="BB31" s="80"/>
      <c r="BC31" s="79">
        <v>6910790.3270083899</v>
      </c>
      <c r="BD31" s="80"/>
      <c r="BE31" s="79">
        <v>4773077.6100000003</v>
      </c>
      <c r="BF31" s="81"/>
      <c r="BG31" s="80"/>
      <c r="BH31" s="70"/>
      <c r="BI31" s="80"/>
      <c r="BJ31" s="70"/>
      <c r="BK31" s="82"/>
    </row>
    <row r="32" spans="2:63" ht="11.95" thickBot="1" x14ac:dyDescent="0.3">
      <c r="B32" t="str">
        <f t="shared" ref="B32:B39" si="0">IF(LEFT(H32,3)="Mul", "#hiderow", "#showrow")</f>
        <v>#showrow</v>
      </c>
      <c r="E32" s="3"/>
      <c r="F32" s="3"/>
      <c r="G32" s="3"/>
      <c r="H32" s="253" t="s">
        <v>74</v>
      </c>
      <c r="I32" s="18"/>
      <c r="J32" s="18"/>
      <c r="K32" s="18"/>
      <c r="L32" s="78"/>
      <c r="M32" s="79">
        <v>529233.54</v>
      </c>
      <c r="N32" s="80">
        <f>IFERROR(M32/SUMIFS(M:M, $H:$H, "Net Sales"),0)</f>
        <v>1</v>
      </c>
      <c r="O32" s="79">
        <v>531599.25592372206</v>
      </c>
      <c r="P32" s="80">
        <f>IFERROR(O32/SUMIFS(O:O, $H:$H, "Net Sales"),0)</f>
        <v>1</v>
      </c>
      <c r="Q32" s="79">
        <v>531599.25592372206</v>
      </c>
      <c r="R32" s="80">
        <f>IFERROR(Q32/SUMIFS(Q:Q, $H:$H, "Net Sales"),0)</f>
        <v>1</v>
      </c>
      <c r="S32" s="79">
        <v>182427.75</v>
      </c>
      <c r="T32" s="81">
        <f>IFERROR(S32/SUMIFS(S:S, $H:$H, "Net Sales"),0)</f>
        <v>1</v>
      </c>
      <c r="U32" s="80">
        <f t="shared" ref="U32" si="1">IFERROR(($M32-O32)/ABS(O32),0)</f>
        <v>-4.4501866723106734E-3</v>
      </c>
      <c r="V32" s="70">
        <f t="shared" ref="V32" si="2">IFERROR((M32-$O32), $M32-0)</f>
        <v>-2365.7159237220185</v>
      </c>
      <c r="W32" s="80">
        <f t="shared" ref="W32" si="3">IFERROR((M32-$Q32)/ABS($Q32),0)</f>
        <v>-4.4501866723106734E-3</v>
      </c>
      <c r="X32" s="70">
        <f t="shared" ref="X32" si="4">IFERROR((M32-$Q32), $M32-0)</f>
        <v>-2365.7159237220185</v>
      </c>
      <c r="Y32" s="80">
        <f t="shared" ref="Y32" si="5">IFERROR((M32-$S32)/ABS($S32),0)</f>
        <v>1.9010583093854967</v>
      </c>
      <c r="Z32" s="70">
        <f t="shared" ref="Z32" si="6">IFERROR((M32-$S32),$M32-0)</f>
        <v>346805.79000000004</v>
      </c>
      <c r="AA32" s="82"/>
      <c r="AC32" s="138">
        <v>529233.54</v>
      </c>
      <c r="AD32" s="138">
        <v>182427.75</v>
      </c>
      <c r="AE32" s="138">
        <v>531599.25592372206</v>
      </c>
      <c r="AF32" s="172">
        <f>IFERROR(($AC32-AD32)/ABS(AD32),0)</f>
        <v>1.9010583093854967</v>
      </c>
      <c r="AG32" s="139">
        <f>($AC32-AD32)</f>
        <v>346805.79000000004</v>
      </c>
      <c r="AH32" s="172">
        <f>IFERROR(($AC32-AE32)/ABS(AE32),0)</f>
        <v>-4.4501866723106734E-3</v>
      </c>
      <c r="AI32" s="139">
        <f>($AC32-AE32)</f>
        <v>-2365.7159237220185</v>
      </c>
      <c r="AK32" s="79">
        <v>529233.54</v>
      </c>
      <c r="AL32" s="80">
        <f>IFERROR(AK32/SUMIFS(AK:AK, $H:$H, "Net Sales"),0)</f>
        <v>1</v>
      </c>
      <c r="AM32" s="79">
        <v>531599.25592372206</v>
      </c>
      <c r="AN32" s="80">
        <f>IFERROR(AM32/SUMIFS(AM:AM, $H:$H, "Net Sales"),0)</f>
        <v>1</v>
      </c>
      <c r="AO32" s="79">
        <v>531599.25592372206</v>
      </c>
      <c r="AP32" s="80">
        <f>IFERROR(AO32/SUMIFS(AO:AO, $H:$H, "Net Sales"),0)</f>
        <v>1</v>
      </c>
      <c r="AQ32" s="79">
        <v>182427.75</v>
      </c>
      <c r="AR32" s="81">
        <f>IFERROR(AQ32/SUMIFS(AQ:AQ, $H:$H, "Net Sales"),0)</f>
        <v>1</v>
      </c>
      <c r="AS32" s="80">
        <f t="shared" ref="AS32" si="7">IFERROR((AK32-$AM32)/ABS($AM32),0)</f>
        <v>-4.4501866723106734E-3</v>
      </c>
      <c r="AT32" s="70">
        <f t="shared" ref="AT32" si="8">(AK32-$AM32)</f>
        <v>-2365.7159237220185</v>
      </c>
      <c r="AU32" s="80">
        <f t="shared" ref="AU32" si="9">IFERROR((AK32-$AO32)/ABS($AO32),0)</f>
        <v>-4.4501866723106734E-3</v>
      </c>
      <c r="AV32" s="70">
        <f t="shared" ref="AV32" si="10">(AK32-$AO32)</f>
        <v>-2365.7159237220185</v>
      </c>
      <c r="AW32" s="80">
        <f t="shared" ref="AW32" si="11">IFERROR((AK32-$AQ32)/ABS($AQ32),0)</f>
        <v>1.9010583093854967</v>
      </c>
      <c r="AX32" s="70">
        <f t="shared" ref="AX32" si="12">(AK32-$AQ32)</f>
        <v>346805.79000000004</v>
      </c>
      <c r="AY32" s="82"/>
      <c r="BA32" s="79">
        <v>6910790.3270083899</v>
      </c>
      <c r="BB32" s="80">
        <f>IFERROR(BA32/SUMIFS(BA:BA, $H:$H, "Net Sales"),0)</f>
        <v>1</v>
      </c>
      <c r="BC32" s="79">
        <v>6910790.3270083899</v>
      </c>
      <c r="BD32" s="80">
        <f>IFERROR(BC32/SUMIFS(BC:BC, $H:$H, "Net Sales"),0)</f>
        <v>1</v>
      </c>
      <c r="BE32" s="79">
        <v>4773077.6100000003</v>
      </c>
      <c r="BF32" s="81">
        <f>IFERROR(BE32/SUMIFS(BE:BE, $H:$H, "Net Sales"),0)</f>
        <v>1</v>
      </c>
      <c r="BG32" s="80">
        <f t="shared" ref="BG32" si="13">IFERROR((BA32-$BC32)/ABS($BC32),0)</f>
        <v>0</v>
      </c>
      <c r="BH32" s="70">
        <f t="shared" ref="BH32" si="14">(BA32-$BC32)</f>
        <v>0</v>
      </c>
      <c r="BI32" s="80">
        <f t="shared" ref="BI32" si="15">IFERROR((BA32-$BE32)/ABS($BE32),0)</f>
        <v>0.44786883677099676</v>
      </c>
      <c r="BJ32" s="70">
        <f t="shared" ref="BJ32" si="16">(BA32-$BE32)</f>
        <v>2137712.7170083895</v>
      </c>
      <c r="BK32" s="82"/>
    </row>
    <row r="33" spans="2:63" ht="11.95" hidden="1" outlineLevel="1" thickBot="1" x14ac:dyDescent="0.3">
      <c r="B33" t="str">
        <f t="shared" si="0"/>
        <v>#hiderow</v>
      </c>
      <c r="E33" s="3"/>
      <c r="F33" s="3"/>
      <c r="G33" s="3"/>
      <c r="H33" s="254" t="s">
        <v>6</v>
      </c>
      <c r="I33" s="18"/>
      <c r="J33" s="18"/>
      <c r="K33" s="18"/>
      <c r="L33" s="78"/>
      <c r="M33" s="79"/>
      <c r="N33" s="80">
        <f>IFERROR(M33/SUMIFS(M:M, $H:$H, "Net Sales"),0)</f>
        <v>0</v>
      </c>
      <c r="O33" s="79"/>
      <c r="P33" s="80">
        <f>IFERROR(O33/SUMIFS(O:O, $H:$H, "Net Sales"),0)</f>
        <v>0</v>
      </c>
      <c r="Q33" s="79"/>
      <c r="R33" s="80">
        <f>IFERROR(Q33/SUMIFS(Q:Q, $H:$H, "Net Sales"),0)</f>
        <v>0</v>
      </c>
      <c r="S33" s="79"/>
      <c r="T33" s="81">
        <f>IFERROR(S33/SUMIFS(S:S, $H:$H, "Net Sales"),0)</f>
        <v>0</v>
      </c>
      <c r="U33" s="80">
        <f t="shared" ref="U33:U39" si="17">IFERROR(($M33-O33)/ABS(O33),0)</f>
        <v>0</v>
      </c>
      <c r="V33" s="70">
        <f t="shared" ref="V33:V39" si="18">IFERROR((M33-$O33), $M33-0)</f>
        <v>0</v>
      </c>
      <c r="W33" s="80">
        <f t="shared" ref="W33:W39" si="19">IFERROR((M33-$Q33)/ABS($Q33),0)</f>
        <v>0</v>
      </c>
      <c r="X33" s="70">
        <f t="shared" ref="X33:X39" si="20">IFERROR((M33-$Q33), $M33-0)</f>
        <v>0</v>
      </c>
      <c r="Y33" s="80">
        <f t="shared" ref="Y33:Y39" si="21">IFERROR((M33-$S33)/ABS($S33),0)</f>
        <v>0</v>
      </c>
      <c r="Z33" s="70">
        <f t="shared" ref="Z33:Z39" si="22">IFERROR((M33-$S33),$M33-0)</f>
        <v>0</v>
      </c>
      <c r="AA33" s="82"/>
      <c r="AC33" s="138"/>
      <c r="AD33" s="138"/>
      <c r="AE33" s="138"/>
      <c r="AF33" s="233"/>
      <c r="AG33" s="139"/>
      <c r="AH33" s="233"/>
      <c r="AI33" s="139"/>
      <c r="AK33" s="79"/>
      <c r="AL33" s="80">
        <f>IFERROR(AK33/SUMIFS(AK:AK, $H:$H, "Net Sales"),0)</f>
        <v>0</v>
      </c>
      <c r="AM33" s="79"/>
      <c r="AN33" s="80">
        <f>IFERROR(AM33/SUMIFS(AM:AM, $H:$H, "Net Sales"),0)</f>
        <v>0</v>
      </c>
      <c r="AO33" s="79"/>
      <c r="AP33" s="80">
        <f>IFERROR(AO33/SUMIFS(AO:AO, $H:$H, "Net Sales"),0)</f>
        <v>0</v>
      </c>
      <c r="AQ33" s="79"/>
      <c r="AR33" s="81">
        <f>IFERROR(AQ33/SUMIFS(AQ:AQ, $H:$H, "Net Sales"),0)</f>
        <v>0</v>
      </c>
      <c r="AS33" s="80">
        <f t="shared" ref="AS33:AS39" si="23">IFERROR((AK33-$AM33)/ABS($AM33),0)</f>
        <v>0</v>
      </c>
      <c r="AT33" s="70">
        <f t="shared" ref="AT33:AT39" si="24">(AK33-$AM33)</f>
        <v>0</v>
      </c>
      <c r="AU33" s="80">
        <f t="shared" ref="AU33:AU39" si="25">IFERROR((AK33-$AO33)/ABS($AO33),0)</f>
        <v>0</v>
      </c>
      <c r="AV33" s="70">
        <f t="shared" ref="AV33:AV39" si="26">(AK33-$AO33)</f>
        <v>0</v>
      </c>
      <c r="AW33" s="80">
        <f t="shared" ref="AW33:AW39" si="27">IFERROR((AK33-$AQ33)/ABS($AQ33),0)</f>
        <v>0</v>
      </c>
      <c r="AX33" s="70">
        <f t="shared" ref="AX33:AX39" si="28">(AK33-$AQ33)</f>
        <v>0</v>
      </c>
      <c r="AY33" s="82"/>
      <c r="BA33" s="79"/>
      <c r="BB33" s="80">
        <f>IFERROR(BA33/SUMIFS(BA:BA, $H:$H, "Net Sales"),0)</f>
        <v>0</v>
      </c>
      <c r="BC33" s="79"/>
      <c r="BD33" s="80">
        <f>IFERROR(BC33/SUMIFS(BC:BC, $H:$H, "Net Sales"),0)</f>
        <v>0</v>
      </c>
      <c r="BE33" s="79"/>
      <c r="BF33" s="81">
        <f>IFERROR(BE33/SUMIFS(BE:BE, $H:$H, "Net Sales"),0)</f>
        <v>0</v>
      </c>
      <c r="BG33" s="80">
        <f t="shared" ref="BG33:BG39" si="29">IFERROR((BA33-$BC33)/ABS($BC33),0)</f>
        <v>0</v>
      </c>
      <c r="BH33" s="70">
        <f t="shared" ref="BH33:BH39" si="30">(BA33-$BC33)</f>
        <v>0</v>
      </c>
      <c r="BI33" s="80">
        <f t="shared" ref="BI33:BI39" si="31">IFERROR((BA33-$BE33)/ABS($BE33),0)</f>
        <v>0</v>
      </c>
      <c r="BJ33" s="70">
        <f t="shared" ref="BJ33:BJ39" si="32">(BA33-$BE33)</f>
        <v>0</v>
      </c>
      <c r="BK33" s="82"/>
    </row>
    <row r="34" spans="2:63" ht="11.95" outlineLevel="1" thickBot="1" x14ac:dyDescent="0.3">
      <c r="B34" t="str">
        <f t="shared" ref="B34:B35" si="33">IF(LEFT(H34,3)="Mul", "#hiderow", "#showrow")</f>
        <v>#showrow</v>
      </c>
      <c r="E34" s="3"/>
      <c r="F34" s="3"/>
      <c r="G34" s="3"/>
      <c r="H34" s="254" t="s">
        <v>163</v>
      </c>
      <c r="I34" s="18"/>
      <c r="J34" s="18"/>
      <c r="K34" s="18"/>
      <c r="L34" s="78"/>
      <c r="M34" s="79">
        <v>19365.5</v>
      </c>
      <c r="N34" s="80">
        <f t="shared" ref="N34:N35" si="34">IFERROR(M34/SUMIFS(M:M, $H:$H, "Net Sales"),0)</f>
        <v>3.6591596216672129E-2</v>
      </c>
      <c r="O34" s="79">
        <v>37431.298006393401</v>
      </c>
      <c r="P34" s="80">
        <f t="shared" ref="P34:P35" si="35">IFERROR(O34/SUMIFS(O:O, $H:$H, "Net Sales"),0)</f>
        <v>7.0412623022490337E-2</v>
      </c>
      <c r="Q34" s="79">
        <v>37431.298006393401</v>
      </c>
      <c r="R34" s="80">
        <f t="shared" ref="R34:R35" si="36">IFERROR(Q34/SUMIFS(Q:Q, $H:$H, "Net Sales"),0)</f>
        <v>7.0412623022490337E-2</v>
      </c>
      <c r="S34" s="79">
        <v>-13713</v>
      </c>
      <c r="T34" s="81">
        <f t="shared" ref="T34:T35" si="37">IFERROR(S34/SUMIFS(S:S, $H:$H, "Net Sales"),0)</f>
        <v>-7.5169484905668132E-2</v>
      </c>
      <c r="U34" s="80">
        <f t="shared" ref="U34:U35" si="38">IFERROR(($M34-O34)/ABS(O34),0)</f>
        <v>-0.48263883350525799</v>
      </c>
      <c r="V34" s="70">
        <f t="shared" ref="V34:V35" si="39">IFERROR((M34-$O34), $M34-0)</f>
        <v>-18065.798006393401</v>
      </c>
      <c r="W34" s="80">
        <f t="shared" ref="W34:W35" si="40">IFERROR((M34-$Q34)/ABS($Q34),0)</f>
        <v>-0.48263883350525799</v>
      </c>
      <c r="X34" s="70">
        <f t="shared" ref="X34:X35" si="41">IFERROR((M34-$Q34), $M34-0)</f>
        <v>-18065.798006393401</v>
      </c>
      <c r="Y34" s="80">
        <f t="shared" ref="Y34:Y35" si="42">IFERROR((M34-$S34)/ABS($S34),0)</f>
        <v>2.4122001020929047</v>
      </c>
      <c r="Z34" s="70">
        <f t="shared" ref="Z34:Z35" si="43">IFERROR((M34-$S34),$M34-0)</f>
        <v>33078.5</v>
      </c>
      <c r="AA34" s="82"/>
      <c r="AC34" s="138">
        <v>19365.5</v>
      </c>
      <c r="AD34" s="138">
        <v>-13713</v>
      </c>
      <c r="AE34" s="138">
        <v>37431.298006393401</v>
      </c>
      <c r="AF34" s="233"/>
      <c r="AG34" s="139"/>
      <c r="AH34" s="233"/>
      <c r="AI34" s="139"/>
      <c r="AK34" s="79">
        <v>19365.5</v>
      </c>
      <c r="AL34" s="80">
        <f t="shared" ref="AL34:AL35" si="44">IFERROR(AK34/SUMIFS(AK:AK, $H:$H, "Net Sales"),0)</f>
        <v>3.6591596216672129E-2</v>
      </c>
      <c r="AM34" s="79">
        <v>37431.298006393401</v>
      </c>
      <c r="AN34" s="80">
        <f t="shared" ref="AN34:AN35" si="45">IFERROR(AM34/SUMIFS(AM:AM, $H:$H, "Net Sales"),0)</f>
        <v>7.0412623022490337E-2</v>
      </c>
      <c r="AO34" s="79">
        <v>37431.298006393401</v>
      </c>
      <c r="AP34" s="80">
        <f t="shared" ref="AP34:AP35" si="46">IFERROR(AO34/SUMIFS(AO:AO, $H:$H, "Net Sales"),0)</f>
        <v>7.0412623022490337E-2</v>
      </c>
      <c r="AQ34" s="79">
        <v>-13713</v>
      </c>
      <c r="AR34" s="81">
        <f t="shared" ref="AR34:AR35" si="47">IFERROR(AQ34/SUMIFS(AQ:AQ, $H:$H, "Net Sales"),0)</f>
        <v>-7.5169484905668132E-2</v>
      </c>
      <c r="AS34" s="80">
        <f t="shared" ref="AS34:AS35" si="48">IFERROR((AK34-$AM34)/ABS($AM34),0)</f>
        <v>-0.48263883350525799</v>
      </c>
      <c r="AT34" s="70">
        <f t="shared" ref="AT34:AT35" si="49">(AK34-$AM34)</f>
        <v>-18065.798006393401</v>
      </c>
      <c r="AU34" s="80">
        <f t="shared" ref="AU34:AU35" si="50">IFERROR((AK34-$AO34)/ABS($AO34),0)</f>
        <v>-0.48263883350525799</v>
      </c>
      <c r="AV34" s="70">
        <f t="shared" ref="AV34:AV35" si="51">(AK34-$AO34)</f>
        <v>-18065.798006393401</v>
      </c>
      <c r="AW34" s="80">
        <f t="shared" ref="AW34:AW35" si="52">IFERROR((AK34-$AQ34)/ABS($AQ34),0)</f>
        <v>2.4122001020929047</v>
      </c>
      <c r="AX34" s="70">
        <f t="shared" ref="AX34:AX35" si="53">(AK34-$AQ34)</f>
        <v>33078.5</v>
      </c>
      <c r="AY34" s="82"/>
      <c r="BA34" s="79">
        <v>486606.87408311397</v>
      </c>
      <c r="BB34" s="80">
        <f t="shared" ref="BB34:BB35" si="54">IFERROR(BA34/SUMIFS(BA:BA, $H:$H, "Net Sales"),0)</f>
        <v>7.0412623022490267E-2</v>
      </c>
      <c r="BC34" s="79">
        <v>486606.87408311397</v>
      </c>
      <c r="BD34" s="80">
        <f t="shared" ref="BD34:BD35" si="55">IFERROR(BC34/SUMIFS(BC:BC, $H:$H, "Net Sales"),0)</f>
        <v>7.0412623022490267E-2</v>
      </c>
      <c r="BE34" s="79">
        <v>488243.05</v>
      </c>
      <c r="BF34" s="81">
        <f t="shared" ref="BF34:BF35" si="56">IFERROR(BE34/SUMIFS(BE:BE, $H:$H, "Net Sales"),0)</f>
        <v>0.10229103523837316</v>
      </c>
      <c r="BG34" s="80">
        <f t="shared" ref="BG34:BG35" si="57">IFERROR((BA34-$BC34)/ABS($BC34),0)</f>
        <v>0</v>
      </c>
      <c r="BH34" s="70">
        <f t="shared" ref="BH34:BH35" si="58">(BA34-$BC34)</f>
        <v>0</v>
      </c>
      <c r="BI34" s="80">
        <f t="shared" ref="BI34:BI35" si="59">IFERROR((BA34-$BE34)/ABS($BE34),0)</f>
        <v>-3.3511504503464318E-3</v>
      </c>
      <c r="BJ34" s="70">
        <f t="shared" ref="BJ34:BJ35" si="60">(BA34-$BE34)</f>
        <v>-1636.1759168860153</v>
      </c>
      <c r="BK34" s="82"/>
    </row>
    <row r="35" spans="2:63" ht="11.95" outlineLevel="1" thickBot="1" x14ac:dyDescent="0.3">
      <c r="B35" t="str">
        <f t="shared" si="33"/>
        <v>#showrow</v>
      </c>
      <c r="E35" s="3"/>
      <c r="F35" s="3"/>
      <c r="G35" s="3"/>
      <c r="H35" s="254" t="s">
        <v>134</v>
      </c>
      <c r="I35" s="18"/>
      <c r="J35" s="18"/>
      <c r="K35" s="18"/>
      <c r="L35" s="78"/>
      <c r="M35" s="79">
        <v>509868.04</v>
      </c>
      <c r="N35" s="80">
        <f t="shared" si="34"/>
        <v>0.9634084037833277</v>
      </c>
      <c r="O35" s="79">
        <v>494167.95791732898</v>
      </c>
      <c r="P35" s="80">
        <f t="shared" si="35"/>
        <v>0.92958737697751026</v>
      </c>
      <c r="Q35" s="79">
        <v>494167.95791732898</v>
      </c>
      <c r="R35" s="80">
        <f t="shared" si="36"/>
        <v>0.92958737697751026</v>
      </c>
      <c r="S35" s="79">
        <v>196140.75</v>
      </c>
      <c r="T35" s="81">
        <f t="shared" si="37"/>
        <v>1.0751694849056681</v>
      </c>
      <c r="U35" s="80">
        <f t="shared" si="38"/>
        <v>3.1770740759556729E-2</v>
      </c>
      <c r="V35" s="70">
        <f t="shared" si="39"/>
        <v>15700.082082670997</v>
      </c>
      <c r="W35" s="80">
        <f t="shared" si="40"/>
        <v>3.1770740759556729E-2</v>
      </c>
      <c r="X35" s="70">
        <f t="shared" si="41"/>
        <v>15700.082082670997</v>
      </c>
      <c r="Y35" s="80">
        <f t="shared" si="42"/>
        <v>1.5995008176526295</v>
      </c>
      <c r="Z35" s="70">
        <f t="shared" si="43"/>
        <v>313727.28999999998</v>
      </c>
      <c r="AA35" s="82"/>
      <c r="AC35" s="138">
        <v>509868.04</v>
      </c>
      <c r="AD35" s="138">
        <v>196140.75</v>
      </c>
      <c r="AE35" s="138">
        <v>494167.95791732898</v>
      </c>
      <c r="AF35" s="233"/>
      <c r="AG35" s="139"/>
      <c r="AH35" s="233"/>
      <c r="AI35" s="139"/>
      <c r="AK35" s="79">
        <v>509868.04</v>
      </c>
      <c r="AL35" s="80">
        <f t="shared" si="44"/>
        <v>0.9634084037833277</v>
      </c>
      <c r="AM35" s="79">
        <v>494167.95791732898</v>
      </c>
      <c r="AN35" s="80">
        <f t="shared" si="45"/>
        <v>0.92958737697751026</v>
      </c>
      <c r="AO35" s="79">
        <v>494167.95791732898</v>
      </c>
      <c r="AP35" s="80">
        <f t="shared" si="46"/>
        <v>0.92958737697751026</v>
      </c>
      <c r="AQ35" s="79">
        <v>196140.75</v>
      </c>
      <c r="AR35" s="81">
        <f t="shared" si="47"/>
        <v>1.0751694849056681</v>
      </c>
      <c r="AS35" s="80">
        <f t="shared" si="48"/>
        <v>3.1770740759556729E-2</v>
      </c>
      <c r="AT35" s="70">
        <f t="shared" si="49"/>
        <v>15700.082082670997</v>
      </c>
      <c r="AU35" s="80">
        <f t="shared" si="50"/>
        <v>3.1770740759556729E-2</v>
      </c>
      <c r="AV35" s="70">
        <f t="shared" si="51"/>
        <v>15700.082082670997</v>
      </c>
      <c r="AW35" s="80">
        <f t="shared" si="52"/>
        <v>1.5995008176526295</v>
      </c>
      <c r="AX35" s="70">
        <f t="shared" si="53"/>
        <v>313727.28999999998</v>
      </c>
      <c r="AY35" s="82"/>
      <c r="BA35" s="79">
        <v>6424183.4529252797</v>
      </c>
      <c r="BB35" s="80">
        <f t="shared" si="54"/>
        <v>0.92958737697751026</v>
      </c>
      <c r="BC35" s="79">
        <v>6424183.4529252797</v>
      </c>
      <c r="BD35" s="80">
        <f t="shared" si="55"/>
        <v>0.92958737697751026</v>
      </c>
      <c r="BE35" s="79">
        <v>4284834.5599999996</v>
      </c>
      <c r="BF35" s="81">
        <f t="shared" si="56"/>
        <v>0.89770896476162665</v>
      </c>
      <c r="BG35" s="80">
        <f t="shared" si="57"/>
        <v>0</v>
      </c>
      <c r="BH35" s="70">
        <f t="shared" si="58"/>
        <v>0</v>
      </c>
      <c r="BI35" s="80">
        <f t="shared" si="59"/>
        <v>0.49928389602171253</v>
      </c>
      <c r="BJ35" s="70">
        <f t="shared" si="60"/>
        <v>2139348.8929252801</v>
      </c>
      <c r="BK35" s="82"/>
    </row>
    <row r="36" spans="2:63" ht="11.95" collapsed="1" thickBot="1" x14ac:dyDescent="0.3">
      <c r="B36" t="str">
        <f t="shared" si="0"/>
        <v>#showrow</v>
      </c>
      <c r="E36" s="3"/>
      <c r="F36" s="3"/>
      <c r="G36" s="3"/>
      <c r="H36" s="253" t="s">
        <v>97</v>
      </c>
      <c r="I36" s="18"/>
      <c r="J36" s="18"/>
      <c r="K36" s="18"/>
      <c r="L36" s="78"/>
      <c r="M36" s="79">
        <v>0</v>
      </c>
      <c r="N36" s="80">
        <f>IFERROR(M36/SUMIFS(M:M, $H:$H, "Net Sales"),0)</f>
        <v>0</v>
      </c>
      <c r="O36" s="79">
        <v>0</v>
      </c>
      <c r="P36" s="80">
        <f>IFERROR(O36/SUMIFS(O:O, $H:$H, "Net Sales"),0)</f>
        <v>0</v>
      </c>
      <c r="Q36" s="79">
        <v>0</v>
      </c>
      <c r="R36" s="80">
        <f>IFERROR(Q36/SUMIFS(Q:Q, $H:$H, "Net Sales"),0)</f>
        <v>0</v>
      </c>
      <c r="S36" s="79">
        <v>0</v>
      </c>
      <c r="T36" s="81">
        <f>IFERROR(S36/SUMIFS(S:S, $H:$H, "Net Sales"),0)</f>
        <v>0</v>
      </c>
      <c r="U36" s="80">
        <f t="shared" si="17"/>
        <v>0</v>
      </c>
      <c r="V36" s="70">
        <f t="shared" si="18"/>
        <v>0</v>
      </c>
      <c r="W36" s="80">
        <f t="shared" si="19"/>
        <v>0</v>
      </c>
      <c r="X36" s="70">
        <f t="shared" si="20"/>
        <v>0</v>
      </c>
      <c r="Y36" s="80">
        <f t="shared" si="21"/>
        <v>0</v>
      </c>
      <c r="Z36" s="70">
        <f t="shared" si="22"/>
        <v>0</v>
      </c>
      <c r="AA36" s="82"/>
      <c r="AC36" s="138">
        <v>0</v>
      </c>
      <c r="AD36" s="138">
        <v>0</v>
      </c>
      <c r="AE36" s="138">
        <v>0</v>
      </c>
      <c r="AF36" s="233"/>
      <c r="AG36" s="139"/>
      <c r="AH36" s="233"/>
      <c r="AI36" s="139"/>
      <c r="AK36" s="79">
        <v>0</v>
      </c>
      <c r="AL36" s="80">
        <f>IFERROR(AK36/SUMIFS(AK:AK, $H:$H, "Net Sales"),0)</f>
        <v>0</v>
      </c>
      <c r="AM36" s="79">
        <v>0</v>
      </c>
      <c r="AN36" s="80">
        <f>IFERROR(AM36/SUMIFS(AM:AM, $H:$H, "Net Sales"),0)</f>
        <v>0</v>
      </c>
      <c r="AO36" s="79">
        <v>0</v>
      </c>
      <c r="AP36" s="80">
        <f>IFERROR(AO36/SUMIFS(AO:AO, $H:$H, "Net Sales"),0)</f>
        <v>0</v>
      </c>
      <c r="AQ36" s="79">
        <v>0</v>
      </c>
      <c r="AR36" s="81">
        <f>IFERROR(AQ36/SUMIFS(AQ:AQ, $H:$H, "Net Sales"),0)</f>
        <v>0</v>
      </c>
      <c r="AS36" s="80">
        <f t="shared" si="23"/>
        <v>0</v>
      </c>
      <c r="AT36" s="70">
        <f t="shared" si="24"/>
        <v>0</v>
      </c>
      <c r="AU36" s="80">
        <f t="shared" si="25"/>
        <v>0</v>
      </c>
      <c r="AV36" s="70">
        <f t="shared" si="26"/>
        <v>0</v>
      </c>
      <c r="AW36" s="80">
        <f t="shared" si="27"/>
        <v>0</v>
      </c>
      <c r="AX36" s="70">
        <f t="shared" si="28"/>
        <v>0</v>
      </c>
      <c r="AY36" s="82"/>
      <c r="BA36" s="79">
        <v>0</v>
      </c>
      <c r="BB36" s="80">
        <f>IFERROR(BA36/SUMIFS(BA:BA, $H:$H, "Net Sales"),0)</f>
        <v>0</v>
      </c>
      <c r="BC36" s="79">
        <v>0</v>
      </c>
      <c r="BD36" s="80">
        <f>IFERROR(BC36/SUMIFS(BC:BC, $H:$H, "Net Sales"),0)</f>
        <v>0</v>
      </c>
      <c r="BE36" s="79">
        <v>0</v>
      </c>
      <c r="BF36" s="81">
        <f>IFERROR(BE36/SUMIFS(BE:BE, $H:$H, "Net Sales"),0)</f>
        <v>0</v>
      </c>
      <c r="BG36" s="80">
        <f t="shared" si="29"/>
        <v>0</v>
      </c>
      <c r="BH36" s="70">
        <f t="shared" si="30"/>
        <v>0</v>
      </c>
      <c r="BI36" s="80">
        <f t="shared" si="31"/>
        <v>0</v>
      </c>
      <c r="BJ36" s="70">
        <f t="shared" si="32"/>
        <v>0</v>
      </c>
      <c r="BK36" s="82"/>
    </row>
    <row r="37" spans="2:63" ht="11.95" hidden="1" outlineLevel="1" thickBot="1" x14ac:dyDescent="0.3">
      <c r="B37" t="str">
        <f t="shared" si="0"/>
        <v>#hiderow</v>
      </c>
      <c r="E37" s="3"/>
      <c r="F37" s="3"/>
      <c r="G37" s="3"/>
      <c r="H37" s="254" t="s">
        <v>6</v>
      </c>
      <c r="I37" s="18"/>
      <c r="J37" s="18"/>
      <c r="K37" s="18"/>
      <c r="L37" s="78"/>
      <c r="M37" s="79"/>
      <c r="N37" s="80">
        <f>IFERROR(M37/SUMIFS(M:M, $H:$H, "Net Sales"),0)</f>
        <v>0</v>
      </c>
      <c r="O37" s="79"/>
      <c r="P37" s="80">
        <f>IFERROR(O37/SUMIFS(O:O, $H:$H, "Net Sales"),0)</f>
        <v>0</v>
      </c>
      <c r="Q37" s="79"/>
      <c r="R37" s="80">
        <f>IFERROR(Q37/SUMIFS(Q:Q, $H:$H, "Net Sales"),0)</f>
        <v>0</v>
      </c>
      <c r="S37" s="79"/>
      <c r="T37" s="81">
        <f>IFERROR(S37/SUMIFS(S:S, $H:$H, "Net Sales"),0)</f>
        <v>0</v>
      </c>
      <c r="U37" s="80">
        <f t="shared" si="17"/>
        <v>0</v>
      </c>
      <c r="V37" s="70">
        <f t="shared" si="18"/>
        <v>0</v>
      </c>
      <c r="W37" s="80">
        <f t="shared" si="19"/>
        <v>0</v>
      </c>
      <c r="X37" s="70">
        <f t="shared" si="20"/>
        <v>0</v>
      </c>
      <c r="Y37" s="80">
        <f t="shared" si="21"/>
        <v>0</v>
      </c>
      <c r="Z37" s="70">
        <f t="shared" si="22"/>
        <v>0</v>
      </c>
      <c r="AA37" s="82"/>
      <c r="AC37" s="138"/>
      <c r="AD37" s="138"/>
      <c r="AE37" s="138"/>
      <c r="AF37" s="233"/>
      <c r="AG37" s="139"/>
      <c r="AH37" s="233"/>
      <c r="AI37" s="139"/>
      <c r="AK37" s="79"/>
      <c r="AL37" s="80">
        <f>IFERROR(AK37/SUMIFS(AK:AK, $H:$H, "Net Sales"),0)</f>
        <v>0</v>
      </c>
      <c r="AM37" s="79"/>
      <c r="AN37" s="80">
        <f>IFERROR(AM37/SUMIFS(AM:AM, $H:$H, "Net Sales"),0)</f>
        <v>0</v>
      </c>
      <c r="AO37" s="79"/>
      <c r="AP37" s="80">
        <f>IFERROR(AO37/SUMIFS(AO:AO, $H:$H, "Net Sales"),0)</f>
        <v>0</v>
      </c>
      <c r="AQ37" s="79"/>
      <c r="AR37" s="81">
        <f>IFERROR(AQ37/SUMIFS(AQ:AQ, $H:$H, "Net Sales"),0)</f>
        <v>0</v>
      </c>
      <c r="AS37" s="80">
        <f t="shared" si="23"/>
        <v>0</v>
      </c>
      <c r="AT37" s="70">
        <f t="shared" si="24"/>
        <v>0</v>
      </c>
      <c r="AU37" s="80">
        <f t="shared" si="25"/>
        <v>0</v>
      </c>
      <c r="AV37" s="70">
        <f t="shared" si="26"/>
        <v>0</v>
      </c>
      <c r="AW37" s="80">
        <f t="shared" si="27"/>
        <v>0</v>
      </c>
      <c r="AX37" s="70">
        <f t="shared" si="28"/>
        <v>0</v>
      </c>
      <c r="AY37" s="82"/>
      <c r="BA37" s="79"/>
      <c r="BB37" s="80">
        <f>IFERROR(BA37/SUMIFS(BA:BA, $H:$H, "Net Sales"),0)</f>
        <v>0</v>
      </c>
      <c r="BC37" s="79"/>
      <c r="BD37" s="80">
        <f>IFERROR(BC37/SUMIFS(BC:BC, $H:$H, "Net Sales"),0)</f>
        <v>0</v>
      </c>
      <c r="BE37" s="79"/>
      <c r="BF37" s="81">
        <f>IFERROR(BE37/SUMIFS(BE:BE, $H:$H, "Net Sales"),0)</f>
        <v>0</v>
      </c>
      <c r="BG37" s="80">
        <f t="shared" si="29"/>
        <v>0</v>
      </c>
      <c r="BH37" s="70">
        <f t="shared" si="30"/>
        <v>0</v>
      </c>
      <c r="BI37" s="80">
        <f t="shared" si="31"/>
        <v>0</v>
      </c>
      <c r="BJ37" s="70">
        <f t="shared" si="32"/>
        <v>0</v>
      </c>
      <c r="BK37" s="82"/>
    </row>
    <row r="38" spans="2:63" ht="11.95" collapsed="1" thickBot="1" x14ac:dyDescent="0.3">
      <c r="B38" t="str">
        <f t="shared" si="0"/>
        <v>#showrow</v>
      </c>
      <c r="E38" s="3"/>
      <c r="F38" s="3"/>
      <c r="G38" s="3"/>
      <c r="H38" s="253" t="s">
        <v>98</v>
      </c>
      <c r="I38" s="18"/>
      <c r="J38" s="18"/>
      <c r="K38" s="18"/>
      <c r="L38" s="78"/>
      <c r="M38" s="79">
        <v>0</v>
      </c>
      <c r="N38" s="80">
        <f>IFERROR(M38/SUMIFS(M:M, $H:$H, "Net Sales"),0)</f>
        <v>0</v>
      </c>
      <c r="O38" s="79">
        <v>0</v>
      </c>
      <c r="P38" s="80">
        <f>IFERROR(O38/SUMIFS(O:O, $H:$H, "Net Sales"),0)</f>
        <v>0</v>
      </c>
      <c r="Q38" s="79">
        <v>0</v>
      </c>
      <c r="R38" s="80">
        <f>IFERROR(Q38/SUMIFS(Q:Q, $H:$H, "Net Sales"),0)</f>
        <v>0</v>
      </c>
      <c r="S38" s="79">
        <v>0</v>
      </c>
      <c r="T38" s="81">
        <f>IFERROR(S38/SUMIFS(S:S, $H:$H, "Net Sales"),0)</f>
        <v>0</v>
      </c>
      <c r="U38" s="80">
        <f t="shared" si="17"/>
        <v>0</v>
      </c>
      <c r="V38" s="70">
        <f t="shared" si="18"/>
        <v>0</v>
      </c>
      <c r="W38" s="80">
        <f t="shared" si="19"/>
        <v>0</v>
      </c>
      <c r="X38" s="70">
        <f t="shared" si="20"/>
        <v>0</v>
      </c>
      <c r="Y38" s="80">
        <f t="shared" si="21"/>
        <v>0</v>
      </c>
      <c r="Z38" s="70">
        <f t="shared" si="22"/>
        <v>0</v>
      </c>
      <c r="AA38" s="82"/>
      <c r="AC38" s="138">
        <v>0</v>
      </c>
      <c r="AD38" s="138">
        <v>0</v>
      </c>
      <c r="AE38" s="138">
        <v>0</v>
      </c>
      <c r="AF38" s="233"/>
      <c r="AG38" s="139"/>
      <c r="AH38" s="233"/>
      <c r="AI38" s="139"/>
      <c r="AK38" s="79">
        <v>0</v>
      </c>
      <c r="AL38" s="80">
        <f>IFERROR(AK38/SUMIFS(AK:AK, $H:$H, "Net Sales"),0)</f>
        <v>0</v>
      </c>
      <c r="AM38" s="79">
        <v>0</v>
      </c>
      <c r="AN38" s="80">
        <f>IFERROR(AM38/SUMIFS(AM:AM, $H:$H, "Net Sales"),0)</f>
        <v>0</v>
      </c>
      <c r="AO38" s="79">
        <v>0</v>
      </c>
      <c r="AP38" s="80">
        <f>IFERROR(AO38/SUMIFS(AO:AO, $H:$H, "Net Sales"),0)</f>
        <v>0</v>
      </c>
      <c r="AQ38" s="79">
        <v>0</v>
      </c>
      <c r="AR38" s="81">
        <f>IFERROR(AQ38/SUMIFS(AQ:AQ, $H:$H, "Net Sales"),0)</f>
        <v>0</v>
      </c>
      <c r="AS38" s="80">
        <f t="shared" si="23"/>
        <v>0</v>
      </c>
      <c r="AT38" s="70">
        <f t="shared" si="24"/>
        <v>0</v>
      </c>
      <c r="AU38" s="80">
        <f t="shared" si="25"/>
        <v>0</v>
      </c>
      <c r="AV38" s="70">
        <f t="shared" si="26"/>
        <v>0</v>
      </c>
      <c r="AW38" s="80">
        <f t="shared" si="27"/>
        <v>0</v>
      </c>
      <c r="AX38" s="70">
        <f t="shared" si="28"/>
        <v>0</v>
      </c>
      <c r="AY38" s="82"/>
      <c r="BA38" s="79">
        <v>0</v>
      </c>
      <c r="BB38" s="80">
        <f>IFERROR(BA38/SUMIFS(BA:BA, $H:$H, "Net Sales"),0)</f>
        <v>0</v>
      </c>
      <c r="BC38" s="79">
        <v>0</v>
      </c>
      <c r="BD38" s="80">
        <f>IFERROR(BC38/SUMIFS(BC:BC, $H:$H, "Net Sales"),0)</f>
        <v>0</v>
      </c>
      <c r="BE38" s="79">
        <v>0</v>
      </c>
      <c r="BF38" s="81">
        <f>IFERROR(BE38/SUMIFS(BE:BE, $H:$H, "Net Sales"),0)</f>
        <v>0</v>
      </c>
      <c r="BG38" s="80">
        <f t="shared" si="29"/>
        <v>0</v>
      </c>
      <c r="BH38" s="70">
        <f t="shared" si="30"/>
        <v>0</v>
      </c>
      <c r="BI38" s="80">
        <f t="shared" si="31"/>
        <v>0</v>
      </c>
      <c r="BJ38" s="70">
        <f t="shared" si="32"/>
        <v>0</v>
      </c>
      <c r="BK38" s="82"/>
    </row>
    <row r="39" spans="2:63" ht="11.95" hidden="1" outlineLevel="1" thickBot="1" x14ac:dyDescent="0.3">
      <c r="B39" t="str">
        <f t="shared" si="0"/>
        <v>#hiderow</v>
      </c>
      <c r="E39" s="3"/>
      <c r="F39" s="3"/>
      <c r="G39" s="3"/>
      <c r="H39" s="254" t="s">
        <v>6</v>
      </c>
      <c r="I39" s="18"/>
      <c r="J39" s="18"/>
      <c r="K39" s="18"/>
      <c r="L39" s="78"/>
      <c r="M39" s="79"/>
      <c r="N39" s="80">
        <f>IFERROR(M39/SUMIFS(M:M, $H:$H, "Net Sales"),0)</f>
        <v>0</v>
      </c>
      <c r="O39" s="79"/>
      <c r="P39" s="80">
        <f>IFERROR(O39/SUMIFS(O:O, $H:$H, "Net Sales"),0)</f>
        <v>0</v>
      </c>
      <c r="Q39" s="79"/>
      <c r="R39" s="80">
        <f>IFERROR(Q39/SUMIFS(Q:Q, $H:$H, "Net Sales"),0)</f>
        <v>0</v>
      </c>
      <c r="S39" s="79"/>
      <c r="T39" s="81">
        <f>IFERROR(S39/SUMIFS(S:S, $H:$H, "Net Sales"),0)</f>
        <v>0</v>
      </c>
      <c r="U39" s="80">
        <f t="shared" si="17"/>
        <v>0</v>
      </c>
      <c r="V39" s="70">
        <f t="shared" si="18"/>
        <v>0</v>
      </c>
      <c r="W39" s="80">
        <f t="shared" si="19"/>
        <v>0</v>
      </c>
      <c r="X39" s="70">
        <f t="shared" si="20"/>
        <v>0</v>
      </c>
      <c r="Y39" s="80">
        <f t="shared" si="21"/>
        <v>0</v>
      </c>
      <c r="Z39" s="70">
        <f t="shared" si="22"/>
        <v>0</v>
      </c>
      <c r="AA39" s="82"/>
      <c r="AC39" s="138"/>
      <c r="AD39" s="138"/>
      <c r="AE39" s="138"/>
      <c r="AF39" s="233"/>
      <c r="AG39" s="139"/>
      <c r="AH39" s="233"/>
      <c r="AI39" s="139"/>
      <c r="AK39" s="79"/>
      <c r="AL39" s="80">
        <f>IFERROR(AK39/SUMIFS(AK:AK, $H:$H, "Net Sales"),0)</f>
        <v>0</v>
      </c>
      <c r="AM39" s="79"/>
      <c r="AN39" s="80">
        <f>IFERROR(AM39/SUMIFS(AM:AM, $H:$H, "Net Sales"),0)</f>
        <v>0</v>
      </c>
      <c r="AO39" s="79"/>
      <c r="AP39" s="80">
        <f>IFERROR(AO39/SUMIFS(AO:AO, $H:$H, "Net Sales"),0)</f>
        <v>0</v>
      </c>
      <c r="AQ39" s="79"/>
      <c r="AR39" s="81">
        <f>IFERROR(AQ39/SUMIFS(AQ:AQ, $H:$H, "Net Sales"),0)</f>
        <v>0</v>
      </c>
      <c r="AS39" s="80">
        <f t="shared" si="23"/>
        <v>0</v>
      </c>
      <c r="AT39" s="70">
        <f t="shared" si="24"/>
        <v>0</v>
      </c>
      <c r="AU39" s="80">
        <f t="shared" si="25"/>
        <v>0</v>
      </c>
      <c r="AV39" s="70">
        <f t="shared" si="26"/>
        <v>0</v>
      </c>
      <c r="AW39" s="80">
        <f t="shared" si="27"/>
        <v>0</v>
      </c>
      <c r="AX39" s="70">
        <f t="shared" si="28"/>
        <v>0</v>
      </c>
      <c r="AY39" s="82"/>
      <c r="BA39" s="79"/>
      <c r="BB39" s="80">
        <f>IFERROR(BA39/SUMIFS(BA:BA, $H:$H, "Net Sales"),0)</f>
        <v>0</v>
      </c>
      <c r="BC39" s="79"/>
      <c r="BD39" s="80">
        <f>IFERROR(BC39/SUMIFS(BC:BC, $H:$H, "Net Sales"),0)</f>
        <v>0</v>
      </c>
      <c r="BE39" s="79"/>
      <c r="BF39" s="81">
        <f>IFERROR(BE39/SUMIFS(BE:BE, $H:$H, "Net Sales"),0)</f>
        <v>0</v>
      </c>
      <c r="BG39" s="80">
        <f t="shared" si="29"/>
        <v>0</v>
      </c>
      <c r="BH39" s="70">
        <f t="shared" si="30"/>
        <v>0</v>
      </c>
      <c r="BI39" s="80">
        <f t="shared" si="31"/>
        <v>0</v>
      </c>
      <c r="BJ39" s="70">
        <f t="shared" si="32"/>
        <v>0</v>
      </c>
      <c r="BK39" s="82"/>
    </row>
    <row r="40" spans="2:63" ht="11.95" x14ac:dyDescent="0.25">
      <c r="E40" s="19"/>
      <c r="F40" s="19"/>
      <c r="G40" s="19"/>
      <c r="H40" s="19" t="s">
        <v>79</v>
      </c>
      <c r="I40" s="85"/>
      <c r="J40" s="85"/>
      <c r="K40" s="85"/>
      <c r="L40" s="85">
        <v>1</v>
      </c>
      <c r="M40" s="85">
        <f>SUMIFS(M31:M39,$I31:$I39,"&lt;&gt;"&amp;$I$29,$E31:$E39,"&lt;&gt;*[-]*",$F31:$F39,"&lt;&gt;*[-]*",$G31:$G39,"&lt;&gt;*[-]*",$H31:$H39,"Revenue")</f>
        <v>529233.54</v>
      </c>
      <c r="N40" s="86">
        <f>IFERROR(M40/SUMIFS(M:M, $H:$H, "Net Sales"),0)</f>
        <v>1</v>
      </c>
      <c r="O40" s="85">
        <f>SUMIFS(O31:O39,$I31:$I39,"&lt;&gt;"&amp;$I$29,$E31:$E39,"&lt;&gt;*[-]*",$F31:$F39,"&lt;&gt;*[-]*",$G31:$G39,"&lt;&gt;*[-]*",$H31:$H39,"Revenue")</f>
        <v>531599.25592372206</v>
      </c>
      <c r="P40" s="86">
        <f>IFERROR(O40/SUMIFS(O:O, $H:$H, "Net Sales"),0)</f>
        <v>1</v>
      </c>
      <c r="Q40" s="85">
        <f>SUMIFS(Q31:Q39,$I31:$I39,"&lt;&gt;"&amp;$I$29,$E31:$E39,"&lt;&gt;*[-]*",$F31:$F39,"&lt;&gt;*[-]*",$G31:$G39,"&lt;&gt;*[-]*",$H31:$H39,"Revenue")</f>
        <v>531599.25592372206</v>
      </c>
      <c r="R40" s="86">
        <f>IFERROR(Q40/SUMIFS(Q:Q, $H:$H, "Net Sales"),0)</f>
        <v>1</v>
      </c>
      <c r="S40" s="85">
        <f>SUMIFS(S31:S39,$I31:$I39,"&lt;&gt;"&amp;$I$29,$E31:$E39,"&lt;&gt;*[-]*",$F31:$F39,"&lt;&gt;*[-]*",$G31:$G39,"&lt;&gt;*[-]*",$H31:$H39,"Revenue")</f>
        <v>182427.75</v>
      </c>
      <c r="T40" s="86">
        <f>IFERROR(S40/SUMIFS(S:S, $H:$H, "Net Sales"),0)</f>
        <v>1</v>
      </c>
      <c r="U40" s="86">
        <f>IFERROR(($M40-O40)/ABS(O40),0)</f>
        <v>-4.4501866723106734E-3</v>
      </c>
      <c r="V40" s="87">
        <f>IFERROR((M40-$O40), $M40-0)</f>
        <v>-2365.7159237220185</v>
      </c>
      <c r="W40" s="86">
        <f>IFERROR((M40-$Q40)/ABS($Q40),0)</f>
        <v>-4.4501866723106734E-3</v>
      </c>
      <c r="X40" s="87">
        <f>IFERROR((M40-$Q40), $M40-0)</f>
        <v>-2365.7159237220185</v>
      </c>
      <c r="Y40" s="86">
        <f>IFERROR((M40-$S40)/ABS($S40),0)</f>
        <v>1.9010583093854967</v>
      </c>
      <c r="Z40" s="87">
        <f>IFERROR((M40-$S40),$M40-0)</f>
        <v>346805.79000000004</v>
      </c>
      <c r="AA40" s="88"/>
      <c r="AC40" s="142">
        <f>SUMIFS(AC31:AC39,$I31:$I39,"&lt;&gt;"&amp;$I$29,$E31:$E39,"&lt;&gt;*[-]*",$F31:$F39,"&lt;&gt;*[-]*",$G31:$G39,"&lt;&gt;*[-]*",$H31:$H39,"Revenue")</f>
        <v>529233.54</v>
      </c>
      <c r="AD40" s="142">
        <f>SUMIFS(AD31:AD39,$I31:$I39,"&lt;&gt;"&amp;$I$29,$E31:$E39,"&lt;&gt;*[-]*",$F31:$F39,"&lt;&gt;*[-]*",$G31:$G39,"&lt;&gt;*[-]*",$H31:$H39,"Revenue")</f>
        <v>182427.75</v>
      </c>
      <c r="AE40" s="142">
        <f>SUMIFS(AE31:AE39,$I31:$I39,"&lt;&gt;"&amp;$I$29,$E31:$E39,"&lt;&gt;*[-]*",$F31:$F39,"&lt;&gt;*[-]*",$G31:$G39,"&lt;&gt;*[-]*",$H31:$H39,"Revenue")</f>
        <v>531599.25592372206</v>
      </c>
      <c r="AF40" s="173">
        <f>IFERROR((AC40-$AD40)/ABS($AD40),0)</f>
        <v>1.9010583093854967</v>
      </c>
      <c r="AG40" s="143">
        <f>(AC40-$AD40)</f>
        <v>346805.79000000004</v>
      </c>
      <c r="AH40" s="173">
        <f>IFERROR((AC40-$AE40)/ABS($AE40),0)</f>
        <v>-4.4501866723106734E-3</v>
      </c>
      <c r="AI40" s="143">
        <f>(AC40-$AE40)</f>
        <v>-2365.7159237220185</v>
      </c>
      <c r="AK40" s="85">
        <f>SUMIFS(AK31:AK39,$I31:$I39,"&lt;&gt;"&amp;$I$29,$E31:$E39,"&lt;&gt;*[-]*",$F31:$F39,"&lt;&gt;*[-]*",$G31:$G39,"&lt;&gt;*[-]*",$H31:$H39,"Revenue")</f>
        <v>529233.54</v>
      </c>
      <c r="AL40" s="86">
        <f>IFERROR(AK40/SUMIFS(AK:AK, $H:$H, "Net Sales"),0)</f>
        <v>1</v>
      </c>
      <c r="AM40" s="85">
        <f>SUMIFS(AM31:AM39,$I31:$I39,"&lt;&gt;"&amp;$I$29,$E31:$E39,"&lt;&gt;*[-]*",$F31:$F39,"&lt;&gt;*[-]*",$G31:$G39,"&lt;&gt;*[-]*",$H31:$H39,"Revenue")</f>
        <v>531599.25592372206</v>
      </c>
      <c r="AN40" s="86">
        <f>IFERROR(AM40/SUMIFS(AM:AM, $H:$H, "Net Sales"),0)</f>
        <v>1</v>
      </c>
      <c r="AO40" s="85">
        <f>SUMIFS(AO31:AO39,$I31:$I39,"&lt;&gt;"&amp;$I$29,$E31:$E39,"&lt;&gt;*[-]*",$F31:$F39,"&lt;&gt;*[-]*",$G31:$G39,"&lt;&gt;*[-]*",$H31:$H39,"Revenue")</f>
        <v>531599.25592372206</v>
      </c>
      <c r="AP40" s="86">
        <f>IFERROR(AO40/SUMIFS(AO:AO, $H:$H, "Net Sales"),0)</f>
        <v>1</v>
      </c>
      <c r="AQ40" s="85">
        <f>SUMIFS(AQ31:AQ39,$I31:$I39,"&lt;&gt;"&amp;$I$29,$E31:$E39,"&lt;&gt;*[-]*",$F31:$F39,"&lt;&gt;*[-]*",$G31:$G39,"&lt;&gt;*[-]*",$H31:$H39,"Revenue")</f>
        <v>182427.75</v>
      </c>
      <c r="AR40" s="86">
        <f>IFERROR(AQ40/SUMIFS(AQ:AQ, $H:$H, "Net Sales"),0)</f>
        <v>1</v>
      </c>
      <c r="AS40" s="86">
        <f>IFERROR((AK40-$AM40)/ABS($AM40),0)</f>
        <v>-4.4501866723106734E-3</v>
      </c>
      <c r="AT40" s="87">
        <f>(AK40-$AM40)</f>
        <v>-2365.7159237220185</v>
      </c>
      <c r="AU40" s="86">
        <f>IFERROR((AK40-$AO40)/ABS($AO40),0)</f>
        <v>-4.4501866723106734E-3</v>
      </c>
      <c r="AV40" s="87">
        <f>(AK40-$AO40)</f>
        <v>-2365.7159237220185</v>
      </c>
      <c r="AW40" s="86">
        <f>IFERROR((AK40-$AQ40)/ABS($AQ40),0)</f>
        <v>1.9010583093854967</v>
      </c>
      <c r="AX40" s="87">
        <f>(AK40-$AQ40)</f>
        <v>346805.79000000004</v>
      </c>
      <c r="AY40" s="88"/>
      <c r="BA40" s="85">
        <f>SUMIFS(BA31:BA39,$I31:$I39,"&lt;&gt;"&amp;$I$29,$E31:$E39,"&lt;&gt;*[-]*",$F31:$F39,"&lt;&gt;*[-]*",$G31:$G39,"&lt;&gt;*[-]*",$H31:$H39,"Revenue")</f>
        <v>6910790.3270083899</v>
      </c>
      <c r="BB40" s="86">
        <f>IFERROR(BA40/SUMIFS(BA:BA, $H:$H, "Net Sales"),0)</f>
        <v>1</v>
      </c>
      <c r="BC40" s="85">
        <f>SUMIFS(BC31:BC39,$I31:$I39,"&lt;&gt;"&amp;$I$29,$E31:$E39,"&lt;&gt;*[-]*",$F31:$F39,"&lt;&gt;*[-]*",$G31:$G39,"&lt;&gt;*[-]*",$H31:$H39,"Revenue")</f>
        <v>6910790.3270083899</v>
      </c>
      <c r="BD40" s="86">
        <f>IFERROR(BC40/SUMIFS(BC:BC, $H:$H, "Net Sales"),0)</f>
        <v>1</v>
      </c>
      <c r="BE40" s="85">
        <f>SUMIFS(BE31:BE39,$I31:$I39,"&lt;&gt;"&amp;$I$29,$E31:$E39,"&lt;&gt;*[-]*",$F31:$F39,"&lt;&gt;*[-]*",$G31:$G39,"&lt;&gt;*[-]*",$H31:$H39,"Revenue")</f>
        <v>4773077.6100000003</v>
      </c>
      <c r="BF40" s="86">
        <f>IFERROR(BE40/SUMIFS(BE:BE, $H:$H, "Net Sales"),0)</f>
        <v>1</v>
      </c>
      <c r="BG40" s="86">
        <f>IFERROR((BA40-$BC40)/ABS($BC40),0)</f>
        <v>0</v>
      </c>
      <c r="BH40" s="87">
        <f>(BA40-$BC40)</f>
        <v>0</v>
      </c>
      <c r="BI40" s="86">
        <f>IFERROR((BA40-$BE40)/ABS($BE40),0)</f>
        <v>0.44786883677099676</v>
      </c>
      <c r="BJ40" s="87">
        <f>(BA40-$BE40)</f>
        <v>2137712.7170083895</v>
      </c>
      <c r="BK40" s="88"/>
    </row>
    <row r="41" spans="2:63" x14ac:dyDescent="0.25">
      <c r="N41" s="145"/>
      <c r="P41" s="145"/>
      <c r="R41" s="145"/>
      <c r="T41" s="145"/>
      <c r="U41" s="145"/>
      <c r="V41" s="84"/>
      <c r="W41" s="145"/>
      <c r="X41" s="84"/>
      <c r="Y41" s="145"/>
      <c r="Z41" s="84"/>
      <c r="AA41" s="84"/>
      <c r="AF41" s="169"/>
      <c r="AG41" s="140"/>
      <c r="AH41" s="169"/>
      <c r="AI41" s="140"/>
      <c r="AL41" s="145"/>
      <c r="AN41" s="145"/>
      <c r="AP41" s="145"/>
      <c r="AR41" s="145"/>
      <c r="AS41" s="145"/>
      <c r="AT41" s="84"/>
      <c r="AU41" s="145"/>
      <c r="AV41" s="84"/>
      <c r="AW41" s="145"/>
      <c r="AX41" s="84"/>
      <c r="AY41" s="84"/>
      <c r="BB41" s="145"/>
      <c r="BD41" s="145"/>
      <c r="BF41" s="145"/>
      <c r="BG41" s="145"/>
      <c r="BH41" s="84"/>
      <c r="BI41" s="145"/>
      <c r="BJ41" s="84"/>
      <c r="BK41" s="84"/>
    </row>
    <row r="42" spans="2:63" ht="12.45" thickBot="1" x14ac:dyDescent="0.3">
      <c r="B42" t="str">
        <f>IF(COUNTBLANK(B44:B60)&gt;0,"#showrow","#hiderow")</f>
        <v>#showrow</v>
      </c>
      <c r="E42" s="4"/>
      <c r="F42" s="4"/>
      <c r="G42" s="4"/>
      <c r="H42" s="4" t="s">
        <v>17</v>
      </c>
      <c r="I42" s="4"/>
      <c r="J42" s="5"/>
      <c r="K42" s="5"/>
      <c r="L42" s="5"/>
      <c r="M42" s="5"/>
      <c r="N42" s="152"/>
      <c r="O42" s="5"/>
      <c r="P42" s="152"/>
      <c r="Q42" s="5"/>
      <c r="R42" s="152"/>
      <c r="S42" s="5"/>
      <c r="T42" s="152"/>
      <c r="U42" s="152"/>
      <c r="V42" s="75"/>
      <c r="W42" s="152"/>
      <c r="X42" s="75"/>
      <c r="Y42" s="152"/>
      <c r="Z42" s="75"/>
      <c r="AA42" s="76"/>
      <c r="AC42" s="133"/>
      <c r="AD42" s="133"/>
      <c r="AE42" s="133"/>
      <c r="AF42" s="171"/>
      <c r="AG42" s="134"/>
      <c r="AH42" s="171"/>
      <c r="AI42" s="134"/>
      <c r="AK42" s="5"/>
      <c r="AL42" s="152"/>
      <c r="AM42" s="5"/>
      <c r="AN42" s="152"/>
      <c r="AO42" s="5"/>
      <c r="AP42" s="152"/>
      <c r="AQ42" s="5"/>
      <c r="AR42" s="152"/>
      <c r="AS42" s="152"/>
      <c r="AT42" s="75"/>
      <c r="AU42" s="152"/>
      <c r="AV42" s="75"/>
      <c r="AW42" s="152"/>
      <c r="AX42" s="75"/>
      <c r="AY42" s="76"/>
      <c r="BA42" s="5"/>
      <c r="BB42" s="152"/>
      <c r="BC42" s="5"/>
      <c r="BD42" s="152"/>
      <c r="BE42" s="5"/>
      <c r="BF42" s="152"/>
      <c r="BG42" s="152"/>
      <c r="BH42" s="75"/>
      <c r="BI42" s="152"/>
      <c r="BJ42" s="75"/>
      <c r="BK42" s="76"/>
    </row>
    <row r="43" spans="2:63" ht="11.95" hidden="1" thickBot="1" x14ac:dyDescent="0.3">
      <c r="B43" t="s">
        <v>1</v>
      </c>
      <c r="E43" s="3"/>
      <c r="F43" s="3"/>
      <c r="G43" s="3"/>
      <c r="H43" s="3" t="s">
        <v>17</v>
      </c>
      <c r="I43" s="18"/>
      <c r="J43" s="18"/>
      <c r="K43" s="18"/>
      <c r="L43" s="78"/>
      <c r="M43" s="79">
        <v>275240.21000000002</v>
      </c>
      <c r="N43" s="80"/>
      <c r="O43" s="79">
        <v>319089.404966973</v>
      </c>
      <c r="P43" s="80"/>
      <c r="Q43" s="79">
        <v>319089.404966973</v>
      </c>
      <c r="R43" s="80"/>
      <c r="S43" s="79">
        <v>138633.01999999999</v>
      </c>
      <c r="T43" s="81"/>
      <c r="U43" s="80"/>
      <c r="V43" s="70"/>
      <c r="W43" s="80"/>
      <c r="X43" s="70"/>
      <c r="Y43" s="80"/>
      <c r="Z43" s="70"/>
      <c r="AA43" s="82"/>
      <c r="AC43" s="138">
        <v>275240.21000000002</v>
      </c>
      <c r="AD43" s="138">
        <v>138633.01999999999</v>
      </c>
      <c r="AE43" s="138">
        <v>319089.404966973</v>
      </c>
      <c r="AF43" s="172"/>
      <c r="AG43" s="139"/>
      <c r="AH43" s="172"/>
      <c r="AI43" s="139"/>
      <c r="AK43" s="79">
        <v>275240.21000000002</v>
      </c>
      <c r="AL43" s="80"/>
      <c r="AM43" s="79">
        <v>319089.404966973</v>
      </c>
      <c r="AN43" s="80"/>
      <c r="AO43" s="79">
        <v>319089.404966973</v>
      </c>
      <c r="AP43" s="80"/>
      <c r="AQ43" s="79">
        <v>138633.01999999999</v>
      </c>
      <c r="AR43" s="81"/>
      <c r="AS43" s="80"/>
      <c r="AT43" s="70"/>
      <c r="AU43" s="80"/>
      <c r="AV43" s="70"/>
      <c r="AW43" s="80"/>
      <c r="AX43" s="70"/>
      <c r="AY43" s="82"/>
      <c r="BA43" s="79">
        <v>4093041.2645706502</v>
      </c>
      <c r="BB43" s="80"/>
      <c r="BC43" s="79">
        <v>4093041.2645706502</v>
      </c>
      <c r="BD43" s="80"/>
      <c r="BE43" s="79">
        <v>3290341.17</v>
      </c>
      <c r="BF43" s="81"/>
      <c r="BG43" s="80"/>
      <c r="BH43" s="70"/>
      <c r="BI43" s="80"/>
      <c r="BJ43" s="70"/>
      <c r="BK43" s="82"/>
    </row>
    <row r="44" spans="2:63" ht="11.95" thickBot="1" x14ac:dyDescent="0.3">
      <c r="E44" s="3"/>
      <c r="F44" s="3"/>
      <c r="G44" s="3"/>
      <c r="H44" s="253" t="s">
        <v>99</v>
      </c>
      <c r="I44" s="18"/>
      <c r="J44" s="18"/>
      <c r="K44" s="18"/>
      <c r="L44" s="78"/>
      <c r="M44" s="79">
        <v>275240.21000000002</v>
      </c>
      <c r="N44" s="80">
        <f t="shared" ref="N44:N62" si="61">IFERROR(M44/SUMIFS(M:M, $H:$H, "Net Sales"),0)</f>
        <v>0.52007325537228799</v>
      </c>
      <c r="O44" s="79">
        <v>319089.404966973</v>
      </c>
      <c r="P44" s="80">
        <f t="shared" ref="P44:P62" si="62">IFERROR(O44/SUMIFS(O:O, $H:$H, "Net Sales"),0)</f>
        <v>0.60024426560288191</v>
      </c>
      <c r="Q44" s="79">
        <v>319089.404966973</v>
      </c>
      <c r="R44" s="80">
        <f t="shared" ref="R44:R62" si="63">IFERROR(Q44/SUMIFS(Q:Q, $H:$H, "Net Sales"),0)</f>
        <v>0.60024426560288191</v>
      </c>
      <c r="S44" s="79">
        <v>138633.01999999999</v>
      </c>
      <c r="T44" s="81">
        <f t="shared" ref="T44:T62" si="64">IFERROR(S44/SUMIFS(S:S, $H:$H, "Net Sales"),0)</f>
        <v>0.75993383682033022</v>
      </c>
      <c r="U44" s="80">
        <f>IFERROR(($O44-M44)/ABS(M44),0)</f>
        <v>0.1593124600761385</v>
      </c>
      <c r="V44" s="70">
        <f>IFERROR((O44-$M44), 0-$M44)</f>
        <v>43849.19496697298</v>
      </c>
      <c r="W44" s="80">
        <f>IFERROR((Q44-$M44)/ABS($M44),0)</f>
        <v>0.1593124600761385</v>
      </c>
      <c r="X44" s="70">
        <f>IFERROR((Q44-$M44), 0 -$M44)</f>
        <v>43849.19496697298</v>
      </c>
      <c r="Y44" s="80">
        <f>IFERROR((S44-$M44)/ABS($M44),0)</f>
        <v>-0.49631988727228488</v>
      </c>
      <c r="Z44" s="70">
        <f>IFERROR((S44-$M44),0-$M44)</f>
        <v>-136607.19000000003</v>
      </c>
      <c r="AA44" s="82"/>
      <c r="AC44" s="138">
        <v>275240.21000000002</v>
      </c>
      <c r="AD44" s="138">
        <v>138633.01999999999</v>
      </c>
      <c r="AE44" s="138">
        <v>319089.404966973</v>
      </c>
      <c r="AF44" s="172">
        <f>IFERROR((AD44-$AC44)/ABS($AC44),0)</f>
        <v>-0.49631988727228488</v>
      </c>
      <c r="AG44" s="139">
        <f>(AD44-$AC44)</f>
        <v>-136607.19000000003</v>
      </c>
      <c r="AH44" s="172">
        <f>IFERROR((AE44-$AC44)/ABS($AC44),0)</f>
        <v>0.1593124600761385</v>
      </c>
      <c r="AI44" s="139">
        <f>(AE44-$AC44)</f>
        <v>43849.19496697298</v>
      </c>
      <c r="AK44" s="79">
        <v>275240.21000000002</v>
      </c>
      <c r="AL44" s="80">
        <f t="shared" ref="AL44:AL62" si="65">IFERROR(AK44/SUMIFS(AK:AK, $H:$H, "Net Sales"),0)</f>
        <v>0.52007325537228799</v>
      </c>
      <c r="AM44" s="79">
        <v>319089.404966973</v>
      </c>
      <c r="AN44" s="80">
        <f t="shared" ref="AN44:AN62" si="66">IFERROR(AM44/SUMIFS(AM:AM, $H:$H, "Net Sales"),0)</f>
        <v>0.60024426560288191</v>
      </c>
      <c r="AO44" s="79">
        <v>319089.404966973</v>
      </c>
      <c r="AP44" s="80">
        <f t="shared" ref="AP44:AP62" si="67">IFERROR(AO44/SUMIFS(AO:AO, $H:$H, "Net Sales"),0)</f>
        <v>0.60024426560288191</v>
      </c>
      <c r="AQ44" s="79">
        <v>138633.01999999999</v>
      </c>
      <c r="AR44" s="81">
        <f t="shared" ref="AR44:AR62" si="68">IFERROR(AQ44/SUMIFS(AQ:AQ, $H:$H, "Net Sales"),0)</f>
        <v>0.75993383682033022</v>
      </c>
      <c r="AS44" s="80">
        <f>IFERROR((AM44-$AK44)/ABS($AK44),0)</f>
        <v>0.1593124600761385</v>
      </c>
      <c r="AT44" s="70">
        <f>(AM44-$AK44)</f>
        <v>43849.19496697298</v>
      </c>
      <c r="AU44" s="80">
        <f>IFERROR((AO44-$AK44)/ABS($AO44),0)</f>
        <v>0.13741977729254765</v>
      </c>
      <c r="AV44" s="70">
        <f>(AO44-$AK44)</f>
        <v>43849.19496697298</v>
      </c>
      <c r="AW44" s="80">
        <f>IFERROR((AQ44-$AK44)/ABS($AK44),0)</f>
        <v>-0.49631988727228488</v>
      </c>
      <c r="AX44" s="70">
        <f>(AQ44-$AK44)</f>
        <v>-136607.19000000003</v>
      </c>
      <c r="AY44" s="82"/>
      <c r="BA44" s="79">
        <v>4093041.2645706502</v>
      </c>
      <c r="BB44" s="80">
        <f t="shared" ref="BB44:BB62" si="69">IFERROR(BA44/SUMIFS(BA:BA, $H:$H, "Net Sales"),0)</f>
        <v>0.59226818799210856</v>
      </c>
      <c r="BC44" s="79">
        <v>4093041.2645706502</v>
      </c>
      <c r="BD44" s="80">
        <f t="shared" ref="BD44:BD62" si="70">IFERROR(BC44/SUMIFS(BC:BC, $H:$H, "Net Sales"),0)</f>
        <v>0.59226818799210856</v>
      </c>
      <c r="BE44" s="79">
        <v>3290341.17</v>
      </c>
      <c r="BF44" s="81">
        <f t="shared" ref="BF44:BF62" si="71">IFERROR(BE44/SUMIFS(BE:BE, $H:$H, "Net Sales"),0)</f>
        <v>0.68935421521461493</v>
      </c>
      <c r="BG44" s="80">
        <f>IFERROR((BC44-$BA44)/ABS($BA44),0)</f>
        <v>0</v>
      </c>
      <c r="BH44" s="70">
        <f>(BC44-$BA44)</f>
        <v>0</v>
      </c>
      <c r="BI44" s="80">
        <f>IFERROR((BE44-$BA44)/ABS($BA44),0)</f>
        <v>-0.19611336477812213</v>
      </c>
      <c r="BJ44" s="70">
        <f>(BE44-$BA44)</f>
        <v>-802700.09457065025</v>
      </c>
      <c r="BK44" s="82"/>
    </row>
    <row r="45" spans="2:63" ht="11.95" hidden="1" outlineLevel="1" thickBot="1" x14ac:dyDescent="0.3">
      <c r="B45" t="str">
        <f>IF(LEFT(H45,3)="Mul", "#hiderow", "#showrow")</f>
        <v>#hiderow</v>
      </c>
      <c r="E45" s="3"/>
      <c r="F45" s="3"/>
      <c r="G45" s="3"/>
      <c r="H45" s="254" t="s">
        <v>6</v>
      </c>
      <c r="I45" s="18"/>
      <c r="J45" s="18"/>
      <c r="K45" s="18"/>
      <c r="L45" s="78"/>
      <c r="M45" s="79"/>
      <c r="N45" s="80">
        <f t="shared" si="61"/>
        <v>0</v>
      </c>
      <c r="O45" s="79"/>
      <c r="P45" s="80">
        <f t="shared" si="62"/>
        <v>0</v>
      </c>
      <c r="Q45" s="79"/>
      <c r="R45" s="80">
        <f t="shared" si="63"/>
        <v>0</v>
      </c>
      <c r="S45" s="79"/>
      <c r="T45" s="81">
        <f t="shared" si="64"/>
        <v>0</v>
      </c>
      <c r="U45" s="80">
        <f t="shared" ref="U45:U60" si="72">IFERROR(($O45-M45)/ABS(M45),0)</f>
        <v>0</v>
      </c>
      <c r="V45" s="70">
        <f t="shared" ref="V45:V60" si="73">IFERROR((O45-$M45), 0-$M45)</f>
        <v>0</v>
      </c>
      <c r="W45" s="80">
        <f t="shared" ref="W45:W60" si="74">IFERROR((Q45-$M45)/ABS($M45),0)</f>
        <v>0</v>
      </c>
      <c r="X45" s="70">
        <f t="shared" ref="X45:X60" si="75">IFERROR((Q45-$M45), 0 -$M45)</f>
        <v>0</v>
      </c>
      <c r="Y45" s="80">
        <f t="shared" ref="Y45:Y60" si="76">IFERROR((S45-$M45)/ABS($M45),0)</f>
        <v>0</v>
      </c>
      <c r="Z45" s="70">
        <f t="shared" ref="Z45:Z60" si="77">IFERROR((S45-$M45),0-$M45)</f>
        <v>0</v>
      </c>
      <c r="AA45" s="82"/>
      <c r="AC45" s="138"/>
      <c r="AD45" s="138"/>
      <c r="AE45" s="138"/>
      <c r="AF45" s="233"/>
      <c r="AG45" s="139"/>
      <c r="AH45" s="233"/>
      <c r="AI45" s="139"/>
      <c r="AK45" s="79"/>
      <c r="AL45" s="80">
        <f t="shared" si="65"/>
        <v>0</v>
      </c>
      <c r="AM45" s="79"/>
      <c r="AN45" s="80">
        <f t="shared" si="66"/>
        <v>0</v>
      </c>
      <c r="AO45" s="79"/>
      <c r="AP45" s="80">
        <f t="shared" si="67"/>
        <v>0</v>
      </c>
      <c r="AQ45" s="79"/>
      <c r="AR45" s="81">
        <f t="shared" si="68"/>
        <v>0</v>
      </c>
      <c r="AS45" s="80">
        <f t="shared" ref="AS45:AS60" si="78">IFERROR((AM45-$AK45)/ABS($AK45),0)</f>
        <v>0</v>
      </c>
      <c r="AT45" s="70">
        <f t="shared" ref="AT45:AT60" si="79">(AM45-$AK45)</f>
        <v>0</v>
      </c>
      <c r="AU45" s="80">
        <f t="shared" ref="AU45:AU60" si="80">IFERROR((AO45-$AK45)/ABS($AO45),0)</f>
        <v>0</v>
      </c>
      <c r="AV45" s="70">
        <f t="shared" ref="AV45:AV60" si="81">(AO45-$AK45)</f>
        <v>0</v>
      </c>
      <c r="AW45" s="80">
        <f t="shared" ref="AW45:AW60" si="82">IFERROR((AQ45-$AK45)/ABS($AK45),0)</f>
        <v>0</v>
      </c>
      <c r="AX45" s="70">
        <f t="shared" ref="AX45:AX60" si="83">(AQ45-$AK45)</f>
        <v>0</v>
      </c>
      <c r="AY45" s="82"/>
      <c r="BA45" s="79"/>
      <c r="BB45" s="80">
        <f t="shared" si="69"/>
        <v>0</v>
      </c>
      <c r="BC45" s="79"/>
      <c r="BD45" s="80">
        <f t="shared" si="70"/>
        <v>0</v>
      </c>
      <c r="BE45" s="79"/>
      <c r="BF45" s="81">
        <f t="shared" si="71"/>
        <v>0</v>
      </c>
      <c r="BG45" s="80">
        <f t="shared" ref="BG45:BG60" si="84">IFERROR((BC45-$BA45)/ABS($BA45),0)</f>
        <v>0</v>
      </c>
      <c r="BH45" s="70">
        <f t="shared" ref="BH45:BH60" si="85">(BC45-$BA45)</f>
        <v>0</v>
      </c>
      <c r="BI45" s="80">
        <f t="shared" ref="BI45:BI60" si="86">IFERROR((BE45-$BA45)/ABS($BA45),0)</f>
        <v>0</v>
      </c>
      <c r="BJ45" s="70">
        <f t="shared" ref="BJ45:BJ60" si="87">(BE45-$BA45)</f>
        <v>0</v>
      </c>
      <c r="BK45" s="82"/>
    </row>
    <row r="46" spans="2:63" ht="11.95" outlineLevel="1" thickBot="1" x14ac:dyDescent="0.3">
      <c r="B46" t="str">
        <f t="shared" ref="B46:B53" si="88">IF(LEFT(H46,3)="Mul", "#hiderow", "#showrow")</f>
        <v>#showrow</v>
      </c>
      <c r="E46" s="3"/>
      <c r="F46" s="3"/>
      <c r="G46" s="3"/>
      <c r="H46" s="254" t="s">
        <v>149</v>
      </c>
      <c r="I46" s="18"/>
      <c r="J46" s="18"/>
      <c r="K46" s="18"/>
      <c r="L46" s="78"/>
      <c r="M46" s="79">
        <v>3219.01</v>
      </c>
      <c r="N46" s="80">
        <f t="shared" si="61"/>
        <v>6.0823998418543159E-3</v>
      </c>
      <c r="O46" s="79">
        <v>13358.069632537799</v>
      </c>
      <c r="P46" s="80">
        <f t="shared" si="62"/>
        <v>2.5128081884400751E-2</v>
      </c>
      <c r="Q46" s="79">
        <v>13358.069632537799</v>
      </c>
      <c r="R46" s="80">
        <f t="shared" si="63"/>
        <v>2.5128081884400751E-2</v>
      </c>
      <c r="S46" s="79"/>
      <c r="T46" s="81">
        <f t="shared" si="64"/>
        <v>0</v>
      </c>
      <c r="U46" s="80">
        <f t="shared" ref="U46:U53" si="89">IFERROR(($O46-M46)/ABS(M46),0)</f>
        <v>3.1497446831596667</v>
      </c>
      <c r="V46" s="70">
        <f t="shared" ref="V46:V53" si="90">IFERROR((O46-$M46), 0-$M46)</f>
        <v>10139.059632537799</v>
      </c>
      <c r="W46" s="80">
        <f t="shared" ref="W46:W53" si="91">IFERROR((Q46-$M46)/ABS($M46),0)</f>
        <v>3.1497446831596667</v>
      </c>
      <c r="X46" s="70">
        <f t="shared" ref="X46:X53" si="92">IFERROR((Q46-$M46), 0 -$M46)</f>
        <v>10139.059632537799</v>
      </c>
      <c r="Y46" s="80">
        <f t="shared" ref="Y46:Y53" si="93">IFERROR((S46-$M46)/ABS($M46),0)</f>
        <v>-1</v>
      </c>
      <c r="Z46" s="70">
        <f t="shared" ref="Z46:Z53" si="94">IFERROR((S46-$M46),0-$M46)</f>
        <v>-3219.01</v>
      </c>
      <c r="AA46" s="82"/>
      <c r="AC46" s="138">
        <v>3219.01</v>
      </c>
      <c r="AD46" s="138">
        <v>0</v>
      </c>
      <c r="AE46" s="138">
        <v>13358.069632537799</v>
      </c>
      <c r="AF46" s="233"/>
      <c r="AG46" s="139"/>
      <c r="AH46" s="233"/>
      <c r="AI46" s="139"/>
      <c r="AK46" s="79">
        <v>3219.01</v>
      </c>
      <c r="AL46" s="80">
        <f t="shared" si="65"/>
        <v>6.0823998418543159E-3</v>
      </c>
      <c r="AM46" s="79">
        <v>13358.069632537799</v>
      </c>
      <c r="AN46" s="80">
        <f t="shared" si="66"/>
        <v>2.5128081884400751E-2</v>
      </c>
      <c r="AO46" s="79">
        <v>13358.069632537799</v>
      </c>
      <c r="AP46" s="80">
        <f t="shared" si="67"/>
        <v>2.5128081884400751E-2</v>
      </c>
      <c r="AQ46" s="79">
        <v>0</v>
      </c>
      <c r="AR46" s="81">
        <f t="shared" si="68"/>
        <v>0</v>
      </c>
      <c r="AS46" s="80">
        <f t="shared" ref="AS46:AS53" si="95">IFERROR((AM46-$AK46)/ABS($AK46),0)</f>
        <v>3.1497446831596667</v>
      </c>
      <c r="AT46" s="70">
        <f t="shared" ref="AT46:AT53" si="96">(AM46-$AK46)</f>
        <v>10139.059632537799</v>
      </c>
      <c r="AU46" s="80">
        <f t="shared" ref="AU46:AU53" si="97">IFERROR((AO46-$AK46)/ABS($AO46),0)</f>
        <v>0.75902131905652859</v>
      </c>
      <c r="AV46" s="70">
        <f t="shared" ref="AV46:AV53" si="98">(AO46-$AK46)</f>
        <v>10139.059632537799</v>
      </c>
      <c r="AW46" s="80">
        <f t="shared" ref="AW46:AW53" si="99">IFERROR((AQ46-$AK46)/ABS($AK46),0)</f>
        <v>-1</v>
      </c>
      <c r="AX46" s="70">
        <f t="shared" ref="AX46:AX53" si="100">(AQ46-$AK46)</f>
        <v>-3219.01</v>
      </c>
      <c r="AY46" s="82"/>
      <c r="BA46" s="79">
        <v>173654.90522299099</v>
      </c>
      <c r="BB46" s="80">
        <f t="shared" si="69"/>
        <v>2.5128081884400681E-2</v>
      </c>
      <c r="BC46" s="79">
        <v>173654.90522299099</v>
      </c>
      <c r="BD46" s="80">
        <f t="shared" si="70"/>
        <v>2.5128081884400681E-2</v>
      </c>
      <c r="BE46" s="79">
        <v>285438.69</v>
      </c>
      <c r="BF46" s="81">
        <f t="shared" si="71"/>
        <v>5.9801812022076045E-2</v>
      </c>
      <c r="BG46" s="80">
        <f t="shared" ref="BG46:BG53" si="101">IFERROR((BC46-$BA46)/ABS($BA46),0)</f>
        <v>0</v>
      </c>
      <c r="BH46" s="70">
        <f t="shared" ref="BH46:BH53" si="102">(BC46-$BA46)</f>
        <v>0</v>
      </c>
      <c r="BI46" s="80">
        <f t="shared" ref="BI46:BI53" si="103">IFERROR((BE46-$BA46)/ABS($BA46),0)</f>
        <v>0.64371222127855809</v>
      </c>
      <c r="BJ46" s="70">
        <f t="shared" ref="BJ46:BJ53" si="104">(BE46-$BA46)</f>
        <v>111783.78477700902</v>
      </c>
      <c r="BK46" s="82"/>
    </row>
    <row r="47" spans="2:63" ht="11.95" outlineLevel="1" thickBot="1" x14ac:dyDescent="0.3">
      <c r="B47" t="str">
        <f t="shared" si="88"/>
        <v>#showrow</v>
      </c>
      <c r="E47" s="3"/>
      <c r="F47" s="3"/>
      <c r="G47" s="3"/>
      <c r="H47" s="254" t="s">
        <v>135</v>
      </c>
      <c r="I47" s="18"/>
      <c r="J47" s="18"/>
      <c r="K47" s="18"/>
      <c r="L47" s="78"/>
      <c r="M47" s="79">
        <v>42386.22</v>
      </c>
      <c r="N47" s="80">
        <f t="shared" si="61"/>
        <v>8.0089821971600667E-2</v>
      </c>
      <c r="O47" s="79">
        <v>176353.22159817201</v>
      </c>
      <c r="P47" s="80">
        <f t="shared" si="62"/>
        <v>0.33174091128426358</v>
      </c>
      <c r="Q47" s="79">
        <v>176353.22159817201</v>
      </c>
      <c r="R47" s="80">
        <f t="shared" si="63"/>
        <v>0.33174091128426358</v>
      </c>
      <c r="S47" s="79">
        <v>138633.01999999999</v>
      </c>
      <c r="T47" s="81">
        <f t="shared" si="64"/>
        <v>0.75993383682033022</v>
      </c>
      <c r="U47" s="80">
        <f t="shared" si="89"/>
        <v>3.1606262978433084</v>
      </c>
      <c r="V47" s="70">
        <f t="shared" si="90"/>
        <v>133967.00159817201</v>
      </c>
      <c r="W47" s="80">
        <f t="shared" si="91"/>
        <v>3.1606262978433084</v>
      </c>
      <c r="X47" s="70">
        <f t="shared" si="92"/>
        <v>133967.00159817201</v>
      </c>
      <c r="Y47" s="80">
        <f t="shared" si="93"/>
        <v>2.2707096787588039</v>
      </c>
      <c r="Z47" s="70">
        <f t="shared" si="94"/>
        <v>96246.799999999988</v>
      </c>
      <c r="AA47" s="82"/>
      <c r="AC47" s="138">
        <v>42386.22</v>
      </c>
      <c r="AD47" s="138">
        <v>138633.01999999999</v>
      </c>
      <c r="AE47" s="138">
        <v>176353.22159817201</v>
      </c>
      <c r="AF47" s="233"/>
      <c r="AG47" s="139"/>
      <c r="AH47" s="233"/>
      <c r="AI47" s="139"/>
      <c r="AK47" s="79">
        <v>42386.22</v>
      </c>
      <c r="AL47" s="80">
        <f t="shared" si="65"/>
        <v>8.0089821971600667E-2</v>
      </c>
      <c r="AM47" s="79">
        <v>176353.22159817201</v>
      </c>
      <c r="AN47" s="80">
        <f t="shared" si="66"/>
        <v>0.33174091128426358</v>
      </c>
      <c r="AO47" s="79">
        <v>176353.22159817201</v>
      </c>
      <c r="AP47" s="80">
        <f t="shared" si="67"/>
        <v>0.33174091128426358</v>
      </c>
      <c r="AQ47" s="79">
        <v>138633.01999999999</v>
      </c>
      <c r="AR47" s="81">
        <f t="shared" si="68"/>
        <v>0.75993383682033022</v>
      </c>
      <c r="AS47" s="80">
        <f t="shared" si="95"/>
        <v>3.1606262978433084</v>
      </c>
      <c r="AT47" s="70">
        <f t="shared" si="96"/>
        <v>133967.00159817201</v>
      </c>
      <c r="AU47" s="80">
        <f t="shared" si="97"/>
        <v>0.75965156964028291</v>
      </c>
      <c r="AV47" s="70">
        <f t="shared" si="98"/>
        <v>133967.00159817201</v>
      </c>
      <c r="AW47" s="80">
        <f t="shared" si="99"/>
        <v>2.2707096787588039</v>
      </c>
      <c r="AX47" s="70">
        <f t="shared" si="100"/>
        <v>96246.799999999988</v>
      </c>
      <c r="AY47" s="82"/>
      <c r="BA47" s="79">
        <v>2292591.8807762298</v>
      </c>
      <c r="BB47" s="80">
        <f t="shared" si="69"/>
        <v>0.33174091128426253</v>
      </c>
      <c r="BC47" s="79">
        <v>2292591.8807762298</v>
      </c>
      <c r="BD47" s="80">
        <f t="shared" si="70"/>
        <v>0.33174091128426253</v>
      </c>
      <c r="BE47" s="79">
        <v>1767289.11</v>
      </c>
      <c r="BF47" s="81">
        <f t="shared" si="71"/>
        <v>0.37026196814763296</v>
      </c>
      <c r="BG47" s="80">
        <f t="shared" si="101"/>
        <v>0</v>
      </c>
      <c r="BH47" s="70">
        <f t="shared" si="102"/>
        <v>0</v>
      </c>
      <c r="BI47" s="80">
        <f t="shared" si="103"/>
        <v>-0.2291305204301656</v>
      </c>
      <c r="BJ47" s="70">
        <f t="shared" si="104"/>
        <v>-525302.77077622968</v>
      </c>
      <c r="BK47" s="82"/>
    </row>
    <row r="48" spans="2:63" ht="11.95" outlineLevel="1" thickBot="1" x14ac:dyDescent="0.3">
      <c r="B48" t="str">
        <f t="shared" si="88"/>
        <v>#showrow</v>
      </c>
      <c r="E48" s="3"/>
      <c r="F48" s="3"/>
      <c r="G48" s="3"/>
      <c r="H48" s="254" t="s">
        <v>150</v>
      </c>
      <c r="I48" s="18"/>
      <c r="J48" s="18"/>
      <c r="K48" s="18"/>
      <c r="L48" s="78"/>
      <c r="M48" s="79">
        <v>2368.0100000000002</v>
      </c>
      <c r="N48" s="80">
        <f t="shared" si="61"/>
        <v>4.4744140743611981E-3</v>
      </c>
      <c r="O48" s="79">
        <v>5228.6381562497199</v>
      </c>
      <c r="P48" s="80">
        <f t="shared" si="62"/>
        <v>9.8356762128349647E-3</v>
      </c>
      <c r="Q48" s="79">
        <v>5228.6381562497199</v>
      </c>
      <c r="R48" s="80">
        <f t="shared" si="63"/>
        <v>9.8356762128349647E-3</v>
      </c>
      <c r="S48" s="79"/>
      <c r="T48" s="81">
        <f t="shared" si="64"/>
        <v>0</v>
      </c>
      <c r="U48" s="80">
        <f t="shared" si="89"/>
        <v>1.2080304374769193</v>
      </c>
      <c r="V48" s="70">
        <f t="shared" si="90"/>
        <v>2860.6281562497197</v>
      </c>
      <c r="W48" s="80">
        <f t="shared" si="91"/>
        <v>1.2080304374769193</v>
      </c>
      <c r="X48" s="70">
        <f t="shared" si="92"/>
        <v>2860.6281562497197</v>
      </c>
      <c r="Y48" s="80">
        <f t="shared" si="93"/>
        <v>-1</v>
      </c>
      <c r="Z48" s="70">
        <f t="shared" si="94"/>
        <v>-2368.0100000000002</v>
      </c>
      <c r="AA48" s="82"/>
      <c r="AC48" s="138">
        <v>2368.0100000000002</v>
      </c>
      <c r="AD48" s="138">
        <v>0</v>
      </c>
      <c r="AE48" s="138">
        <v>5228.6381562497199</v>
      </c>
      <c r="AF48" s="233"/>
      <c r="AG48" s="139"/>
      <c r="AH48" s="233"/>
      <c r="AI48" s="139"/>
      <c r="AK48" s="79">
        <v>2368.0100000000002</v>
      </c>
      <c r="AL48" s="80">
        <f t="shared" si="65"/>
        <v>4.4744140743611981E-3</v>
      </c>
      <c r="AM48" s="79">
        <v>5228.6381562497199</v>
      </c>
      <c r="AN48" s="80">
        <f t="shared" si="66"/>
        <v>9.8356762128349647E-3</v>
      </c>
      <c r="AO48" s="79">
        <v>5228.6381562497199</v>
      </c>
      <c r="AP48" s="80">
        <f t="shared" si="67"/>
        <v>9.8356762128349647E-3</v>
      </c>
      <c r="AQ48" s="79">
        <v>0</v>
      </c>
      <c r="AR48" s="81">
        <f t="shared" si="68"/>
        <v>0</v>
      </c>
      <c r="AS48" s="80">
        <f t="shared" si="95"/>
        <v>1.2080304374769193</v>
      </c>
      <c r="AT48" s="70">
        <f t="shared" si="96"/>
        <v>2860.6281562497197</v>
      </c>
      <c r="AU48" s="80">
        <f t="shared" si="97"/>
        <v>0.54710769243621304</v>
      </c>
      <c r="AV48" s="70">
        <f t="shared" si="98"/>
        <v>2860.6281562497197</v>
      </c>
      <c r="AW48" s="80">
        <f t="shared" si="99"/>
        <v>-1</v>
      </c>
      <c r="AX48" s="70">
        <f t="shared" si="100"/>
        <v>-2368.0100000000002</v>
      </c>
      <c r="AY48" s="82"/>
      <c r="BA48" s="79">
        <v>67972.296031246398</v>
      </c>
      <c r="BB48" s="80">
        <f t="shared" si="69"/>
        <v>9.8356762128349665E-3</v>
      </c>
      <c r="BC48" s="79">
        <v>67972.296031246398</v>
      </c>
      <c r="BD48" s="80">
        <f t="shared" si="70"/>
        <v>9.8356762128349665E-3</v>
      </c>
      <c r="BE48" s="79">
        <v>38340.42</v>
      </c>
      <c r="BF48" s="81">
        <f t="shared" si="71"/>
        <v>8.032641229146072E-3</v>
      </c>
      <c r="BG48" s="80">
        <f t="shared" si="101"/>
        <v>0</v>
      </c>
      <c r="BH48" s="70">
        <f t="shared" si="102"/>
        <v>0</v>
      </c>
      <c r="BI48" s="80">
        <f t="shared" si="103"/>
        <v>-0.43594048989642531</v>
      </c>
      <c r="BJ48" s="70">
        <f t="shared" si="104"/>
        <v>-29631.8760312464</v>
      </c>
      <c r="BK48" s="82"/>
    </row>
    <row r="49" spans="2:63" ht="11.95" outlineLevel="1" thickBot="1" x14ac:dyDescent="0.3">
      <c r="B49" t="str">
        <f t="shared" si="88"/>
        <v>#showrow</v>
      </c>
      <c r="E49" s="3"/>
      <c r="F49" s="3"/>
      <c r="G49" s="3"/>
      <c r="H49" s="254" t="s">
        <v>136</v>
      </c>
      <c r="I49" s="18"/>
      <c r="J49" s="18"/>
      <c r="K49" s="18"/>
      <c r="L49" s="78"/>
      <c r="M49" s="79">
        <v>62458.1</v>
      </c>
      <c r="N49" s="80">
        <f t="shared" si="61"/>
        <v>0.11801614085154163</v>
      </c>
      <c r="O49" s="79">
        <v>69028.475580013997</v>
      </c>
      <c r="P49" s="80">
        <f t="shared" si="62"/>
        <v>0.1298505872813312</v>
      </c>
      <c r="Q49" s="79">
        <v>69028.475580013997</v>
      </c>
      <c r="R49" s="80">
        <f t="shared" si="63"/>
        <v>0.1298505872813312</v>
      </c>
      <c r="S49" s="79"/>
      <c r="T49" s="81">
        <f t="shared" si="64"/>
        <v>0</v>
      </c>
      <c r="U49" s="80">
        <f t="shared" si="89"/>
        <v>0.1051965330359713</v>
      </c>
      <c r="V49" s="70">
        <f t="shared" si="90"/>
        <v>6570.3755800139988</v>
      </c>
      <c r="W49" s="80">
        <f t="shared" si="91"/>
        <v>0.1051965330359713</v>
      </c>
      <c r="X49" s="70">
        <f t="shared" si="92"/>
        <v>6570.3755800139988</v>
      </c>
      <c r="Y49" s="80">
        <f t="shared" si="93"/>
        <v>-1</v>
      </c>
      <c r="Z49" s="70">
        <f t="shared" si="94"/>
        <v>-62458.1</v>
      </c>
      <c r="AA49" s="82"/>
      <c r="AC49" s="138">
        <v>62458.1</v>
      </c>
      <c r="AD49" s="138">
        <v>0</v>
      </c>
      <c r="AE49" s="138">
        <v>69028.475580013997</v>
      </c>
      <c r="AF49" s="233"/>
      <c r="AG49" s="139"/>
      <c r="AH49" s="233"/>
      <c r="AI49" s="139"/>
      <c r="AK49" s="79">
        <v>62458.1</v>
      </c>
      <c r="AL49" s="80">
        <f t="shared" si="65"/>
        <v>0.11801614085154163</v>
      </c>
      <c r="AM49" s="79">
        <v>69028.475580013997</v>
      </c>
      <c r="AN49" s="80">
        <f t="shared" si="66"/>
        <v>0.1298505872813312</v>
      </c>
      <c r="AO49" s="79">
        <v>69028.475580013997</v>
      </c>
      <c r="AP49" s="80">
        <f t="shared" si="67"/>
        <v>0.1298505872813312</v>
      </c>
      <c r="AQ49" s="79">
        <v>0</v>
      </c>
      <c r="AR49" s="81">
        <f t="shared" si="68"/>
        <v>0</v>
      </c>
      <c r="AS49" s="80">
        <f t="shared" si="95"/>
        <v>0.1051965330359713</v>
      </c>
      <c r="AT49" s="70">
        <f t="shared" si="96"/>
        <v>6570.3755800139988</v>
      </c>
      <c r="AU49" s="80">
        <f t="shared" si="97"/>
        <v>9.5183553233737325E-2</v>
      </c>
      <c r="AV49" s="70">
        <f t="shared" si="98"/>
        <v>6570.3755800139988</v>
      </c>
      <c r="AW49" s="80">
        <f t="shared" si="99"/>
        <v>-1</v>
      </c>
      <c r="AX49" s="70">
        <f t="shared" si="100"/>
        <v>-62458.1</v>
      </c>
      <c r="AY49" s="82"/>
      <c r="BA49" s="79">
        <v>897370.18254018202</v>
      </c>
      <c r="BB49" s="80">
        <f t="shared" si="69"/>
        <v>0.12985058728133117</v>
      </c>
      <c r="BC49" s="79">
        <v>897370.18254018202</v>
      </c>
      <c r="BD49" s="80">
        <f t="shared" si="70"/>
        <v>0.12985058728133117</v>
      </c>
      <c r="BE49" s="79">
        <v>475136.54</v>
      </c>
      <c r="BF49" s="81">
        <f t="shared" si="71"/>
        <v>9.9545110895441727E-2</v>
      </c>
      <c r="BG49" s="80">
        <f t="shared" si="101"/>
        <v>0</v>
      </c>
      <c r="BH49" s="70">
        <f t="shared" si="102"/>
        <v>0</v>
      </c>
      <c r="BI49" s="80">
        <f t="shared" si="103"/>
        <v>-0.47052337012688233</v>
      </c>
      <c r="BJ49" s="70">
        <f t="shared" si="104"/>
        <v>-422233.64254018205</v>
      </c>
      <c r="BK49" s="82"/>
    </row>
    <row r="50" spans="2:63" ht="11.95" outlineLevel="1" thickBot="1" x14ac:dyDescent="0.3">
      <c r="B50" t="str">
        <f t="shared" si="88"/>
        <v>#showrow</v>
      </c>
      <c r="E50" s="3"/>
      <c r="F50" s="3"/>
      <c r="G50" s="3"/>
      <c r="H50" s="254" t="s">
        <v>137</v>
      </c>
      <c r="I50" s="18"/>
      <c r="J50" s="18"/>
      <c r="K50" s="18"/>
      <c r="L50" s="78"/>
      <c r="M50" s="79">
        <v>63782.77</v>
      </c>
      <c r="N50" s="80">
        <f t="shared" si="61"/>
        <v>0.12051913792160639</v>
      </c>
      <c r="O50" s="79"/>
      <c r="P50" s="80">
        <f t="shared" si="62"/>
        <v>0</v>
      </c>
      <c r="Q50" s="79"/>
      <c r="R50" s="80">
        <f t="shared" si="63"/>
        <v>0</v>
      </c>
      <c r="S50" s="79"/>
      <c r="T50" s="81">
        <f t="shared" si="64"/>
        <v>0</v>
      </c>
      <c r="U50" s="80">
        <f t="shared" si="89"/>
        <v>-1</v>
      </c>
      <c r="V50" s="70">
        <f t="shared" si="90"/>
        <v>-63782.77</v>
      </c>
      <c r="W50" s="80">
        <f t="shared" si="91"/>
        <v>-1</v>
      </c>
      <c r="X50" s="70">
        <f t="shared" si="92"/>
        <v>-63782.77</v>
      </c>
      <c r="Y50" s="80">
        <f t="shared" si="93"/>
        <v>-1</v>
      </c>
      <c r="Z50" s="70">
        <f t="shared" si="94"/>
        <v>-63782.77</v>
      </c>
      <c r="AA50" s="82"/>
      <c r="AC50" s="138">
        <v>63782.77</v>
      </c>
      <c r="AD50" s="138">
        <v>0</v>
      </c>
      <c r="AE50" s="138">
        <v>0</v>
      </c>
      <c r="AF50" s="233"/>
      <c r="AG50" s="139"/>
      <c r="AH50" s="233"/>
      <c r="AI50" s="139"/>
      <c r="AK50" s="79">
        <v>63782.77</v>
      </c>
      <c r="AL50" s="80">
        <f t="shared" si="65"/>
        <v>0.12051913792160639</v>
      </c>
      <c r="AM50" s="79">
        <v>0</v>
      </c>
      <c r="AN50" s="80">
        <f t="shared" si="66"/>
        <v>0</v>
      </c>
      <c r="AO50" s="79">
        <v>0</v>
      </c>
      <c r="AP50" s="80">
        <f t="shared" si="67"/>
        <v>0</v>
      </c>
      <c r="AQ50" s="79">
        <v>0</v>
      </c>
      <c r="AR50" s="81">
        <f t="shared" si="68"/>
        <v>0</v>
      </c>
      <c r="AS50" s="80">
        <f t="shared" si="95"/>
        <v>-1</v>
      </c>
      <c r="AT50" s="70">
        <f t="shared" si="96"/>
        <v>-63782.77</v>
      </c>
      <c r="AU50" s="80">
        <f t="shared" si="97"/>
        <v>0</v>
      </c>
      <c r="AV50" s="70">
        <f t="shared" si="98"/>
        <v>-63782.77</v>
      </c>
      <c r="AW50" s="80">
        <f t="shared" si="99"/>
        <v>-1</v>
      </c>
      <c r="AX50" s="70">
        <f t="shared" si="100"/>
        <v>-63782.77</v>
      </c>
      <c r="AY50" s="82"/>
      <c r="BA50" s="79">
        <v>0</v>
      </c>
      <c r="BB50" s="80">
        <f t="shared" si="69"/>
        <v>0</v>
      </c>
      <c r="BC50" s="79">
        <v>0</v>
      </c>
      <c r="BD50" s="80">
        <f t="shared" si="70"/>
        <v>0</v>
      </c>
      <c r="BE50" s="79">
        <v>-57233.14</v>
      </c>
      <c r="BF50" s="81">
        <f t="shared" si="71"/>
        <v>-1.1990825349265585E-2</v>
      </c>
      <c r="BG50" s="80">
        <f t="shared" si="101"/>
        <v>0</v>
      </c>
      <c r="BH50" s="70">
        <f t="shared" si="102"/>
        <v>0</v>
      </c>
      <c r="BI50" s="80">
        <f t="shared" si="103"/>
        <v>0</v>
      </c>
      <c r="BJ50" s="70">
        <f t="shared" si="104"/>
        <v>-57233.14</v>
      </c>
      <c r="BK50" s="82"/>
    </row>
    <row r="51" spans="2:63" ht="11.95" outlineLevel="1" thickBot="1" x14ac:dyDescent="0.3">
      <c r="B51" t="str">
        <f t="shared" si="88"/>
        <v>#showrow</v>
      </c>
      <c r="E51" s="3"/>
      <c r="F51" s="3"/>
      <c r="G51" s="3"/>
      <c r="H51" s="254" t="s">
        <v>151</v>
      </c>
      <c r="I51" s="18"/>
      <c r="J51" s="18"/>
      <c r="K51" s="18"/>
      <c r="L51" s="78"/>
      <c r="M51" s="79">
        <v>2418.23</v>
      </c>
      <c r="N51" s="80">
        <f t="shared" si="61"/>
        <v>4.5693060194181949E-3</v>
      </c>
      <c r="O51" s="79"/>
      <c r="P51" s="80">
        <f t="shared" si="62"/>
        <v>0</v>
      </c>
      <c r="Q51" s="79"/>
      <c r="R51" s="80">
        <f t="shared" si="63"/>
        <v>0</v>
      </c>
      <c r="S51" s="79"/>
      <c r="T51" s="81">
        <f t="shared" si="64"/>
        <v>0</v>
      </c>
      <c r="U51" s="80">
        <f t="shared" si="89"/>
        <v>-1</v>
      </c>
      <c r="V51" s="70">
        <f t="shared" si="90"/>
        <v>-2418.23</v>
      </c>
      <c r="W51" s="80">
        <f t="shared" si="91"/>
        <v>-1</v>
      </c>
      <c r="X51" s="70">
        <f t="shared" si="92"/>
        <v>-2418.23</v>
      </c>
      <c r="Y51" s="80">
        <f t="shared" si="93"/>
        <v>-1</v>
      </c>
      <c r="Z51" s="70">
        <f t="shared" si="94"/>
        <v>-2418.23</v>
      </c>
      <c r="AA51" s="82"/>
      <c r="AC51" s="138">
        <v>2418.23</v>
      </c>
      <c r="AD51" s="138">
        <v>0</v>
      </c>
      <c r="AE51" s="138">
        <v>0</v>
      </c>
      <c r="AF51" s="233"/>
      <c r="AG51" s="139"/>
      <c r="AH51" s="233"/>
      <c r="AI51" s="139"/>
      <c r="AK51" s="79">
        <v>2418.23</v>
      </c>
      <c r="AL51" s="80">
        <f t="shared" si="65"/>
        <v>4.5693060194181949E-3</v>
      </c>
      <c r="AM51" s="79">
        <v>0</v>
      </c>
      <c r="AN51" s="80">
        <f t="shared" si="66"/>
        <v>0</v>
      </c>
      <c r="AO51" s="79">
        <v>0</v>
      </c>
      <c r="AP51" s="80">
        <f t="shared" si="67"/>
        <v>0</v>
      </c>
      <c r="AQ51" s="79">
        <v>0</v>
      </c>
      <c r="AR51" s="81">
        <f t="shared" si="68"/>
        <v>0</v>
      </c>
      <c r="AS51" s="80">
        <f t="shared" si="95"/>
        <v>-1</v>
      </c>
      <c r="AT51" s="70">
        <f t="shared" si="96"/>
        <v>-2418.23</v>
      </c>
      <c r="AU51" s="80">
        <f t="shared" si="97"/>
        <v>0</v>
      </c>
      <c r="AV51" s="70">
        <f t="shared" si="98"/>
        <v>-2418.23</v>
      </c>
      <c r="AW51" s="80">
        <f t="shared" si="99"/>
        <v>-1</v>
      </c>
      <c r="AX51" s="70">
        <f t="shared" si="100"/>
        <v>-2418.23</v>
      </c>
      <c r="AY51" s="82"/>
      <c r="BA51" s="79">
        <v>0</v>
      </c>
      <c r="BB51" s="80">
        <f t="shared" si="69"/>
        <v>0</v>
      </c>
      <c r="BC51" s="79">
        <v>0</v>
      </c>
      <c r="BD51" s="80">
        <f t="shared" si="70"/>
        <v>0</v>
      </c>
      <c r="BE51" s="79">
        <v>-4206.8100000000004</v>
      </c>
      <c r="BF51" s="81">
        <f t="shared" si="71"/>
        <v>-8.8136216163474455E-4</v>
      </c>
      <c r="BG51" s="80">
        <f t="shared" si="101"/>
        <v>0</v>
      </c>
      <c r="BH51" s="70">
        <f t="shared" si="102"/>
        <v>0</v>
      </c>
      <c r="BI51" s="80">
        <f t="shared" si="103"/>
        <v>0</v>
      </c>
      <c r="BJ51" s="70">
        <f t="shared" si="104"/>
        <v>-4206.8100000000004</v>
      </c>
      <c r="BK51" s="82"/>
    </row>
    <row r="52" spans="2:63" ht="11.95" outlineLevel="1" thickBot="1" x14ac:dyDescent="0.3">
      <c r="B52" t="str">
        <f t="shared" si="88"/>
        <v>#showrow</v>
      </c>
      <c r="E52" s="3"/>
      <c r="F52" s="3"/>
      <c r="G52" s="3"/>
      <c r="H52" s="254" t="s">
        <v>138</v>
      </c>
      <c r="I52" s="18"/>
      <c r="J52" s="18"/>
      <c r="K52" s="18"/>
      <c r="L52" s="78"/>
      <c r="M52" s="79">
        <v>95005.86</v>
      </c>
      <c r="N52" s="80">
        <f t="shared" si="61"/>
        <v>0.1795159467784298</v>
      </c>
      <c r="O52" s="79">
        <v>51239.785806377302</v>
      </c>
      <c r="P52" s="80">
        <f t="shared" si="62"/>
        <v>9.638799384198081E-2</v>
      </c>
      <c r="Q52" s="79">
        <v>51239.785806377302</v>
      </c>
      <c r="R52" s="80">
        <f t="shared" si="63"/>
        <v>9.638799384198081E-2</v>
      </c>
      <c r="S52" s="79"/>
      <c r="T52" s="81">
        <f t="shared" si="64"/>
        <v>0</v>
      </c>
      <c r="U52" s="80">
        <f t="shared" si="89"/>
        <v>-0.46066710194110866</v>
      </c>
      <c r="V52" s="70">
        <f t="shared" si="90"/>
        <v>-43766.074193622699</v>
      </c>
      <c r="W52" s="80">
        <f t="shared" si="91"/>
        <v>-0.46066710194110866</v>
      </c>
      <c r="X52" s="70">
        <f t="shared" si="92"/>
        <v>-43766.074193622699</v>
      </c>
      <c r="Y52" s="80">
        <f t="shared" si="93"/>
        <v>-1</v>
      </c>
      <c r="Z52" s="70">
        <f t="shared" si="94"/>
        <v>-95005.86</v>
      </c>
      <c r="AA52" s="82"/>
      <c r="AC52" s="138">
        <v>95005.86</v>
      </c>
      <c r="AD52" s="138">
        <v>0</v>
      </c>
      <c r="AE52" s="138">
        <v>51239.785806377302</v>
      </c>
      <c r="AF52" s="233"/>
      <c r="AG52" s="139"/>
      <c r="AH52" s="233"/>
      <c r="AI52" s="139"/>
      <c r="AK52" s="79">
        <v>95005.86</v>
      </c>
      <c r="AL52" s="80">
        <f t="shared" si="65"/>
        <v>0.1795159467784298</v>
      </c>
      <c r="AM52" s="79">
        <v>51239.785806377302</v>
      </c>
      <c r="AN52" s="80">
        <f t="shared" si="66"/>
        <v>9.638799384198081E-2</v>
      </c>
      <c r="AO52" s="79">
        <v>51239.785806377302</v>
      </c>
      <c r="AP52" s="80">
        <f t="shared" si="67"/>
        <v>9.638799384198081E-2</v>
      </c>
      <c r="AQ52" s="79">
        <v>0</v>
      </c>
      <c r="AR52" s="81">
        <f t="shared" si="68"/>
        <v>0</v>
      </c>
      <c r="AS52" s="80">
        <f t="shared" si="95"/>
        <v>-0.46066710194110866</v>
      </c>
      <c r="AT52" s="70">
        <f t="shared" si="96"/>
        <v>-43766.074193622699</v>
      </c>
      <c r="AU52" s="80">
        <f t="shared" si="97"/>
        <v>-0.85414241111397415</v>
      </c>
      <c r="AV52" s="70">
        <f t="shared" si="98"/>
        <v>-43766.074193622699</v>
      </c>
      <c r="AW52" s="80">
        <f t="shared" si="99"/>
        <v>-1</v>
      </c>
      <c r="AX52" s="70">
        <f t="shared" si="100"/>
        <v>-95005.86</v>
      </c>
      <c r="AY52" s="82"/>
      <c r="BA52" s="79">
        <v>614877.42967652704</v>
      </c>
      <c r="BB52" s="80">
        <f t="shared" si="69"/>
        <v>8.8973532777212927E-2</v>
      </c>
      <c r="BC52" s="79">
        <v>614877.42967652704</v>
      </c>
      <c r="BD52" s="80">
        <f t="shared" si="70"/>
        <v>8.8973532777212927E-2</v>
      </c>
      <c r="BE52" s="79">
        <v>726485.74</v>
      </c>
      <c r="BF52" s="81">
        <f t="shared" si="71"/>
        <v>0.15220488736197188</v>
      </c>
      <c r="BG52" s="80">
        <f t="shared" si="101"/>
        <v>0</v>
      </c>
      <c r="BH52" s="70">
        <f t="shared" si="102"/>
        <v>0</v>
      </c>
      <c r="BI52" s="80">
        <f t="shared" si="103"/>
        <v>0.18151310315974278</v>
      </c>
      <c r="BJ52" s="70">
        <f t="shared" si="104"/>
        <v>111608.31032347295</v>
      </c>
      <c r="BK52" s="82"/>
    </row>
    <row r="53" spans="2:63" ht="11.95" outlineLevel="1" thickBot="1" x14ac:dyDescent="0.3">
      <c r="B53" t="str">
        <f t="shared" si="88"/>
        <v>#showrow</v>
      </c>
      <c r="E53" s="3"/>
      <c r="F53" s="3"/>
      <c r="G53" s="3"/>
      <c r="H53" s="254" t="s">
        <v>139</v>
      </c>
      <c r="I53" s="18"/>
      <c r="J53" s="18"/>
      <c r="K53" s="18"/>
      <c r="L53" s="78"/>
      <c r="M53" s="79">
        <v>3602.01</v>
      </c>
      <c r="N53" s="80">
        <f t="shared" si="61"/>
        <v>6.8060879134757783E-3</v>
      </c>
      <c r="O53" s="79">
        <v>3881.2141936226899</v>
      </c>
      <c r="P53" s="80">
        <f t="shared" si="62"/>
        <v>7.3010150980715371E-3</v>
      </c>
      <c r="Q53" s="79">
        <v>3881.2141936226899</v>
      </c>
      <c r="R53" s="80">
        <f t="shared" si="63"/>
        <v>7.3010150980715371E-3</v>
      </c>
      <c r="S53" s="79"/>
      <c r="T53" s="81">
        <f t="shared" si="64"/>
        <v>0</v>
      </c>
      <c r="U53" s="80">
        <f t="shared" si="89"/>
        <v>7.751344211223446E-2</v>
      </c>
      <c r="V53" s="70">
        <f t="shared" si="90"/>
        <v>279.20419362268967</v>
      </c>
      <c r="W53" s="80">
        <f t="shared" si="91"/>
        <v>7.751344211223446E-2</v>
      </c>
      <c r="X53" s="70">
        <f t="shared" si="92"/>
        <v>279.20419362268967</v>
      </c>
      <c r="Y53" s="80">
        <f t="shared" si="93"/>
        <v>-1</v>
      </c>
      <c r="Z53" s="70">
        <f t="shared" si="94"/>
        <v>-3602.01</v>
      </c>
      <c r="AA53" s="82"/>
      <c r="AC53" s="138">
        <v>3602.01</v>
      </c>
      <c r="AD53" s="138">
        <v>0</v>
      </c>
      <c r="AE53" s="138">
        <v>3881.2141936226899</v>
      </c>
      <c r="AF53" s="233"/>
      <c r="AG53" s="139"/>
      <c r="AH53" s="233"/>
      <c r="AI53" s="139"/>
      <c r="AK53" s="79">
        <v>3602.01</v>
      </c>
      <c r="AL53" s="80">
        <f t="shared" si="65"/>
        <v>6.8060879134757783E-3</v>
      </c>
      <c r="AM53" s="79">
        <v>3881.2141936226899</v>
      </c>
      <c r="AN53" s="80">
        <f t="shared" si="66"/>
        <v>7.3010150980715371E-3</v>
      </c>
      <c r="AO53" s="79">
        <v>3881.2141936226899</v>
      </c>
      <c r="AP53" s="80">
        <f t="shared" si="67"/>
        <v>7.3010150980715371E-3</v>
      </c>
      <c r="AQ53" s="79">
        <v>0</v>
      </c>
      <c r="AR53" s="81">
        <f t="shared" si="68"/>
        <v>0</v>
      </c>
      <c r="AS53" s="80">
        <f t="shared" si="95"/>
        <v>7.751344211223446E-2</v>
      </c>
      <c r="AT53" s="70">
        <f t="shared" si="96"/>
        <v>279.20419362268967</v>
      </c>
      <c r="AU53" s="80">
        <f t="shared" si="97"/>
        <v>7.1937331900273974E-2</v>
      </c>
      <c r="AV53" s="70">
        <f t="shared" si="98"/>
        <v>279.20419362268967</v>
      </c>
      <c r="AW53" s="80">
        <f t="shared" si="99"/>
        <v>-1</v>
      </c>
      <c r="AX53" s="70">
        <f t="shared" si="100"/>
        <v>-3602.01</v>
      </c>
      <c r="AY53" s="82"/>
      <c r="BA53" s="79">
        <v>46574.570323472202</v>
      </c>
      <c r="BB53" s="80">
        <f t="shared" si="69"/>
        <v>6.7393985520660202E-3</v>
      </c>
      <c r="BC53" s="79">
        <v>46574.570323472202</v>
      </c>
      <c r="BD53" s="80">
        <f t="shared" si="70"/>
        <v>6.7393985520660202E-3</v>
      </c>
      <c r="BE53" s="79">
        <v>59090.62</v>
      </c>
      <c r="BF53" s="81">
        <f t="shared" si="71"/>
        <v>1.2379983069246593E-2</v>
      </c>
      <c r="BG53" s="80">
        <f t="shared" si="101"/>
        <v>0</v>
      </c>
      <c r="BH53" s="70">
        <f t="shared" si="102"/>
        <v>0</v>
      </c>
      <c r="BI53" s="80">
        <f t="shared" si="103"/>
        <v>0.26873140406021273</v>
      </c>
      <c r="BJ53" s="70">
        <f t="shared" si="104"/>
        <v>12516.0496765278</v>
      </c>
      <c r="BK53" s="82"/>
    </row>
    <row r="54" spans="2:63" ht="11.95" collapsed="1" thickBot="1" x14ac:dyDescent="0.3">
      <c r="E54" s="3"/>
      <c r="F54" s="3"/>
      <c r="G54" s="3"/>
      <c r="H54" s="253" t="s">
        <v>100</v>
      </c>
      <c r="I54" s="18"/>
      <c r="J54" s="18"/>
      <c r="K54" s="18"/>
      <c r="L54" s="78"/>
      <c r="M54" s="79">
        <v>0</v>
      </c>
      <c r="N54" s="80">
        <f t="shared" si="61"/>
        <v>0</v>
      </c>
      <c r="O54" s="79">
        <v>0</v>
      </c>
      <c r="P54" s="80">
        <f t="shared" si="62"/>
        <v>0</v>
      </c>
      <c r="Q54" s="79">
        <v>0</v>
      </c>
      <c r="R54" s="80">
        <f t="shared" si="63"/>
        <v>0</v>
      </c>
      <c r="S54" s="79">
        <v>0</v>
      </c>
      <c r="T54" s="81">
        <f t="shared" si="64"/>
        <v>0</v>
      </c>
      <c r="U54" s="80">
        <f t="shared" si="72"/>
        <v>0</v>
      </c>
      <c r="V54" s="70">
        <f t="shared" si="73"/>
        <v>0</v>
      </c>
      <c r="W54" s="80">
        <f t="shared" si="74"/>
        <v>0</v>
      </c>
      <c r="X54" s="70">
        <f t="shared" si="75"/>
        <v>0</v>
      </c>
      <c r="Y54" s="80">
        <f t="shared" si="76"/>
        <v>0</v>
      </c>
      <c r="Z54" s="70">
        <f t="shared" si="77"/>
        <v>0</v>
      </c>
      <c r="AA54" s="82"/>
      <c r="AC54" s="138">
        <v>0</v>
      </c>
      <c r="AD54" s="138">
        <v>0</v>
      </c>
      <c r="AE54" s="138">
        <v>0</v>
      </c>
      <c r="AF54" s="233"/>
      <c r="AG54" s="139"/>
      <c r="AH54" s="233"/>
      <c r="AI54" s="139"/>
      <c r="AK54" s="79">
        <v>0</v>
      </c>
      <c r="AL54" s="80">
        <f t="shared" si="65"/>
        <v>0</v>
      </c>
      <c r="AM54" s="79">
        <v>0</v>
      </c>
      <c r="AN54" s="80">
        <f t="shared" si="66"/>
        <v>0</v>
      </c>
      <c r="AO54" s="79">
        <v>0</v>
      </c>
      <c r="AP54" s="80">
        <f t="shared" si="67"/>
        <v>0</v>
      </c>
      <c r="AQ54" s="79">
        <v>0</v>
      </c>
      <c r="AR54" s="81">
        <f t="shared" si="68"/>
        <v>0</v>
      </c>
      <c r="AS54" s="80">
        <f t="shared" si="78"/>
        <v>0</v>
      </c>
      <c r="AT54" s="70">
        <f t="shared" si="79"/>
        <v>0</v>
      </c>
      <c r="AU54" s="80">
        <f t="shared" si="80"/>
        <v>0</v>
      </c>
      <c r="AV54" s="70">
        <f t="shared" si="81"/>
        <v>0</v>
      </c>
      <c r="AW54" s="80">
        <f t="shared" si="82"/>
        <v>0</v>
      </c>
      <c r="AX54" s="70">
        <f t="shared" si="83"/>
        <v>0</v>
      </c>
      <c r="AY54" s="82"/>
      <c r="BA54" s="79">
        <v>0</v>
      </c>
      <c r="BB54" s="80">
        <f t="shared" si="69"/>
        <v>0</v>
      </c>
      <c r="BC54" s="79">
        <v>0</v>
      </c>
      <c r="BD54" s="80">
        <f t="shared" si="70"/>
        <v>0</v>
      </c>
      <c r="BE54" s="79">
        <v>0</v>
      </c>
      <c r="BF54" s="81">
        <f t="shared" si="71"/>
        <v>0</v>
      </c>
      <c r="BG54" s="80">
        <f t="shared" si="84"/>
        <v>0</v>
      </c>
      <c r="BH54" s="70">
        <f t="shared" si="85"/>
        <v>0</v>
      </c>
      <c r="BI54" s="80">
        <f t="shared" si="86"/>
        <v>0</v>
      </c>
      <c r="BJ54" s="70">
        <f t="shared" si="87"/>
        <v>0</v>
      </c>
      <c r="BK54" s="82"/>
    </row>
    <row r="55" spans="2:63" ht="11.95" hidden="1" outlineLevel="1" collapsed="1" thickBot="1" x14ac:dyDescent="0.3">
      <c r="E55" s="3"/>
      <c r="F55" s="3"/>
      <c r="G55" s="3"/>
      <c r="H55" s="256" t="s">
        <v>101</v>
      </c>
      <c r="I55" s="18"/>
      <c r="J55" s="18"/>
      <c r="K55" s="18"/>
      <c r="L55" s="78"/>
      <c r="M55" s="79">
        <v>0</v>
      </c>
      <c r="N55" s="80">
        <f t="shared" si="61"/>
        <v>0</v>
      </c>
      <c r="O55" s="79">
        <v>0</v>
      </c>
      <c r="P55" s="80">
        <f t="shared" si="62"/>
        <v>0</v>
      </c>
      <c r="Q55" s="79">
        <v>0</v>
      </c>
      <c r="R55" s="80">
        <f t="shared" si="63"/>
        <v>0</v>
      </c>
      <c r="S55" s="79">
        <v>0</v>
      </c>
      <c r="T55" s="81">
        <f t="shared" si="64"/>
        <v>0</v>
      </c>
      <c r="U55" s="80">
        <f t="shared" si="72"/>
        <v>0</v>
      </c>
      <c r="V55" s="70">
        <f t="shared" si="73"/>
        <v>0</v>
      </c>
      <c r="W55" s="80">
        <f t="shared" si="74"/>
        <v>0</v>
      </c>
      <c r="X55" s="70">
        <f t="shared" si="75"/>
        <v>0</v>
      </c>
      <c r="Y55" s="80">
        <f t="shared" si="76"/>
        <v>0</v>
      </c>
      <c r="Z55" s="70">
        <f t="shared" si="77"/>
        <v>0</v>
      </c>
      <c r="AA55" s="82"/>
      <c r="AC55" s="138">
        <v>0</v>
      </c>
      <c r="AD55" s="138">
        <v>0</v>
      </c>
      <c r="AE55" s="138">
        <v>0</v>
      </c>
      <c r="AF55" s="233"/>
      <c r="AG55" s="139"/>
      <c r="AH55" s="233"/>
      <c r="AI55" s="139"/>
      <c r="AK55" s="79">
        <v>0</v>
      </c>
      <c r="AL55" s="80">
        <f t="shared" si="65"/>
        <v>0</v>
      </c>
      <c r="AM55" s="79">
        <v>0</v>
      </c>
      <c r="AN55" s="80">
        <f t="shared" si="66"/>
        <v>0</v>
      </c>
      <c r="AO55" s="79">
        <v>0</v>
      </c>
      <c r="AP55" s="80">
        <f t="shared" si="67"/>
        <v>0</v>
      </c>
      <c r="AQ55" s="79">
        <v>0</v>
      </c>
      <c r="AR55" s="81">
        <f t="shared" si="68"/>
        <v>0</v>
      </c>
      <c r="AS55" s="80">
        <f t="shared" si="78"/>
        <v>0</v>
      </c>
      <c r="AT55" s="70">
        <f t="shared" si="79"/>
        <v>0</v>
      </c>
      <c r="AU55" s="80">
        <f t="shared" si="80"/>
        <v>0</v>
      </c>
      <c r="AV55" s="70">
        <f t="shared" si="81"/>
        <v>0</v>
      </c>
      <c r="AW55" s="80">
        <f t="shared" si="82"/>
        <v>0</v>
      </c>
      <c r="AX55" s="70">
        <f t="shared" si="83"/>
        <v>0</v>
      </c>
      <c r="AY55" s="82"/>
      <c r="BA55" s="79">
        <v>0</v>
      </c>
      <c r="BB55" s="80">
        <f t="shared" si="69"/>
        <v>0</v>
      </c>
      <c r="BC55" s="79">
        <v>0</v>
      </c>
      <c r="BD55" s="80">
        <f t="shared" si="70"/>
        <v>0</v>
      </c>
      <c r="BE55" s="79">
        <v>0</v>
      </c>
      <c r="BF55" s="81">
        <f t="shared" si="71"/>
        <v>0</v>
      </c>
      <c r="BG55" s="80">
        <f t="shared" si="84"/>
        <v>0</v>
      </c>
      <c r="BH55" s="70">
        <f t="shared" si="85"/>
        <v>0</v>
      </c>
      <c r="BI55" s="80">
        <f t="shared" si="86"/>
        <v>0</v>
      </c>
      <c r="BJ55" s="70">
        <f t="shared" si="87"/>
        <v>0</v>
      </c>
      <c r="BK55" s="82"/>
    </row>
    <row r="56" spans="2:63" ht="11.95" hidden="1" outlineLevel="2" thickBot="1" x14ac:dyDescent="0.3">
      <c r="B56" t="str">
        <f>IF(LEFT(H56,3)="Mul", "#hiderow", "#showrow")</f>
        <v>#hiderow</v>
      </c>
      <c r="E56" s="3"/>
      <c r="F56" s="3"/>
      <c r="G56" s="3"/>
      <c r="H56" s="255" t="s">
        <v>6</v>
      </c>
      <c r="I56" s="18"/>
      <c r="J56" s="18"/>
      <c r="K56" s="18"/>
      <c r="L56" s="78"/>
      <c r="M56" s="79"/>
      <c r="N56" s="80">
        <f t="shared" si="61"/>
        <v>0</v>
      </c>
      <c r="O56" s="79"/>
      <c r="P56" s="80">
        <f t="shared" si="62"/>
        <v>0</v>
      </c>
      <c r="Q56" s="79"/>
      <c r="R56" s="80">
        <f t="shared" si="63"/>
        <v>0</v>
      </c>
      <c r="S56" s="79"/>
      <c r="T56" s="81">
        <f t="shared" si="64"/>
        <v>0</v>
      </c>
      <c r="U56" s="80">
        <f t="shared" si="72"/>
        <v>0</v>
      </c>
      <c r="V56" s="70">
        <f t="shared" si="73"/>
        <v>0</v>
      </c>
      <c r="W56" s="80">
        <f t="shared" si="74"/>
        <v>0</v>
      </c>
      <c r="X56" s="70">
        <f t="shared" si="75"/>
        <v>0</v>
      </c>
      <c r="Y56" s="80">
        <f t="shared" si="76"/>
        <v>0</v>
      </c>
      <c r="Z56" s="70">
        <f t="shared" si="77"/>
        <v>0</v>
      </c>
      <c r="AA56" s="82"/>
      <c r="AC56" s="138"/>
      <c r="AD56" s="138"/>
      <c r="AE56" s="138"/>
      <c r="AF56" s="233"/>
      <c r="AG56" s="139"/>
      <c r="AH56" s="233"/>
      <c r="AI56" s="139"/>
      <c r="AK56" s="79"/>
      <c r="AL56" s="80">
        <f t="shared" si="65"/>
        <v>0</v>
      </c>
      <c r="AM56" s="79"/>
      <c r="AN56" s="80">
        <f t="shared" si="66"/>
        <v>0</v>
      </c>
      <c r="AO56" s="79"/>
      <c r="AP56" s="80">
        <f t="shared" si="67"/>
        <v>0</v>
      </c>
      <c r="AQ56" s="79"/>
      <c r="AR56" s="81">
        <f t="shared" si="68"/>
        <v>0</v>
      </c>
      <c r="AS56" s="80">
        <f t="shared" si="78"/>
        <v>0</v>
      </c>
      <c r="AT56" s="70">
        <f t="shared" si="79"/>
        <v>0</v>
      </c>
      <c r="AU56" s="80">
        <f t="shared" si="80"/>
        <v>0</v>
      </c>
      <c r="AV56" s="70">
        <f t="shared" si="81"/>
        <v>0</v>
      </c>
      <c r="AW56" s="80">
        <f t="shared" si="82"/>
        <v>0</v>
      </c>
      <c r="AX56" s="70">
        <f t="shared" si="83"/>
        <v>0</v>
      </c>
      <c r="AY56" s="82"/>
      <c r="BA56" s="79"/>
      <c r="BB56" s="80">
        <f t="shared" si="69"/>
        <v>0</v>
      </c>
      <c r="BC56" s="79"/>
      <c r="BD56" s="80">
        <f t="shared" si="70"/>
        <v>0</v>
      </c>
      <c r="BE56" s="79"/>
      <c r="BF56" s="81">
        <f t="shared" si="71"/>
        <v>0</v>
      </c>
      <c r="BG56" s="80">
        <f t="shared" si="84"/>
        <v>0</v>
      </c>
      <c r="BH56" s="70">
        <f t="shared" si="85"/>
        <v>0</v>
      </c>
      <c r="BI56" s="80">
        <f t="shared" si="86"/>
        <v>0</v>
      </c>
      <c r="BJ56" s="70">
        <f t="shared" si="87"/>
        <v>0</v>
      </c>
      <c r="BK56" s="82"/>
    </row>
    <row r="57" spans="2:63" ht="11.95" hidden="1" outlineLevel="1" collapsed="1" thickBot="1" x14ac:dyDescent="0.3">
      <c r="E57" s="3"/>
      <c r="F57" s="3"/>
      <c r="G57" s="3"/>
      <c r="H57" s="256" t="s">
        <v>102</v>
      </c>
      <c r="I57" s="18"/>
      <c r="J57" s="18"/>
      <c r="K57" s="18"/>
      <c r="L57" s="78"/>
      <c r="M57" s="79">
        <v>0</v>
      </c>
      <c r="N57" s="80">
        <f t="shared" si="61"/>
        <v>0</v>
      </c>
      <c r="O57" s="79">
        <v>0</v>
      </c>
      <c r="P57" s="80">
        <f t="shared" si="62"/>
        <v>0</v>
      </c>
      <c r="Q57" s="79">
        <v>0</v>
      </c>
      <c r="R57" s="80">
        <f t="shared" si="63"/>
        <v>0</v>
      </c>
      <c r="S57" s="79">
        <v>0</v>
      </c>
      <c r="T57" s="81">
        <f t="shared" si="64"/>
        <v>0</v>
      </c>
      <c r="U57" s="80">
        <f t="shared" si="72"/>
        <v>0</v>
      </c>
      <c r="V57" s="70">
        <f t="shared" si="73"/>
        <v>0</v>
      </c>
      <c r="W57" s="80">
        <f t="shared" si="74"/>
        <v>0</v>
      </c>
      <c r="X57" s="70">
        <f t="shared" si="75"/>
        <v>0</v>
      </c>
      <c r="Y57" s="80">
        <f t="shared" si="76"/>
        <v>0</v>
      </c>
      <c r="Z57" s="70">
        <f t="shared" si="77"/>
        <v>0</v>
      </c>
      <c r="AA57" s="82"/>
      <c r="AC57" s="138">
        <v>0</v>
      </c>
      <c r="AD57" s="138">
        <v>0</v>
      </c>
      <c r="AE57" s="138">
        <v>0</v>
      </c>
      <c r="AF57" s="233"/>
      <c r="AG57" s="139"/>
      <c r="AH57" s="233"/>
      <c r="AI57" s="139"/>
      <c r="AK57" s="79">
        <v>0</v>
      </c>
      <c r="AL57" s="80">
        <f t="shared" si="65"/>
        <v>0</v>
      </c>
      <c r="AM57" s="79">
        <v>0</v>
      </c>
      <c r="AN57" s="80">
        <f t="shared" si="66"/>
        <v>0</v>
      </c>
      <c r="AO57" s="79">
        <v>0</v>
      </c>
      <c r="AP57" s="80">
        <f t="shared" si="67"/>
        <v>0</v>
      </c>
      <c r="AQ57" s="79">
        <v>0</v>
      </c>
      <c r="AR57" s="81">
        <f t="shared" si="68"/>
        <v>0</v>
      </c>
      <c r="AS57" s="80">
        <f t="shared" si="78"/>
        <v>0</v>
      </c>
      <c r="AT57" s="70">
        <f t="shared" si="79"/>
        <v>0</v>
      </c>
      <c r="AU57" s="80">
        <f t="shared" si="80"/>
        <v>0</v>
      </c>
      <c r="AV57" s="70">
        <f t="shared" si="81"/>
        <v>0</v>
      </c>
      <c r="AW57" s="80">
        <f t="shared" si="82"/>
        <v>0</v>
      </c>
      <c r="AX57" s="70">
        <f t="shared" si="83"/>
        <v>0</v>
      </c>
      <c r="AY57" s="82"/>
      <c r="BA57" s="79">
        <v>0</v>
      </c>
      <c r="BB57" s="80">
        <f t="shared" si="69"/>
        <v>0</v>
      </c>
      <c r="BC57" s="79">
        <v>0</v>
      </c>
      <c r="BD57" s="80">
        <f t="shared" si="70"/>
        <v>0</v>
      </c>
      <c r="BE57" s="79">
        <v>0</v>
      </c>
      <c r="BF57" s="81">
        <f t="shared" si="71"/>
        <v>0</v>
      </c>
      <c r="BG57" s="80">
        <f t="shared" si="84"/>
        <v>0</v>
      </c>
      <c r="BH57" s="70">
        <f t="shared" si="85"/>
        <v>0</v>
      </c>
      <c r="BI57" s="80">
        <f t="shared" si="86"/>
        <v>0</v>
      </c>
      <c r="BJ57" s="70">
        <f t="shared" si="87"/>
        <v>0</v>
      </c>
      <c r="BK57" s="82"/>
    </row>
    <row r="58" spans="2:63" ht="11.95" hidden="1" outlineLevel="2" thickBot="1" x14ac:dyDescent="0.3">
      <c r="B58" t="str">
        <f>IF(LEFT(H58,3)="Mul", "#hiderow", "#showrow")</f>
        <v>#hiderow</v>
      </c>
      <c r="E58" s="3"/>
      <c r="F58" s="3"/>
      <c r="G58" s="3"/>
      <c r="H58" s="255" t="s">
        <v>6</v>
      </c>
      <c r="I58" s="18"/>
      <c r="J58" s="18"/>
      <c r="K58" s="18"/>
      <c r="L58" s="78"/>
      <c r="M58" s="79"/>
      <c r="N58" s="80">
        <f t="shared" si="61"/>
        <v>0</v>
      </c>
      <c r="O58" s="79"/>
      <c r="P58" s="80">
        <f t="shared" si="62"/>
        <v>0</v>
      </c>
      <c r="Q58" s="79"/>
      <c r="R58" s="80">
        <f t="shared" si="63"/>
        <v>0</v>
      </c>
      <c r="S58" s="79"/>
      <c r="T58" s="81">
        <f t="shared" si="64"/>
        <v>0</v>
      </c>
      <c r="U58" s="80">
        <f t="shared" si="72"/>
        <v>0</v>
      </c>
      <c r="V58" s="70">
        <f t="shared" si="73"/>
        <v>0</v>
      </c>
      <c r="W58" s="80">
        <f t="shared" si="74"/>
        <v>0</v>
      </c>
      <c r="X58" s="70">
        <f t="shared" si="75"/>
        <v>0</v>
      </c>
      <c r="Y58" s="80">
        <f t="shared" si="76"/>
        <v>0</v>
      </c>
      <c r="Z58" s="70">
        <f t="shared" si="77"/>
        <v>0</v>
      </c>
      <c r="AA58" s="82"/>
      <c r="AC58" s="138"/>
      <c r="AD58" s="138"/>
      <c r="AE58" s="138"/>
      <c r="AF58" s="233"/>
      <c r="AG58" s="139"/>
      <c r="AH58" s="233"/>
      <c r="AI58" s="139"/>
      <c r="AK58" s="79"/>
      <c r="AL58" s="80">
        <f t="shared" si="65"/>
        <v>0</v>
      </c>
      <c r="AM58" s="79"/>
      <c r="AN58" s="80">
        <f t="shared" si="66"/>
        <v>0</v>
      </c>
      <c r="AO58" s="79"/>
      <c r="AP58" s="80">
        <f t="shared" si="67"/>
        <v>0</v>
      </c>
      <c r="AQ58" s="79"/>
      <c r="AR58" s="81">
        <f t="shared" si="68"/>
        <v>0</v>
      </c>
      <c r="AS58" s="80">
        <f t="shared" si="78"/>
        <v>0</v>
      </c>
      <c r="AT58" s="70">
        <f t="shared" si="79"/>
        <v>0</v>
      </c>
      <c r="AU58" s="80">
        <f t="shared" si="80"/>
        <v>0</v>
      </c>
      <c r="AV58" s="70">
        <f t="shared" si="81"/>
        <v>0</v>
      </c>
      <c r="AW58" s="80">
        <f t="shared" si="82"/>
        <v>0</v>
      </c>
      <c r="AX58" s="70">
        <f t="shared" si="83"/>
        <v>0</v>
      </c>
      <c r="AY58" s="82"/>
      <c r="BA58" s="79"/>
      <c r="BB58" s="80">
        <f t="shared" si="69"/>
        <v>0</v>
      </c>
      <c r="BC58" s="79"/>
      <c r="BD58" s="80">
        <f t="shared" si="70"/>
        <v>0</v>
      </c>
      <c r="BE58" s="79"/>
      <c r="BF58" s="81">
        <f t="shared" si="71"/>
        <v>0</v>
      </c>
      <c r="BG58" s="80">
        <f t="shared" si="84"/>
        <v>0</v>
      </c>
      <c r="BH58" s="70">
        <f t="shared" si="85"/>
        <v>0</v>
      </c>
      <c r="BI58" s="80">
        <f t="shared" si="86"/>
        <v>0</v>
      </c>
      <c r="BJ58" s="70">
        <f t="shared" si="87"/>
        <v>0</v>
      </c>
      <c r="BK58" s="82"/>
    </row>
    <row r="59" spans="2:63" ht="11.95" collapsed="1" thickBot="1" x14ac:dyDescent="0.3">
      <c r="E59" s="3"/>
      <c r="F59" s="3"/>
      <c r="G59" s="3"/>
      <c r="H59" s="253" t="s">
        <v>103</v>
      </c>
      <c r="I59" s="18"/>
      <c r="J59" s="18"/>
      <c r="K59" s="18"/>
      <c r="L59" s="78"/>
      <c r="M59" s="79">
        <v>0</v>
      </c>
      <c r="N59" s="80">
        <f t="shared" si="61"/>
        <v>0</v>
      </c>
      <c r="O59" s="79">
        <v>0</v>
      </c>
      <c r="P59" s="80">
        <f t="shared" si="62"/>
        <v>0</v>
      </c>
      <c r="Q59" s="79">
        <v>0</v>
      </c>
      <c r="R59" s="80">
        <f t="shared" si="63"/>
        <v>0</v>
      </c>
      <c r="S59" s="79">
        <v>0</v>
      </c>
      <c r="T59" s="81">
        <f t="shared" si="64"/>
        <v>0</v>
      </c>
      <c r="U59" s="80">
        <f t="shared" si="72"/>
        <v>0</v>
      </c>
      <c r="V59" s="70">
        <f t="shared" si="73"/>
        <v>0</v>
      </c>
      <c r="W59" s="80">
        <f t="shared" si="74"/>
        <v>0</v>
      </c>
      <c r="X59" s="70">
        <f t="shared" si="75"/>
        <v>0</v>
      </c>
      <c r="Y59" s="80">
        <f t="shared" si="76"/>
        <v>0</v>
      </c>
      <c r="Z59" s="70">
        <f t="shared" si="77"/>
        <v>0</v>
      </c>
      <c r="AA59" s="82"/>
      <c r="AC59" s="138">
        <v>0</v>
      </c>
      <c r="AD59" s="138">
        <v>0</v>
      </c>
      <c r="AE59" s="138">
        <v>0</v>
      </c>
      <c r="AF59" s="233"/>
      <c r="AG59" s="139"/>
      <c r="AH59" s="233"/>
      <c r="AI59" s="139"/>
      <c r="AK59" s="79">
        <v>0</v>
      </c>
      <c r="AL59" s="80">
        <f t="shared" si="65"/>
        <v>0</v>
      </c>
      <c r="AM59" s="79">
        <v>0</v>
      </c>
      <c r="AN59" s="80">
        <f t="shared" si="66"/>
        <v>0</v>
      </c>
      <c r="AO59" s="79">
        <v>0</v>
      </c>
      <c r="AP59" s="80">
        <f t="shared" si="67"/>
        <v>0</v>
      </c>
      <c r="AQ59" s="79">
        <v>0</v>
      </c>
      <c r="AR59" s="81">
        <f t="shared" si="68"/>
        <v>0</v>
      </c>
      <c r="AS59" s="80">
        <f t="shared" si="78"/>
        <v>0</v>
      </c>
      <c r="AT59" s="70">
        <f t="shared" si="79"/>
        <v>0</v>
      </c>
      <c r="AU59" s="80">
        <f t="shared" si="80"/>
        <v>0</v>
      </c>
      <c r="AV59" s="70">
        <f t="shared" si="81"/>
        <v>0</v>
      </c>
      <c r="AW59" s="80">
        <f t="shared" si="82"/>
        <v>0</v>
      </c>
      <c r="AX59" s="70">
        <f t="shared" si="83"/>
        <v>0</v>
      </c>
      <c r="AY59" s="82"/>
      <c r="BA59" s="79">
        <v>0</v>
      </c>
      <c r="BB59" s="80">
        <f t="shared" si="69"/>
        <v>0</v>
      </c>
      <c r="BC59" s="79">
        <v>0</v>
      </c>
      <c r="BD59" s="80">
        <f t="shared" si="70"/>
        <v>0</v>
      </c>
      <c r="BE59" s="79">
        <v>0</v>
      </c>
      <c r="BF59" s="81">
        <f t="shared" si="71"/>
        <v>0</v>
      </c>
      <c r="BG59" s="80">
        <f t="shared" si="84"/>
        <v>0</v>
      </c>
      <c r="BH59" s="70">
        <f t="shared" si="85"/>
        <v>0</v>
      </c>
      <c r="BI59" s="80">
        <f t="shared" si="86"/>
        <v>0</v>
      </c>
      <c r="BJ59" s="70">
        <f t="shared" si="87"/>
        <v>0</v>
      </c>
      <c r="BK59" s="82"/>
    </row>
    <row r="60" spans="2:63" ht="11.95" hidden="1" outlineLevel="1" thickBot="1" x14ac:dyDescent="0.3">
      <c r="B60" t="str">
        <f>IF(LEFT(H60,3)="Mul", "#hiderow", "#showrow")</f>
        <v>#hiderow</v>
      </c>
      <c r="E60" s="3"/>
      <c r="F60" s="3"/>
      <c r="G60" s="3"/>
      <c r="H60" s="254" t="s">
        <v>6</v>
      </c>
      <c r="I60" s="18"/>
      <c r="J60" s="18"/>
      <c r="K60" s="18"/>
      <c r="L60" s="78"/>
      <c r="M60" s="79"/>
      <c r="N60" s="80">
        <f t="shared" si="61"/>
        <v>0</v>
      </c>
      <c r="O60" s="79"/>
      <c r="P60" s="80">
        <f t="shared" si="62"/>
        <v>0</v>
      </c>
      <c r="Q60" s="79"/>
      <c r="R60" s="80">
        <f t="shared" si="63"/>
        <v>0</v>
      </c>
      <c r="S60" s="79"/>
      <c r="T60" s="81">
        <f t="shared" si="64"/>
        <v>0</v>
      </c>
      <c r="U60" s="80">
        <f t="shared" si="72"/>
        <v>0</v>
      </c>
      <c r="V60" s="70">
        <f t="shared" si="73"/>
        <v>0</v>
      </c>
      <c r="W60" s="80">
        <f t="shared" si="74"/>
        <v>0</v>
      </c>
      <c r="X60" s="70">
        <f t="shared" si="75"/>
        <v>0</v>
      </c>
      <c r="Y60" s="80">
        <f t="shared" si="76"/>
        <v>0</v>
      </c>
      <c r="Z60" s="70">
        <f t="shared" si="77"/>
        <v>0</v>
      </c>
      <c r="AA60" s="82"/>
      <c r="AC60" s="138"/>
      <c r="AD60" s="138"/>
      <c r="AE60" s="138"/>
      <c r="AF60" s="233"/>
      <c r="AG60" s="139"/>
      <c r="AH60" s="233"/>
      <c r="AI60" s="139"/>
      <c r="AK60" s="79"/>
      <c r="AL60" s="80">
        <f t="shared" si="65"/>
        <v>0</v>
      </c>
      <c r="AM60" s="79"/>
      <c r="AN60" s="80">
        <f t="shared" si="66"/>
        <v>0</v>
      </c>
      <c r="AO60" s="79"/>
      <c r="AP60" s="80">
        <f t="shared" si="67"/>
        <v>0</v>
      </c>
      <c r="AQ60" s="79"/>
      <c r="AR60" s="81">
        <f t="shared" si="68"/>
        <v>0</v>
      </c>
      <c r="AS60" s="80">
        <f t="shared" si="78"/>
        <v>0</v>
      </c>
      <c r="AT60" s="70">
        <f t="shared" si="79"/>
        <v>0</v>
      </c>
      <c r="AU60" s="80">
        <f t="shared" si="80"/>
        <v>0</v>
      </c>
      <c r="AV60" s="70">
        <f t="shared" si="81"/>
        <v>0</v>
      </c>
      <c r="AW60" s="80">
        <f t="shared" si="82"/>
        <v>0</v>
      </c>
      <c r="AX60" s="70">
        <f t="shared" si="83"/>
        <v>0</v>
      </c>
      <c r="AY60" s="82"/>
      <c r="BA60" s="79"/>
      <c r="BB60" s="80">
        <f t="shared" si="69"/>
        <v>0</v>
      </c>
      <c r="BC60" s="79"/>
      <c r="BD60" s="80">
        <f t="shared" si="70"/>
        <v>0</v>
      </c>
      <c r="BE60" s="79"/>
      <c r="BF60" s="81">
        <f t="shared" si="71"/>
        <v>0</v>
      </c>
      <c r="BG60" s="80">
        <f t="shared" si="84"/>
        <v>0</v>
      </c>
      <c r="BH60" s="70">
        <f t="shared" si="85"/>
        <v>0</v>
      </c>
      <c r="BI60" s="80">
        <f t="shared" si="86"/>
        <v>0</v>
      </c>
      <c r="BJ60" s="70">
        <f t="shared" si="87"/>
        <v>0</v>
      </c>
      <c r="BK60" s="82"/>
    </row>
    <row r="61" spans="2:63" ht="11.95" x14ac:dyDescent="0.25">
      <c r="B61" t="str">
        <f>B42</f>
        <v>#showrow</v>
      </c>
      <c r="E61" s="19"/>
      <c r="F61" s="19"/>
      <c r="G61" s="19"/>
      <c r="H61" s="19" t="s">
        <v>80</v>
      </c>
      <c r="I61" s="85"/>
      <c r="J61" s="85"/>
      <c r="K61" s="85"/>
      <c r="L61" s="144">
        <v>-1</v>
      </c>
      <c r="M61" s="85">
        <f>SUMIFS(M43:M60,$I43:$I60,"&lt;&gt;"&amp;$I$29,$E43:$E60,"&lt;&gt;*[-]*",$F43:$F60,"&lt;&gt;*[-]*",$G43:$G60,"&lt;&gt;*[-]*",$H43:$H60,"Cost of Goods Sold")</f>
        <v>275240.21000000002</v>
      </c>
      <c r="N61" s="86">
        <f t="shared" si="61"/>
        <v>0.52007325537228799</v>
      </c>
      <c r="O61" s="85">
        <f>SUMIFS(O43:O60,$I43:$I60,"&lt;&gt;"&amp;$I$29,$E43:$E60,"&lt;&gt;*[-]*",$F43:$F60,"&lt;&gt;*[-]*",$G43:$G60,"&lt;&gt;*[-]*",$H43:$H60,"Cost of Goods Sold")</f>
        <v>319089.404966973</v>
      </c>
      <c r="P61" s="86">
        <f t="shared" si="62"/>
        <v>0.60024426560288191</v>
      </c>
      <c r="Q61" s="85">
        <f>SUMIFS(Q43:Q60,$I43:$I60,"&lt;&gt;"&amp;$I$29,$E43:$E60,"&lt;&gt;*[-]*",$F43:$F60,"&lt;&gt;*[-]*",$G43:$G60,"&lt;&gt;*[-]*",$H43:$H60,"Cost of Goods Sold")</f>
        <v>319089.404966973</v>
      </c>
      <c r="R61" s="86">
        <f t="shared" si="63"/>
        <v>0.60024426560288191</v>
      </c>
      <c r="S61" s="85">
        <f>SUMIFS(S43:S60,$I43:$I60,"&lt;&gt;"&amp;$I$29,$E43:$E60,"&lt;&gt;*[-]*",$F43:$F60,"&lt;&gt;*[-]*",$G43:$G60,"&lt;&gt;*[-]*",$H43:$H60,"Cost of Goods Sold")</f>
        <v>138633.01999999999</v>
      </c>
      <c r="T61" s="86">
        <f t="shared" si="64"/>
        <v>0.75993383682033022</v>
      </c>
      <c r="U61" s="86">
        <f>IFERROR(($O61-M61)/ABS(M61),0)</f>
        <v>0.1593124600761385</v>
      </c>
      <c r="V61" s="87">
        <f>IFERROR((O61-$M61), 0-$M61)</f>
        <v>43849.19496697298</v>
      </c>
      <c r="W61" s="86">
        <f>IFERROR((Q61-$M61)/ABS($M61),0)</f>
        <v>0.1593124600761385</v>
      </c>
      <c r="X61" s="87">
        <f>IFERROR((Q61-$M61), 0 -$M61)</f>
        <v>43849.19496697298</v>
      </c>
      <c r="Y61" s="86">
        <f>IFERROR((S61-$M61)/ABS($M61),0)</f>
        <v>-0.49631988727228488</v>
      </c>
      <c r="Z61" s="87">
        <f>IFERROR((S61-$M61),0-$M61)</f>
        <v>-136607.19000000003</v>
      </c>
      <c r="AA61" s="88"/>
      <c r="AC61" s="142">
        <f>SUMIFS(AC43:AC60,$I43:$I60,"&lt;&gt;"&amp;$I$29,$E43:$E60,"&lt;&gt;*[-]*",$F43:$F60,"&lt;&gt;*[-]*",$G43:$G60,"&lt;&gt;*[-]*",$H43:$H60,"Cost of Goods Sold")</f>
        <v>275240.21000000002</v>
      </c>
      <c r="AD61" s="142">
        <f>SUMIFS(AD43:AD60,$I43:$I60,"&lt;&gt;"&amp;$I$29,$E43:$E60,"&lt;&gt;*[-]*",$F43:$F60,"&lt;&gt;*[-]*",$G43:$G60,"&lt;&gt;*[-]*",$H43:$H60,"Cost of Goods Sold")</f>
        <v>138633.01999999999</v>
      </c>
      <c r="AE61" s="142">
        <f>SUMIFS(AE43:AE60,$I43:$I60,"&lt;&gt;"&amp;$I$29,$E43:$E60,"&lt;&gt;*[-]*",$F43:$F60,"&lt;&gt;*[-]*",$G43:$G60,"&lt;&gt;*[-]*",$H43:$H60,"Cost of Goods Sold")</f>
        <v>319089.404966973</v>
      </c>
      <c r="AF61" s="173">
        <f>IFERROR((AD61-$AC61)/ABS($AC61),0)</f>
        <v>-0.49631988727228488</v>
      </c>
      <c r="AG61" s="143">
        <f>(AD61-$AC61)</f>
        <v>-136607.19000000003</v>
      </c>
      <c r="AH61" s="173">
        <f>IFERROR((AE61-$AC61)/ABS($AC61),0)</f>
        <v>0.1593124600761385</v>
      </c>
      <c r="AI61" s="143">
        <f>(AE61-$AC61)</f>
        <v>43849.19496697298</v>
      </c>
      <c r="AK61" s="85">
        <f>SUMIFS(AK43:AK60,$I43:$I60,"&lt;&gt;"&amp;$I$29,$E43:$E60,"&lt;&gt;*[-]*",$F43:$F60,"&lt;&gt;*[-]*",$G43:$G60,"&lt;&gt;*[-]*",$H43:$H60,"Cost of Goods Sold")</f>
        <v>275240.21000000002</v>
      </c>
      <c r="AL61" s="86">
        <f t="shared" si="65"/>
        <v>0.52007325537228799</v>
      </c>
      <c r="AM61" s="85">
        <f>SUMIFS(AM43:AM60,$I43:$I60,"&lt;&gt;"&amp;$I$29,$E43:$E60,"&lt;&gt;*[-]*",$F43:$F60,"&lt;&gt;*[-]*",$G43:$G60,"&lt;&gt;*[-]*",$H43:$H60,"Cost of Goods Sold")</f>
        <v>319089.404966973</v>
      </c>
      <c r="AN61" s="86">
        <f t="shared" si="66"/>
        <v>0.60024426560288191</v>
      </c>
      <c r="AO61" s="85">
        <f>SUMIFS(AO43:AO60,$I43:$I60,"&lt;&gt;"&amp;$I$29,$E43:$E60,"&lt;&gt;*[-]*",$F43:$F60,"&lt;&gt;*[-]*",$G43:$G60,"&lt;&gt;*[-]*",$H43:$H60,"Cost of Goods Sold")</f>
        <v>319089.404966973</v>
      </c>
      <c r="AP61" s="86">
        <f t="shared" si="67"/>
        <v>0.60024426560288191</v>
      </c>
      <c r="AQ61" s="85">
        <f>SUMIFS(AQ43:AQ60,$I43:$I60,"&lt;&gt;"&amp;$I$29,$E43:$E60,"&lt;&gt;*[-]*",$F43:$F60,"&lt;&gt;*[-]*",$G43:$G60,"&lt;&gt;*[-]*",$H43:$H60,"Cost of Goods Sold")</f>
        <v>138633.01999999999</v>
      </c>
      <c r="AR61" s="86">
        <f t="shared" si="68"/>
        <v>0.75993383682033022</v>
      </c>
      <c r="AS61" s="86">
        <f>IFERROR((AM61-$AK61)/ABS($AK61),0)</f>
        <v>0.1593124600761385</v>
      </c>
      <c r="AT61" s="87">
        <f>(AM61-$AK61)</f>
        <v>43849.19496697298</v>
      </c>
      <c r="AU61" s="86">
        <f>IFERROR((AO61-$AK61)/ABS($AO61),0)</f>
        <v>0.13741977729254765</v>
      </c>
      <c r="AV61" s="87">
        <f>(AO61-$AK61)</f>
        <v>43849.19496697298</v>
      </c>
      <c r="AW61" s="86">
        <f>IFERROR((AQ61-$AK61)/ABS($AK61),0)</f>
        <v>-0.49631988727228488</v>
      </c>
      <c r="AX61" s="87">
        <f>(AQ61-$AK61)</f>
        <v>-136607.19000000003</v>
      </c>
      <c r="AY61" s="88"/>
      <c r="BA61" s="85">
        <f>SUMIFS(BA43:BA60,$I43:$I60,"&lt;&gt;"&amp;$I$29,$E43:$E60,"&lt;&gt;*[-]*",$F43:$F60,"&lt;&gt;*[-]*",$G43:$G60,"&lt;&gt;*[-]*",$H43:$H60,"Cost of Goods Sold")</f>
        <v>4093041.2645706502</v>
      </c>
      <c r="BB61" s="86">
        <f t="shared" si="69"/>
        <v>0.59226818799210856</v>
      </c>
      <c r="BC61" s="85">
        <f>SUMIFS(BC43:BC60,$I43:$I60,"&lt;&gt;"&amp;$I$29,$E43:$E60,"&lt;&gt;*[-]*",$F43:$F60,"&lt;&gt;*[-]*",$G43:$G60,"&lt;&gt;*[-]*",$H43:$H60,"Cost of Goods Sold")</f>
        <v>4093041.2645706502</v>
      </c>
      <c r="BD61" s="86">
        <f t="shared" si="70"/>
        <v>0.59226818799210856</v>
      </c>
      <c r="BE61" s="85">
        <f>SUMIFS(BE43:BE60,$I43:$I60,"&lt;&gt;"&amp;$I$29,$E43:$E60,"&lt;&gt;*[-]*",$F43:$F60,"&lt;&gt;*[-]*",$G43:$G60,"&lt;&gt;*[-]*",$H43:$H60,"Cost of Goods Sold")</f>
        <v>3290341.17</v>
      </c>
      <c r="BF61" s="86">
        <f t="shared" si="71"/>
        <v>0.68935421521461493</v>
      </c>
      <c r="BG61" s="86">
        <f>IFERROR((BC61-$BA61)/ABS($BA61),0)</f>
        <v>0</v>
      </c>
      <c r="BH61" s="87">
        <f>(BC61-$BA61)</f>
        <v>0</v>
      </c>
      <c r="BI61" s="86">
        <f>IFERROR((BE61-$BA61)/ABS($BA61),0)</f>
        <v>-0.19611336477812213</v>
      </c>
      <c r="BJ61" s="87">
        <f>(BE61-$BA61)</f>
        <v>-802700.09457065025</v>
      </c>
      <c r="BK61" s="88"/>
    </row>
    <row r="62" spans="2:63" x14ac:dyDescent="0.25">
      <c r="B62" t="str">
        <f>B42</f>
        <v>#showrow</v>
      </c>
      <c r="C62" s="24"/>
      <c r="D62" s="24"/>
      <c r="E62" s="24"/>
      <c r="F62" s="24"/>
      <c r="G62" s="24"/>
      <c r="H62" s="24" t="s">
        <v>31</v>
      </c>
      <c r="I62" s="24"/>
      <c r="J62" s="24"/>
      <c r="K62" s="24"/>
      <c r="L62" s="24"/>
      <c r="M62" s="26">
        <f>M40-M61</f>
        <v>253993.33000000002</v>
      </c>
      <c r="N62" s="153">
        <f t="shared" si="61"/>
        <v>0.47992674462771201</v>
      </c>
      <c r="O62" s="26">
        <f>O40-O61</f>
        <v>212509.85095674905</v>
      </c>
      <c r="P62" s="153">
        <f t="shared" si="62"/>
        <v>0.39975573439711815</v>
      </c>
      <c r="Q62" s="26">
        <f>Q40-Q61</f>
        <v>212509.85095674905</v>
      </c>
      <c r="R62" s="153">
        <f t="shared" si="63"/>
        <v>0.39975573439711815</v>
      </c>
      <c r="S62" s="26">
        <f>S40-S61</f>
        <v>43794.73000000001</v>
      </c>
      <c r="T62" s="153">
        <f t="shared" si="64"/>
        <v>0.24006616317966981</v>
      </c>
      <c r="U62" s="153"/>
      <c r="V62" s="92">
        <f>($M62-O62)</f>
        <v>41483.479043250962</v>
      </c>
      <c r="W62" s="153"/>
      <c r="X62" s="92">
        <f>($M62-Q62)</f>
        <v>41483.479043250962</v>
      </c>
      <c r="Y62" s="153"/>
      <c r="Z62" s="92">
        <f>($M62-S62)</f>
        <v>210198.6</v>
      </c>
      <c r="AA62" s="88"/>
      <c r="AC62" s="234">
        <f>AC40-AC61</f>
        <v>253993.33000000002</v>
      </c>
      <c r="AD62" s="234">
        <f>AD40-AD61</f>
        <v>43794.73000000001</v>
      </c>
      <c r="AE62" s="234">
        <f>AE40-AE61</f>
        <v>212509.85095674905</v>
      </c>
      <c r="AF62" s="235">
        <f>AF40-AF61</f>
        <v>2.3973781966577814</v>
      </c>
      <c r="AG62" s="236"/>
      <c r="AH62" s="235"/>
      <c r="AI62" s="236"/>
      <c r="AK62" s="26">
        <f>AK40-AK61</f>
        <v>253993.33000000002</v>
      </c>
      <c r="AL62" s="153">
        <f t="shared" si="65"/>
        <v>0.47992674462771201</v>
      </c>
      <c r="AM62" s="26">
        <f>AM40-AM61</f>
        <v>212509.85095674905</v>
      </c>
      <c r="AN62" s="153">
        <f t="shared" si="66"/>
        <v>0.39975573439711815</v>
      </c>
      <c r="AO62" s="26">
        <f>AO40-AO61</f>
        <v>212509.85095674905</v>
      </c>
      <c r="AP62" s="153">
        <f t="shared" si="67"/>
        <v>0.39975573439711815</v>
      </c>
      <c r="AQ62" s="26">
        <f>AQ40-AQ61</f>
        <v>43794.73000000001</v>
      </c>
      <c r="AR62" s="153">
        <f t="shared" si="68"/>
        <v>0.24006616317966981</v>
      </c>
      <c r="AS62" s="153"/>
      <c r="AT62" s="92">
        <f>($AK62-AM62)</f>
        <v>41483.479043250962</v>
      </c>
      <c r="AU62" s="153"/>
      <c r="AV62" s="92">
        <f>($AK62-AO62)</f>
        <v>41483.479043250962</v>
      </c>
      <c r="AW62" s="153"/>
      <c r="AX62" s="92">
        <f>($AK62-AQ62)</f>
        <v>210198.6</v>
      </c>
      <c r="AY62" s="88"/>
      <c r="BA62" s="26">
        <f>BA40-BA61</f>
        <v>2817749.0624377397</v>
      </c>
      <c r="BB62" s="153">
        <f t="shared" si="69"/>
        <v>0.40773181200789149</v>
      </c>
      <c r="BC62" s="26">
        <f>BC40-BC61</f>
        <v>2817749.0624377397</v>
      </c>
      <c r="BD62" s="153">
        <f t="shared" si="70"/>
        <v>0.40773181200789149</v>
      </c>
      <c r="BE62" s="26">
        <f>BE40-BE61</f>
        <v>1482736.4400000004</v>
      </c>
      <c r="BF62" s="153">
        <f t="shared" si="71"/>
        <v>0.31064578478538513</v>
      </c>
      <c r="BG62" s="153"/>
      <c r="BH62" s="92">
        <f>($BA62-BC62)</f>
        <v>0</v>
      </c>
      <c r="BI62" s="153"/>
      <c r="BJ62" s="92">
        <f>($BA62-BE62)</f>
        <v>1335012.6224377393</v>
      </c>
      <c r="BK62" s="88"/>
    </row>
    <row r="63" spans="2:63" x14ac:dyDescent="0.25">
      <c r="B63" t="str">
        <f>B42</f>
        <v>#showrow</v>
      </c>
      <c r="H63" t="s">
        <v>21</v>
      </c>
      <c r="M63" s="96">
        <f>IFERROR((M40-M61)/M40,0)</f>
        <v>0.47992674462771201</v>
      </c>
      <c r="N63" s="105"/>
      <c r="O63" s="96">
        <f>IFERROR((O40-O61)/O40,0)</f>
        <v>0.39975573439711815</v>
      </c>
      <c r="P63" s="105"/>
      <c r="Q63" s="96">
        <f>IFERROR((Q40-Q61)/Q40,0)</f>
        <v>0.39975573439711815</v>
      </c>
      <c r="R63" s="105"/>
      <c r="S63" s="96">
        <f>IFERROR((S40-S61)/S40,0)</f>
        <v>0.24006616317966981</v>
      </c>
      <c r="T63" s="105"/>
      <c r="U63" s="105"/>
      <c r="V63" s="98"/>
      <c r="W63" s="105"/>
      <c r="X63" s="98"/>
      <c r="Y63" s="105"/>
      <c r="Z63" s="98"/>
      <c r="AA63" s="98"/>
      <c r="AB63" s="20"/>
      <c r="AC63" s="170">
        <f>IFERROR((AC40-AC61)/AC40,0)</f>
        <v>0.47992674462771201</v>
      </c>
      <c r="AD63" s="170">
        <f>IFERROR((AD40-AD61)/AD40,0)</f>
        <v>0.24006616317966981</v>
      </c>
      <c r="AE63" s="170">
        <f>IFERROR((AE40-AE61)/AE40,0)</f>
        <v>0.39975573439711815</v>
      </c>
      <c r="AF63" s="169">
        <f>IFERROR((AF40-AF61)/AF40,0)</f>
        <v>1.2610755729174432</v>
      </c>
      <c r="AG63" s="237"/>
      <c r="AH63" s="169"/>
      <c r="AI63" s="237"/>
      <c r="AK63" s="96">
        <f>IFERROR((AK40-AK61)/AK40,0)</f>
        <v>0.47992674462771201</v>
      </c>
      <c r="AL63" s="105"/>
      <c r="AM63" s="96">
        <f>IFERROR((AM40-AM61)/AM40,0)</f>
        <v>0.39975573439711815</v>
      </c>
      <c r="AN63" s="105"/>
      <c r="AO63" s="96">
        <f>IFERROR((AO40-AO61)/AO40,0)</f>
        <v>0.39975573439711815</v>
      </c>
      <c r="AP63" s="105"/>
      <c r="AQ63" s="96">
        <f>IFERROR((AQ40-AQ61)/AQ40,0)</f>
        <v>0.24006616317966981</v>
      </c>
      <c r="AR63" s="105"/>
      <c r="AS63" s="105"/>
      <c r="AT63" s="98"/>
      <c r="AU63" s="105"/>
      <c r="AV63" s="98"/>
      <c r="AW63" s="105"/>
      <c r="AX63" s="98"/>
      <c r="AY63" s="98"/>
      <c r="BA63" s="96">
        <f>IFERROR((BA40-BA61)/BA40,0)</f>
        <v>0.40773181200789149</v>
      </c>
      <c r="BB63" s="105"/>
      <c r="BC63" s="96">
        <f>IFERROR((BC40-BC61)/BC40,0)</f>
        <v>0.40773181200789149</v>
      </c>
      <c r="BD63" s="105"/>
      <c r="BE63" s="96">
        <f>IFERROR((BE40-BE61)/BE40,0)</f>
        <v>0.31064578478538513</v>
      </c>
      <c r="BF63" s="105"/>
      <c r="BG63" s="105"/>
      <c r="BH63" s="98"/>
      <c r="BI63" s="105"/>
      <c r="BJ63" s="98"/>
      <c r="BK63" s="98"/>
    </row>
    <row r="64" spans="2:63" x14ac:dyDescent="0.25">
      <c r="N64" s="145"/>
      <c r="P64" s="145"/>
      <c r="R64" s="145"/>
      <c r="T64" s="145"/>
      <c r="U64" s="145"/>
      <c r="V64" s="84"/>
      <c r="W64" s="145"/>
      <c r="X64" s="84"/>
      <c r="Y64" s="145"/>
      <c r="Z64" s="84"/>
      <c r="AA64" s="84"/>
      <c r="AF64" s="169"/>
      <c r="AG64" s="140"/>
      <c r="AH64" s="169"/>
      <c r="AI64" s="140"/>
      <c r="AL64" s="145"/>
      <c r="AN64" s="145"/>
      <c r="AP64" s="145"/>
      <c r="AR64" s="145"/>
      <c r="AS64" s="145"/>
      <c r="AT64" s="84"/>
      <c r="AU64" s="145"/>
      <c r="AV64" s="84"/>
      <c r="AW64" s="145"/>
      <c r="AX64" s="84"/>
      <c r="AY64" s="84"/>
      <c r="BB64" s="145"/>
      <c r="BD64" s="145"/>
      <c r="BF64" s="145"/>
      <c r="BG64" s="145"/>
      <c r="BH64" s="84"/>
      <c r="BI64" s="145"/>
      <c r="BJ64" s="84"/>
      <c r="BK64" s="84"/>
    </row>
    <row r="65" spans="2:63" ht="12.45" thickBot="1" x14ac:dyDescent="0.3">
      <c r="B65" t="str">
        <f>IF(COUNTBLANK(B66:B133)&gt;0,"#showrow","#hiderow")</f>
        <v>#showrow</v>
      </c>
      <c r="E65" s="4"/>
      <c r="F65" s="4"/>
      <c r="G65" s="4"/>
      <c r="H65" s="4" t="s">
        <v>2</v>
      </c>
      <c r="I65" s="4"/>
      <c r="J65" s="5"/>
      <c r="K65" s="5"/>
      <c r="L65" s="5"/>
      <c r="M65" s="5"/>
      <c r="N65" s="152"/>
      <c r="O65" s="5"/>
      <c r="P65" s="152"/>
      <c r="Q65" s="5"/>
      <c r="R65" s="152"/>
      <c r="S65" s="5"/>
      <c r="T65" s="152"/>
      <c r="U65" s="152"/>
      <c r="V65" s="75"/>
      <c r="W65" s="152"/>
      <c r="X65" s="75"/>
      <c r="Y65" s="152"/>
      <c r="Z65" s="75"/>
      <c r="AA65" s="76"/>
      <c r="AC65" s="133"/>
      <c r="AD65" s="133"/>
      <c r="AE65" s="133"/>
      <c r="AF65" s="171"/>
      <c r="AG65" s="134"/>
      <c r="AH65" s="171"/>
      <c r="AI65" s="134"/>
      <c r="AK65" s="5"/>
      <c r="AL65" s="152"/>
      <c r="AM65" s="5"/>
      <c r="AN65" s="152"/>
      <c r="AO65" s="5"/>
      <c r="AP65" s="152"/>
      <c r="AQ65" s="5"/>
      <c r="AR65" s="152"/>
      <c r="AS65" s="152"/>
      <c r="AT65" s="75"/>
      <c r="AU65" s="152"/>
      <c r="AV65" s="75"/>
      <c r="AW65" s="152"/>
      <c r="AX65" s="75"/>
      <c r="AY65" s="76"/>
      <c r="BA65" s="5"/>
      <c r="BB65" s="152"/>
      <c r="BC65" s="5"/>
      <c r="BD65" s="152"/>
      <c r="BE65" s="5"/>
      <c r="BF65" s="152"/>
      <c r="BG65" s="152"/>
      <c r="BH65" s="75"/>
      <c r="BI65" s="152"/>
      <c r="BJ65" s="75"/>
      <c r="BK65" s="76"/>
    </row>
    <row r="66" spans="2:63" ht="11.95" thickBot="1" x14ac:dyDescent="0.3">
      <c r="E66" s="3"/>
      <c r="F66" s="3"/>
      <c r="G66" s="3"/>
      <c r="H66" s="253" t="s">
        <v>2</v>
      </c>
      <c r="I66" s="18"/>
      <c r="J66" s="18"/>
      <c r="K66" s="18"/>
      <c r="L66" s="78"/>
      <c r="M66" s="79">
        <v>0</v>
      </c>
      <c r="N66" s="80">
        <f t="shared" ref="N66:N97" si="105">IFERROR(M66/SUMIFS(M:M, $H:$H, "Net Sales"),0)</f>
        <v>0</v>
      </c>
      <c r="O66" s="79">
        <v>-2.17E-10</v>
      </c>
      <c r="P66" s="80">
        <f t="shared" ref="P66:P97" si="106">IFERROR(O66/SUMIFS(O:O, $H:$H, "Net Sales"),0)</f>
        <v>-4.0820222673738435E-16</v>
      </c>
      <c r="Q66" s="79">
        <v>-2.17E-10</v>
      </c>
      <c r="R66" s="80">
        <f t="shared" ref="R66:R97" si="107">IFERROR(Q66/SUMIFS(Q:Q, $H:$H, "Net Sales"),0)</f>
        <v>-4.0820222673738435E-16</v>
      </c>
      <c r="S66" s="79">
        <v>0</v>
      </c>
      <c r="T66" s="81">
        <f t="shared" ref="T66:T97" si="108">IFERROR(S66/SUMIFS(S:S, $H:$H, "Net Sales"),0)</f>
        <v>0</v>
      </c>
      <c r="U66" s="80">
        <f t="shared" ref="U66" si="109">IFERROR(($O66-M66)/ABS(M66),0)</f>
        <v>0</v>
      </c>
      <c r="V66" s="70">
        <f t="shared" ref="V66" si="110">IFERROR((O66-$M66), 0-$M66)</f>
        <v>-2.17E-10</v>
      </c>
      <c r="W66" s="80">
        <f t="shared" ref="W66" si="111">IFERROR((Q66-$M66)/ABS($M66),0)</f>
        <v>0</v>
      </c>
      <c r="X66" s="70">
        <f t="shared" ref="X66" si="112">IFERROR((Q66-$M66), 0 -$M66)</f>
        <v>-2.17E-10</v>
      </c>
      <c r="Y66" s="80">
        <f t="shared" ref="Y66" si="113">IFERROR((S66-$M66)/ABS($M66),0)</f>
        <v>0</v>
      </c>
      <c r="Z66" s="70">
        <f t="shared" ref="Z66" si="114">IFERROR((S66-$M66),0-$M66)</f>
        <v>0</v>
      </c>
      <c r="AA66" s="82"/>
      <c r="AC66" s="138">
        <v>0</v>
      </c>
      <c r="AD66" s="138">
        <v>0</v>
      </c>
      <c r="AE66" s="138">
        <v>-2.17E-10</v>
      </c>
      <c r="AF66" s="172">
        <f>IFERROR((AD66-$AC66)/ABS($AC66),0)</f>
        <v>0</v>
      </c>
      <c r="AG66" s="139">
        <f>(AD66-$AC66)</f>
        <v>0</v>
      </c>
      <c r="AH66" s="172">
        <f>IFERROR((AE66-$AC66)/ABS($AC66),0)</f>
        <v>0</v>
      </c>
      <c r="AI66" s="139">
        <f>(AE66-$AC66)</f>
        <v>-2.17E-10</v>
      </c>
      <c r="AK66" s="79">
        <v>0</v>
      </c>
      <c r="AL66" s="80">
        <f t="shared" ref="AL66:AL97" si="115">IFERROR(AK66/SUMIFS(AK:AK, $H:$H, "Net Sales"),0)</f>
        <v>0</v>
      </c>
      <c r="AM66" s="79">
        <v>-2.17E-10</v>
      </c>
      <c r="AN66" s="80">
        <f t="shared" ref="AN66:AN97" si="116">IFERROR(AM66/SUMIFS(AM:AM, $H:$H, "Net Sales"),0)</f>
        <v>-4.0820222673738435E-16</v>
      </c>
      <c r="AO66" s="79">
        <v>-2.17E-10</v>
      </c>
      <c r="AP66" s="80">
        <f t="shared" ref="AP66:AP97" si="117">IFERROR(AO66/SUMIFS(AO:AO, $H:$H, "Net Sales"),0)</f>
        <v>-4.0820222673738435E-16</v>
      </c>
      <c r="AQ66" s="79">
        <v>0</v>
      </c>
      <c r="AR66" s="81">
        <f t="shared" ref="AR66:AR97" si="118">IFERROR(AQ66/SUMIFS(AQ:AQ, $H:$H, "Net Sales"),0)</f>
        <v>0</v>
      </c>
      <c r="AS66" s="80">
        <f t="shared" ref="AS66" si="119">IFERROR((AM66-$AK66)/ABS($AK66),0)</f>
        <v>0</v>
      </c>
      <c r="AT66" s="70">
        <f t="shared" ref="AT66" si="120">(AM66-$AK66)</f>
        <v>-2.17E-10</v>
      </c>
      <c r="AU66" s="80">
        <f t="shared" ref="AU66" si="121">IFERROR((AO66-$AK66)/ABS($AO66),0)</f>
        <v>-1</v>
      </c>
      <c r="AV66" s="70">
        <f t="shared" ref="AV66" si="122">(AO66-$AK66)</f>
        <v>-2.17E-10</v>
      </c>
      <c r="AW66" s="80">
        <f t="shared" ref="AW66" si="123">IFERROR((AQ66-$AK66)/ABS($AK66),0)</f>
        <v>0</v>
      </c>
      <c r="AX66" s="70">
        <f t="shared" ref="AX66" si="124">(AQ66-$AK66)</f>
        <v>0</v>
      </c>
      <c r="AY66" s="82"/>
      <c r="BA66" s="79">
        <v>-3.1359999999999999E-9</v>
      </c>
      <c r="BB66" s="80">
        <f t="shared" ref="BB66:BB97" si="125">IFERROR(BA66/SUMIFS(BA:BA, $H:$H, "Net Sales"),0)</f>
        <v>-4.5378312054180671E-16</v>
      </c>
      <c r="BC66" s="79">
        <v>-3.1359999999999999E-9</v>
      </c>
      <c r="BD66" s="80">
        <f t="shared" ref="BD66:BD97" si="126">IFERROR(BC66/SUMIFS(BC:BC, $H:$H, "Net Sales"),0)</f>
        <v>-4.5378312054180671E-16</v>
      </c>
      <c r="BE66" s="79">
        <v>34.979999999999997</v>
      </c>
      <c r="BF66" s="81">
        <f t="shared" ref="BF66:BF97" si="127">IFERROR(BE66/SUMIFS(BE:BE, $H:$H, "Net Sales"),0)</f>
        <v>7.3286049082281721E-6</v>
      </c>
      <c r="BG66" s="80">
        <f t="shared" ref="BG66" si="128">IFERROR((BC66-$BA66)/ABS($BA66),0)</f>
        <v>0</v>
      </c>
      <c r="BH66" s="70">
        <f t="shared" ref="BH66" si="129">(BC66-$BA66)</f>
        <v>0</v>
      </c>
      <c r="BI66" s="80">
        <f t="shared" ref="BI66" si="130">IFERROR((BE66-$BA66)/ABS($BA66),0)</f>
        <v>11154336735.693878</v>
      </c>
      <c r="BJ66" s="70">
        <f t="shared" ref="BJ66" si="131">(BE66-$BA66)</f>
        <v>34.980000003135999</v>
      </c>
      <c r="BK66" s="82"/>
    </row>
    <row r="67" spans="2:63" ht="11.95" outlineLevel="1" thickBot="1" x14ac:dyDescent="0.3">
      <c r="E67" s="3"/>
      <c r="F67" s="3"/>
      <c r="G67" s="3"/>
      <c r="H67" s="256" t="s">
        <v>104</v>
      </c>
      <c r="I67" s="18"/>
      <c r="J67" s="18"/>
      <c r="K67" s="18"/>
      <c r="L67" s="78"/>
      <c r="M67" s="79">
        <v>64826.11</v>
      </c>
      <c r="N67" s="80">
        <f t="shared" si="105"/>
        <v>0.12249055492590284</v>
      </c>
      <c r="O67" s="79">
        <v>74257.113736263695</v>
      </c>
      <c r="P67" s="80">
        <f t="shared" si="106"/>
        <v>0.13968626349416613</v>
      </c>
      <c r="Q67" s="79">
        <v>74257.113736263695</v>
      </c>
      <c r="R67" s="80">
        <f t="shared" si="107"/>
        <v>0.13968626349416613</v>
      </c>
      <c r="S67" s="79">
        <v>65541.350000000006</v>
      </c>
      <c r="T67" s="81">
        <f t="shared" si="108"/>
        <v>0.35927291763451563</v>
      </c>
      <c r="U67" s="80">
        <f t="shared" ref="U67:U133" si="132">IFERROR(($O67-M67)/ABS(M67),0)</f>
        <v>0.14548156192410272</v>
      </c>
      <c r="V67" s="70">
        <f t="shared" ref="V67:V133" si="133">IFERROR((O67-$M67), 0-$M67)</f>
        <v>9431.003736263694</v>
      </c>
      <c r="W67" s="80">
        <f t="shared" ref="W67:W133" si="134">IFERROR((Q67-$M67)/ABS($M67),0)</f>
        <v>0.14548156192410272</v>
      </c>
      <c r="X67" s="259">
        <f t="shared" ref="X67:X133" si="135">IFERROR((Q67-$M67), 0 -$M67)</f>
        <v>9431.003736263694</v>
      </c>
      <c r="Y67" s="80">
        <f t="shared" ref="Y67:Y133" si="136">IFERROR((S67-$M67)/ABS($M67),0)</f>
        <v>1.1033208687055342E-2</v>
      </c>
      <c r="Z67" s="70">
        <f t="shared" ref="Z67:Z133" si="137">IFERROR((S67-$M67),0-$M67)</f>
        <v>715.24000000000524</v>
      </c>
      <c r="AA67" s="82"/>
      <c r="AC67" s="138">
        <v>64826.11</v>
      </c>
      <c r="AD67" s="138">
        <v>65541.350000000006</v>
      </c>
      <c r="AE67" s="138">
        <v>74257.113736263695</v>
      </c>
      <c r="AF67" s="233"/>
      <c r="AG67" s="139"/>
      <c r="AH67" s="233"/>
      <c r="AI67" s="139"/>
      <c r="AK67" s="79">
        <v>64826.11</v>
      </c>
      <c r="AL67" s="80">
        <f t="shared" si="115"/>
        <v>0.12249055492590284</v>
      </c>
      <c r="AM67" s="79">
        <v>74257.113736263695</v>
      </c>
      <c r="AN67" s="80">
        <f t="shared" si="116"/>
        <v>0.13968626349416613</v>
      </c>
      <c r="AO67" s="79">
        <v>74257.113736263695</v>
      </c>
      <c r="AP67" s="80">
        <f t="shared" si="117"/>
        <v>0.13968626349416613</v>
      </c>
      <c r="AQ67" s="79">
        <v>65541.350000000006</v>
      </c>
      <c r="AR67" s="81">
        <f t="shared" si="118"/>
        <v>0.35927291763451563</v>
      </c>
      <c r="AS67" s="80">
        <f t="shared" ref="AS67:AS133" si="138">IFERROR((AM67-$AK67)/ABS($AK67),0)</f>
        <v>0.14548156192410272</v>
      </c>
      <c r="AT67" s="70">
        <f t="shared" ref="AT67:AT133" si="139">(AM67-$AK67)</f>
        <v>9431.003736263694</v>
      </c>
      <c r="AU67" s="80">
        <f t="shared" ref="AU67:AU133" si="140">IFERROR((AO67-$AK67)/ABS($AO67),0)</f>
        <v>0.12700471728216436</v>
      </c>
      <c r="AV67" s="70">
        <f t="shared" ref="AV67:AV133" si="141">(AO67-$AK67)</f>
        <v>9431.003736263694</v>
      </c>
      <c r="AW67" s="80">
        <f t="shared" ref="AW67:AW133" si="142">IFERROR((AQ67-$AK67)/ABS($AK67),0)</f>
        <v>1.1033208687055342E-2</v>
      </c>
      <c r="AX67" s="70">
        <f t="shared" ref="AX67:AX133" si="143">(AQ67-$AK67)</f>
        <v>715.24000000000524</v>
      </c>
      <c r="AY67" s="82"/>
      <c r="BA67" s="79">
        <v>965342.47857142799</v>
      </c>
      <c r="BB67" s="80">
        <f t="shared" si="125"/>
        <v>0.13968626349416607</v>
      </c>
      <c r="BC67" s="79">
        <v>965342.47857142799</v>
      </c>
      <c r="BD67" s="80">
        <f t="shared" si="126"/>
        <v>0.13968626349416607</v>
      </c>
      <c r="BE67" s="79">
        <v>903143.51</v>
      </c>
      <c r="BF67" s="81">
        <f t="shared" si="127"/>
        <v>0.18921617953746198</v>
      </c>
      <c r="BG67" s="80">
        <f t="shared" ref="BG67:BG133" si="144">IFERROR((BC67-$BA67)/ABS($BA67),0)</f>
        <v>0</v>
      </c>
      <c r="BH67" s="70">
        <f t="shared" ref="BH67:BH133" si="145">(BC67-$BA67)</f>
        <v>0</v>
      </c>
      <c r="BI67" s="80">
        <f t="shared" ref="BI67:BI133" si="146">IFERROR((BE67-$BA67)/ABS($BA67),0)</f>
        <v>-6.4432022781669943E-2</v>
      </c>
      <c r="BJ67" s="70">
        <f t="shared" ref="BJ67:BJ133" si="147">(BE67-$BA67)</f>
        <v>-62198.968571427977</v>
      </c>
      <c r="BK67" s="82"/>
    </row>
    <row r="68" spans="2:63" ht="11.95" hidden="1" outlineLevel="2" thickBot="1" x14ac:dyDescent="0.3">
      <c r="B68" t="str">
        <f>IF(LEFT(H68,3)="Mul", "#hiderow", "#showrow")</f>
        <v>#hiderow</v>
      </c>
      <c r="E68" s="3"/>
      <c r="F68" s="3"/>
      <c r="G68" s="3"/>
      <c r="H68" s="255" t="s">
        <v>6</v>
      </c>
      <c r="I68" s="18"/>
      <c r="J68" s="18"/>
      <c r="K68" s="18"/>
      <c r="L68" s="78"/>
      <c r="M68" s="79"/>
      <c r="N68" s="80">
        <f t="shared" si="105"/>
        <v>0</v>
      </c>
      <c r="O68" s="79"/>
      <c r="P68" s="80">
        <f t="shared" si="106"/>
        <v>0</v>
      </c>
      <c r="Q68" s="79"/>
      <c r="R68" s="80">
        <f t="shared" si="107"/>
        <v>0</v>
      </c>
      <c r="S68" s="79"/>
      <c r="T68" s="81">
        <f t="shared" si="108"/>
        <v>0</v>
      </c>
      <c r="U68" s="80">
        <f t="shared" si="132"/>
        <v>0</v>
      </c>
      <c r="V68" s="70">
        <f t="shared" si="133"/>
        <v>0</v>
      </c>
      <c r="W68" s="80">
        <f t="shared" si="134"/>
        <v>0</v>
      </c>
      <c r="X68" s="70">
        <f t="shared" si="135"/>
        <v>0</v>
      </c>
      <c r="Y68" s="80">
        <f t="shared" si="136"/>
        <v>0</v>
      </c>
      <c r="Z68" s="70">
        <f t="shared" si="137"/>
        <v>0</v>
      </c>
      <c r="AA68" s="82"/>
      <c r="AC68" s="138"/>
      <c r="AD68" s="138"/>
      <c r="AE68" s="138"/>
      <c r="AF68" s="233"/>
      <c r="AG68" s="139"/>
      <c r="AH68" s="233"/>
      <c r="AI68" s="139"/>
      <c r="AK68" s="79"/>
      <c r="AL68" s="80">
        <f t="shared" si="115"/>
        <v>0</v>
      </c>
      <c r="AM68" s="79"/>
      <c r="AN68" s="80">
        <f t="shared" si="116"/>
        <v>0</v>
      </c>
      <c r="AO68" s="79"/>
      <c r="AP68" s="80">
        <f t="shared" si="117"/>
        <v>0</v>
      </c>
      <c r="AQ68" s="79"/>
      <c r="AR68" s="81">
        <f t="shared" si="118"/>
        <v>0</v>
      </c>
      <c r="AS68" s="80">
        <f t="shared" si="138"/>
        <v>0</v>
      </c>
      <c r="AT68" s="70">
        <f t="shared" si="139"/>
        <v>0</v>
      </c>
      <c r="AU68" s="80">
        <f t="shared" si="140"/>
        <v>0</v>
      </c>
      <c r="AV68" s="70">
        <f t="shared" si="141"/>
        <v>0</v>
      </c>
      <c r="AW68" s="80">
        <f t="shared" si="142"/>
        <v>0</v>
      </c>
      <c r="AX68" s="70">
        <f t="shared" si="143"/>
        <v>0</v>
      </c>
      <c r="AY68" s="82"/>
      <c r="BA68" s="79"/>
      <c r="BB68" s="80">
        <f t="shared" si="125"/>
        <v>0</v>
      </c>
      <c r="BC68" s="79"/>
      <c r="BD68" s="80">
        <f t="shared" si="126"/>
        <v>0</v>
      </c>
      <c r="BE68" s="79"/>
      <c r="BF68" s="81">
        <f t="shared" si="127"/>
        <v>0</v>
      </c>
      <c r="BG68" s="80">
        <f t="shared" si="144"/>
        <v>0</v>
      </c>
      <c r="BH68" s="70">
        <f t="shared" si="145"/>
        <v>0</v>
      </c>
      <c r="BI68" s="80">
        <f t="shared" si="146"/>
        <v>0</v>
      </c>
      <c r="BJ68" s="70">
        <f t="shared" si="147"/>
        <v>0</v>
      </c>
      <c r="BK68" s="82"/>
    </row>
    <row r="69" spans="2:63" ht="11.95" outlineLevel="2" thickBot="1" x14ac:dyDescent="0.3">
      <c r="B69" t="str">
        <f t="shared" ref="B69:B74" si="148">IF(LEFT(H69,3)="Mul", "#hiderow", "#showrow")</f>
        <v>#showrow</v>
      </c>
      <c r="E69" s="3"/>
      <c r="F69" s="3"/>
      <c r="G69" s="3"/>
      <c r="H69" s="255" t="s">
        <v>181</v>
      </c>
      <c r="I69" s="18"/>
      <c r="J69" s="18"/>
      <c r="K69" s="18"/>
      <c r="L69" s="78"/>
      <c r="M69" s="79">
        <v>47925.58</v>
      </c>
      <c r="N69" s="80">
        <f t="shared" si="105"/>
        <v>9.0556581126736604E-2</v>
      </c>
      <c r="O69" s="79">
        <v>61333.945054945099</v>
      </c>
      <c r="P69" s="80">
        <f t="shared" si="106"/>
        <v>0.11537628085722107</v>
      </c>
      <c r="Q69" s="79">
        <v>61333.945054945099</v>
      </c>
      <c r="R69" s="80">
        <f t="shared" si="107"/>
        <v>0.11537628085722107</v>
      </c>
      <c r="S69" s="79">
        <v>40722.51</v>
      </c>
      <c r="T69" s="81">
        <f t="shared" si="108"/>
        <v>0.22322541389673448</v>
      </c>
      <c r="U69" s="80">
        <f t="shared" ref="U69:U74" si="149">IFERROR(($O69-M69)/ABS(M69),0)</f>
        <v>0.27977470601180199</v>
      </c>
      <c r="V69" s="70">
        <f t="shared" ref="V69:V74" si="150">IFERROR((O69-$M69), 0-$M69)</f>
        <v>13408.365054945098</v>
      </c>
      <c r="W69" s="80">
        <f t="shared" ref="W69:W74" si="151">IFERROR((Q69-$M69)/ABS($M69),0)</f>
        <v>0.27977470601180199</v>
      </c>
      <c r="X69" s="70">
        <f t="shared" ref="X69:X74" si="152">IFERROR((Q69-$M69), 0 -$M69)</f>
        <v>13408.365054945098</v>
      </c>
      <c r="Y69" s="80">
        <f t="shared" ref="Y69:Y74" si="153">IFERROR((S69-$M69)/ABS($M69),0)</f>
        <v>-0.15029698127805652</v>
      </c>
      <c r="Z69" s="70">
        <f t="shared" ref="Z69:Z74" si="154">IFERROR((S69-$M69),0-$M69)</f>
        <v>-7203.07</v>
      </c>
      <c r="AA69" s="82"/>
      <c r="AC69" s="138">
        <v>47925.58</v>
      </c>
      <c r="AD69" s="138">
        <v>40722.51</v>
      </c>
      <c r="AE69" s="138">
        <v>61333.945054945099</v>
      </c>
      <c r="AF69" s="233"/>
      <c r="AG69" s="139"/>
      <c r="AH69" s="233"/>
      <c r="AI69" s="139"/>
      <c r="AK69" s="79">
        <v>47925.58</v>
      </c>
      <c r="AL69" s="80">
        <f t="shared" si="115"/>
        <v>9.0556581126736604E-2</v>
      </c>
      <c r="AM69" s="79">
        <v>61333.945054945099</v>
      </c>
      <c r="AN69" s="80">
        <f t="shared" si="116"/>
        <v>0.11537628085722107</v>
      </c>
      <c r="AO69" s="79">
        <v>61333.945054945099</v>
      </c>
      <c r="AP69" s="80">
        <f t="shared" si="117"/>
        <v>0.11537628085722107</v>
      </c>
      <c r="AQ69" s="79">
        <v>40722.51</v>
      </c>
      <c r="AR69" s="81">
        <f t="shared" si="118"/>
        <v>0.22322541389673448</v>
      </c>
      <c r="AS69" s="80">
        <f t="shared" ref="AS69:AS74" si="155">IFERROR((AM69-$AK69)/ABS($AK69),0)</f>
        <v>0.27977470601180199</v>
      </c>
      <c r="AT69" s="70">
        <f t="shared" ref="AT69:AT74" si="156">(AM69-$AK69)</f>
        <v>13408.365054945098</v>
      </c>
      <c r="AU69" s="80">
        <f t="shared" ref="AU69:AU74" si="157">IFERROR((AO69-$AK69)/ABS($AO69),0)</f>
        <v>0.21861246725501537</v>
      </c>
      <c r="AV69" s="70">
        <f t="shared" ref="AV69:AV74" si="158">(AO69-$AK69)</f>
        <v>13408.365054945098</v>
      </c>
      <c r="AW69" s="80">
        <f t="shared" ref="AW69:AW74" si="159">IFERROR((AQ69-$AK69)/ABS($AK69),0)</f>
        <v>-0.15029698127805652</v>
      </c>
      <c r="AX69" s="70">
        <f t="shared" ref="AX69:AX74" si="160">(AQ69-$AK69)</f>
        <v>-7203.07</v>
      </c>
      <c r="AY69" s="82"/>
      <c r="BA69" s="79">
        <v>797341.28571428603</v>
      </c>
      <c r="BB69" s="80">
        <f t="shared" si="125"/>
        <v>0.11537628085722099</v>
      </c>
      <c r="BC69" s="79">
        <v>797341.28571428603</v>
      </c>
      <c r="BD69" s="80">
        <f t="shared" si="126"/>
        <v>0.11537628085722099</v>
      </c>
      <c r="BE69" s="79">
        <v>607481.56000000006</v>
      </c>
      <c r="BF69" s="81">
        <f t="shared" si="127"/>
        <v>0.12727250835546333</v>
      </c>
      <c r="BG69" s="80">
        <f t="shared" ref="BG69:BG74" si="161">IFERROR((BC69-$BA69)/ABS($BA69),0)</f>
        <v>0</v>
      </c>
      <c r="BH69" s="70">
        <f t="shared" ref="BH69:BH74" si="162">(BC69-$BA69)</f>
        <v>0</v>
      </c>
      <c r="BI69" s="80">
        <f t="shared" ref="BI69:BI74" si="163">IFERROR((BE69-$BA69)/ABS($BA69),0)</f>
        <v>-0.23811601019029516</v>
      </c>
      <c r="BJ69" s="70">
        <f t="shared" ref="BJ69:BJ74" si="164">(BE69-$BA69)</f>
        <v>-189859.72571428597</v>
      </c>
      <c r="BK69" s="82"/>
    </row>
    <row r="70" spans="2:63" ht="11.95" outlineLevel="2" thickBot="1" x14ac:dyDescent="0.3">
      <c r="B70" t="str">
        <f t="shared" si="148"/>
        <v>#showrow</v>
      </c>
      <c r="E70" s="3"/>
      <c r="F70" s="3"/>
      <c r="G70" s="3"/>
      <c r="H70" s="255" t="s">
        <v>182</v>
      </c>
      <c r="I70" s="18"/>
      <c r="J70" s="18"/>
      <c r="K70" s="18"/>
      <c r="L70" s="78"/>
      <c r="M70" s="79">
        <v>2166.69</v>
      </c>
      <c r="N70" s="80">
        <f t="shared" si="105"/>
        <v>4.0940149031370911E-3</v>
      </c>
      <c r="O70" s="79"/>
      <c r="P70" s="80">
        <f t="shared" si="106"/>
        <v>0</v>
      </c>
      <c r="Q70" s="79"/>
      <c r="R70" s="80">
        <f t="shared" si="107"/>
        <v>0</v>
      </c>
      <c r="S70" s="79">
        <v>2056.59</v>
      </c>
      <c r="T70" s="81">
        <f t="shared" si="108"/>
        <v>1.1273449351866699E-2</v>
      </c>
      <c r="U70" s="80">
        <f t="shared" si="149"/>
        <v>-1</v>
      </c>
      <c r="V70" s="70">
        <f t="shared" si="150"/>
        <v>-2166.69</v>
      </c>
      <c r="W70" s="80">
        <f t="shared" si="151"/>
        <v>-1</v>
      </c>
      <c r="X70" s="70">
        <f t="shared" si="152"/>
        <v>-2166.69</v>
      </c>
      <c r="Y70" s="80">
        <f t="shared" si="153"/>
        <v>-5.0814837378674343E-2</v>
      </c>
      <c r="Z70" s="70">
        <f t="shared" si="154"/>
        <v>-110.09999999999991</v>
      </c>
      <c r="AA70" s="82"/>
      <c r="AC70" s="138">
        <v>2166.69</v>
      </c>
      <c r="AD70" s="138">
        <v>2056.59</v>
      </c>
      <c r="AE70" s="138">
        <v>0</v>
      </c>
      <c r="AF70" s="233"/>
      <c r="AG70" s="139"/>
      <c r="AH70" s="233"/>
      <c r="AI70" s="139"/>
      <c r="AK70" s="79">
        <v>2166.69</v>
      </c>
      <c r="AL70" s="80">
        <f t="shared" si="115"/>
        <v>4.0940149031370911E-3</v>
      </c>
      <c r="AM70" s="79">
        <v>0</v>
      </c>
      <c r="AN70" s="80">
        <f t="shared" si="116"/>
        <v>0</v>
      </c>
      <c r="AO70" s="79">
        <v>0</v>
      </c>
      <c r="AP70" s="80">
        <f t="shared" si="117"/>
        <v>0</v>
      </c>
      <c r="AQ70" s="79">
        <v>2056.59</v>
      </c>
      <c r="AR70" s="81">
        <f t="shared" si="118"/>
        <v>1.1273449351866699E-2</v>
      </c>
      <c r="AS70" s="80">
        <f t="shared" si="155"/>
        <v>-1</v>
      </c>
      <c r="AT70" s="70">
        <f t="shared" si="156"/>
        <v>-2166.69</v>
      </c>
      <c r="AU70" s="80">
        <f t="shared" si="157"/>
        <v>0</v>
      </c>
      <c r="AV70" s="70">
        <f t="shared" si="158"/>
        <v>-2166.69</v>
      </c>
      <c r="AW70" s="80">
        <f t="shared" si="159"/>
        <v>-5.0814837378674343E-2</v>
      </c>
      <c r="AX70" s="70">
        <f t="shared" si="160"/>
        <v>-110.09999999999991</v>
      </c>
      <c r="AY70" s="82"/>
      <c r="BA70" s="79">
        <v>0</v>
      </c>
      <c r="BB70" s="80">
        <f t="shared" si="125"/>
        <v>0</v>
      </c>
      <c r="BC70" s="79">
        <v>0</v>
      </c>
      <c r="BD70" s="80">
        <f t="shared" si="126"/>
        <v>0</v>
      </c>
      <c r="BE70" s="79">
        <v>31681.34</v>
      </c>
      <c r="BF70" s="81">
        <f t="shared" si="127"/>
        <v>6.6375078279944412E-3</v>
      </c>
      <c r="BG70" s="80">
        <f t="shared" si="161"/>
        <v>0</v>
      </c>
      <c r="BH70" s="70">
        <f t="shared" si="162"/>
        <v>0</v>
      </c>
      <c r="BI70" s="80">
        <f t="shared" si="163"/>
        <v>0</v>
      </c>
      <c r="BJ70" s="70">
        <f t="shared" si="164"/>
        <v>31681.34</v>
      </c>
      <c r="BK70" s="82"/>
    </row>
    <row r="71" spans="2:63" ht="11.95" outlineLevel="2" thickBot="1" x14ac:dyDescent="0.3">
      <c r="B71" t="str">
        <f t="shared" si="148"/>
        <v>#showrow</v>
      </c>
      <c r="E71" s="3"/>
      <c r="F71" s="3"/>
      <c r="G71" s="3"/>
      <c r="H71" s="255" t="s">
        <v>183</v>
      </c>
      <c r="I71" s="18"/>
      <c r="J71" s="18"/>
      <c r="K71" s="18"/>
      <c r="L71" s="78"/>
      <c r="M71" s="79">
        <v>8073.84</v>
      </c>
      <c r="N71" s="80">
        <f t="shared" si="105"/>
        <v>1.5255722454778659E-2</v>
      </c>
      <c r="O71" s="79">
        <v>9200.0917582417605</v>
      </c>
      <c r="P71" s="80">
        <f t="shared" si="106"/>
        <v>1.7306442128583153E-2</v>
      </c>
      <c r="Q71" s="79">
        <v>9200.0917582417605</v>
      </c>
      <c r="R71" s="80">
        <f t="shared" si="107"/>
        <v>1.7306442128583153E-2</v>
      </c>
      <c r="S71" s="79">
        <v>12088.95</v>
      </c>
      <c r="T71" s="81">
        <f t="shared" si="108"/>
        <v>6.6267056410003411E-2</v>
      </c>
      <c r="U71" s="80">
        <f t="shared" si="149"/>
        <v>0.13949394070748991</v>
      </c>
      <c r="V71" s="70">
        <f t="shared" si="150"/>
        <v>1126.2517582417604</v>
      </c>
      <c r="W71" s="80">
        <f t="shared" si="151"/>
        <v>0.13949394070748991</v>
      </c>
      <c r="X71" s="70">
        <f t="shared" si="152"/>
        <v>1126.2517582417604</v>
      </c>
      <c r="Y71" s="80">
        <f t="shared" si="153"/>
        <v>0.49729868315448417</v>
      </c>
      <c r="Z71" s="70">
        <f t="shared" si="154"/>
        <v>4015.1100000000006</v>
      </c>
      <c r="AA71" s="82"/>
      <c r="AC71" s="138">
        <v>8073.84</v>
      </c>
      <c r="AD71" s="138">
        <v>12088.95</v>
      </c>
      <c r="AE71" s="138">
        <v>9200.0917582417605</v>
      </c>
      <c r="AF71" s="233"/>
      <c r="AG71" s="139"/>
      <c r="AH71" s="233"/>
      <c r="AI71" s="139"/>
      <c r="AK71" s="79">
        <v>8073.84</v>
      </c>
      <c r="AL71" s="80">
        <f t="shared" si="115"/>
        <v>1.5255722454778659E-2</v>
      </c>
      <c r="AM71" s="79">
        <v>9200.0917582417605</v>
      </c>
      <c r="AN71" s="80">
        <f t="shared" si="116"/>
        <v>1.7306442128583153E-2</v>
      </c>
      <c r="AO71" s="79">
        <v>9200.0917582417605</v>
      </c>
      <c r="AP71" s="80">
        <f t="shared" si="117"/>
        <v>1.7306442128583153E-2</v>
      </c>
      <c r="AQ71" s="79">
        <v>12088.95</v>
      </c>
      <c r="AR71" s="81">
        <f t="shared" si="118"/>
        <v>6.6267056410003411E-2</v>
      </c>
      <c r="AS71" s="80">
        <f t="shared" si="155"/>
        <v>0.13949394070748991</v>
      </c>
      <c r="AT71" s="70">
        <f t="shared" si="156"/>
        <v>1126.2517582417604</v>
      </c>
      <c r="AU71" s="80">
        <f t="shared" si="157"/>
        <v>0.12241744841651445</v>
      </c>
      <c r="AV71" s="70">
        <f t="shared" si="158"/>
        <v>1126.2517582417604</v>
      </c>
      <c r="AW71" s="80">
        <f t="shared" si="159"/>
        <v>0.49729868315448417</v>
      </c>
      <c r="AX71" s="70">
        <f t="shared" si="160"/>
        <v>4015.1100000000006</v>
      </c>
      <c r="AY71" s="82"/>
      <c r="BA71" s="79">
        <v>119601.192857142</v>
      </c>
      <c r="BB71" s="80">
        <f t="shared" si="125"/>
        <v>1.7306442128583018E-2</v>
      </c>
      <c r="BC71" s="79">
        <v>119601.192857142</v>
      </c>
      <c r="BD71" s="80">
        <f t="shared" si="126"/>
        <v>1.7306442128583018E-2</v>
      </c>
      <c r="BE71" s="79">
        <v>160174.75</v>
      </c>
      <c r="BF71" s="81">
        <f t="shared" si="127"/>
        <v>3.3557960520989721E-2</v>
      </c>
      <c r="BG71" s="80">
        <f t="shared" si="161"/>
        <v>0</v>
      </c>
      <c r="BH71" s="70">
        <f t="shared" si="162"/>
        <v>0</v>
      </c>
      <c r="BI71" s="80">
        <f t="shared" si="163"/>
        <v>0.33924040533041511</v>
      </c>
      <c r="BJ71" s="70">
        <f t="shared" si="164"/>
        <v>40573.557142858001</v>
      </c>
      <c r="BK71" s="82"/>
    </row>
    <row r="72" spans="2:63" ht="11.95" outlineLevel="2" thickBot="1" x14ac:dyDescent="0.3">
      <c r="B72" t="str">
        <f t="shared" si="148"/>
        <v>#showrow</v>
      </c>
      <c r="E72" s="3"/>
      <c r="F72" s="3"/>
      <c r="G72" s="3"/>
      <c r="H72" s="255" t="s">
        <v>184</v>
      </c>
      <c r="I72" s="18"/>
      <c r="J72" s="18"/>
      <c r="K72" s="18"/>
      <c r="L72" s="78"/>
      <c r="M72" s="79">
        <v>760</v>
      </c>
      <c r="N72" s="80">
        <f t="shared" si="105"/>
        <v>1.4360389932958518E-3</v>
      </c>
      <c r="O72" s="79">
        <v>2800</v>
      </c>
      <c r="P72" s="80">
        <f t="shared" si="106"/>
        <v>5.2671255062888304E-3</v>
      </c>
      <c r="Q72" s="79">
        <v>2800</v>
      </c>
      <c r="R72" s="80">
        <f t="shared" si="107"/>
        <v>5.2671255062888304E-3</v>
      </c>
      <c r="S72" s="79">
        <v>3040</v>
      </c>
      <c r="T72" s="81">
        <f t="shared" si="108"/>
        <v>1.6664131416410058E-2</v>
      </c>
      <c r="U72" s="80">
        <f t="shared" si="149"/>
        <v>2.6842105263157894</v>
      </c>
      <c r="V72" s="70">
        <f t="shared" si="150"/>
        <v>2040</v>
      </c>
      <c r="W72" s="80">
        <f t="shared" si="151"/>
        <v>2.6842105263157894</v>
      </c>
      <c r="X72" s="70">
        <f t="shared" si="152"/>
        <v>2040</v>
      </c>
      <c r="Y72" s="80">
        <f t="shared" si="153"/>
        <v>3</v>
      </c>
      <c r="Z72" s="70">
        <f t="shared" si="154"/>
        <v>2280</v>
      </c>
      <c r="AA72" s="82"/>
      <c r="AC72" s="138">
        <v>760</v>
      </c>
      <c r="AD72" s="138">
        <v>3040</v>
      </c>
      <c r="AE72" s="138">
        <v>2800</v>
      </c>
      <c r="AF72" s="233"/>
      <c r="AG72" s="139"/>
      <c r="AH72" s="233"/>
      <c r="AI72" s="139"/>
      <c r="AK72" s="79">
        <v>760</v>
      </c>
      <c r="AL72" s="80">
        <f t="shared" si="115"/>
        <v>1.4360389932958518E-3</v>
      </c>
      <c r="AM72" s="79">
        <v>2800</v>
      </c>
      <c r="AN72" s="80">
        <f t="shared" si="116"/>
        <v>5.2671255062888304E-3</v>
      </c>
      <c r="AO72" s="79">
        <v>2800</v>
      </c>
      <c r="AP72" s="80">
        <f t="shared" si="117"/>
        <v>5.2671255062888304E-3</v>
      </c>
      <c r="AQ72" s="79">
        <v>3040</v>
      </c>
      <c r="AR72" s="81">
        <f t="shared" si="118"/>
        <v>1.6664131416410058E-2</v>
      </c>
      <c r="AS72" s="80">
        <f t="shared" si="155"/>
        <v>2.6842105263157894</v>
      </c>
      <c r="AT72" s="70">
        <f t="shared" si="156"/>
        <v>2040</v>
      </c>
      <c r="AU72" s="80">
        <f t="shared" si="157"/>
        <v>0.72857142857142854</v>
      </c>
      <c r="AV72" s="70">
        <f t="shared" si="158"/>
        <v>2040</v>
      </c>
      <c r="AW72" s="80">
        <f t="shared" si="159"/>
        <v>3</v>
      </c>
      <c r="AX72" s="70">
        <f t="shared" si="160"/>
        <v>2280</v>
      </c>
      <c r="AY72" s="82"/>
      <c r="BA72" s="79">
        <v>36400</v>
      </c>
      <c r="BB72" s="80">
        <f t="shared" si="125"/>
        <v>5.2671255062888278E-3</v>
      </c>
      <c r="BC72" s="79">
        <v>36400</v>
      </c>
      <c r="BD72" s="80">
        <f t="shared" si="126"/>
        <v>5.2671255062888278E-3</v>
      </c>
      <c r="BE72" s="79">
        <v>39520</v>
      </c>
      <c r="BF72" s="81">
        <f t="shared" si="127"/>
        <v>8.2797731839101604E-3</v>
      </c>
      <c r="BG72" s="80">
        <f t="shared" si="161"/>
        <v>0</v>
      </c>
      <c r="BH72" s="70">
        <f t="shared" si="162"/>
        <v>0</v>
      </c>
      <c r="BI72" s="80">
        <f t="shared" si="163"/>
        <v>8.5714285714285715E-2</v>
      </c>
      <c r="BJ72" s="70">
        <f t="shared" si="164"/>
        <v>3120</v>
      </c>
      <c r="BK72" s="82"/>
    </row>
    <row r="73" spans="2:63" ht="11.95" outlineLevel="2" thickBot="1" x14ac:dyDescent="0.3">
      <c r="B73" t="str">
        <f t="shared" si="148"/>
        <v>#showrow</v>
      </c>
      <c r="E73" s="3"/>
      <c r="F73" s="3"/>
      <c r="G73" s="3"/>
      <c r="H73" s="255" t="s">
        <v>185</v>
      </c>
      <c r="I73" s="18"/>
      <c r="J73" s="18"/>
      <c r="K73" s="18"/>
      <c r="L73" s="78"/>
      <c r="M73" s="79"/>
      <c r="N73" s="80">
        <f t="shared" si="105"/>
        <v>0</v>
      </c>
      <c r="O73" s="79">
        <v>923.07692307692298</v>
      </c>
      <c r="P73" s="80">
        <f t="shared" si="106"/>
        <v>1.7364150020732405E-3</v>
      </c>
      <c r="Q73" s="79">
        <v>923.07692307692298</v>
      </c>
      <c r="R73" s="80">
        <f t="shared" si="107"/>
        <v>1.7364150020732405E-3</v>
      </c>
      <c r="S73" s="79"/>
      <c r="T73" s="81">
        <f t="shared" si="108"/>
        <v>0</v>
      </c>
      <c r="U73" s="80">
        <f t="shared" si="149"/>
        <v>0</v>
      </c>
      <c r="V73" s="70">
        <f t="shared" si="150"/>
        <v>923.07692307692298</v>
      </c>
      <c r="W73" s="80">
        <f t="shared" si="151"/>
        <v>0</v>
      </c>
      <c r="X73" s="70">
        <f t="shared" si="152"/>
        <v>923.07692307692298</v>
      </c>
      <c r="Y73" s="80">
        <f t="shared" si="153"/>
        <v>0</v>
      </c>
      <c r="Z73" s="70">
        <f t="shared" si="154"/>
        <v>0</v>
      </c>
      <c r="AA73" s="82"/>
      <c r="AC73" s="138">
        <v>0</v>
      </c>
      <c r="AD73" s="138">
        <v>0</v>
      </c>
      <c r="AE73" s="138">
        <v>923.07692307692298</v>
      </c>
      <c r="AF73" s="233"/>
      <c r="AG73" s="139"/>
      <c r="AH73" s="233"/>
      <c r="AI73" s="139"/>
      <c r="AK73" s="79">
        <v>0</v>
      </c>
      <c r="AL73" s="80">
        <f t="shared" si="115"/>
        <v>0</v>
      </c>
      <c r="AM73" s="79">
        <v>923.07692307692298</v>
      </c>
      <c r="AN73" s="80">
        <f t="shared" si="116"/>
        <v>1.7364150020732405E-3</v>
      </c>
      <c r="AO73" s="79">
        <v>923.07692307692298</v>
      </c>
      <c r="AP73" s="80">
        <f t="shared" si="117"/>
        <v>1.7364150020732405E-3</v>
      </c>
      <c r="AQ73" s="79">
        <v>0</v>
      </c>
      <c r="AR73" s="81">
        <f t="shared" si="118"/>
        <v>0</v>
      </c>
      <c r="AS73" s="80">
        <f t="shared" si="155"/>
        <v>0</v>
      </c>
      <c r="AT73" s="70">
        <f t="shared" si="156"/>
        <v>923.07692307692298</v>
      </c>
      <c r="AU73" s="80">
        <f t="shared" si="157"/>
        <v>1</v>
      </c>
      <c r="AV73" s="70">
        <f t="shared" si="158"/>
        <v>923.07692307692298</v>
      </c>
      <c r="AW73" s="80">
        <f t="shared" si="159"/>
        <v>0</v>
      </c>
      <c r="AX73" s="70">
        <f t="shared" si="160"/>
        <v>0</v>
      </c>
      <c r="AY73" s="82"/>
      <c r="BA73" s="79">
        <v>11999.9999999999</v>
      </c>
      <c r="BB73" s="80">
        <f t="shared" si="125"/>
        <v>1.7364150020732255E-3</v>
      </c>
      <c r="BC73" s="79">
        <v>11999.9999999999</v>
      </c>
      <c r="BD73" s="80">
        <f t="shared" si="126"/>
        <v>1.7364150020732255E-3</v>
      </c>
      <c r="BE73" s="79">
        <v>25200</v>
      </c>
      <c r="BF73" s="81">
        <f t="shared" si="127"/>
        <v>5.2796124553273292E-3</v>
      </c>
      <c r="BG73" s="80">
        <f t="shared" si="161"/>
        <v>0</v>
      </c>
      <c r="BH73" s="70">
        <f t="shared" si="162"/>
        <v>0</v>
      </c>
      <c r="BI73" s="80">
        <f t="shared" si="163"/>
        <v>1.1000000000000174</v>
      </c>
      <c r="BJ73" s="70">
        <f t="shared" si="164"/>
        <v>13200.0000000001</v>
      </c>
      <c r="BK73" s="82"/>
    </row>
    <row r="74" spans="2:63" ht="11.95" outlineLevel="2" thickBot="1" x14ac:dyDescent="0.3">
      <c r="B74" t="str">
        <f t="shared" si="148"/>
        <v>#showrow</v>
      </c>
      <c r="E74" s="3"/>
      <c r="F74" s="3"/>
      <c r="G74" s="3"/>
      <c r="H74" s="255" t="s">
        <v>186</v>
      </c>
      <c r="I74" s="18"/>
      <c r="J74" s="18"/>
      <c r="K74" s="18"/>
      <c r="L74" s="78"/>
      <c r="M74" s="79">
        <v>5900</v>
      </c>
      <c r="N74" s="80">
        <f t="shared" si="105"/>
        <v>1.1148197447954639E-2</v>
      </c>
      <c r="O74" s="79"/>
      <c r="P74" s="80">
        <f t="shared" si="106"/>
        <v>0</v>
      </c>
      <c r="Q74" s="79"/>
      <c r="R74" s="80">
        <f t="shared" si="107"/>
        <v>0</v>
      </c>
      <c r="S74" s="79">
        <v>7633.3</v>
      </c>
      <c r="T74" s="81">
        <f t="shared" si="108"/>
        <v>4.1842866559500952E-2</v>
      </c>
      <c r="U74" s="80">
        <f t="shared" si="149"/>
        <v>-1</v>
      </c>
      <c r="V74" s="70">
        <f t="shared" si="150"/>
        <v>-5900</v>
      </c>
      <c r="W74" s="80">
        <f t="shared" si="151"/>
        <v>-1</v>
      </c>
      <c r="X74" s="70">
        <f t="shared" si="152"/>
        <v>-5900</v>
      </c>
      <c r="Y74" s="80">
        <f t="shared" si="153"/>
        <v>0.29377966101694919</v>
      </c>
      <c r="Z74" s="70">
        <f t="shared" si="154"/>
        <v>1733.3000000000002</v>
      </c>
      <c r="AA74" s="82"/>
      <c r="AC74" s="138">
        <v>5900</v>
      </c>
      <c r="AD74" s="138">
        <v>7633.3</v>
      </c>
      <c r="AE74" s="138">
        <v>0</v>
      </c>
      <c r="AF74" s="233"/>
      <c r="AG74" s="139"/>
      <c r="AH74" s="233"/>
      <c r="AI74" s="139"/>
      <c r="AK74" s="79">
        <v>5900</v>
      </c>
      <c r="AL74" s="80">
        <f t="shared" si="115"/>
        <v>1.1148197447954639E-2</v>
      </c>
      <c r="AM74" s="79">
        <v>0</v>
      </c>
      <c r="AN74" s="80">
        <f t="shared" si="116"/>
        <v>0</v>
      </c>
      <c r="AO74" s="79">
        <v>0</v>
      </c>
      <c r="AP74" s="80">
        <f t="shared" si="117"/>
        <v>0</v>
      </c>
      <c r="AQ74" s="79">
        <v>7633.3</v>
      </c>
      <c r="AR74" s="81">
        <f t="shared" si="118"/>
        <v>4.1842866559500952E-2</v>
      </c>
      <c r="AS74" s="80">
        <f t="shared" si="155"/>
        <v>-1</v>
      </c>
      <c r="AT74" s="70">
        <f t="shared" si="156"/>
        <v>-5900</v>
      </c>
      <c r="AU74" s="80">
        <f t="shared" si="157"/>
        <v>0</v>
      </c>
      <c r="AV74" s="70">
        <f t="shared" si="158"/>
        <v>-5900</v>
      </c>
      <c r="AW74" s="80">
        <f t="shared" si="159"/>
        <v>0.29377966101694919</v>
      </c>
      <c r="AX74" s="70">
        <f t="shared" si="160"/>
        <v>1733.3000000000002</v>
      </c>
      <c r="AY74" s="82"/>
      <c r="BA74" s="79">
        <v>0</v>
      </c>
      <c r="BB74" s="80">
        <f t="shared" si="125"/>
        <v>0</v>
      </c>
      <c r="BC74" s="79">
        <v>0</v>
      </c>
      <c r="BD74" s="80">
        <f t="shared" si="126"/>
        <v>0</v>
      </c>
      <c r="BE74" s="79">
        <v>39085.86</v>
      </c>
      <c r="BF74" s="81">
        <f t="shared" si="127"/>
        <v>8.1888171937769937E-3</v>
      </c>
      <c r="BG74" s="80">
        <f t="shared" si="161"/>
        <v>0</v>
      </c>
      <c r="BH74" s="70">
        <f t="shared" si="162"/>
        <v>0</v>
      </c>
      <c r="BI74" s="80">
        <f t="shared" si="163"/>
        <v>0</v>
      </c>
      <c r="BJ74" s="70">
        <f t="shared" si="164"/>
        <v>39085.86</v>
      </c>
      <c r="BK74" s="82"/>
    </row>
    <row r="75" spans="2:63" ht="11.95" outlineLevel="1" thickBot="1" x14ac:dyDescent="0.3">
      <c r="E75" s="3"/>
      <c r="F75" s="3"/>
      <c r="G75" s="3"/>
      <c r="H75" s="256" t="s">
        <v>105</v>
      </c>
      <c r="I75" s="18"/>
      <c r="J75" s="18"/>
      <c r="K75" s="18"/>
      <c r="L75" s="78"/>
      <c r="M75" s="79">
        <v>737.99</v>
      </c>
      <c r="N75" s="80">
        <f t="shared" si="105"/>
        <v>1.3944505482400076E-3</v>
      </c>
      <c r="O75" s="79">
        <v>1000</v>
      </c>
      <c r="P75" s="80">
        <f t="shared" si="106"/>
        <v>1.8811162522460109E-3</v>
      </c>
      <c r="Q75" s="79">
        <v>1000</v>
      </c>
      <c r="R75" s="80">
        <f t="shared" si="107"/>
        <v>1.8811162522460109E-3</v>
      </c>
      <c r="S75" s="79">
        <v>15095.57</v>
      </c>
      <c r="T75" s="81">
        <f t="shared" si="108"/>
        <v>8.274821127816355E-2</v>
      </c>
      <c r="U75" s="80">
        <f t="shared" si="132"/>
        <v>0.35503191100150405</v>
      </c>
      <c r="V75" s="70">
        <f t="shared" si="133"/>
        <v>262.01</v>
      </c>
      <c r="W75" s="80">
        <f t="shared" si="134"/>
        <v>0.35503191100150405</v>
      </c>
      <c r="X75" s="70">
        <f t="shared" si="135"/>
        <v>262.01</v>
      </c>
      <c r="Y75" s="80">
        <f t="shared" si="136"/>
        <v>19.454979064756973</v>
      </c>
      <c r="Z75" s="70">
        <f t="shared" si="137"/>
        <v>14357.58</v>
      </c>
      <c r="AA75" s="82"/>
      <c r="AC75" s="138">
        <v>737.99</v>
      </c>
      <c r="AD75" s="138">
        <v>15095.57</v>
      </c>
      <c r="AE75" s="138">
        <v>1000</v>
      </c>
      <c r="AF75" s="233"/>
      <c r="AG75" s="139"/>
      <c r="AH75" s="233"/>
      <c r="AI75" s="139"/>
      <c r="AK75" s="79">
        <v>737.99</v>
      </c>
      <c r="AL75" s="80">
        <f t="shared" si="115"/>
        <v>1.3944505482400076E-3</v>
      </c>
      <c r="AM75" s="79">
        <v>1000</v>
      </c>
      <c r="AN75" s="80">
        <f t="shared" si="116"/>
        <v>1.8811162522460109E-3</v>
      </c>
      <c r="AO75" s="79">
        <v>1000</v>
      </c>
      <c r="AP75" s="80">
        <f t="shared" si="117"/>
        <v>1.8811162522460109E-3</v>
      </c>
      <c r="AQ75" s="79">
        <v>15095.57</v>
      </c>
      <c r="AR75" s="81">
        <f t="shared" si="118"/>
        <v>8.274821127816355E-2</v>
      </c>
      <c r="AS75" s="80">
        <f t="shared" si="138"/>
        <v>0.35503191100150405</v>
      </c>
      <c r="AT75" s="70">
        <f t="shared" si="139"/>
        <v>262.01</v>
      </c>
      <c r="AU75" s="80">
        <f t="shared" si="140"/>
        <v>0.26200999999999997</v>
      </c>
      <c r="AV75" s="70">
        <f t="shared" si="141"/>
        <v>262.01</v>
      </c>
      <c r="AW75" s="80">
        <f t="shared" si="142"/>
        <v>19.454979064756973</v>
      </c>
      <c r="AX75" s="70">
        <f t="shared" si="143"/>
        <v>14357.58</v>
      </c>
      <c r="AY75" s="82"/>
      <c r="BA75" s="79">
        <v>12000</v>
      </c>
      <c r="BB75" s="80">
        <f t="shared" si="125"/>
        <v>1.7364150020732401E-3</v>
      </c>
      <c r="BC75" s="79">
        <v>12000</v>
      </c>
      <c r="BD75" s="80">
        <f t="shared" si="126"/>
        <v>1.7364150020732401E-3</v>
      </c>
      <c r="BE75" s="79">
        <v>51352.55</v>
      </c>
      <c r="BF75" s="81">
        <f t="shared" si="127"/>
        <v>1.0758792166381724E-2</v>
      </c>
      <c r="BG75" s="80">
        <f t="shared" si="144"/>
        <v>0</v>
      </c>
      <c r="BH75" s="70">
        <f t="shared" si="145"/>
        <v>0</v>
      </c>
      <c r="BI75" s="80">
        <f t="shared" si="146"/>
        <v>3.2793791666666667</v>
      </c>
      <c r="BJ75" s="70">
        <f t="shared" si="147"/>
        <v>39352.550000000003</v>
      </c>
      <c r="BK75" s="82"/>
    </row>
    <row r="76" spans="2:63" ht="11.95" hidden="1" outlineLevel="2" thickBot="1" x14ac:dyDescent="0.3">
      <c r="B76" t="str">
        <f t="shared" ref="B76" si="165">IF(LEFT(H76,3)="Mul", "#hiderow", "#showrow")</f>
        <v>#hiderow</v>
      </c>
      <c r="E76" s="3"/>
      <c r="F76" s="3"/>
      <c r="G76" s="3"/>
      <c r="H76" s="255" t="s">
        <v>6</v>
      </c>
      <c r="I76" s="18"/>
      <c r="J76" s="18"/>
      <c r="K76" s="18"/>
      <c r="L76" s="78"/>
      <c r="M76" s="79"/>
      <c r="N76" s="80">
        <f t="shared" si="105"/>
        <v>0</v>
      </c>
      <c r="O76" s="79"/>
      <c r="P76" s="80">
        <f t="shared" si="106"/>
        <v>0</v>
      </c>
      <c r="Q76" s="79"/>
      <c r="R76" s="80">
        <f t="shared" si="107"/>
        <v>0</v>
      </c>
      <c r="S76" s="79"/>
      <c r="T76" s="81">
        <f t="shared" si="108"/>
        <v>0</v>
      </c>
      <c r="U76" s="80">
        <f t="shared" si="132"/>
        <v>0</v>
      </c>
      <c r="V76" s="70">
        <f t="shared" si="133"/>
        <v>0</v>
      </c>
      <c r="W76" s="80">
        <f t="shared" si="134"/>
        <v>0</v>
      </c>
      <c r="X76" s="70">
        <f t="shared" si="135"/>
        <v>0</v>
      </c>
      <c r="Y76" s="80">
        <f t="shared" si="136"/>
        <v>0</v>
      </c>
      <c r="Z76" s="70">
        <f t="shared" si="137"/>
        <v>0</v>
      </c>
      <c r="AA76" s="82"/>
      <c r="AC76" s="138"/>
      <c r="AD76" s="138"/>
      <c r="AE76" s="138"/>
      <c r="AF76" s="233"/>
      <c r="AG76" s="139"/>
      <c r="AH76" s="233"/>
      <c r="AI76" s="139"/>
      <c r="AK76" s="79"/>
      <c r="AL76" s="80">
        <f t="shared" si="115"/>
        <v>0</v>
      </c>
      <c r="AM76" s="79"/>
      <c r="AN76" s="80">
        <f t="shared" si="116"/>
        <v>0</v>
      </c>
      <c r="AO76" s="79"/>
      <c r="AP76" s="80">
        <f t="shared" si="117"/>
        <v>0</v>
      </c>
      <c r="AQ76" s="79"/>
      <c r="AR76" s="81">
        <f t="shared" si="118"/>
        <v>0</v>
      </c>
      <c r="AS76" s="80">
        <f t="shared" si="138"/>
        <v>0</v>
      </c>
      <c r="AT76" s="70">
        <f t="shared" si="139"/>
        <v>0</v>
      </c>
      <c r="AU76" s="80">
        <f t="shared" si="140"/>
        <v>0</v>
      </c>
      <c r="AV76" s="70">
        <f t="shared" si="141"/>
        <v>0</v>
      </c>
      <c r="AW76" s="80">
        <f t="shared" si="142"/>
        <v>0</v>
      </c>
      <c r="AX76" s="70">
        <f t="shared" si="143"/>
        <v>0</v>
      </c>
      <c r="AY76" s="82"/>
      <c r="BA76" s="79"/>
      <c r="BB76" s="80">
        <f t="shared" si="125"/>
        <v>0</v>
      </c>
      <c r="BC76" s="79"/>
      <c r="BD76" s="80">
        <f t="shared" si="126"/>
        <v>0</v>
      </c>
      <c r="BE76" s="79"/>
      <c r="BF76" s="81">
        <f t="shared" si="127"/>
        <v>0</v>
      </c>
      <c r="BG76" s="80">
        <f t="shared" si="144"/>
        <v>0</v>
      </c>
      <c r="BH76" s="70">
        <f t="shared" si="145"/>
        <v>0</v>
      </c>
      <c r="BI76" s="80">
        <f t="shared" si="146"/>
        <v>0</v>
      </c>
      <c r="BJ76" s="70">
        <f t="shared" si="147"/>
        <v>0</v>
      </c>
      <c r="BK76" s="82"/>
    </row>
    <row r="77" spans="2:63" ht="11.95" outlineLevel="2" thickBot="1" x14ac:dyDescent="0.3">
      <c r="B77" t="str">
        <f t="shared" ref="B77:B87" si="166">IF(LEFT(H77,3)="Mul", "#hiderow", "#showrow")</f>
        <v>#showrow</v>
      </c>
      <c r="E77" s="3"/>
      <c r="F77" s="3"/>
      <c r="G77" s="3"/>
      <c r="H77" s="255" t="s">
        <v>164</v>
      </c>
      <c r="I77" s="18"/>
      <c r="J77" s="18"/>
      <c r="K77" s="18"/>
      <c r="L77" s="78"/>
      <c r="M77" s="79"/>
      <c r="N77" s="80">
        <f t="shared" si="105"/>
        <v>0</v>
      </c>
      <c r="O77" s="79"/>
      <c r="P77" s="80">
        <f t="shared" si="106"/>
        <v>0</v>
      </c>
      <c r="Q77" s="79"/>
      <c r="R77" s="80">
        <f t="shared" si="107"/>
        <v>0</v>
      </c>
      <c r="S77" s="79">
        <v>8332.77</v>
      </c>
      <c r="T77" s="81">
        <f t="shared" si="108"/>
        <v>4.567709682326291E-2</v>
      </c>
      <c r="U77" s="80">
        <f t="shared" ref="U77:U87" si="167">IFERROR(($O77-M77)/ABS(M77),0)</f>
        <v>0</v>
      </c>
      <c r="V77" s="70">
        <f t="shared" ref="V77:V87" si="168">IFERROR((O77-$M77), 0-$M77)</f>
        <v>0</v>
      </c>
      <c r="W77" s="80">
        <f t="shared" ref="W77:W87" si="169">IFERROR((Q77-$M77)/ABS($M77),0)</f>
        <v>0</v>
      </c>
      <c r="X77" s="70">
        <f t="shared" ref="X77:X87" si="170">IFERROR((Q77-$M77), 0 -$M77)</f>
        <v>0</v>
      </c>
      <c r="Y77" s="80">
        <f t="shared" ref="Y77:Y87" si="171">IFERROR((S77-$M77)/ABS($M77),0)</f>
        <v>0</v>
      </c>
      <c r="Z77" s="70">
        <f t="shared" ref="Z77:Z87" si="172">IFERROR((S77-$M77),0-$M77)</f>
        <v>8332.77</v>
      </c>
      <c r="AA77" s="82"/>
      <c r="AC77" s="138">
        <v>0</v>
      </c>
      <c r="AD77" s="138">
        <v>8332.77</v>
      </c>
      <c r="AE77" s="138">
        <v>0</v>
      </c>
      <c r="AF77" s="233"/>
      <c r="AG77" s="139"/>
      <c r="AH77" s="233"/>
      <c r="AI77" s="139"/>
      <c r="AK77" s="79">
        <v>0</v>
      </c>
      <c r="AL77" s="80">
        <f t="shared" si="115"/>
        <v>0</v>
      </c>
      <c r="AM77" s="79">
        <v>0</v>
      </c>
      <c r="AN77" s="80">
        <f t="shared" si="116"/>
        <v>0</v>
      </c>
      <c r="AO77" s="79">
        <v>0</v>
      </c>
      <c r="AP77" s="80">
        <f t="shared" si="117"/>
        <v>0</v>
      </c>
      <c r="AQ77" s="79">
        <v>8332.77</v>
      </c>
      <c r="AR77" s="81">
        <f t="shared" si="118"/>
        <v>4.567709682326291E-2</v>
      </c>
      <c r="AS77" s="80">
        <f t="shared" ref="AS77:AS87" si="173">IFERROR((AM77-$AK77)/ABS($AK77),0)</f>
        <v>0</v>
      </c>
      <c r="AT77" s="70">
        <f t="shared" ref="AT77:AT87" si="174">(AM77-$AK77)</f>
        <v>0</v>
      </c>
      <c r="AU77" s="80">
        <f t="shared" ref="AU77:AU87" si="175">IFERROR((AO77-$AK77)/ABS($AO77),0)</f>
        <v>0</v>
      </c>
      <c r="AV77" s="70">
        <f t="shared" ref="AV77:AV87" si="176">(AO77-$AK77)</f>
        <v>0</v>
      </c>
      <c r="AW77" s="80">
        <f t="shared" ref="AW77:AW87" si="177">IFERROR((AQ77-$AK77)/ABS($AK77),0)</f>
        <v>0</v>
      </c>
      <c r="AX77" s="70">
        <f t="shared" ref="AX77:AX87" si="178">(AQ77-$AK77)</f>
        <v>8332.77</v>
      </c>
      <c r="AY77" s="82"/>
      <c r="BA77" s="79">
        <v>0</v>
      </c>
      <c r="BB77" s="80">
        <f t="shared" si="125"/>
        <v>0</v>
      </c>
      <c r="BC77" s="79">
        <v>0</v>
      </c>
      <c r="BD77" s="80">
        <f t="shared" si="126"/>
        <v>0</v>
      </c>
      <c r="BE77" s="79">
        <v>10537.31</v>
      </c>
      <c r="BF77" s="81">
        <f t="shared" si="127"/>
        <v>2.2076552826049687E-3</v>
      </c>
      <c r="BG77" s="80">
        <f t="shared" ref="BG77:BG87" si="179">IFERROR((BC77-$BA77)/ABS($BA77),0)</f>
        <v>0</v>
      </c>
      <c r="BH77" s="70">
        <f t="shared" ref="BH77:BH87" si="180">(BC77-$BA77)</f>
        <v>0</v>
      </c>
      <c r="BI77" s="80">
        <f t="shared" ref="BI77:BI87" si="181">IFERROR((BE77-$BA77)/ABS($BA77),0)</f>
        <v>0</v>
      </c>
      <c r="BJ77" s="70">
        <f t="shared" ref="BJ77:BJ87" si="182">(BE77-$BA77)</f>
        <v>10537.31</v>
      </c>
      <c r="BK77" s="82"/>
    </row>
    <row r="78" spans="2:63" ht="11.95" outlineLevel="2" thickBot="1" x14ac:dyDescent="0.3">
      <c r="B78" t="str">
        <f t="shared" si="166"/>
        <v>#showrow</v>
      </c>
      <c r="E78" s="3"/>
      <c r="F78" s="3"/>
      <c r="G78" s="3"/>
      <c r="H78" s="255" t="s">
        <v>165</v>
      </c>
      <c r="I78" s="18"/>
      <c r="J78" s="18"/>
      <c r="K78" s="18"/>
      <c r="L78" s="78"/>
      <c r="M78" s="79"/>
      <c r="N78" s="80">
        <f t="shared" si="105"/>
        <v>0</v>
      </c>
      <c r="O78" s="79"/>
      <c r="P78" s="80">
        <f t="shared" si="106"/>
        <v>0</v>
      </c>
      <c r="Q78" s="79"/>
      <c r="R78" s="80">
        <f t="shared" si="107"/>
        <v>0</v>
      </c>
      <c r="S78" s="79">
        <v>128.63999999999999</v>
      </c>
      <c r="T78" s="81">
        <f t="shared" si="108"/>
        <v>7.0515587677861505E-4</v>
      </c>
      <c r="U78" s="80">
        <f t="shared" si="167"/>
        <v>0</v>
      </c>
      <c r="V78" s="70">
        <f t="shared" si="168"/>
        <v>0</v>
      </c>
      <c r="W78" s="80">
        <f t="shared" si="169"/>
        <v>0</v>
      </c>
      <c r="X78" s="70">
        <f t="shared" si="170"/>
        <v>0</v>
      </c>
      <c r="Y78" s="80">
        <f t="shared" si="171"/>
        <v>0</v>
      </c>
      <c r="Z78" s="70">
        <f t="shared" si="172"/>
        <v>128.63999999999999</v>
      </c>
      <c r="AA78" s="82"/>
      <c r="AC78" s="138">
        <v>0</v>
      </c>
      <c r="AD78" s="138">
        <v>128.63999999999999</v>
      </c>
      <c r="AE78" s="138">
        <v>0</v>
      </c>
      <c r="AF78" s="233"/>
      <c r="AG78" s="139"/>
      <c r="AH78" s="233"/>
      <c r="AI78" s="139"/>
      <c r="AK78" s="79">
        <v>0</v>
      </c>
      <c r="AL78" s="80">
        <f t="shared" si="115"/>
        <v>0</v>
      </c>
      <c r="AM78" s="79">
        <v>0</v>
      </c>
      <c r="AN78" s="80">
        <f t="shared" si="116"/>
        <v>0</v>
      </c>
      <c r="AO78" s="79">
        <v>0</v>
      </c>
      <c r="AP78" s="80">
        <f t="shared" si="117"/>
        <v>0</v>
      </c>
      <c r="AQ78" s="79">
        <v>128.63999999999999</v>
      </c>
      <c r="AR78" s="81">
        <f t="shared" si="118"/>
        <v>7.0515587677861505E-4</v>
      </c>
      <c r="AS78" s="80">
        <f t="shared" si="173"/>
        <v>0</v>
      </c>
      <c r="AT78" s="70">
        <f t="shared" si="174"/>
        <v>0</v>
      </c>
      <c r="AU78" s="80">
        <f t="shared" si="175"/>
        <v>0</v>
      </c>
      <c r="AV78" s="70">
        <f t="shared" si="176"/>
        <v>0</v>
      </c>
      <c r="AW78" s="80">
        <f t="shared" si="177"/>
        <v>0</v>
      </c>
      <c r="AX78" s="70">
        <f t="shared" si="178"/>
        <v>128.63999999999999</v>
      </c>
      <c r="AY78" s="82"/>
      <c r="BA78" s="79">
        <v>0</v>
      </c>
      <c r="BB78" s="80">
        <f t="shared" si="125"/>
        <v>0</v>
      </c>
      <c r="BC78" s="79">
        <v>0</v>
      </c>
      <c r="BD78" s="80">
        <f t="shared" si="126"/>
        <v>0</v>
      </c>
      <c r="BE78" s="79">
        <v>3355.45</v>
      </c>
      <c r="BF78" s="81">
        <f t="shared" si="127"/>
        <v>7.0299506401698744E-4</v>
      </c>
      <c r="BG78" s="80">
        <f t="shared" si="179"/>
        <v>0</v>
      </c>
      <c r="BH78" s="70">
        <f t="shared" si="180"/>
        <v>0</v>
      </c>
      <c r="BI78" s="80">
        <f t="shared" si="181"/>
        <v>0</v>
      </c>
      <c r="BJ78" s="70">
        <f t="shared" si="182"/>
        <v>3355.45</v>
      </c>
      <c r="BK78" s="82"/>
    </row>
    <row r="79" spans="2:63" ht="11.95" outlineLevel="2" thickBot="1" x14ac:dyDescent="0.3">
      <c r="B79" t="str">
        <f t="shared" si="166"/>
        <v>#showrow</v>
      </c>
      <c r="E79" s="3"/>
      <c r="F79" s="3"/>
      <c r="G79" s="3"/>
      <c r="H79" s="255" t="s">
        <v>166</v>
      </c>
      <c r="I79" s="18"/>
      <c r="J79" s="18"/>
      <c r="K79" s="18"/>
      <c r="L79" s="78"/>
      <c r="M79" s="79"/>
      <c r="N79" s="80">
        <f t="shared" si="105"/>
        <v>0</v>
      </c>
      <c r="O79" s="79"/>
      <c r="P79" s="80">
        <f t="shared" si="106"/>
        <v>0</v>
      </c>
      <c r="Q79" s="79"/>
      <c r="R79" s="80">
        <f t="shared" si="107"/>
        <v>0</v>
      </c>
      <c r="S79" s="79"/>
      <c r="T79" s="81">
        <f t="shared" si="108"/>
        <v>0</v>
      </c>
      <c r="U79" s="80">
        <f t="shared" si="167"/>
        <v>0</v>
      </c>
      <c r="V79" s="70">
        <f t="shared" si="168"/>
        <v>0</v>
      </c>
      <c r="W79" s="80">
        <f t="shared" si="169"/>
        <v>0</v>
      </c>
      <c r="X79" s="70">
        <f t="shared" si="170"/>
        <v>0</v>
      </c>
      <c r="Y79" s="80">
        <f t="shared" si="171"/>
        <v>0</v>
      </c>
      <c r="Z79" s="70">
        <f t="shared" si="172"/>
        <v>0</v>
      </c>
      <c r="AA79" s="82"/>
      <c r="AC79" s="138">
        <v>0</v>
      </c>
      <c r="AD79" s="138">
        <v>0</v>
      </c>
      <c r="AE79" s="138">
        <v>0</v>
      </c>
      <c r="AF79" s="233"/>
      <c r="AG79" s="139"/>
      <c r="AH79" s="233"/>
      <c r="AI79" s="139"/>
      <c r="AK79" s="79">
        <v>0</v>
      </c>
      <c r="AL79" s="80">
        <f t="shared" si="115"/>
        <v>0</v>
      </c>
      <c r="AM79" s="79">
        <v>0</v>
      </c>
      <c r="AN79" s="80">
        <f t="shared" si="116"/>
        <v>0</v>
      </c>
      <c r="AO79" s="79">
        <v>0</v>
      </c>
      <c r="AP79" s="80">
        <f t="shared" si="117"/>
        <v>0</v>
      </c>
      <c r="AQ79" s="79">
        <v>0</v>
      </c>
      <c r="AR79" s="81">
        <f t="shared" si="118"/>
        <v>0</v>
      </c>
      <c r="AS79" s="80">
        <f t="shared" si="173"/>
        <v>0</v>
      </c>
      <c r="AT79" s="70">
        <f t="shared" si="174"/>
        <v>0</v>
      </c>
      <c r="AU79" s="80">
        <f t="shared" si="175"/>
        <v>0</v>
      </c>
      <c r="AV79" s="70">
        <f t="shared" si="176"/>
        <v>0</v>
      </c>
      <c r="AW79" s="80">
        <f t="shared" si="177"/>
        <v>0</v>
      </c>
      <c r="AX79" s="70">
        <f t="shared" si="178"/>
        <v>0</v>
      </c>
      <c r="AY79" s="82"/>
      <c r="BA79" s="79">
        <v>0</v>
      </c>
      <c r="BB79" s="80">
        <f t="shared" si="125"/>
        <v>0</v>
      </c>
      <c r="BC79" s="79">
        <v>0</v>
      </c>
      <c r="BD79" s="80">
        <f t="shared" si="126"/>
        <v>0</v>
      </c>
      <c r="BE79" s="79">
        <v>822.38</v>
      </c>
      <c r="BF79" s="81">
        <f t="shared" si="127"/>
        <v>1.7229554329413051E-4</v>
      </c>
      <c r="BG79" s="80">
        <f t="shared" si="179"/>
        <v>0</v>
      </c>
      <c r="BH79" s="70">
        <f t="shared" si="180"/>
        <v>0</v>
      </c>
      <c r="BI79" s="80">
        <f t="shared" si="181"/>
        <v>0</v>
      </c>
      <c r="BJ79" s="70">
        <f t="shared" si="182"/>
        <v>822.38</v>
      </c>
      <c r="BK79" s="82"/>
    </row>
    <row r="80" spans="2:63" ht="11.95" outlineLevel="2" thickBot="1" x14ac:dyDescent="0.3">
      <c r="B80" t="str">
        <f t="shared" si="166"/>
        <v>#showrow</v>
      </c>
      <c r="E80" s="3"/>
      <c r="F80" s="3"/>
      <c r="G80" s="3"/>
      <c r="H80" s="255" t="s">
        <v>167</v>
      </c>
      <c r="I80" s="18"/>
      <c r="J80" s="18"/>
      <c r="K80" s="18"/>
      <c r="L80" s="78"/>
      <c r="M80" s="79"/>
      <c r="N80" s="80">
        <f t="shared" si="105"/>
        <v>0</v>
      </c>
      <c r="O80" s="79"/>
      <c r="P80" s="80">
        <f t="shared" si="106"/>
        <v>0</v>
      </c>
      <c r="Q80" s="79"/>
      <c r="R80" s="80">
        <f t="shared" si="107"/>
        <v>0</v>
      </c>
      <c r="S80" s="79"/>
      <c r="T80" s="81">
        <f t="shared" si="108"/>
        <v>0</v>
      </c>
      <c r="U80" s="80">
        <f t="shared" si="167"/>
        <v>0</v>
      </c>
      <c r="V80" s="70">
        <f t="shared" si="168"/>
        <v>0</v>
      </c>
      <c r="W80" s="80">
        <f t="shared" si="169"/>
        <v>0</v>
      </c>
      <c r="X80" s="70">
        <f t="shared" si="170"/>
        <v>0</v>
      </c>
      <c r="Y80" s="80">
        <f t="shared" si="171"/>
        <v>0</v>
      </c>
      <c r="Z80" s="70">
        <f t="shared" si="172"/>
        <v>0</v>
      </c>
      <c r="AA80" s="82"/>
      <c r="AC80" s="138">
        <v>0</v>
      </c>
      <c r="AD80" s="138">
        <v>0</v>
      </c>
      <c r="AE80" s="138">
        <v>0</v>
      </c>
      <c r="AF80" s="233"/>
      <c r="AG80" s="139"/>
      <c r="AH80" s="233"/>
      <c r="AI80" s="139"/>
      <c r="AK80" s="79">
        <v>0</v>
      </c>
      <c r="AL80" s="80">
        <f t="shared" si="115"/>
        <v>0</v>
      </c>
      <c r="AM80" s="79">
        <v>0</v>
      </c>
      <c r="AN80" s="80">
        <f t="shared" si="116"/>
        <v>0</v>
      </c>
      <c r="AO80" s="79">
        <v>0</v>
      </c>
      <c r="AP80" s="80">
        <f t="shared" si="117"/>
        <v>0</v>
      </c>
      <c r="AQ80" s="79">
        <v>0</v>
      </c>
      <c r="AR80" s="81">
        <f t="shared" si="118"/>
        <v>0</v>
      </c>
      <c r="AS80" s="80">
        <f t="shared" si="173"/>
        <v>0</v>
      </c>
      <c r="AT80" s="70">
        <f t="shared" si="174"/>
        <v>0</v>
      </c>
      <c r="AU80" s="80">
        <f t="shared" si="175"/>
        <v>0</v>
      </c>
      <c r="AV80" s="70">
        <f t="shared" si="176"/>
        <v>0</v>
      </c>
      <c r="AW80" s="80">
        <f t="shared" si="177"/>
        <v>0</v>
      </c>
      <c r="AX80" s="70">
        <f t="shared" si="178"/>
        <v>0</v>
      </c>
      <c r="AY80" s="82"/>
      <c r="BA80" s="79">
        <v>0</v>
      </c>
      <c r="BB80" s="80">
        <f t="shared" si="125"/>
        <v>0</v>
      </c>
      <c r="BC80" s="79">
        <v>0</v>
      </c>
      <c r="BD80" s="80">
        <f t="shared" si="126"/>
        <v>0</v>
      </c>
      <c r="BE80" s="79">
        <v>536.55999999999995</v>
      </c>
      <c r="BF80" s="81">
        <f t="shared" si="127"/>
        <v>1.124138436123187E-4</v>
      </c>
      <c r="BG80" s="80">
        <f t="shared" si="179"/>
        <v>0</v>
      </c>
      <c r="BH80" s="70">
        <f t="shared" si="180"/>
        <v>0</v>
      </c>
      <c r="BI80" s="80">
        <f t="shared" si="181"/>
        <v>0</v>
      </c>
      <c r="BJ80" s="70">
        <f t="shared" si="182"/>
        <v>536.55999999999995</v>
      </c>
      <c r="BK80" s="82"/>
    </row>
    <row r="81" spans="2:63" ht="11.95" outlineLevel="2" thickBot="1" x14ac:dyDescent="0.3">
      <c r="B81" t="str">
        <f t="shared" si="166"/>
        <v>#showrow</v>
      </c>
      <c r="E81" s="3"/>
      <c r="F81" s="3"/>
      <c r="G81" s="3"/>
      <c r="H81" s="255" t="s">
        <v>168</v>
      </c>
      <c r="I81" s="18"/>
      <c r="J81" s="18"/>
      <c r="K81" s="18"/>
      <c r="L81" s="78"/>
      <c r="M81" s="79">
        <v>16.32</v>
      </c>
      <c r="N81" s="80">
        <f t="shared" si="105"/>
        <v>3.0837047856037238E-5</v>
      </c>
      <c r="O81" s="79"/>
      <c r="P81" s="80">
        <f t="shared" si="106"/>
        <v>0</v>
      </c>
      <c r="Q81" s="79"/>
      <c r="R81" s="80">
        <f t="shared" si="107"/>
        <v>0</v>
      </c>
      <c r="S81" s="79">
        <v>898.22</v>
      </c>
      <c r="T81" s="81">
        <f t="shared" si="108"/>
        <v>4.9237026713315271E-3</v>
      </c>
      <c r="U81" s="80">
        <f t="shared" si="167"/>
        <v>-1</v>
      </c>
      <c r="V81" s="70">
        <f t="shared" si="168"/>
        <v>-16.32</v>
      </c>
      <c r="W81" s="80">
        <f t="shared" si="169"/>
        <v>-1</v>
      </c>
      <c r="X81" s="70">
        <f t="shared" si="170"/>
        <v>-16.32</v>
      </c>
      <c r="Y81" s="80">
        <f t="shared" si="171"/>
        <v>54.037990196078432</v>
      </c>
      <c r="Z81" s="70">
        <f t="shared" si="172"/>
        <v>881.9</v>
      </c>
      <c r="AA81" s="82"/>
      <c r="AC81" s="138">
        <v>16.32</v>
      </c>
      <c r="AD81" s="138">
        <v>898.22</v>
      </c>
      <c r="AE81" s="138">
        <v>0</v>
      </c>
      <c r="AF81" s="233"/>
      <c r="AG81" s="139"/>
      <c r="AH81" s="233"/>
      <c r="AI81" s="139"/>
      <c r="AK81" s="79">
        <v>16.32</v>
      </c>
      <c r="AL81" s="80">
        <f t="shared" si="115"/>
        <v>3.0837047856037238E-5</v>
      </c>
      <c r="AM81" s="79">
        <v>0</v>
      </c>
      <c r="AN81" s="80">
        <f t="shared" si="116"/>
        <v>0</v>
      </c>
      <c r="AO81" s="79">
        <v>0</v>
      </c>
      <c r="AP81" s="80">
        <f t="shared" si="117"/>
        <v>0</v>
      </c>
      <c r="AQ81" s="79">
        <v>898.22</v>
      </c>
      <c r="AR81" s="81">
        <f t="shared" si="118"/>
        <v>4.9237026713315271E-3</v>
      </c>
      <c r="AS81" s="80">
        <f t="shared" si="173"/>
        <v>-1</v>
      </c>
      <c r="AT81" s="70">
        <f t="shared" si="174"/>
        <v>-16.32</v>
      </c>
      <c r="AU81" s="80">
        <f t="shared" si="175"/>
        <v>0</v>
      </c>
      <c r="AV81" s="70">
        <f t="shared" si="176"/>
        <v>-16.32</v>
      </c>
      <c r="AW81" s="80">
        <f t="shared" si="177"/>
        <v>54.037990196078432</v>
      </c>
      <c r="AX81" s="70">
        <f t="shared" si="178"/>
        <v>881.9</v>
      </c>
      <c r="AY81" s="82"/>
      <c r="BA81" s="79">
        <v>0</v>
      </c>
      <c r="BB81" s="80">
        <f t="shared" si="125"/>
        <v>0</v>
      </c>
      <c r="BC81" s="79">
        <v>0</v>
      </c>
      <c r="BD81" s="80">
        <f t="shared" si="126"/>
        <v>0</v>
      </c>
      <c r="BE81" s="79">
        <v>2620.88</v>
      </c>
      <c r="BF81" s="81">
        <f t="shared" si="127"/>
        <v>5.4909645602850359E-4</v>
      </c>
      <c r="BG81" s="80">
        <f t="shared" si="179"/>
        <v>0</v>
      </c>
      <c r="BH81" s="70">
        <f t="shared" si="180"/>
        <v>0</v>
      </c>
      <c r="BI81" s="80">
        <f t="shared" si="181"/>
        <v>0</v>
      </c>
      <c r="BJ81" s="70">
        <f t="shared" si="182"/>
        <v>2620.88</v>
      </c>
      <c r="BK81" s="82"/>
    </row>
    <row r="82" spans="2:63" ht="11.95" outlineLevel="2" thickBot="1" x14ac:dyDescent="0.3">
      <c r="B82" t="str">
        <f t="shared" si="166"/>
        <v>#showrow</v>
      </c>
      <c r="E82" s="3"/>
      <c r="F82" s="3"/>
      <c r="G82" s="3"/>
      <c r="H82" s="255" t="s">
        <v>169</v>
      </c>
      <c r="I82" s="18"/>
      <c r="J82" s="18"/>
      <c r="K82" s="18"/>
      <c r="L82" s="78"/>
      <c r="M82" s="79"/>
      <c r="N82" s="80">
        <f t="shared" si="105"/>
        <v>0</v>
      </c>
      <c r="O82" s="79"/>
      <c r="P82" s="80">
        <f t="shared" si="106"/>
        <v>0</v>
      </c>
      <c r="Q82" s="79"/>
      <c r="R82" s="80">
        <f t="shared" si="107"/>
        <v>0</v>
      </c>
      <c r="S82" s="79">
        <v>16.32</v>
      </c>
      <c r="T82" s="81">
        <f t="shared" si="108"/>
        <v>8.9460073919675056E-5</v>
      </c>
      <c r="U82" s="80">
        <f t="shared" si="167"/>
        <v>0</v>
      </c>
      <c r="V82" s="70">
        <f t="shared" si="168"/>
        <v>0</v>
      </c>
      <c r="W82" s="80">
        <f t="shared" si="169"/>
        <v>0</v>
      </c>
      <c r="X82" s="70">
        <f t="shared" si="170"/>
        <v>0</v>
      </c>
      <c r="Y82" s="80">
        <f t="shared" si="171"/>
        <v>0</v>
      </c>
      <c r="Z82" s="70">
        <f t="shared" si="172"/>
        <v>16.32</v>
      </c>
      <c r="AA82" s="82"/>
      <c r="AC82" s="138">
        <v>0</v>
      </c>
      <c r="AD82" s="138">
        <v>16.32</v>
      </c>
      <c r="AE82" s="138">
        <v>0</v>
      </c>
      <c r="AF82" s="233"/>
      <c r="AG82" s="139"/>
      <c r="AH82" s="233"/>
      <c r="AI82" s="139"/>
      <c r="AK82" s="79">
        <v>0</v>
      </c>
      <c r="AL82" s="80">
        <f t="shared" si="115"/>
        <v>0</v>
      </c>
      <c r="AM82" s="79">
        <v>0</v>
      </c>
      <c r="AN82" s="80">
        <f t="shared" si="116"/>
        <v>0</v>
      </c>
      <c r="AO82" s="79">
        <v>0</v>
      </c>
      <c r="AP82" s="80">
        <f t="shared" si="117"/>
        <v>0</v>
      </c>
      <c r="AQ82" s="79">
        <v>16.32</v>
      </c>
      <c r="AR82" s="81">
        <f t="shared" si="118"/>
        <v>8.9460073919675056E-5</v>
      </c>
      <c r="AS82" s="80">
        <f t="shared" si="173"/>
        <v>0</v>
      </c>
      <c r="AT82" s="70">
        <f t="shared" si="174"/>
        <v>0</v>
      </c>
      <c r="AU82" s="80">
        <f t="shared" si="175"/>
        <v>0</v>
      </c>
      <c r="AV82" s="70">
        <f t="shared" si="176"/>
        <v>0</v>
      </c>
      <c r="AW82" s="80">
        <f t="shared" si="177"/>
        <v>0</v>
      </c>
      <c r="AX82" s="70">
        <f t="shared" si="178"/>
        <v>16.32</v>
      </c>
      <c r="AY82" s="82"/>
      <c r="BA82" s="79">
        <v>0</v>
      </c>
      <c r="BB82" s="80">
        <f t="shared" si="125"/>
        <v>0</v>
      </c>
      <c r="BC82" s="79">
        <v>0</v>
      </c>
      <c r="BD82" s="80">
        <f t="shared" si="126"/>
        <v>0</v>
      </c>
      <c r="BE82" s="79">
        <v>32.64</v>
      </c>
      <c r="BF82" s="81">
        <f t="shared" si="127"/>
        <v>6.8383551802334923E-6</v>
      </c>
      <c r="BG82" s="80">
        <f t="shared" si="179"/>
        <v>0</v>
      </c>
      <c r="BH82" s="70">
        <f t="shared" si="180"/>
        <v>0</v>
      </c>
      <c r="BI82" s="80">
        <f t="shared" si="181"/>
        <v>0</v>
      </c>
      <c r="BJ82" s="70">
        <f t="shared" si="182"/>
        <v>32.64</v>
      </c>
      <c r="BK82" s="82"/>
    </row>
    <row r="83" spans="2:63" ht="11.95" outlineLevel="2" thickBot="1" x14ac:dyDescent="0.3">
      <c r="B83" t="str">
        <f t="shared" si="166"/>
        <v>#showrow</v>
      </c>
      <c r="E83" s="3"/>
      <c r="F83" s="3"/>
      <c r="G83" s="3"/>
      <c r="H83" s="255" t="s">
        <v>170</v>
      </c>
      <c r="I83" s="18"/>
      <c r="J83" s="18"/>
      <c r="K83" s="18"/>
      <c r="L83" s="78"/>
      <c r="M83" s="79">
        <v>84.63</v>
      </c>
      <c r="N83" s="80">
        <f t="shared" si="105"/>
        <v>1.5991050000345781E-4</v>
      </c>
      <c r="O83" s="79"/>
      <c r="P83" s="80">
        <f t="shared" si="106"/>
        <v>0</v>
      </c>
      <c r="Q83" s="79"/>
      <c r="R83" s="80">
        <f t="shared" si="107"/>
        <v>0</v>
      </c>
      <c r="S83" s="79">
        <v>95.14</v>
      </c>
      <c r="T83" s="81">
        <f t="shared" si="108"/>
        <v>5.2152153386751741E-4</v>
      </c>
      <c r="U83" s="80">
        <f t="shared" si="167"/>
        <v>-1</v>
      </c>
      <c r="V83" s="70">
        <f t="shared" si="168"/>
        <v>-84.63</v>
      </c>
      <c r="W83" s="80">
        <f t="shared" si="169"/>
        <v>-1</v>
      </c>
      <c r="X83" s="70">
        <f t="shared" si="170"/>
        <v>-84.63</v>
      </c>
      <c r="Y83" s="80">
        <f t="shared" si="171"/>
        <v>0.12418764031667265</v>
      </c>
      <c r="Z83" s="70">
        <f t="shared" si="172"/>
        <v>10.510000000000005</v>
      </c>
      <c r="AA83" s="82"/>
      <c r="AC83" s="138">
        <v>84.63</v>
      </c>
      <c r="AD83" s="138">
        <v>95.14</v>
      </c>
      <c r="AE83" s="138">
        <v>0</v>
      </c>
      <c r="AF83" s="233"/>
      <c r="AG83" s="139"/>
      <c r="AH83" s="233"/>
      <c r="AI83" s="139"/>
      <c r="AK83" s="79">
        <v>84.63</v>
      </c>
      <c r="AL83" s="80">
        <f t="shared" si="115"/>
        <v>1.5991050000345781E-4</v>
      </c>
      <c r="AM83" s="79">
        <v>0</v>
      </c>
      <c r="AN83" s="80">
        <f t="shared" si="116"/>
        <v>0</v>
      </c>
      <c r="AO83" s="79">
        <v>0</v>
      </c>
      <c r="AP83" s="80">
        <f t="shared" si="117"/>
        <v>0</v>
      </c>
      <c r="AQ83" s="79">
        <v>95.14</v>
      </c>
      <c r="AR83" s="81">
        <f t="shared" si="118"/>
        <v>5.2152153386751741E-4</v>
      </c>
      <c r="AS83" s="80">
        <f t="shared" si="173"/>
        <v>-1</v>
      </c>
      <c r="AT83" s="70">
        <f t="shared" si="174"/>
        <v>-84.63</v>
      </c>
      <c r="AU83" s="80">
        <f t="shared" si="175"/>
        <v>0</v>
      </c>
      <c r="AV83" s="70">
        <f t="shared" si="176"/>
        <v>-84.63</v>
      </c>
      <c r="AW83" s="80">
        <f t="shared" si="177"/>
        <v>0.12418764031667265</v>
      </c>
      <c r="AX83" s="70">
        <f t="shared" si="178"/>
        <v>10.510000000000005</v>
      </c>
      <c r="AY83" s="82"/>
      <c r="BA83" s="79">
        <v>0</v>
      </c>
      <c r="BB83" s="80">
        <f t="shared" si="125"/>
        <v>0</v>
      </c>
      <c r="BC83" s="79">
        <v>0</v>
      </c>
      <c r="BD83" s="80">
        <f t="shared" si="126"/>
        <v>0</v>
      </c>
      <c r="BE83" s="79">
        <v>1518.33</v>
      </c>
      <c r="BF83" s="81">
        <f t="shared" si="127"/>
        <v>3.1810293568639453E-4</v>
      </c>
      <c r="BG83" s="80">
        <f t="shared" si="179"/>
        <v>0</v>
      </c>
      <c r="BH83" s="70">
        <f t="shared" si="180"/>
        <v>0</v>
      </c>
      <c r="BI83" s="80">
        <f t="shared" si="181"/>
        <v>0</v>
      </c>
      <c r="BJ83" s="70">
        <f t="shared" si="182"/>
        <v>1518.33</v>
      </c>
      <c r="BK83" s="82"/>
    </row>
    <row r="84" spans="2:63" ht="11.95" outlineLevel="2" thickBot="1" x14ac:dyDescent="0.3">
      <c r="B84" t="str">
        <f t="shared" si="166"/>
        <v>#showrow</v>
      </c>
      <c r="E84" s="3"/>
      <c r="F84" s="3"/>
      <c r="G84" s="3"/>
      <c r="H84" s="255" t="s">
        <v>171</v>
      </c>
      <c r="I84" s="18"/>
      <c r="J84" s="18"/>
      <c r="K84" s="18"/>
      <c r="L84" s="78"/>
      <c r="M84" s="79"/>
      <c r="N84" s="80">
        <f t="shared" si="105"/>
        <v>0</v>
      </c>
      <c r="O84" s="79"/>
      <c r="P84" s="80">
        <f t="shared" si="106"/>
        <v>0</v>
      </c>
      <c r="Q84" s="79"/>
      <c r="R84" s="80">
        <f t="shared" si="107"/>
        <v>0</v>
      </c>
      <c r="S84" s="79">
        <v>98.6</v>
      </c>
      <c r="T84" s="81">
        <f t="shared" si="108"/>
        <v>5.4048794659803669E-4</v>
      </c>
      <c r="U84" s="80">
        <f t="shared" si="167"/>
        <v>0</v>
      </c>
      <c r="V84" s="70">
        <f t="shared" si="168"/>
        <v>0</v>
      </c>
      <c r="W84" s="80">
        <f t="shared" si="169"/>
        <v>0</v>
      </c>
      <c r="X84" s="70">
        <f t="shared" si="170"/>
        <v>0</v>
      </c>
      <c r="Y84" s="80">
        <f t="shared" si="171"/>
        <v>0</v>
      </c>
      <c r="Z84" s="70">
        <f t="shared" si="172"/>
        <v>98.6</v>
      </c>
      <c r="AA84" s="82"/>
      <c r="AC84" s="138">
        <v>0</v>
      </c>
      <c r="AD84" s="138">
        <v>98.6</v>
      </c>
      <c r="AE84" s="138">
        <v>0</v>
      </c>
      <c r="AF84" s="233"/>
      <c r="AG84" s="139"/>
      <c r="AH84" s="233"/>
      <c r="AI84" s="139"/>
      <c r="AK84" s="79">
        <v>0</v>
      </c>
      <c r="AL84" s="80">
        <f t="shared" si="115"/>
        <v>0</v>
      </c>
      <c r="AM84" s="79">
        <v>0</v>
      </c>
      <c r="AN84" s="80">
        <f t="shared" si="116"/>
        <v>0</v>
      </c>
      <c r="AO84" s="79">
        <v>0</v>
      </c>
      <c r="AP84" s="80">
        <f t="shared" si="117"/>
        <v>0</v>
      </c>
      <c r="AQ84" s="79">
        <v>98.6</v>
      </c>
      <c r="AR84" s="81">
        <f t="shared" si="118"/>
        <v>5.4048794659803669E-4</v>
      </c>
      <c r="AS84" s="80">
        <f t="shared" si="173"/>
        <v>0</v>
      </c>
      <c r="AT84" s="70">
        <f t="shared" si="174"/>
        <v>0</v>
      </c>
      <c r="AU84" s="80">
        <f t="shared" si="175"/>
        <v>0</v>
      </c>
      <c r="AV84" s="70">
        <f t="shared" si="176"/>
        <v>0</v>
      </c>
      <c r="AW84" s="80">
        <f t="shared" si="177"/>
        <v>0</v>
      </c>
      <c r="AX84" s="70">
        <f t="shared" si="178"/>
        <v>98.6</v>
      </c>
      <c r="AY84" s="82"/>
      <c r="BA84" s="79">
        <v>0</v>
      </c>
      <c r="BB84" s="80">
        <f t="shared" si="125"/>
        <v>0</v>
      </c>
      <c r="BC84" s="79">
        <v>0</v>
      </c>
      <c r="BD84" s="80">
        <f t="shared" si="126"/>
        <v>0</v>
      </c>
      <c r="BE84" s="79">
        <v>642.38</v>
      </c>
      <c r="BF84" s="81">
        <f t="shared" si="127"/>
        <v>1.3458402575607816E-4</v>
      </c>
      <c r="BG84" s="80">
        <f t="shared" si="179"/>
        <v>0</v>
      </c>
      <c r="BH84" s="70">
        <f t="shared" si="180"/>
        <v>0</v>
      </c>
      <c r="BI84" s="80">
        <f t="shared" si="181"/>
        <v>0</v>
      </c>
      <c r="BJ84" s="70">
        <f t="shared" si="182"/>
        <v>642.38</v>
      </c>
      <c r="BK84" s="82"/>
    </row>
    <row r="85" spans="2:63" ht="11.95" outlineLevel="2" thickBot="1" x14ac:dyDescent="0.3">
      <c r="B85" t="str">
        <f t="shared" si="166"/>
        <v>#showrow</v>
      </c>
      <c r="E85" s="3"/>
      <c r="F85" s="3"/>
      <c r="G85" s="3"/>
      <c r="H85" s="255" t="s">
        <v>172</v>
      </c>
      <c r="I85" s="18"/>
      <c r="J85" s="18"/>
      <c r="K85" s="18"/>
      <c r="L85" s="78"/>
      <c r="M85" s="79">
        <v>637.04</v>
      </c>
      <c r="N85" s="80">
        <f t="shared" si="105"/>
        <v>1.2037030003805124E-3</v>
      </c>
      <c r="O85" s="79">
        <v>1000</v>
      </c>
      <c r="P85" s="80">
        <f t="shared" si="106"/>
        <v>1.8811162522460109E-3</v>
      </c>
      <c r="Q85" s="79">
        <v>1000</v>
      </c>
      <c r="R85" s="80">
        <f t="shared" si="107"/>
        <v>1.8811162522460109E-3</v>
      </c>
      <c r="S85" s="79">
        <v>5142.33</v>
      </c>
      <c r="T85" s="81">
        <f t="shared" si="108"/>
        <v>2.8188310166627609E-2</v>
      </c>
      <c r="U85" s="80">
        <f t="shared" si="167"/>
        <v>0.56976014065050873</v>
      </c>
      <c r="V85" s="70">
        <f t="shared" si="168"/>
        <v>362.96000000000004</v>
      </c>
      <c r="W85" s="80">
        <f t="shared" si="169"/>
        <v>0.56976014065050873</v>
      </c>
      <c r="X85" s="70">
        <f t="shared" si="170"/>
        <v>362.96000000000004</v>
      </c>
      <c r="Y85" s="80">
        <f t="shared" si="171"/>
        <v>7.0722246640713307</v>
      </c>
      <c r="Z85" s="70">
        <f t="shared" si="172"/>
        <v>4505.29</v>
      </c>
      <c r="AA85" s="82"/>
      <c r="AC85" s="138">
        <v>637.04</v>
      </c>
      <c r="AD85" s="138">
        <v>5142.33</v>
      </c>
      <c r="AE85" s="138">
        <v>1000</v>
      </c>
      <c r="AF85" s="233"/>
      <c r="AG85" s="139"/>
      <c r="AH85" s="233"/>
      <c r="AI85" s="139"/>
      <c r="AK85" s="79">
        <v>637.04</v>
      </c>
      <c r="AL85" s="80">
        <f t="shared" si="115"/>
        <v>1.2037030003805124E-3</v>
      </c>
      <c r="AM85" s="79">
        <v>1000</v>
      </c>
      <c r="AN85" s="80">
        <f t="shared" si="116"/>
        <v>1.8811162522460109E-3</v>
      </c>
      <c r="AO85" s="79">
        <v>1000</v>
      </c>
      <c r="AP85" s="80">
        <f t="shared" si="117"/>
        <v>1.8811162522460109E-3</v>
      </c>
      <c r="AQ85" s="79">
        <v>5142.33</v>
      </c>
      <c r="AR85" s="81">
        <f t="shared" si="118"/>
        <v>2.8188310166627609E-2</v>
      </c>
      <c r="AS85" s="80">
        <f t="shared" si="173"/>
        <v>0.56976014065050873</v>
      </c>
      <c r="AT85" s="70">
        <f t="shared" si="174"/>
        <v>362.96000000000004</v>
      </c>
      <c r="AU85" s="80">
        <f t="shared" si="175"/>
        <v>0.36296000000000006</v>
      </c>
      <c r="AV85" s="70">
        <f t="shared" si="176"/>
        <v>362.96000000000004</v>
      </c>
      <c r="AW85" s="80">
        <f t="shared" si="177"/>
        <v>7.0722246640713307</v>
      </c>
      <c r="AX85" s="70">
        <f t="shared" si="178"/>
        <v>4505.29</v>
      </c>
      <c r="AY85" s="82"/>
      <c r="BA85" s="79">
        <v>12000</v>
      </c>
      <c r="BB85" s="80">
        <f t="shared" si="125"/>
        <v>1.7364150020732401E-3</v>
      </c>
      <c r="BC85" s="79">
        <v>12000</v>
      </c>
      <c r="BD85" s="80">
        <f t="shared" si="126"/>
        <v>1.7364150020732401E-3</v>
      </c>
      <c r="BE85" s="79">
        <v>25781.78</v>
      </c>
      <c r="BF85" s="81">
        <f t="shared" si="127"/>
        <v>5.4015002701789288E-3</v>
      </c>
      <c r="BG85" s="80">
        <f t="shared" si="179"/>
        <v>0</v>
      </c>
      <c r="BH85" s="70">
        <f t="shared" si="180"/>
        <v>0</v>
      </c>
      <c r="BI85" s="80">
        <f t="shared" si="181"/>
        <v>1.1484816666666666</v>
      </c>
      <c r="BJ85" s="70">
        <f t="shared" si="182"/>
        <v>13781.779999999999</v>
      </c>
      <c r="BK85" s="82"/>
    </row>
    <row r="86" spans="2:63" ht="11.95" outlineLevel="2" thickBot="1" x14ac:dyDescent="0.3">
      <c r="B86" t="str">
        <f t="shared" si="166"/>
        <v>#showrow</v>
      </c>
      <c r="E86" s="3"/>
      <c r="F86" s="3"/>
      <c r="G86" s="3"/>
      <c r="H86" s="255" t="s">
        <v>173</v>
      </c>
      <c r="I86" s="18"/>
      <c r="J86" s="18"/>
      <c r="K86" s="18"/>
      <c r="L86" s="78"/>
      <c r="M86" s="79"/>
      <c r="N86" s="80">
        <f t="shared" si="105"/>
        <v>0</v>
      </c>
      <c r="O86" s="79"/>
      <c r="P86" s="80">
        <f t="shared" si="106"/>
        <v>0</v>
      </c>
      <c r="Q86" s="79"/>
      <c r="R86" s="80">
        <f t="shared" si="107"/>
        <v>0</v>
      </c>
      <c r="S86" s="79"/>
      <c r="T86" s="81">
        <f t="shared" si="108"/>
        <v>0</v>
      </c>
      <c r="U86" s="80">
        <f t="shared" si="167"/>
        <v>0</v>
      </c>
      <c r="V86" s="70">
        <f t="shared" si="168"/>
        <v>0</v>
      </c>
      <c r="W86" s="80">
        <f t="shared" si="169"/>
        <v>0</v>
      </c>
      <c r="X86" s="70">
        <f t="shared" si="170"/>
        <v>0</v>
      </c>
      <c r="Y86" s="80">
        <f t="shared" si="171"/>
        <v>0</v>
      </c>
      <c r="Z86" s="70">
        <f t="shared" si="172"/>
        <v>0</v>
      </c>
      <c r="AA86" s="82"/>
      <c r="AC86" s="138">
        <v>0</v>
      </c>
      <c r="AD86" s="138">
        <v>0</v>
      </c>
      <c r="AE86" s="138">
        <v>0</v>
      </c>
      <c r="AF86" s="233"/>
      <c r="AG86" s="139"/>
      <c r="AH86" s="233"/>
      <c r="AI86" s="139"/>
      <c r="AK86" s="79">
        <v>0</v>
      </c>
      <c r="AL86" s="80">
        <f t="shared" si="115"/>
        <v>0</v>
      </c>
      <c r="AM86" s="79">
        <v>0</v>
      </c>
      <c r="AN86" s="80">
        <f t="shared" si="116"/>
        <v>0</v>
      </c>
      <c r="AO86" s="79">
        <v>0</v>
      </c>
      <c r="AP86" s="80">
        <f t="shared" si="117"/>
        <v>0</v>
      </c>
      <c r="AQ86" s="79">
        <v>0</v>
      </c>
      <c r="AR86" s="81">
        <f t="shared" si="118"/>
        <v>0</v>
      </c>
      <c r="AS86" s="80">
        <f t="shared" si="173"/>
        <v>0</v>
      </c>
      <c r="AT86" s="70">
        <f t="shared" si="174"/>
        <v>0</v>
      </c>
      <c r="AU86" s="80">
        <f t="shared" si="175"/>
        <v>0</v>
      </c>
      <c r="AV86" s="70">
        <f t="shared" si="176"/>
        <v>0</v>
      </c>
      <c r="AW86" s="80">
        <f t="shared" si="177"/>
        <v>0</v>
      </c>
      <c r="AX86" s="70">
        <f t="shared" si="178"/>
        <v>0</v>
      </c>
      <c r="AY86" s="82"/>
      <c r="BA86" s="79">
        <v>0</v>
      </c>
      <c r="BB86" s="80">
        <f t="shared" si="125"/>
        <v>0</v>
      </c>
      <c r="BC86" s="79">
        <v>0</v>
      </c>
      <c r="BD86" s="80">
        <f t="shared" si="126"/>
        <v>0</v>
      </c>
      <c r="BE86" s="79">
        <v>1490.48</v>
      </c>
      <c r="BF86" s="81">
        <f t="shared" si="127"/>
        <v>3.1226812588953478E-4</v>
      </c>
      <c r="BG86" s="80">
        <f t="shared" si="179"/>
        <v>0</v>
      </c>
      <c r="BH86" s="70">
        <f t="shared" si="180"/>
        <v>0</v>
      </c>
      <c r="BI86" s="80">
        <f t="shared" si="181"/>
        <v>0</v>
      </c>
      <c r="BJ86" s="70">
        <f t="shared" si="182"/>
        <v>1490.48</v>
      </c>
      <c r="BK86" s="82"/>
    </row>
    <row r="87" spans="2:63" ht="11.95" outlineLevel="2" thickBot="1" x14ac:dyDescent="0.3">
      <c r="B87" t="str">
        <f t="shared" si="166"/>
        <v>#showrow</v>
      </c>
      <c r="E87" s="3"/>
      <c r="F87" s="3"/>
      <c r="G87" s="3"/>
      <c r="H87" s="255" t="s">
        <v>174</v>
      </c>
      <c r="I87" s="18"/>
      <c r="J87" s="18"/>
      <c r="K87" s="18"/>
      <c r="L87" s="78"/>
      <c r="M87" s="79"/>
      <c r="N87" s="80">
        <f t="shared" si="105"/>
        <v>0</v>
      </c>
      <c r="O87" s="79"/>
      <c r="P87" s="80">
        <f t="shared" si="106"/>
        <v>0</v>
      </c>
      <c r="Q87" s="79"/>
      <c r="R87" s="80">
        <f t="shared" si="107"/>
        <v>0</v>
      </c>
      <c r="S87" s="79">
        <v>383.55</v>
      </c>
      <c r="T87" s="81">
        <f t="shared" si="108"/>
        <v>2.1024761857776574E-3</v>
      </c>
      <c r="U87" s="80">
        <f t="shared" si="167"/>
        <v>0</v>
      </c>
      <c r="V87" s="70">
        <f t="shared" si="168"/>
        <v>0</v>
      </c>
      <c r="W87" s="80">
        <f t="shared" si="169"/>
        <v>0</v>
      </c>
      <c r="X87" s="70">
        <f t="shared" si="170"/>
        <v>0</v>
      </c>
      <c r="Y87" s="80">
        <f t="shared" si="171"/>
        <v>0</v>
      </c>
      <c r="Z87" s="70">
        <f t="shared" si="172"/>
        <v>383.55</v>
      </c>
      <c r="AA87" s="82"/>
      <c r="AC87" s="138">
        <v>0</v>
      </c>
      <c r="AD87" s="138">
        <v>383.55</v>
      </c>
      <c r="AE87" s="138">
        <v>0</v>
      </c>
      <c r="AF87" s="233"/>
      <c r="AG87" s="139"/>
      <c r="AH87" s="233"/>
      <c r="AI87" s="139"/>
      <c r="AK87" s="79">
        <v>0</v>
      </c>
      <c r="AL87" s="80">
        <f t="shared" si="115"/>
        <v>0</v>
      </c>
      <c r="AM87" s="79">
        <v>0</v>
      </c>
      <c r="AN87" s="80">
        <f t="shared" si="116"/>
        <v>0</v>
      </c>
      <c r="AO87" s="79">
        <v>0</v>
      </c>
      <c r="AP87" s="80">
        <f t="shared" si="117"/>
        <v>0</v>
      </c>
      <c r="AQ87" s="79">
        <v>383.55</v>
      </c>
      <c r="AR87" s="81">
        <f t="shared" si="118"/>
        <v>2.1024761857776574E-3</v>
      </c>
      <c r="AS87" s="80">
        <f t="shared" si="173"/>
        <v>0</v>
      </c>
      <c r="AT87" s="70">
        <f t="shared" si="174"/>
        <v>0</v>
      </c>
      <c r="AU87" s="80">
        <f t="shared" si="175"/>
        <v>0</v>
      </c>
      <c r="AV87" s="70">
        <f t="shared" si="176"/>
        <v>0</v>
      </c>
      <c r="AW87" s="80">
        <f t="shared" si="177"/>
        <v>0</v>
      </c>
      <c r="AX87" s="70">
        <f t="shared" si="178"/>
        <v>383.55</v>
      </c>
      <c r="AY87" s="82"/>
      <c r="BA87" s="79">
        <v>0</v>
      </c>
      <c r="BB87" s="80">
        <f t="shared" si="125"/>
        <v>0</v>
      </c>
      <c r="BC87" s="79">
        <v>0</v>
      </c>
      <c r="BD87" s="80">
        <f t="shared" si="126"/>
        <v>0</v>
      </c>
      <c r="BE87" s="79">
        <v>4014.36</v>
      </c>
      <c r="BF87" s="81">
        <f t="shared" si="127"/>
        <v>8.4104226413364352E-4</v>
      </c>
      <c r="BG87" s="80">
        <f t="shared" si="179"/>
        <v>0</v>
      </c>
      <c r="BH87" s="70">
        <f t="shared" si="180"/>
        <v>0</v>
      </c>
      <c r="BI87" s="80">
        <f t="shared" si="181"/>
        <v>0</v>
      </c>
      <c r="BJ87" s="70">
        <f t="shared" si="182"/>
        <v>4014.36</v>
      </c>
      <c r="BK87" s="82"/>
    </row>
    <row r="88" spans="2:63" ht="11.95" outlineLevel="1" thickBot="1" x14ac:dyDescent="0.3">
      <c r="E88" s="3"/>
      <c r="F88" s="3"/>
      <c r="G88" s="3"/>
      <c r="H88" s="256" t="s">
        <v>106</v>
      </c>
      <c r="I88" s="18"/>
      <c r="J88" s="18"/>
      <c r="K88" s="18"/>
      <c r="L88" s="78"/>
      <c r="M88" s="79">
        <v>-163433.98000000001</v>
      </c>
      <c r="N88" s="80">
        <f t="shared" si="105"/>
        <v>-0.30881258961780844</v>
      </c>
      <c r="O88" s="79">
        <v>-129378.113736264</v>
      </c>
      <c r="P88" s="80">
        <f t="shared" si="106"/>
        <v>-0.24337527243421908</v>
      </c>
      <c r="Q88" s="79">
        <v>-129378.113736264</v>
      </c>
      <c r="R88" s="80">
        <f t="shared" si="107"/>
        <v>-0.24337527243421908</v>
      </c>
      <c r="S88" s="79">
        <v>-151566.29999999999</v>
      </c>
      <c r="T88" s="81">
        <f t="shared" si="108"/>
        <v>-0.83082919128257615</v>
      </c>
      <c r="U88" s="80">
        <f t="shared" si="132"/>
        <v>0.2083769009586379</v>
      </c>
      <c r="V88" s="70">
        <f t="shared" si="133"/>
        <v>34055.86626373601</v>
      </c>
      <c r="W88" s="80">
        <f t="shared" si="134"/>
        <v>0.2083769009586379</v>
      </c>
      <c r="X88" s="70">
        <f t="shared" si="135"/>
        <v>34055.86626373601</v>
      </c>
      <c r="Y88" s="80">
        <f t="shared" si="136"/>
        <v>7.2614519942548181E-2</v>
      </c>
      <c r="Z88" s="70">
        <f t="shared" si="137"/>
        <v>11867.680000000022</v>
      </c>
      <c r="AA88" s="82"/>
      <c r="AC88" s="138">
        <v>-163433.98000000001</v>
      </c>
      <c r="AD88" s="138">
        <v>-151566.29999999999</v>
      </c>
      <c r="AE88" s="138">
        <v>-129378.113736264</v>
      </c>
      <c r="AF88" s="233"/>
      <c r="AG88" s="139"/>
      <c r="AH88" s="233"/>
      <c r="AI88" s="139"/>
      <c r="AK88" s="79">
        <v>-163433.98000000001</v>
      </c>
      <c r="AL88" s="80">
        <f t="shared" si="115"/>
        <v>-0.30881258961780844</v>
      </c>
      <c r="AM88" s="79">
        <v>-129378.113736264</v>
      </c>
      <c r="AN88" s="80">
        <f t="shared" si="116"/>
        <v>-0.24337527243421908</v>
      </c>
      <c r="AO88" s="79">
        <v>-129378.113736264</v>
      </c>
      <c r="AP88" s="80">
        <f t="shared" si="117"/>
        <v>-0.24337527243421908</v>
      </c>
      <c r="AQ88" s="79">
        <v>-151566.29999999999</v>
      </c>
      <c r="AR88" s="81">
        <f t="shared" si="118"/>
        <v>-0.83082919128257615</v>
      </c>
      <c r="AS88" s="80">
        <f t="shared" si="138"/>
        <v>0.2083769009586379</v>
      </c>
      <c r="AT88" s="70">
        <f t="shared" si="139"/>
        <v>34055.86626373601</v>
      </c>
      <c r="AU88" s="80">
        <f t="shared" si="140"/>
        <v>0.26322741366564173</v>
      </c>
      <c r="AV88" s="70">
        <f t="shared" si="141"/>
        <v>34055.86626373601</v>
      </c>
      <c r="AW88" s="80">
        <f t="shared" si="142"/>
        <v>7.2614519942548181E-2</v>
      </c>
      <c r="AX88" s="70">
        <f t="shared" si="143"/>
        <v>11867.680000000022</v>
      </c>
      <c r="AY88" s="82"/>
      <c r="BA88" s="79">
        <v>-1626794.4785714301</v>
      </c>
      <c r="BB88" s="80">
        <f t="shared" si="125"/>
        <v>-0.23539919482344543</v>
      </c>
      <c r="BC88" s="79">
        <v>-1626794.4785714301</v>
      </c>
      <c r="BD88" s="80">
        <f t="shared" si="126"/>
        <v>-0.23539919482344543</v>
      </c>
      <c r="BE88" s="79">
        <v>-2336532.8199999998</v>
      </c>
      <c r="BF88" s="81">
        <f t="shared" si="127"/>
        <v>-0.48952332455369391</v>
      </c>
      <c r="BG88" s="80">
        <f t="shared" si="144"/>
        <v>0</v>
      </c>
      <c r="BH88" s="70">
        <f t="shared" si="145"/>
        <v>0</v>
      </c>
      <c r="BI88" s="80">
        <f t="shared" si="146"/>
        <v>-0.43628027435391015</v>
      </c>
      <c r="BJ88" s="70">
        <f t="shared" si="147"/>
        <v>-709738.34142856975</v>
      </c>
      <c r="BK88" s="82"/>
    </row>
    <row r="89" spans="2:63" ht="11.95" hidden="1" outlineLevel="2" thickBot="1" x14ac:dyDescent="0.3">
      <c r="B89" t="str">
        <f>IF(LEFT(H89,3)="Mul", "#hiderow", "#showrow")</f>
        <v>#hiderow</v>
      </c>
      <c r="E89" s="3"/>
      <c r="F89" s="3"/>
      <c r="G89" s="3"/>
      <c r="H89" s="255" t="s">
        <v>6</v>
      </c>
      <c r="I89" s="18"/>
      <c r="J89" s="18"/>
      <c r="K89" s="18"/>
      <c r="L89" s="78"/>
      <c r="M89" s="79"/>
      <c r="N89" s="80">
        <f t="shared" si="105"/>
        <v>0</v>
      </c>
      <c r="O89" s="79"/>
      <c r="P89" s="80">
        <f t="shared" si="106"/>
        <v>0</v>
      </c>
      <c r="Q89" s="79"/>
      <c r="R89" s="80">
        <f t="shared" si="107"/>
        <v>0</v>
      </c>
      <c r="S89" s="79"/>
      <c r="T89" s="81">
        <f t="shared" si="108"/>
        <v>0</v>
      </c>
      <c r="U89" s="80">
        <f t="shared" si="132"/>
        <v>0</v>
      </c>
      <c r="V89" s="70">
        <f t="shared" si="133"/>
        <v>0</v>
      </c>
      <c r="W89" s="80">
        <f t="shared" si="134"/>
        <v>0</v>
      </c>
      <c r="X89" s="70">
        <f t="shared" si="135"/>
        <v>0</v>
      </c>
      <c r="Y89" s="80">
        <f t="shared" si="136"/>
        <v>0</v>
      </c>
      <c r="Z89" s="70">
        <f t="shared" si="137"/>
        <v>0</v>
      </c>
      <c r="AA89" s="82"/>
      <c r="AC89" s="138"/>
      <c r="AD89" s="138"/>
      <c r="AE89" s="138"/>
      <c r="AF89" s="233"/>
      <c r="AG89" s="139"/>
      <c r="AH89" s="233"/>
      <c r="AI89" s="139"/>
      <c r="AK89" s="79"/>
      <c r="AL89" s="80">
        <f t="shared" si="115"/>
        <v>0</v>
      </c>
      <c r="AM89" s="79"/>
      <c r="AN89" s="80">
        <f t="shared" si="116"/>
        <v>0</v>
      </c>
      <c r="AO89" s="79"/>
      <c r="AP89" s="80">
        <f t="shared" si="117"/>
        <v>0</v>
      </c>
      <c r="AQ89" s="79"/>
      <c r="AR89" s="81">
        <f t="shared" si="118"/>
        <v>0</v>
      </c>
      <c r="AS89" s="80">
        <f t="shared" si="138"/>
        <v>0</v>
      </c>
      <c r="AT89" s="70">
        <f t="shared" si="139"/>
        <v>0</v>
      </c>
      <c r="AU89" s="80">
        <f t="shared" si="140"/>
        <v>0</v>
      </c>
      <c r="AV89" s="70">
        <f t="shared" si="141"/>
        <v>0</v>
      </c>
      <c r="AW89" s="80">
        <f t="shared" si="142"/>
        <v>0</v>
      </c>
      <c r="AX89" s="70">
        <f t="shared" si="143"/>
        <v>0</v>
      </c>
      <c r="AY89" s="82"/>
      <c r="BA89" s="79"/>
      <c r="BB89" s="80">
        <f t="shared" si="125"/>
        <v>0</v>
      </c>
      <c r="BC89" s="79"/>
      <c r="BD89" s="80">
        <f t="shared" si="126"/>
        <v>0</v>
      </c>
      <c r="BE89" s="79"/>
      <c r="BF89" s="81">
        <f t="shared" si="127"/>
        <v>0</v>
      </c>
      <c r="BG89" s="80">
        <f t="shared" si="144"/>
        <v>0</v>
      </c>
      <c r="BH89" s="70">
        <f t="shared" si="145"/>
        <v>0</v>
      </c>
      <c r="BI89" s="80">
        <f t="shared" si="146"/>
        <v>0</v>
      </c>
      <c r="BJ89" s="70">
        <f t="shared" si="147"/>
        <v>0</v>
      </c>
      <c r="BK89" s="82"/>
    </row>
    <row r="90" spans="2:63" ht="11.95" outlineLevel="2" thickBot="1" x14ac:dyDescent="0.3">
      <c r="B90" t="str">
        <f>IF(LEFT(H90,3)="Mul", "#hiderow", "#showrow")</f>
        <v>#showrow</v>
      </c>
      <c r="E90" s="3"/>
      <c r="F90" s="3"/>
      <c r="G90" s="3"/>
      <c r="H90" s="255" t="s">
        <v>140</v>
      </c>
      <c r="I90" s="18"/>
      <c r="J90" s="18"/>
      <c r="K90" s="18"/>
      <c r="L90" s="78"/>
      <c r="M90" s="79">
        <v>-163433.98000000001</v>
      </c>
      <c r="N90" s="80">
        <f t="shared" si="105"/>
        <v>-0.30881258961780844</v>
      </c>
      <c r="O90" s="79">
        <v>-129378.113736264</v>
      </c>
      <c r="P90" s="80">
        <f t="shared" si="106"/>
        <v>-0.24337527243421908</v>
      </c>
      <c r="Q90" s="79">
        <v>-129378.113736264</v>
      </c>
      <c r="R90" s="80">
        <f t="shared" si="107"/>
        <v>-0.24337527243421908</v>
      </c>
      <c r="S90" s="79">
        <v>-151566.29999999999</v>
      </c>
      <c r="T90" s="81">
        <f t="shared" si="108"/>
        <v>-0.83082919128257615</v>
      </c>
      <c r="U90" s="80">
        <f t="shared" ref="U90" si="183">IFERROR(($O90-M90)/ABS(M90),0)</f>
        <v>0.2083769009586379</v>
      </c>
      <c r="V90" s="70">
        <f t="shared" ref="V90" si="184">IFERROR((O90-$M90), 0-$M90)</f>
        <v>34055.86626373601</v>
      </c>
      <c r="W90" s="80">
        <f t="shared" ref="W90" si="185">IFERROR((Q90-$M90)/ABS($M90),0)</f>
        <v>0.2083769009586379</v>
      </c>
      <c r="X90" s="70">
        <f t="shared" ref="X90" si="186">IFERROR((Q90-$M90), 0 -$M90)</f>
        <v>34055.86626373601</v>
      </c>
      <c r="Y90" s="80">
        <f t="shared" ref="Y90" si="187">IFERROR((S90-$M90)/ABS($M90),0)</f>
        <v>7.2614519942548181E-2</v>
      </c>
      <c r="Z90" s="70">
        <f t="shared" ref="Z90" si="188">IFERROR((S90-$M90),0-$M90)</f>
        <v>11867.680000000022</v>
      </c>
      <c r="AA90" s="82"/>
      <c r="AC90" s="138">
        <v>-163433.98000000001</v>
      </c>
      <c r="AD90" s="138">
        <v>-151566.29999999999</v>
      </c>
      <c r="AE90" s="138">
        <v>-129378.113736264</v>
      </c>
      <c r="AF90" s="233"/>
      <c r="AG90" s="139"/>
      <c r="AH90" s="233"/>
      <c r="AI90" s="139"/>
      <c r="AK90" s="79">
        <v>-163433.98000000001</v>
      </c>
      <c r="AL90" s="80">
        <f t="shared" si="115"/>
        <v>-0.30881258961780844</v>
      </c>
      <c r="AM90" s="79">
        <v>-129378.113736264</v>
      </c>
      <c r="AN90" s="80">
        <f t="shared" si="116"/>
        <v>-0.24337527243421908</v>
      </c>
      <c r="AO90" s="79">
        <v>-129378.113736264</v>
      </c>
      <c r="AP90" s="80">
        <f t="shared" si="117"/>
        <v>-0.24337527243421908</v>
      </c>
      <c r="AQ90" s="79">
        <v>-151566.29999999999</v>
      </c>
      <c r="AR90" s="81">
        <f t="shared" si="118"/>
        <v>-0.83082919128257615</v>
      </c>
      <c r="AS90" s="80">
        <f t="shared" ref="AS90" si="189">IFERROR((AM90-$AK90)/ABS($AK90),0)</f>
        <v>0.2083769009586379</v>
      </c>
      <c r="AT90" s="70">
        <f t="shared" ref="AT90" si="190">(AM90-$AK90)</f>
        <v>34055.86626373601</v>
      </c>
      <c r="AU90" s="80">
        <f t="shared" ref="AU90" si="191">IFERROR((AO90-$AK90)/ABS($AO90),0)</f>
        <v>0.26322741366564173</v>
      </c>
      <c r="AV90" s="70">
        <f t="shared" ref="AV90" si="192">(AO90-$AK90)</f>
        <v>34055.86626373601</v>
      </c>
      <c r="AW90" s="80">
        <f t="shared" ref="AW90" si="193">IFERROR((AQ90-$AK90)/ABS($AK90),0)</f>
        <v>7.2614519942548181E-2</v>
      </c>
      <c r="AX90" s="70">
        <f t="shared" ref="AX90" si="194">(AQ90-$AK90)</f>
        <v>11867.680000000022</v>
      </c>
      <c r="AY90" s="82"/>
      <c r="BA90" s="79">
        <v>-1626794.4785714301</v>
      </c>
      <c r="BB90" s="80">
        <f t="shared" si="125"/>
        <v>-0.23539919482344543</v>
      </c>
      <c r="BC90" s="79">
        <v>-1626794.4785714301</v>
      </c>
      <c r="BD90" s="80">
        <f t="shared" si="126"/>
        <v>-0.23539919482344543</v>
      </c>
      <c r="BE90" s="79">
        <v>-2336532.8199999998</v>
      </c>
      <c r="BF90" s="81">
        <f t="shared" si="127"/>
        <v>-0.48952332455369391</v>
      </c>
      <c r="BG90" s="80">
        <f t="shared" ref="BG90" si="195">IFERROR((BC90-$BA90)/ABS($BA90),0)</f>
        <v>0</v>
      </c>
      <c r="BH90" s="70">
        <f t="shared" ref="BH90" si="196">(BC90-$BA90)</f>
        <v>0</v>
      </c>
      <c r="BI90" s="80">
        <f t="shared" ref="BI90" si="197">IFERROR((BE90-$BA90)/ABS($BA90),0)</f>
        <v>-0.43628027435391015</v>
      </c>
      <c r="BJ90" s="70">
        <f t="shared" ref="BJ90" si="198">(BE90-$BA90)</f>
        <v>-709738.34142856975</v>
      </c>
      <c r="BK90" s="82"/>
    </row>
    <row r="91" spans="2:63" ht="11.95" outlineLevel="1" thickBot="1" x14ac:dyDescent="0.3">
      <c r="E91" s="3"/>
      <c r="F91" s="3"/>
      <c r="G91" s="3"/>
      <c r="H91" s="256" t="s">
        <v>107</v>
      </c>
      <c r="I91" s="18"/>
      <c r="J91" s="18"/>
      <c r="K91" s="18"/>
      <c r="L91" s="78"/>
      <c r="M91" s="79">
        <v>62929.95</v>
      </c>
      <c r="N91" s="80">
        <f t="shared" si="105"/>
        <v>0.11890771321862932</v>
      </c>
      <c r="O91" s="79">
        <v>0</v>
      </c>
      <c r="P91" s="80">
        <f t="shared" si="106"/>
        <v>0</v>
      </c>
      <c r="Q91" s="79">
        <v>0</v>
      </c>
      <c r="R91" s="80">
        <f t="shared" si="107"/>
        <v>0</v>
      </c>
      <c r="S91" s="79">
        <v>15903.21</v>
      </c>
      <c r="T91" s="81">
        <f t="shared" si="108"/>
        <v>8.7175388612752161E-2</v>
      </c>
      <c r="U91" s="80">
        <f t="shared" si="132"/>
        <v>-1</v>
      </c>
      <c r="V91" s="70">
        <f t="shared" si="133"/>
        <v>-62929.95</v>
      </c>
      <c r="W91" s="80">
        <f t="shared" si="134"/>
        <v>-1</v>
      </c>
      <c r="X91" s="70">
        <f t="shared" si="135"/>
        <v>-62929.95</v>
      </c>
      <c r="Y91" s="80">
        <f t="shared" si="136"/>
        <v>-0.74728710256404141</v>
      </c>
      <c r="Z91" s="70">
        <f t="shared" si="137"/>
        <v>-47026.74</v>
      </c>
      <c r="AA91" s="82"/>
      <c r="AC91" s="138">
        <v>62929.95</v>
      </c>
      <c r="AD91" s="138">
        <v>15903.21</v>
      </c>
      <c r="AE91" s="138">
        <v>0</v>
      </c>
      <c r="AF91" s="233"/>
      <c r="AG91" s="139"/>
      <c r="AH91" s="233"/>
      <c r="AI91" s="139"/>
      <c r="AK91" s="79">
        <v>62929.95</v>
      </c>
      <c r="AL91" s="80">
        <f t="shared" si="115"/>
        <v>0.11890771321862932</v>
      </c>
      <c r="AM91" s="79">
        <v>0</v>
      </c>
      <c r="AN91" s="80">
        <f t="shared" si="116"/>
        <v>0</v>
      </c>
      <c r="AO91" s="79">
        <v>0</v>
      </c>
      <c r="AP91" s="80">
        <f t="shared" si="117"/>
        <v>0</v>
      </c>
      <c r="AQ91" s="79">
        <v>15903.21</v>
      </c>
      <c r="AR91" s="81">
        <f t="shared" si="118"/>
        <v>8.7175388612752161E-2</v>
      </c>
      <c r="AS91" s="80">
        <f t="shared" si="138"/>
        <v>-1</v>
      </c>
      <c r="AT91" s="70">
        <f t="shared" si="139"/>
        <v>-62929.95</v>
      </c>
      <c r="AU91" s="80">
        <f t="shared" si="140"/>
        <v>0</v>
      </c>
      <c r="AV91" s="70">
        <f t="shared" si="141"/>
        <v>-62929.95</v>
      </c>
      <c r="AW91" s="80">
        <f t="shared" si="142"/>
        <v>-0.74728710256404141</v>
      </c>
      <c r="AX91" s="70">
        <f t="shared" si="143"/>
        <v>-47026.74</v>
      </c>
      <c r="AY91" s="82"/>
      <c r="BA91" s="79">
        <v>0</v>
      </c>
      <c r="BB91" s="80">
        <f t="shared" si="125"/>
        <v>0</v>
      </c>
      <c r="BC91" s="79">
        <v>0</v>
      </c>
      <c r="BD91" s="80">
        <f t="shared" si="126"/>
        <v>0</v>
      </c>
      <c r="BE91" s="79">
        <v>529620.46</v>
      </c>
      <c r="BF91" s="81">
        <f t="shared" si="127"/>
        <v>0.11095995147667417</v>
      </c>
      <c r="BG91" s="80">
        <f t="shared" si="144"/>
        <v>0</v>
      </c>
      <c r="BH91" s="70">
        <f t="shared" si="145"/>
        <v>0</v>
      </c>
      <c r="BI91" s="80">
        <f t="shared" si="146"/>
        <v>0</v>
      </c>
      <c r="BJ91" s="70">
        <f t="shared" si="147"/>
        <v>529620.46</v>
      </c>
      <c r="BK91" s="82"/>
    </row>
    <row r="92" spans="2:63" ht="11.95" hidden="1" outlineLevel="2" thickBot="1" x14ac:dyDescent="0.3">
      <c r="B92" t="str">
        <f t="shared" ref="B92" si="199">IF(LEFT(H92,3)="Mul", "#hiderow", "#showrow")</f>
        <v>#hiderow</v>
      </c>
      <c r="E92" s="3"/>
      <c r="F92" s="3"/>
      <c r="G92" s="3"/>
      <c r="H92" s="255" t="s">
        <v>6</v>
      </c>
      <c r="I92" s="18"/>
      <c r="J92" s="18"/>
      <c r="K92" s="18"/>
      <c r="L92" s="78"/>
      <c r="M92" s="79"/>
      <c r="N92" s="80">
        <f t="shared" si="105"/>
        <v>0</v>
      </c>
      <c r="O92" s="79"/>
      <c r="P92" s="80">
        <f t="shared" si="106"/>
        <v>0</v>
      </c>
      <c r="Q92" s="79"/>
      <c r="R92" s="80">
        <f t="shared" si="107"/>
        <v>0</v>
      </c>
      <c r="S92" s="79"/>
      <c r="T92" s="81">
        <f t="shared" si="108"/>
        <v>0</v>
      </c>
      <c r="U92" s="80">
        <f t="shared" si="132"/>
        <v>0</v>
      </c>
      <c r="V92" s="70">
        <f t="shared" si="133"/>
        <v>0</v>
      </c>
      <c r="W92" s="80">
        <f t="shared" si="134"/>
        <v>0</v>
      </c>
      <c r="X92" s="70">
        <f t="shared" si="135"/>
        <v>0</v>
      </c>
      <c r="Y92" s="80">
        <f t="shared" si="136"/>
        <v>0</v>
      </c>
      <c r="Z92" s="70">
        <f t="shared" si="137"/>
        <v>0</v>
      </c>
      <c r="AA92" s="82"/>
      <c r="AC92" s="138"/>
      <c r="AD92" s="138"/>
      <c r="AE92" s="138"/>
      <c r="AF92" s="233"/>
      <c r="AG92" s="139"/>
      <c r="AH92" s="233"/>
      <c r="AI92" s="139"/>
      <c r="AK92" s="79"/>
      <c r="AL92" s="80">
        <f t="shared" si="115"/>
        <v>0</v>
      </c>
      <c r="AM92" s="79"/>
      <c r="AN92" s="80">
        <f t="shared" si="116"/>
        <v>0</v>
      </c>
      <c r="AO92" s="79"/>
      <c r="AP92" s="80">
        <f t="shared" si="117"/>
        <v>0</v>
      </c>
      <c r="AQ92" s="79"/>
      <c r="AR92" s="81">
        <f t="shared" si="118"/>
        <v>0</v>
      </c>
      <c r="AS92" s="80">
        <f t="shared" si="138"/>
        <v>0</v>
      </c>
      <c r="AT92" s="70">
        <f t="shared" si="139"/>
        <v>0</v>
      </c>
      <c r="AU92" s="80">
        <f t="shared" si="140"/>
        <v>0</v>
      </c>
      <c r="AV92" s="70">
        <f t="shared" si="141"/>
        <v>0</v>
      </c>
      <c r="AW92" s="80">
        <f t="shared" si="142"/>
        <v>0</v>
      </c>
      <c r="AX92" s="70">
        <f t="shared" si="143"/>
        <v>0</v>
      </c>
      <c r="AY92" s="82"/>
      <c r="BA92" s="79"/>
      <c r="BB92" s="80">
        <f t="shared" si="125"/>
        <v>0</v>
      </c>
      <c r="BC92" s="79"/>
      <c r="BD92" s="80">
        <f t="shared" si="126"/>
        <v>0</v>
      </c>
      <c r="BE92" s="79"/>
      <c r="BF92" s="81">
        <f t="shared" si="127"/>
        <v>0</v>
      </c>
      <c r="BG92" s="80">
        <f t="shared" si="144"/>
        <v>0</v>
      </c>
      <c r="BH92" s="70">
        <f t="shared" si="145"/>
        <v>0</v>
      </c>
      <c r="BI92" s="80">
        <f t="shared" si="146"/>
        <v>0</v>
      </c>
      <c r="BJ92" s="70">
        <f t="shared" si="147"/>
        <v>0</v>
      </c>
      <c r="BK92" s="82"/>
    </row>
    <row r="93" spans="2:63" ht="11.95" outlineLevel="2" thickBot="1" x14ac:dyDescent="0.3">
      <c r="B93" t="str">
        <f t="shared" ref="B93:B94" si="200">IF(LEFT(H93,3)="Mul", "#hiderow", "#showrow")</f>
        <v>#showrow</v>
      </c>
      <c r="E93" s="3"/>
      <c r="F93" s="3"/>
      <c r="G93" s="3"/>
      <c r="H93" s="255" t="s">
        <v>147</v>
      </c>
      <c r="I93" s="18"/>
      <c r="J93" s="18"/>
      <c r="K93" s="18"/>
      <c r="L93" s="78"/>
      <c r="M93" s="79">
        <v>62929.95</v>
      </c>
      <c r="N93" s="80">
        <f t="shared" si="105"/>
        <v>0.11890771321862932</v>
      </c>
      <c r="O93" s="79"/>
      <c r="P93" s="80">
        <f t="shared" si="106"/>
        <v>0</v>
      </c>
      <c r="Q93" s="79"/>
      <c r="R93" s="80">
        <f t="shared" si="107"/>
        <v>0</v>
      </c>
      <c r="S93" s="79">
        <v>15792.17</v>
      </c>
      <c r="T93" s="81">
        <f t="shared" si="108"/>
        <v>8.6566709286279089E-2</v>
      </c>
      <c r="U93" s="80">
        <f t="shared" ref="U93:U94" si="201">IFERROR(($O93-M93)/ABS(M93),0)</f>
        <v>-1</v>
      </c>
      <c r="V93" s="70">
        <f t="shared" ref="V93:V94" si="202">IFERROR((O93-$M93), 0-$M93)</f>
        <v>-62929.95</v>
      </c>
      <c r="W93" s="80">
        <f t="shared" ref="W93:W94" si="203">IFERROR((Q93-$M93)/ABS($M93),0)</f>
        <v>-1</v>
      </c>
      <c r="X93" s="260">
        <f t="shared" ref="X93:X94" si="204">IFERROR((Q93-$M93), 0 -$M93)</f>
        <v>-62929.95</v>
      </c>
      <c r="Y93" s="80">
        <f t="shared" ref="Y93:Y94" si="205">IFERROR((S93-$M93)/ABS($M93),0)</f>
        <v>-0.74905160420435735</v>
      </c>
      <c r="Z93" s="70">
        <f t="shared" ref="Z93:Z94" si="206">IFERROR((S93-$M93),0-$M93)</f>
        <v>-47137.78</v>
      </c>
      <c r="AA93" s="82" t="s">
        <v>489</v>
      </c>
      <c r="AC93" s="138">
        <v>62929.95</v>
      </c>
      <c r="AD93" s="138">
        <v>15792.17</v>
      </c>
      <c r="AE93" s="138">
        <v>0</v>
      </c>
      <c r="AF93" s="233"/>
      <c r="AG93" s="139"/>
      <c r="AH93" s="233"/>
      <c r="AI93" s="139"/>
      <c r="AK93" s="79">
        <v>62929.95</v>
      </c>
      <c r="AL93" s="80">
        <f t="shared" si="115"/>
        <v>0.11890771321862932</v>
      </c>
      <c r="AM93" s="79">
        <v>0</v>
      </c>
      <c r="AN93" s="80">
        <f t="shared" si="116"/>
        <v>0</v>
      </c>
      <c r="AO93" s="79">
        <v>0</v>
      </c>
      <c r="AP93" s="80">
        <f t="shared" si="117"/>
        <v>0</v>
      </c>
      <c r="AQ93" s="79">
        <v>15792.17</v>
      </c>
      <c r="AR93" s="81">
        <f t="shared" si="118"/>
        <v>8.6566709286279089E-2</v>
      </c>
      <c r="AS93" s="80">
        <f t="shared" ref="AS93:AS94" si="207">IFERROR((AM93-$AK93)/ABS($AK93),0)</f>
        <v>-1</v>
      </c>
      <c r="AT93" s="70">
        <f t="shared" ref="AT93:AT94" si="208">(AM93-$AK93)</f>
        <v>-62929.95</v>
      </c>
      <c r="AU93" s="80">
        <f t="shared" ref="AU93:AU94" si="209">IFERROR((AO93-$AK93)/ABS($AO93),0)</f>
        <v>0</v>
      </c>
      <c r="AV93" s="70">
        <f t="shared" ref="AV93:AV94" si="210">(AO93-$AK93)</f>
        <v>-62929.95</v>
      </c>
      <c r="AW93" s="80">
        <f t="shared" ref="AW93:AW94" si="211">IFERROR((AQ93-$AK93)/ABS($AK93),0)</f>
        <v>-0.74905160420435735</v>
      </c>
      <c r="AX93" s="70">
        <f t="shared" ref="AX93:AX94" si="212">(AQ93-$AK93)</f>
        <v>-47137.78</v>
      </c>
      <c r="AY93" s="82"/>
      <c r="BA93" s="79">
        <v>0</v>
      </c>
      <c r="BB93" s="80">
        <f t="shared" si="125"/>
        <v>0</v>
      </c>
      <c r="BC93" s="79">
        <v>0</v>
      </c>
      <c r="BD93" s="80">
        <f t="shared" si="126"/>
        <v>0</v>
      </c>
      <c r="BE93" s="79">
        <v>529477.74</v>
      </c>
      <c r="BF93" s="81">
        <f t="shared" si="127"/>
        <v>0.11093005043343512</v>
      </c>
      <c r="BG93" s="80">
        <f t="shared" ref="BG93:BG94" si="213">IFERROR((BC93-$BA93)/ABS($BA93),0)</f>
        <v>0</v>
      </c>
      <c r="BH93" s="70">
        <f t="shared" ref="BH93:BH94" si="214">(BC93-$BA93)</f>
        <v>0</v>
      </c>
      <c r="BI93" s="80">
        <f t="shared" ref="BI93:BI94" si="215">IFERROR((BE93-$BA93)/ABS($BA93),0)</f>
        <v>0</v>
      </c>
      <c r="BJ93" s="70">
        <f t="shared" ref="BJ93:BJ94" si="216">(BE93-$BA93)</f>
        <v>529477.74</v>
      </c>
      <c r="BK93" s="82"/>
    </row>
    <row r="94" spans="2:63" ht="11.95" outlineLevel="2" thickBot="1" x14ac:dyDescent="0.3">
      <c r="B94" t="str">
        <f t="shared" si="200"/>
        <v>#showrow</v>
      </c>
      <c r="E94" s="3"/>
      <c r="F94" s="3"/>
      <c r="G94" s="3"/>
      <c r="H94" s="255" t="s">
        <v>148</v>
      </c>
      <c r="I94" s="18"/>
      <c r="J94" s="18"/>
      <c r="K94" s="18"/>
      <c r="L94" s="78"/>
      <c r="M94" s="79"/>
      <c r="N94" s="80">
        <f t="shared" si="105"/>
        <v>0</v>
      </c>
      <c r="O94" s="79"/>
      <c r="P94" s="80">
        <f t="shared" si="106"/>
        <v>0</v>
      </c>
      <c r="Q94" s="79"/>
      <c r="R94" s="80">
        <f t="shared" si="107"/>
        <v>0</v>
      </c>
      <c r="S94" s="79">
        <v>111.04</v>
      </c>
      <c r="T94" s="81">
        <f t="shared" si="108"/>
        <v>6.0867932647308326E-4</v>
      </c>
      <c r="U94" s="80">
        <f t="shared" si="201"/>
        <v>0</v>
      </c>
      <c r="V94" s="70">
        <f t="shared" si="202"/>
        <v>0</v>
      </c>
      <c r="W94" s="80">
        <f t="shared" si="203"/>
        <v>0</v>
      </c>
      <c r="X94" s="70">
        <f t="shared" si="204"/>
        <v>0</v>
      </c>
      <c r="Y94" s="80">
        <f t="shared" si="205"/>
        <v>0</v>
      </c>
      <c r="Z94" s="70">
        <f t="shared" si="206"/>
        <v>111.04</v>
      </c>
      <c r="AA94" s="82"/>
      <c r="AC94" s="138">
        <v>0</v>
      </c>
      <c r="AD94" s="138">
        <v>111.04</v>
      </c>
      <c r="AE94" s="138">
        <v>0</v>
      </c>
      <c r="AF94" s="233"/>
      <c r="AG94" s="139"/>
      <c r="AH94" s="233"/>
      <c r="AI94" s="139"/>
      <c r="AK94" s="79">
        <v>0</v>
      </c>
      <c r="AL94" s="80">
        <f t="shared" si="115"/>
        <v>0</v>
      </c>
      <c r="AM94" s="79">
        <v>0</v>
      </c>
      <c r="AN94" s="80">
        <f t="shared" si="116"/>
        <v>0</v>
      </c>
      <c r="AO94" s="79">
        <v>0</v>
      </c>
      <c r="AP94" s="80">
        <f t="shared" si="117"/>
        <v>0</v>
      </c>
      <c r="AQ94" s="79">
        <v>111.04</v>
      </c>
      <c r="AR94" s="81">
        <f t="shared" si="118"/>
        <v>6.0867932647308326E-4</v>
      </c>
      <c r="AS94" s="80">
        <f t="shared" si="207"/>
        <v>0</v>
      </c>
      <c r="AT94" s="70">
        <f t="shared" si="208"/>
        <v>0</v>
      </c>
      <c r="AU94" s="80">
        <f t="shared" si="209"/>
        <v>0</v>
      </c>
      <c r="AV94" s="70">
        <f t="shared" si="210"/>
        <v>0</v>
      </c>
      <c r="AW94" s="80">
        <f t="shared" si="211"/>
        <v>0</v>
      </c>
      <c r="AX94" s="70">
        <f t="shared" si="212"/>
        <v>111.04</v>
      </c>
      <c r="AY94" s="82"/>
      <c r="BA94" s="79">
        <v>0</v>
      </c>
      <c r="BB94" s="80">
        <f t="shared" si="125"/>
        <v>0</v>
      </c>
      <c r="BC94" s="79">
        <v>0</v>
      </c>
      <c r="BD94" s="80">
        <f t="shared" si="126"/>
        <v>0</v>
      </c>
      <c r="BE94" s="79">
        <v>142.72</v>
      </c>
      <c r="BF94" s="81">
        <f t="shared" si="127"/>
        <v>2.9901043239060174E-5</v>
      </c>
      <c r="BG94" s="80">
        <f t="shared" si="213"/>
        <v>0</v>
      </c>
      <c r="BH94" s="70">
        <f t="shared" si="214"/>
        <v>0</v>
      </c>
      <c r="BI94" s="80">
        <f t="shared" si="215"/>
        <v>0</v>
      </c>
      <c r="BJ94" s="70">
        <f t="shared" si="216"/>
        <v>142.72</v>
      </c>
      <c r="BK94" s="82"/>
    </row>
    <row r="95" spans="2:63" ht="11.95" outlineLevel="1" thickBot="1" x14ac:dyDescent="0.3">
      <c r="E95" s="3"/>
      <c r="F95" s="3"/>
      <c r="G95" s="3"/>
      <c r="H95" s="256" t="s">
        <v>108</v>
      </c>
      <c r="I95" s="18"/>
      <c r="J95" s="18"/>
      <c r="K95" s="18"/>
      <c r="L95" s="78"/>
      <c r="M95" s="79">
        <v>10239.44</v>
      </c>
      <c r="N95" s="80">
        <f t="shared" si="105"/>
        <v>1.9347677775675365E-2</v>
      </c>
      <c r="O95" s="79">
        <v>7500</v>
      </c>
      <c r="P95" s="80">
        <f t="shared" si="106"/>
        <v>1.4108371891845082E-2</v>
      </c>
      <c r="Q95" s="79">
        <v>7500</v>
      </c>
      <c r="R95" s="80">
        <f t="shared" si="107"/>
        <v>1.4108371891845082E-2</v>
      </c>
      <c r="S95" s="79">
        <v>2888.2</v>
      </c>
      <c r="T95" s="81">
        <f t="shared" si="108"/>
        <v>1.5832021170024843E-2</v>
      </c>
      <c r="U95" s="80">
        <f t="shared" si="132"/>
        <v>-0.26753806848812051</v>
      </c>
      <c r="V95" s="70">
        <f t="shared" si="133"/>
        <v>-2739.4400000000005</v>
      </c>
      <c r="W95" s="80">
        <f t="shared" si="134"/>
        <v>-0.26753806848812051</v>
      </c>
      <c r="X95" s="70">
        <f t="shared" si="135"/>
        <v>-2739.4400000000005</v>
      </c>
      <c r="Y95" s="80">
        <f t="shared" si="136"/>
        <v>-0.71793379325431861</v>
      </c>
      <c r="Z95" s="70">
        <f t="shared" si="137"/>
        <v>-7351.2400000000007</v>
      </c>
      <c r="AA95" s="82"/>
      <c r="AC95" s="138">
        <v>10239.44</v>
      </c>
      <c r="AD95" s="138">
        <v>2888.2</v>
      </c>
      <c r="AE95" s="138">
        <v>7500</v>
      </c>
      <c r="AF95" s="233"/>
      <c r="AG95" s="139"/>
      <c r="AH95" s="233"/>
      <c r="AI95" s="139"/>
      <c r="AK95" s="79">
        <v>10239.44</v>
      </c>
      <c r="AL95" s="80">
        <f t="shared" si="115"/>
        <v>1.9347677775675365E-2</v>
      </c>
      <c r="AM95" s="79">
        <v>7500</v>
      </c>
      <c r="AN95" s="80">
        <f t="shared" si="116"/>
        <v>1.4108371891845082E-2</v>
      </c>
      <c r="AO95" s="79">
        <v>7500</v>
      </c>
      <c r="AP95" s="80">
        <f t="shared" si="117"/>
        <v>1.4108371891845082E-2</v>
      </c>
      <c r="AQ95" s="79">
        <v>2888.2</v>
      </c>
      <c r="AR95" s="81">
        <f t="shared" si="118"/>
        <v>1.5832021170024843E-2</v>
      </c>
      <c r="AS95" s="80">
        <f t="shared" si="138"/>
        <v>-0.26753806848812051</v>
      </c>
      <c r="AT95" s="70">
        <f t="shared" si="139"/>
        <v>-2739.4400000000005</v>
      </c>
      <c r="AU95" s="80">
        <f t="shared" si="140"/>
        <v>-0.36525866666666673</v>
      </c>
      <c r="AV95" s="70">
        <f t="shared" si="141"/>
        <v>-2739.4400000000005</v>
      </c>
      <c r="AW95" s="80">
        <f t="shared" si="142"/>
        <v>-0.71793379325431861</v>
      </c>
      <c r="AX95" s="70">
        <f t="shared" si="143"/>
        <v>-7351.2400000000007</v>
      </c>
      <c r="AY95" s="82"/>
      <c r="BA95" s="79">
        <v>90000</v>
      </c>
      <c r="BB95" s="80">
        <f t="shared" si="125"/>
        <v>1.3023112515549299E-2</v>
      </c>
      <c r="BC95" s="79">
        <v>90000</v>
      </c>
      <c r="BD95" s="80">
        <f t="shared" si="126"/>
        <v>1.3023112515549299E-2</v>
      </c>
      <c r="BE95" s="79">
        <v>95581.72</v>
      </c>
      <c r="BF95" s="81">
        <f t="shared" si="127"/>
        <v>2.0025176167206716E-2</v>
      </c>
      <c r="BG95" s="80">
        <f t="shared" si="144"/>
        <v>0</v>
      </c>
      <c r="BH95" s="70">
        <f t="shared" si="145"/>
        <v>0</v>
      </c>
      <c r="BI95" s="80">
        <f t="shared" si="146"/>
        <v>6.2019111111111122E-2</v>
      </c>
      <c r="BJ95" s="70">
        <f t="shared" si="147"/>
        <v>5581.7200000000012</v>
      </c>
      <c r="BK95" s="82"/>
    </row>
    <row r="96" spans="2:63" ht="11.95" hidden="1" outlineLevel="2" thickBot="1" x14ac:dyDescent="0.3">
      <c r="B96" t="str">
        <f>IF(LEFT(H96,3)="Mul", "#hiderow", "#showrow")</f>
        <v>#hiderow</v>
      </c>
      <c r="E96" s="3"/>
      <c r="F96" s="3"/>
      <c r="G96" s="3"/>
      <c r="H96" s="255" t="s">
        <v>6</v>
      </c>
      <c r="I96" s="18"/>
      <c r="J96" s="18"/>
      <c r="K96" s="18"/>
      <c r="L96" s="78"/>
      <c r="M96" s="79"/>
      <c r="N96" s="80">
        <f t="shared" si="105"/>
        <v>0</v>
      </c>
      <c r="O96" s="79"/>
      <c r="P96" s="80">
        <f t="shared" si="106"/>
        <v>0</v>
      </c>
      <c r="Q96" s="79"/>
      <c r="R96" s="80">
        <f t="shared" si="107"/>
        <v>0</v>
      </c>
      <c r="S96" s="79"/>
      <c r="T96" s="81">
        <f t="shared" si="108"/>
        <v>0</v>
      </c>
      <c r="U96" s="80">
        <f t="shared" si="132"/>
        <v>0</v>
      </c>
      <c r="V96" s="70">
        <f t="shared" si="133"/>
        <v>0</v>
      </c>
      <c r="W96" s="80">
        <f t="shared" si="134"/>
        <v>0</v>
      </c>
      <c r="X96" s="70">
        <f t="shared" si="135"/>
        <v>0</v>
      </c>
      <c r="Y96" s="80">
        <f t="shared" si="136"/>
        <v>0</v>
      </c>
      <c r="Z96" s="70">
        <f t="shared" si="137"/>
        <v>0</v>
      </c>
      <c r="AA96" s="82"/>
      <c r="AC96" s="138"/>
      <c r="AD96" s="138"/>
      <c r="AE96" s="138"/>
      <c r="AF96" s="233"/>
      <c r="AG96" s="139"/>
      <c r="AH96" s="233"/>
      <c r="AI96" s="139"/>
      <c r="AK96" s="79"/>
      <c r="AL96" s="80">
        <f t="shared" si="115"/>
        <v>0</v>
      </c>
      <c r="AM96" s="79"/>
      <c r="AN96" s="80">
        <f t="shared" si="116"/>
        <v>0</v>
      </c>
      <c r="AO96" s="79"/>
      <c r="AP96" s="80">
        <f t="shared" si="117"/>
        <v>0</v>
      </c>
      <c r="AQ96" s="79"/>
      <c r="AR96" s="81">
        <f t="shared" si="118"/>
        <v>0</v>
      </c>
      <c r="AS96" s="80">
        <f t="shared" si="138"/>
        <v>0</v>
      </c>
      <c r="AT96" s="70">
        <f t="shared" si="139"/>
        <v>0</v>
      </c>
      <c r="AU96" s="80">
        <f t="shared" si="140"/>
        <v>0</v>
      </c>
      <c r="AV96" s="70">
        <f t="shared" si="141"/>
        <v>0</v>
      </c>
      <c r="AW96" s="80">
        <f t="shared" si="142"/>
        <v>0</v>
      </c>
      <c r="AX96" s="70">
        <f t="shared" si="143"/>
        <v>0</v>
      </c>
      <c r="AY96" s="82"/>
      <c r="BA96" s="79"/>
      <c r="BB96" s="80">
        <f t="shared" si="125"/>
        <v>0</v>
      </c>
      <c r="BC96" s="79"/>
      <c r="BD96" s="80">
        <f t="shared" si="126"/>
        <v>0</v>
      </c>
      <c r="BE96" s="79"/>
      <c r="BF96" s="81">
        <f t="shared" si="127"/>
        <v>0</v>
      </c>
      <c r="BG96" s="80">
        <f t="shared" si="144"/>
        <v>0</v>
      </c>
      <c r="BH96" s="70">
        <f t="shared" si="145"/>
        <v>0</v>
      </c>
      <c r="BI96" s="80">
        <f t="shared" si="146"/>
        <v>0</v>
      </c>
      <c r="BJ96" s="70">
        <f t="shared" si="147"/>
        <v>0</v>
      </c>
      <c r="BK96" s="82"/>
    </row>
    <row r="97" spans="2:63" ht="11.95" outlineLevel="2" thickBot="1" x14ac:dyDescent="0.3">
      <c r="B97" t="str">
        <f t="shared" ref="B97:B103" si="217">IF(LEFT(H97,3)="Mul", "#hiderow", "#showrow")</f>
        <v>#showrow</v>
      </c>
      <c r="E97" s="3"/>
      <c r="F97" s="3"/>
      <c r="G97" s="3"/>
      <c r="H97" s="255" t="s">
        <v>187</v>
      </c>
      <c r="I97" s="18"/>
      <c r="J97" s="18"/>
      <c r="K97" s="18"/>
      <c r="L97" s="78"/>
      <c r="M97" s="79">
        <v>4585.4399999999996</v>
      </c>
      <c r="N97" s="80">
        <f t="shared" si="105"/>
        <v>8.6643034755506977E-3</v>
      </c>
      <c r="O97" s="79">
        <v>7500</v>
      </c>
      <c r="P97" s="80">
        <f t="shared" si="106"/>
        <v>1.4108371891845082E-2</v>
      </c>
      <c r="Q97" s="79">
        <v>7500</v>
      </c>
      <c r="R97" s="80">
        <f t="shared" si="107"/>
        <v>1.4108371891845082E-2</v>
      </c>
      <c r="S97" s="79">
        <v>2887.89</v>
      </c>
      <c r="T97" s="81">
        <f t="shared" si="108"/>
        <v>1.5830321867150145E-2</v>
      </c>
      <c r="U97" s="80">
        <f t="shared" ref="U97:U103" si="218">IFERROR(($O97-M97)/ABS(M97),0)</f>
        <v>0.6356118496807287</v>
      </c>
      <c r="V97" s="70">
        <f t="shared" ref="V97:V103" si="219">IFERROR((O97-$M97), 0-$M97)</f>
        <v>2914.5600000000004</v>
      </c>
      <c r="W97" s="80">
        <f t="shared" ref="W97:W103" si="220">IFERROR((Q97-$M97)/ABS($M97),0)</f>
        <v>0.6356118496807287</v>
      </c>
      <c r="X97" s="70">
        <f t="shared" ref="X97:X103" si="221">IFERROR((Q97-$M97), 0 -$M97)</f>
        <v>2914.5600000000004</v>
      </c>
      <c r="Y97" s="80">
        <f t="shared" ref="Y97:Y103" si="222">IFERROR((S97-$M97)/ABS($M97),0)</f>
        <v>-0.37020438605673606</v>
      </c>
      <c r="Z97" s="70">
        <f t="shared" ref="Z97:Z103" si="223">IFERROR((S97-$M97),0-$M97)</f>
        <v>-1697.5499999999997</v>
      </c>
      <c r="AA97" s="82"/>
      <c r="AC97" s="138">
        <v>4585.4399999999996</v>
      </c>
      <c r="AD97" s="138">
        <v>2887.89</v>
      </c>
      <c r="AE97" s="138">
        <v>7500</v>
      </c>
      <c r="AF97" s="233"/>
      <c r="AG97" s="139"/>
      <c r="AH97" s="233"/>
      <c r="AI97" s="139"/>
      <c r="AK97" s="79">
        <v>4585.4399999999996</v>
      </c>
      <c r="AL97" s="80">
        <f t="shared" si="115"/>
        <v>8.6643034755506977E-3</v>
      </c>
      <c r="AM97" s="79">
        <v>7500</v>
      </c>
      <c r="AN97" s="80">
        <f t="shared" si="116"/>
        <v>1.4108371891845082E-2</v>
      </c>
      <c r="AO97" s="79">
        <v>7500</v>
      </c>
      <c r="AP97" s="80">
        <f t="shared" si="117"/>
        <v>1.4108371891845082E-2</v>
      </c>
      <c r="AQ97" s="79">
        <v>2887.89</v>
      </c>
      <c r="AR97" s="81">
        <f t="shared" si="118"/>
        <v>1.5830321867150145E-2</v>
      </c>
      <c r="AS97" s="80">
        <f t="shared" ref="AS97:AS103" si="224">IFERROR((AM97-$AK97)/ABS($AK97),0)</f>
        <v>0.6356118496807287</v>
      </c>
      <c r="AT97" s="70">
        <f t="shared" ref="AT97:AT103" si="225">(AM97-$AK97)</f>
        <v>2914.5600000000004</v>
      </c>
      <c r="AU97" s="80">
        <f t="shared" ref="AU97:AU103" si="226">IFERROR((AO97-$AK97)/ABS($AO97),0)</f>
        <v>0.38860800000000006</v>
      </c>
      <c r="AV97" s="70">
        <f t="shared" ref="AV97:AV103" si="227">(AO97-$AK97)</f>
        <v>2914.5600000000004</v>
      </c>
      <c r="AW97" s="80">
        <f t="shared" ref="AW97:AW103" si="228">IFERROR((AQ97-$AK97)/ABS($AK97),0)</f>
        <v>-0.37020438605673606</v>
      </c>
      <c r="AX97" s="70">
        <f t="shared" ref="AX97:AX103" si="229">(AQ97-$AK97)</f>
        <v>-1697.5499999999997</v>
      </c>
      <c r="AY97" s="82"/>
      <c r="BA97" s="79">
        <v>90000</v>
      </c>
      <c r="BB97" s="80">
        <f t="shared" si="125"/>
        <v>1.3023112515549299E-2</v>
      </c>
      <c r="BC97" s="79">
        <v>90000</v>
      </c>
      <c r="BD97" s="80">
        <f t="shared" si="126"/>
        <v>1.3023112515549299E-2</v>
      </c>
      <c r="BE97" s="79">
        <v>66014.929999999993</v>
      </c>
      <c r="BF97" s="81">
        <f t="shared" si="127"/>
        <v>1.3830684391490544E-2</v>
      </c>
      <c r="BG97" s="80">
        <f t="shared" ref="BG97:BG103" si="230">IFERROR((BC97-$BA97)/ABS($BA97),0)</f>
        <v>0</v>
      </c>
      <c r="BH97" s="70">
        <f t="shared" ref="BH97:BH103" si="231">(BC97-$BA97)</f>
        <v>0</v>
      </c>
      <c r="BI97" s="80">
        <f t="shared" ref="BI97:BI103" si="232">IFERROR((BE97-$BA97)/ABS($BA97),0)</f>
        <v>-0.26650077777777786</v>
      </c>
      <c r="BJ97" s="70">
        <f t="shared" ref="BJ97:BJ103" si="233">(BE97-$BA97)</f>
        <v>-23985.070000000007</v>
      </c>
      <c r="BK97" s="82"/>
    </row>
    <row r="98" spans="2:63" ht="11.95" outlineLevel="2" thickBot="1" x14ac:dyDescent="0.3">
      <c r="B98" t="str">
        <f t="shared" si="217"/>
        <v>#showrow</v>
      </c>
      <c r="E98" s="3"/>
      <c r="F98" s="3"/>
      <c r="G98" s="3"/>
      <c r="H98" s="255" t="s">
        <v>188</v>
      </c>
      <c r="I98" s="18"/>
      <c r="J98" s="18"/>
      <c r="K98" s="18"/>
      <c r="L98" s="78"/>
      <c r="M98" s="79"/>
      <c r="N98" s="80">
        <f t="shared" ref="N98:N129" si="234">IFERROR(M98/SUMIFS(M:M, $H:$H, "Net Sales"),0)</f>
        <v>0</v>
      </c>
      <c r="O98" s="79"/>
      <c r="P98" s="80">
        <f t="shared" ref="P98:P129" si="235">IFERROR(O98/SUMIFS(O:O, $H:$H, "Net Sales"),0)</f>
        <v>0</v>
      </c>
      <c r="Q98" s="79"/>
      <c r="R98" s="80">
        <f t="shared" ref="R98:R129" si="236">IFERROR(Q98/SUMIFS(Q:Q, $H:$H, "Net Sales"),0)</f>
        <v>0</v>
      </c>
      <c r="S98" s="79">
        <v>0.31</v>
      </c>
      <c r="T98" s="81">
        <f t="shared" ref="T98:T129" si="237">IFERROR(S98/SUMIFS(S:S, $H:$H, "Net Sales"),0)</f>
        <v>1.6993028746997098E-6</v>
      </c>
      <c r="U98" s="80">
        <f t="shared" si="218"/>
        <v>0</v>
      </c>
      <c r="V98" s="70">
        <f t="shared" si="219"/>
        <v>0</v>
      </c>
      <c r="W98" s="80">
        <f t="shared" si="220"/>
        <v>0</v>
      </c>
      <c r="X98" s="70">
        <f t="shared" si="221"/>
        <v>0</v>
      </c>
      <c r="Y98" s="80">
        <f t="shared" si="222"/>
        <v>0</v>
      </c>
      <c r="Z98" s="70">
        <f t="shared" si="223"/>
        <v>0.31</v>
      </c>
      <c r="AA98" s="82"/>
      <c r="AC98" s="138">
        <v>0</v>
      </c>
      <c r="AD98" s="138">
        <v>0.31</v>
      </c>
      <c r="AE98" s="138">
        <v>0</v>
      </c>
      <c r="AF98" s="233"/>
      <c r="AG98" s="139"/>
      <c r="AH98" s="233"/>
      <c r="AI98" s="139"/>
      <c r="AK98" s="79">
        <v>0</v>
      </c>
      <c r="AL98" s="80">
        <f t="shared" ref="AL98:AL129" si="238">IFERROR(AK98/SUMIFS(AK:AK, $H:$H, "Net Sales"),0)</f>
        <v>0</v>
      </c>
      <c r="AM98" s="79">
        <v>0</v>
      </c>
      <c r="AN98" s="80">
        <f t="shared" ref="AN98:AN129" si="239">IFERROR(AM98/SUMIFS(AM:AM, $H:$H, "Net Sales"),0)</f>
        <v>0</v>
      </c>
      <c r="AO98" s="79">
        <v>0</v>
      </c>
      <c r="AP98" s="80">
        <f t="shared" ref="AP98:AP129" si="240">IFERROR(AO98/SUMIFS(AO:AO, $H:$H, "Net Sales"),0)</f>
        <v>0</v>
      </c>
      <c r="AQ98" s="79">
        <v>0.31</v>
      </c>
      <c r="AR98" s="81">
        <f t="shared" ref="AR98:AR129" si="241">IFERROR(AQ98/SUMIFS(AQ:AQ, $H:$H, "Net Sales"),0)</f>
        <v>1.6993028746997098E-6</v>
      </c>
      <c r="AS98" s="80">
        <f t="shared" si="224"/>
        <v>0</v>
      </c>
      <c r="AT98" s="70">
        <f t="shared" si="225"/>
        <v>0</v>
      </c>
      <c r="AU98" s="80">
        <f t="shared" si="226"/>
        <v>0</v>
      </c>
      <c r="AV98" s="70">
        <f t="shared" si="227"/>
        <v>0</v>
      </c>
      <c r="AW98" s="80">
        <f t="shared" si="228"/>
        <v>0</v>
      </c>
      <c r="AX98" s="70">
        <f t="shared" si="229"/>
        <v>0.31</v>
      </c>
      <c r="AY98" s="82"/>
      <c r="BA98" s="79">
        <v>0</v>
      </c>
      <c r="BB98" s="80">
        <f t="shared" ref="BB98:BB129" si="242">IFERROR(BA98/SUMIFS(BA:BA, $H:$H, "Net Sales"),0)</f>
        <v>0</v>
      </c>
      <c r="BC98" s="79">
        <v>0</v>
      </c>
      <c r="BD98" s="80">
        <f t="shared" ref="BD98:BD129" si="243">IFERROR(BC98/SUMIFS(BC:BC, $H:$H, "Net Sales"),0)</f>
        <v>0</v>
      </c>
      <c r="BE98" s="79">
        <v>5673.55</v>
      </c>
      <c r="BF98" s="81">
        <f t="shared" ref="BF98:BF129" si="244">IFERROR(BE98/SUMIFS(BE:BE, $H:$H, "Net Sales"),0)</f>
        <v>1.1886565573778717E-3</v>
      </c>
      <c r="BG98" s="80">
        <f t="shared" si="230"/>
        <v>0</v>
      </c>
      <c r="BH98" s="70">
        <f t="shared" si="231"/>
        <v>0</v>
      </c>
      <c r="BI98" s="80">
        <f t="shared" si="232"/>
        <v>0</v>
      </c>
      <c r="BJ98" s="70">
        <f t="shared" si="233"/>
        <v>5673.55</v>
      </c>
      <c r="BK98" s="82"/>
    </row>
    <row r="99" spans="2:63" ht="11.95" outlineLevel="2" thickBot="1" x14ac:dyDescent="0.3">
      <c r="B99" t="str">
        <f t="shared" si="217"/>
        <v>#showrow</v>
      </c>
      <c r="E99" s="3"/>
      <c r="F99" s="3"/>
      <c r="G99" s="3"/>
      <c r="H99" s="255" t="s">
        <v>189</v>
      </c>
      <c r="I99" s="18"/>
      <c r="J99" s="18"/>
      <c r="K99" s="18"/>
      <c r="L99" s="78"/>
      <c r="M99" s="79">
        <v>4781.21</v>
      </c>
      <c r="N99" s="80">
        <f t="shared" si="234"/>
        <v>9.0342157830737638E-3</v>
      </c>
      <c r="O99" s="79"/>
      <c r="P99" s="80">
        <f t="shared" si="235"/>
        <v>0</v>
      </c>
      <c r="Q99" s="79"/>
      <c r="R99" s="80">
        <f t="shared" si="236"/>
        <v>0</v>
      </c>
      <c r="S99" s="79"/>
      <c r="T99" s="81">
        <f t="shared" si="237"/>
        <v>0</v>
      </c>
      <c r="U99" s="80">
        <f t="shared" si="218"/>
        <v>-1</v>
      </c>
      <c r="V99" s="70">
        <f t="shared" si="219"/>
        <v>-4781.21</v>
      </c>
      <c r="W99" s="80">
        <f t="shared" si="220"/>
        <v>-1</v>
      </c>
      <c r="X99" s="70">
        <f t="shared" si="221"/>
        <v>-4781.21</v>
      </c>
      <c r="Y99" s="80">
        <f t="shared" si="222"/>
        <v>-1</v>
      </c>
      <c r="Z99" s="70">
        <f t="shared" si="223"/>
        <v>-4781.21</v>
      </c>
      <c r="AA99" s="82"/>
      <c r="AC99" s="138">
        <v>4781.21</v>
      </c>
      <c r="AD99" s="138">
        <v>0</v>
      </c>
      <c r="AE99" s="138">
        <v>0</v>
      </c>
      <c r="AF99" s="233"/>
      <c r="AG99" s="139"/>
      <c r="AH99" s="233"/>
      <c r="AI99" s="139"/>
      <c r="AK99" s="79">
        <v>4781.21</v>
      </c>
      <c r="AL99" s="80">
        <f t="shared" si="238"/>
        <v>9.0342157830737638E-3</v>
      </c>
      <c r="AM99" s="79">
        <v>0</v>
      </c>
      <c r="AN99" s="80">
        <f t="shared" si="239"/>
        <v>0</v>
      </c>
      <c r="AO99" s="79">
        <v>0</v>
      </c>
      <c r="AP99" s="80">
        <f t="shared" si="240"/>
        <v>0</v>
      </c>
      <c r="AQ99" s="79">
        <v>0</v>
      </c>
      <c r="AR99" s="81">
        <f t="shared" si="241"/>
        <v>0</v>
      </c>
      <c r="AS99" s="80">
        <f t="shared" si="224"/>
        <v>-1</v>
      </c>
      <c r="AT99" s="70">
        <f t="shared" si="225"/>
        <v>-4781.21</v>
      </c>
      <c r="AU99" s="80">
        <f t="shared" si="226"/>
        <v>0</v>
      </c>
      <c r="AV99" s="70">
        <f t="shared" si="227"/>
        <v>-4781.21</v>
      </c>
      <c r="AW99" s="80">
        <f t="shared" si="228"/>
        <v>-1</v>
      </c>
      <c r="AX99" s="70">
        <f t="shared" si="229"/>
        <v>-4781.21</v>
      </c>
      <c r="AY99" s="82"/>
      <c r="BA99" s="79">
        <v>0</v>
      </c>
      <c r="BB99" s="80">
        <f t="shared" si="242"/>
        <v>0</v>
      </c>
      <c r="BC99" s="79">
        <v>0</v>
      </c>
      <c r="BD99" s="80">
        <f t="shared" si="243"/>
        <v>0</v>
      </c>
      <c r="BE99" s="79">
        <v>19063.87</v>
      </c>
      <c r="BF99" s="81">
        <f t="shared" si="244"/>
        <v>3.9940414880452781E-3</v>
      </c>
      <c r="BG99" s="80">
        <f t="shared" si="230"/>
        <v>0</v>
      </c>
      <c r="BH99" s="70">
        <f t="shared" si="231"/>
        <v>0</v>
      </c>
      <c r="BI99" s="80">
        <f t="shared" si="232"/>
        <v>0</v>
      </c>
      <c r="BJ99" s="70">
        <f t="shared" si="233"/>
        <v>19063.87</v>
      </c>
      <c r="BK99" s="82"/>
    </row>
    <row r="100" spans="2:63" ht="11.95" outlineLevel="2" thickBot="1" x14ac:dyDescent="0.3">
      <c r="B100" t="str">
        <f t="shared" si="217"/>
        <v>#showrow</v>
      </c>
      <c r="E100" s="3"/>
      <c r="F100" s="3"/>
      <c r="G100" s="3"/>
      <c r="H100" s="255" t="s">
        <v>190</v>
      </c>
      <c r="I100" s="18"/>
      <c r="J100" s="18"/>
      <c r="K100" s="18"/>
      <c r="L100" s="78"/>
      <c r="M100" s="79">
        <v>632.84</v>
      </c>
      <c r="N100" s="80">
        <f t="shared" si="234"/>
        <v>1.1957669954175618E-3</v>
      </c>
      <c r="O100" s="79"/>
      <c r="P100" s="80">
        <f t="shared" si="235"/>
        <v>0</v>
      </c>
      <c r="Q100" s="79"/>
      <c r="R100" s="80">
        <f t="shared" si="236"/>
        <v>0</v>
      </c>
      <c r="S100" s="79"/>
      <c r="T100" s="81">
        <f t="shared" si="237"/>
        <v>0</v>
      </c>
      <c r="U100" s="80">
        <f t="shared" si="218"/>
        <v>-1</v>
      </c>
      <c r="V100" s="70">
        <f t="shared" si="219"/>
        <v>-632.84</v>
      </c>
      <c r="W100" s="80">
        <f t="shared" si="220"/>
        <v>-1</v>
      </c>
      <c r="X100" s="70">
        <f t="shared" si="221"/>
        <v>-632.84</v>
      </c>
      <c r="Y100" s="80">
        <f t="shared" si="222"/>
        <v>-1</v>
      </c>
      <c r="Z100" s="70">
        <f t="shared" si="223"/>
        <v>-632.84</v>
      </c>
      <c r="AA100" s="82"/>
      <c r="AC100" s="138">
        <v>632.84</v>
      </c>
      <c r="AD100" s="138">
        <v>0</v>
      </c>
      <c r="AE100" s="138">
        <v>0</v>
      </c>
      <c r="AF100" s="233"/>
      <c r="AG100" s="139"/>
      <c r="AH100" s="233"/>
      <c r="AI100" s="139"/>
      <c r="AK100" s="79">
        <v>632.84</v>
      </c>
      <c r="AL100" s="80">
        <f t="shared" si="238"/>
        <v>1.1957669954175618E-3</v>
      </c>
      <c r="AM100" s="79">
        <v>0</v>
      </c>
      <c r="AN100" s="80">
        <f t="shared" si="239"/>
        <v>0</v>
      </c>
      <c r="AO100" s="79">
        <v>0</v>
      </c>
      <c r="AP100" s="80">
        <f t="shared" si="240"/>
        <v>0</v>
      </c>
      <c r="AQ100" s="79">
        <v>0</v>
      </c>
      <c r="AR100" s="81">
        <f t="shared" si="241"/>
        <v>0</v>
      </c>
      <c r="AS100" s="80">
        <f t="shared" si="224"/>
        <v>-1</v>
      </c>
      <c r="AT100" s="70">
        <f t="shared" si="225"/>
        <v>-632.84</v>
      </c>
      <c r="AU100" s="80">
        <f t="shared" si="226"/>
        <v>0</v>
      </c>
      <c r="AV100" s="70">
        <f t="shared" si="227"/>
        <v>-632.84</v>
      </c>
      <c r="AW100" s="80">
        <f t="shared" si="228"/>
        <v>-1</v>
      </c>
      <c r="AX100" s="70">
        <f t="shared" si="229"/>
        <v>-632.84</v>
      </c>
      <c r="AY100" s="82"/>
      <c r="BA100" s="79">
        <v>0</v>
      </c>
      <c r="BB100" s="80">
        <f t="shared" si="242"/>
        <v>0</v>
      </c>
      <c r="BC100" s="79">
        <v>0</v>
      </c>
      <c r="BD100" s="80">
        <f t="shared" si="243"/>
        <v>0</v>
      </c>
      <c r="BE100" s="79">
        <v>2384.92</v>
      </c>
      <c r="BF100" s="81">
        <f t="shared" si="244"/>
        <v>4.9966084670473223E-4</v>
      </c>
      <c r="BG100" s="80">
        <f t="shared" si="230"/>
        <v>0</v>
      </c>
      <c r="BH100" s="70">
        <f t="shared" si="231"/>
        <v>0</v>
      </c>
      <c r="BI100" s="80">
        <f t="shared" si="232"/>
        <v>0</v>
      </c>
      <c r="BJ100" s="70">
        <f t="shared" si="233"/>
        <v>2384.92</v>
      </c>
      <c r="BK100" s="82"/>
    </row>
    <row r="101" spans="2:63" ht="11.95" outlineLevel="2" thickBot="1" x14ac:dyDescent="0.3">
      <c r="B101" t="str">
        <f t="shared" si="217"/>
        <v>#showrow</v>
      </c>
      <c r="E101" s="3"/>
      <c r="F101" s="3"/>
      <c r="G101" s="3"/>
      <c r="H101" s="255" t="s">
        <v>191</v>
      </c>
      <c r="I101" s="18"/>
      <c r="J101" s="18"/>
      <c r="K101" s="18"/>
      <c r="L101" s="78"/>
      <c r="M101" s="79"/>
      <c r="N101" s="80">
        <f t="shared" si="234"/>
        <v>0</v>
      </c>
      <c r="O101" s="79"/>
      <c r="P101" s="80">
        <f t="shared" si="235"/>
        <v>0</v>
      </c>
      <c r="Q101" s="79"/>
      <c r="R101" s="80">
        <f t="shared" si="236"/>
        <v>0</v>
      </c>
      <c r="S101" s="79"/>
      <c r="T101" s="81">
        <f t="shared" si="237"/>
        <v>0</v>
      </c>
      <c r="U101" s="80">
        <f t="shared" si="218"/>
        <v>0</v>
      </c>
      <c r="V101" s="70">
        <f t="shared" si="219"/>
        <v>0</v>
      </c>
      <c r="W101" s="80">
        <f t="shared" si="220"/>
        <v>0</v>
      </c>
      <c r="X101" s="70">
        <f t="shared" si="221"/>
        <v>0</v>
      </c>
      <c r="Y101" s="80">
        <f t="shared" si="222"/>
        <v>0</v>
      </c>
      <c r="Z101" s="70">
        <f t="shared" si="223"/>
        <v>0</v>
      </c>
      <c r="AA101" s="82"/>
      <c r="AC101" s="138">
        <v>0</v>
      </c>
      <c r="AD101" s="138">
        <v>0</v>
      </c>
      <c r="AE101" s="138">
        <v>0</v>
      </c>
      <c r="AF101" s="233"/>
      <c r="AG101" s="139"/>
      <c r="AH101" s="233"/>
      <c r="AI101" s="139"/>
      <c r="AK101" s="79">
        <v>0</v>
      </c>
      <c r="AL101" s="80">
        <f t="shared" si="238"/>
        <v>0</v>
      </c>
      <c r="AM101" s="79">
        <v>0</v>
      </c>
      <c r="AN101" s="80">
        <f t="shared" si="239"/>
        <v>0</v>
      </c>
      <c r="AO101" s="79">
        <v>0</v>
      </c>
      <c r="AP101" s="80">
        <f t="shared" si="240"/>
        <v>0</v>
      </c>
      <c r="AQ101" s="79">
        <v>0</v>
      </c>
      <c r="AR101" s="81">
        <f t="shared" si="241"/>
        <v>0</v>
      </c>
      <c r="AS101" s="80">
        <f t="shared" si="224"/>
        <v>0</v>
      </c>
      <c r="AT101" s="70">
        <f t="shared" si="225"/>
        <v>0</v>
      </c>
      <c r="AU101" s="80">
        <f t="shared" si="226"/>
        <v>0</v>
      </c>
      <c r="AV101" s="70">
        <f t="shared" si="227"/>
        <v>0</v>
      </c>
      <c r="AW101" s="80">
        <f t="shared" si="228"/>
        <v>0</v>
      </c>
      <c r="AX101" s="70">
        <f t="shared" si="229"/>
        <v>0</v>
      </c>
      <c r="AY101" s="82"/>
      <c r="BA101" s="79">
        <v>0</v>
      </c>
      <c r="BB101" s="80">
        <f t="shared" si="242"/>
        <v>0</v>
      </c>
      <c r="BC101" s="79">
        <v>0</v>
      </c>
      <c r="BD101" s="80">
        <f t="shared" si="243"/>
        <v>0</v>
      </c>
      <c r="BE101" s="79">
        <v>10.82</v>
      </c>
      <c r="BF101" s="81">
        <f t="shared" si="244"/>
        <v>2.2668812208984799E-6</v>
      </c>
      <c r="BG101" s="80">
        <f t="shared" si="230"/>
        <v>0</v>
      </c>
      <c r="BH101" s="70">
        <f t="shared" si="231"/>
        <v>0</v>
      </c>
      <c r="BI101" s="80">
        <f t="shared" si="232"/>
        <v>0</v>
      </c>
      <c r="BJ101" s="70">
        <f t="shared" si="233"/>
        <v>10.82</v>
      </c>
      <c r="BK101" s="82"/>
    </row>
    <row r="102" spans="2:63" ht="11.95" outlineLevel="2" thickBot="1" x14ac:dyDescent="0.3">
      <c r="B102" t="str">
        <f t="shared" si="217"/>
        <v>#showrow</v>
      </c>
      <c r="E102" s="3"/>
      <c r="F102" s="3"/>
      <c r="G102" s="3"/>
      <c r="H102" s="255" t="s">
        <v>192</v>
      </c>
      <c r="I102" s="18"/>
      <c r="J102" s="18"/>
      <c r="K102" s="18"/>
      <c r="L102" s="78"/>
      <c r="M102" s="79"/>
      <c r="N102" s="80">
        <f t="shared" si="234"/>
        <v>0</v>
      </c>
      <c r="O102" s="79"/>
      <c r="P102" s="80">
        <f t="shared" si="235"/>
        <v>0</v>
      </c>
      <c r="Q102" s="79"/>
      <c r="R102" s="80">
        <f t="shared" si="236"/>
        <v>0</v>
      </c>
      <c r="S102" s="79"/>
      <c r="T102" s="81">
        <f t="shared" si="237"/>
        <v>0</v>
      </c>
      <c r="U102" s="80">
        <f t="shared" si="218"/>
        <v>0</v>
      </c>
      <c r="V102" s="70">
        <f t="shared" si="219"/>
        <v>0</v>
      </c>
      <c r="W102" s="80">
        <f t="shared" si="220"/>
        <v>0</v>
      </c>
      <c r="X102" s="70">
        <f t="shared" si="221"/>
        <v>0</v>
      </c>
      <c r="Y102" s="80">
        <f t="shared" si="222"/>
        <v>0</v>
      </c>
      <c r="Z102" s="70">
        <f t="shared" si="223"/>
        <v>0</v>
      </c>
      <c r="AA102" s="82"/>
      <c r="AC102" s="138">
        <v>0</v>
      </c>
      <c r="AD102" s="138">
        <v>0</v>
      </c>
      <c r="AE102" s="138">
        <v>0</v>
      </c>
      <c r="AF102" s="233"/>
      <c r="AG102" s="139"/>
      <c r="AH102" s="233"/>
      <c r="AI102" s="139"/>
      <c r="AK102" s="79">
        <v>0</v>
      </c>
      <c r="AL102" s="80">
        <f t="shared" si="238"/>
        <v>0</v>
      </c>
      <c r="AM102" s="79">
        <v>0</v>
      </c>
      <c r="AN102" s="80">
        <f t="shared" si="239"/>
        <v>0</v>
      </c>
      <c r="AO102" s="79">
        <v>0</v>
      </c>
      <c r="AP102" s="80">
        <f t="shared" si="240"/>
        <v>0</v>
      </c>
      <c r="AQ102" s="79">
        <v>0</v>
      </c>
      <c r="AR102" s="81">
        <f t="shared" si="241"/>
        <v>0</v>
      </c>
      <c r="AS102" s="80">
        <f t="shared" si="224"/>
        <v>0</v>
      </c>
      <c r="AT102" s="70">
        <f t="shared" si="225"/>
        <v>0</v>
      </c>
      <c r="AU102" s="80">
        <f t="shared" si="226"/>
        <v>0</v>
      </c>
      <c r="AV102" s="70">
        <f t="shared" si="227"/>
        <v>0</v>
      </c>
      <c r="AW102" s="80">
        <f t="shared" si="228"/>
        <v>0</v>
      </c>
      <c r="AX102" s="70">
        <f t="shared" si="229"/>
        <v>0</v>
      </c>
      <c r="AY102" s="82"/>
      <c r="BA102" s="79">
        <v>0</v>
      </c>
      <c r="BB102" s="80">
        <f t="shared" si="242"/>
        <v>0</v>
      </c>
      <c r="BC102" s="79">
        <v>0</v>
      </c>
      <c r="BD102" s="80">
        <f t="shared" si="243"/>
        <v>0</v>
      </c>
      <c r="BE102" s="79">
        <v>2018.07</v>
      </c>
      <c r="BF102" s="81">
        <f t="shared" si="244"/>
        <v>4.228026788778739E-4</v>
      </c>
      <c r="BG102" s="80">
        <f t="shared" si="230"/>
        <v>0</v>
      </c>
      <c r="BH102" s="70">
        <f t="shared" si="231"/>
        <v>0</v>
      </c>
      <c r="BI102" s="80">
        <f t="shared" si="232"/>
        <v>0</v>
      </c>
      <c r="BJ102" s="70">
        <f t="shared" si="233"/>
        <v>2018.07</v>
      </c>
      <c r="BK102" s="82"/>
    </row>
    <row r="103" spans="2:63" ht="11.95" outlineLevel="2" thickBot="1" x14ac:dyDescent="0.3">
      <c r="B103" t="str">
        <f t="shared" si="217"/>
        <v>#showrow</v>
      </c>
      <c r="E103" s="3"/>
      <c r="F103" s="3"/>
      <c r="G103" s="3"/>
      <c r="H103" s="255" t="s">
        <v>193</v>
      </c>
      <c r="I103" s="18"/>
      <c r="J103" s="18"/>
      <c r="K103" s="18"/>
      <c r="L103" s="78"/>
      <c r="M103" s="79">
        <v>239.95</v>
      </c>
      <c r="N103" s="80">
        <f t="shared" si="234"/>
        <v>4.5339152163334165E-4</v>
      </c>
      <c r="O103" s="79"/>
      <c r="P103" s="80">
        <f t="shared" si="235"/>
        <v>0</v>
      </c>
      <c r="Q103" s="79"/>
      <c r="R103" s="80">
        <f t="shared" si="236"/>
        <v>0</v>
      </c>
      <c r="S103" s="79"/>
      <c r="T103" s="81">
        <f t="shared" si="237"/>
        <v>0</v>
      </c>
      <c r="U103" s="80">
        <f t="shared" si="218"/>
        <v>-1</v>
      </c>
      <c r="V103" s="70">
        <f t="shared" si="219"/>
        <v>-239.95</v>
      </c>
      <c r="W103" s="80">
        <f t="shared" si="220"/>
        <v>-1</v>
      </c>
      <c r="X103" s="70">
        <f t="shared" si="221"/>
        <v>-239.95</v>
      </c>
      <c r="Y103" s="80">
        <f t="shared" si="222"/>
        <v>-1</v>
      </c>
      <c r="Z103" s="70">
        <f t="shared" si="223"/>
        <v>-239.95</v>
      </c>
      <c r="AA103" s="82"/>
      <c r="AC103" s="138">
        <v>239.95</v>
      </c>
      <c r="AD103" s="138">
        <v>0</v>
      </c>
      <c r="AE103" s="138">
        <v>0</v>
      </c>
      <c r="AF103" s="233"/>
      <c r="AG103" s="139"/>
      <c r="AH103" s="233"/>
      <c r="AI103" s="139"/>
      <c r="AK103" s="79">
        <v>239.95</v>
      </c>
      <c r="AL103" s="80">
        <f t="shared" si="238"/>
        <v>4.5339152163334165E-4</v>
      </c>
      <c r="AM103" s="79">
        <v>0</v>
      </c>
      <c r="AN103" s="80">
        <f t="shared" si="239"/>
        <v>0</v>
      </c>
      <c r="AO103" s="79">
        <v>0</v>
      </c>
      <c r="AP103" s="80">
        <f t="shared" si="240"/>
        <v>0</v>
      </c>
      <c r="AQ103" s="79">
        <v>0</v>
      </c>
      <c r="AR103" s="81">
        <f t="shared" si="241"/>
        <v>0</v>
      </c>
      <c r="AS103" s="80">
        <f t="shared" si="224"/>
        <v>-1</v>
      </c>
      <c r="AT103" s="70">
        <f t="shared" si="225"/>
        <v>-239.95</v>
      </c>
      <c r="AU103" s="80">
        <f t="shared" si="226"/>
        <v>0</v>
      </c>
      <c r="AV103" s="70">
        <f t="shared" si="227"/>
        <v>-239.95</v>
      </c>
      <c r="AW103" s="80">
        <f t="shared" si="228"/>
        <v>-1</v>
      </c>
      <c r="AX103" s="70">
        <f t="shared" si="229"/>
        <v>-239.95</v>
      </c>
      <c r="AY103" s="82"/>
      <c r="BA103" s="79">
        <v>0</v>
      </c>
      <c r="BB103" s="80">
        <f t="shared" si="242"/>
        <v>0</v>
      </c>
      <c r="BC103" s="79">
        <v>0</v>
      </c>
      <c r="BD103" s="80">
        <f t="shared" si="243"/>
        <v>0</v>
      </c>
      <c r="BE103" s="79">
        <v>415.56</v>
      </c>
      <c r="BF103" s="81">
        <f t="shared" si="244"/>
        <v>8.7063323489516861E-5</v>
      </c>
      <c r="BG103" s="80">
        <f t="shared" si="230"/>
        <v>0</v>
      </c>
      <c r="BH103" s="70">
        <f t="shared" si="231"/>
        <v>0</v>
      </c>
      <c r="BI103" s="80">
        <f t="shared" si="232"/>
        <v>0</v>
      </c>
      <c r="BJ103" s="70">
        <f t="shared" si="233"/>
        <v>415.56</v>
      </c>
      <c r="BK103" s="82"/>
    </row>
    <row r="104" spans="2:63" ht="11.95" outlineLevel="1" thickBot="1" x14ac:dyDescent="0.3">
      <c r="E104" s="3"/>
      <c r="F104" s="3"/>
      <c r="G104" s="3"/>
      <c r="H104" s="256" t="s">
        <v>109</v>
      </c>
      <c r="I104" s="18"/>
      <c r="J104" s="18"/>
      <c r="K104" s="18"/>
      <c r="L104" s="78"/>
      <c r="M104" s="79">
        <v>10787.95</v>
      </c>
      <c r="N104" s="80">
        <f t="shared" si="234"/>
        <v>2.0384101128586823E-2</v>
      </c>
      <c r="O104" s="79">
        <v>20350</v>
      </c>
      <c r="P104" s="80">
        <f t="shared" si="235"/>
        <v>3.8280715733206322E-2</v>
      </c>
      <c r="Q104" s="79">
        <v>20350</v>
      </c>
      <c r="R104" s="80">
        <f t="shared" si="236"/>
        <v>3.8280715733206322E-2</v>
      </c>
      <c r="S104" s="79">
        <v>2150.54</v>
      </c>
      <c r="T104" s="81">
        <f t="shared" si="237"/>
        <v>1.1788447755344239E-2</v>
      </c>
      <c r="U104" s="80">
        <f t="shared" si="132"/>
        <v>0.8863639523727862</v>
      </c>
      <c r="V104" s="70">
        <f t="shared" si="133"/>
        <v>9562.0499999999993</v>
      </c>
      <c r="W104" s="80">
        <f t="shared" si="134"/>
        <v>0.8863639523727862</v>
      </c>
      <c r="X104" s="259">
        <f t="shared" si="135"/>
        <v>9562.0499999999993</v>
      </c>
      <c r="Y104" s="80">
        <f t="shared" si="136"/>
        <v>-0.80065350692207504</v>
      </c>
      <c r="Z104" s="70">
        <f t="shared" si="137"/>
        <v>-8637.41</v>
      </c>
      <c r="AA104" s="82"/>
      <c r="AC104" s="138">
        <v>10787.95</v>
      </c>
      <c r="AD104" s="138">
        <v>2150.54</v>
      </c>
      <c r="AE104" s="138">
        <v>20350</v>
      </c>
      <c r="AF104" s="233"/>
      <c r="AG104" s="139"/>
      <c r="AH104" s="233"/>
      <c r="AI104" s="139"/>
      <c r="AK104" s="79">
        <v>10787.95</v>
      </c>
      <c r="AL104" s="80">
        <f t="shared" si="238"/>
        <v>2.0384101128586823E-2</v>
      </c>
      <c r="AM104" s="79">
        <v>20350</v>
      </c>
      <c r="AN104" s="80">
        <f t="shared" si="239"/>
        <v>3.8280715733206322E-2</v>
      </c>
      <c r="AO104" s="79">
        <v>20350</v>
      </c>
      <c r="AP104" s="80">
        <f t="shared" si="240"/>
        <v>3.8280715733206322E-2</v>
      </c>
      <c r="AQ104" s="79">
        <v>2150.54</v>
      </c>
      <c r="AR104" s="81">
        <f t="shared" si="241"/>
        <v>1.1788447755344239E-2</v>
      </c>
      <c r="AS104" s="80">
        <f t="shared" si="138"/>
        <v>0.8863639523727862</v>
      </c>
      <c r="AT104" s="70">
        <f t="shared" si="139"/>
        <v>9562.0499999999993</v>
      </c>
      <c r="AU104" s="80">
        <f t="shared" si="140"/>
        <v>0.46987960687960684</v>
      </c>
      <c r="AV104" s="70">
        <f t="shared" si="141"/>
        <v>9562.0499999999993</v>
      </c>
      <c r="AW104" s="80">
        <f t="shared" si="142"/>
        <v>-0.80065350692207504</v>
      </c>
      <c r="AX104" s="70">
        <f t="shared" si="143"/>
        <v>-8637.41</v>
      </c>
      <c r="AY104" s="82"/>
      <c r="BA104" s="79">
        <v>244200</v>
      </c>
      <c r="BB104" s="80">
        <f t="shared" si="242"/>
        <v>3.5336045292190435E-2</v>
      </c>
      <c r="BC104" s="79">
        <v>244200</v>
      </c>
      <c r="BD104" s="80">
        <f t="shared" si="243"/>
        <v>3.5336045292190435E-2</v>
      </c>
      <c r="BE104" s="79">
        <v>215397.69</v>
      </c>
      <c r="BF104" s="81">
        <f t="shared" si="244"/>
        <v>4.5127632022727571E-2</v>
      </c>
      <c r="BG104" s="80">
        <f t="shared" si="144"/>
        <v>0</v>
      </c>
      <c r="BH104" s="70">
        <f t="shared" si="145"/>
        <v>0</v>
      </c>
      <c r="BI104" s="80">
        <f t="shared" si="146"/>
        <v>-0.11794557739557739</v>
      </c>
      <c r="BJ104" s="70">
        <f t="shared" si="147"/>
        <v>-28802.309999999998</v>
      </c>
      <c r="BK104" s="82"/>
    </row>
    <row r="105" spans="2:63" ht="11.95" hidden="1" outlineLevel="2" thickBot="1" x14ac:dyDescent="0.3">
      <c r="B105" t="str">
        <f t="shared" ref="B105" si="245">IF(LEFT(H105,3)="Mul", "#hiderow", "#showrow")</f>
        <v>#hiderow</v>
      </c>
      <c r="E105" s="3"/>
      <c r="F105" s="3"/>
      <c r="G105" s="3"/>
      <c r="H105" s="255" t="s">
        <v>6</v>
      </c>
      <c r="I105" s="18"/>
      <c r="J105" s="18"/>
      <c r="K105" s="18"/>
      <c r="L105" s="78"/>
      <c r="M105" s="79"/>
      <c r="N105" s="80">
        <f t="shared" si="234"/>
        <v>0</v>
      </c>
      <c r="O105" s="79"/>
      <c r="P105" s="80">
        <f t="shared" si="235"/>
        <v>0</v>
      </c>
      <c r="Q105" s="79"/>
      <c r="R105" s="80">
        <f t="shared" si="236"/>
        <v>0</v>
      </c>
      <c r="S105" s="79"/>
      <c r="T105" s="81">
        <f t="shared" si="237"/>
        <v>0</v>
      </c>
      <c r="U105" s="80">
        <f t="shared" si="132"/>
        <v>0</v>
      </c>
      <c r="V105" s="70">
        <f t="shared" si="133"/>
        <v>0</v>
      </c>
      <c r="W105" s="80">
        <f t="shared" si="134"/>
        <v>0</v>
      </c>
      <c r="X105" s="70">
        <f t="shared" si="135"/>
        <v>0</v>
      </c>
      <c r="Y105" s="80">
        <f t="shared" si="136"/>
        <v>0</v>
      </c>
      <c r="Z105" s="70">
        <f t="shared" si="137"/>
        <v>0</v>
      </c>
      <c r="AA105" s="82"/>
      <c r="AC105" s="138"/>
      <c r="AD105" s="138"/>
      <c r="AE105" s="138"/>
      <c r="AF105" s="233"/>
      <c r="AG105" s="139"/>
      <c r="AH105" s="233"/>
      <c r="AI105" s="139"/>
      <c r="AK105" s="79"/>
      <c r="AL105" s="80">
        <f t="shared" si="238"/>
        <v>0</v>
      </c>
      <c r="AM105" s="79"/>
      <c r="AN105" s="80">
        <f t="shared" si="239"/>
        <v>0</v>
      </c>
      <c r="AO105" s="79"/>
      <c r="AP105" s="80">
        <f t="shared" si="240"/>
        <v>0</v>
      </c>
      <c r="AQ105" s="79"/>
      <c r="AR105" s="81">
        <f t="shared" si="241"/>
        <v>0</v>
      </c>
      <c r="AS105" s="80">
        <f t="shared" si="138"/>
        <v>0</v>
      </c>
      <c r="AT105" s="70">
        <f t="shared" si="139"/>
        <v>0</v>
      </c>
      <c r="AU105" s="80">
        <f t="shared" si="140"/>
        <v>0</v>
      </c>
      <c r="AV105" s="70">
        <f t="shared" si="141"/>
        <v>0</v>
      </c>
      <c r="AW105" s="80">
        <f t="shared" si="142"/>
        <v>0</v>
      </c>
      <c r="AX105" s="70">
        <f t="shared" si="143"/>
        <v>0</v>
      </c>
      <c r="AY105" s="82"/>
      <c r="BA105" s="79"/>
      <c r="BB105" s="80">
        <f t="shared" si="242"/>
        <v>0</v>
      </c>
      <c r="BC105" s="79"/>
      <c r="BD105" s="80">
        <f t="shared" si="243"/>
        <v>0</v>
      </c>
      <c r="BE105" s="79"/>
      <c r="BF105" s="81">
        <f t="shared" si="244"/>
        <v>0</v>
      </c>
      <c r="BG105" s="80">
        <f t="shared" si="144"/>
        <v>0</v>
      </c>
      <c r="BH105" s="70">
        <f t="shared" si="145"/>
        <v>0</v>
      </c>
      <c r="BI105" s="80">
        <f t="shared" si="146"/>
        <v>0</v>
      </c>
      <c r="BJ105" s="70">
        <f t="shared" si="147"/>
        <v>0</v>
      </c>
      <c r="BK105" s="82"/>
    </row>
    <row r="106" spans="2:63" ht="11.95" outlineLevel="2" thickBot="1" x14ac:dyDescent="0.3">
      <c r="B106" t="str">
        <f t="shared" ref="B106:B113" si="246">IF(LEFT(H106,3)="Mul", "#hiderow", "#showrow")</f>
        <v>#showrow</v>
      </c>
      <c r="E106" s="3"/>
      <c r="F106" s="3"/>
      <c r="G106" s="3"/>
      <c r="H106" s="255" t="s">
        <v>152</v>
      </c>
      <c r="I106" s="18"/>
      <c r="J106" s="18"/>
      <c r="K106" s="18"/>
      <c r="L106" s="78"/>
      <c r="M106" s="79"/>
      <c r="N106" s="80">
        <f t="shared" si="234"/>
        <v>0</v>
      </c>
      <c r="O106" s="79">
        <v>750</v>
      </c>
      <c r="P106" s="80">
        <f t="shared" si="235"/>
        <v>1.4108371891845082E-3</v>
      </c>
      <c r="Q106" s="79">
        <v>750</v>
      </c>
      <c r="R106" s="80">
        <f t="shared" si="236"/>
        <v>1.4108371891845082E-3</v>
      </c>
      <c r="S106" s="79"/>
      <c r="T106" s="81">
        <f t="shared" si="237"/>
        <v>0</v>
      </c>
      <c r="U106" s="80">
        <f t="shared" ref="U106:U113" si="247">IFERROR(($O106-M106)/ABS(M106),0)</f>
        <v>0</v>
      </c>
      <c r="V106" s="70">
        <f t="shared" ref="V106:V113" si="248">IFERROR((O106-$M106), 0-$M106)</f>
        <v>750</v>
      </c>
      <c r="W106" s="80">
        <f t="shared" ref="W106:W113" si="249">IFERROR((Q106-$M106)/ABS($M106),0)</f>
        <v>0</v>
      </c>
      <c r="X106" s="70">
        <f t="shared" ref="X106:X113" si="250">IFERROR((Q106-$M106), 0 -$M106)</f>
        <v>750</v>
      </c>
      <c r="Y106" s="80">
        <f t="shared" ref="Y106:Y113" si="251">IFERROR((S106-$M106)/ABS($M106),0)</f>
        <v>0</v>
      </c>
      <c r="Z106" s="70">
        <f t="shared" ref="Z106:Z113" si="252">IFERROR((S106-$M106),0-$M106)</f>
        <v>0</v>
      </c>
      <c r="AA106" s="82"/>
      <c r="AC106" s="138">
        <v>0</v>
      </c>
      <c r="AD106" s="138">
        <v>0</v>
      </c>
      <c r="AE106" s="138">
        <v>750</v>
      </c>
      <c r="AF106" s="233"/>
      <c r="AG106" s="139"/>
      <c r="AH106" s="233"/>
      <c r="AI106" s="139"/>
      <c r="AK106" s="79">
        <v>0</v>
      </c>
      <c r="AL106" s="80">
        <f t="shared" si="238"/>
        <v>0</v>
      </c>
      <c r="AM106" s="79">
        <v>750</v>
      </c>
      <c r="AN106" s="80">
        <f t="shared" si="239"/>
        <v>1.4108371891845082E-3</v>
      </c>
      <c r="AO106" s="79">
        <v>750</v>
      </c>
      <c r="AP106" s="80">
        <f t="shared" si="240"/>
        <v>1.4108371891845082E-3</v>
      </c>
      <c r="AQ106" s="79">
        <v>0</v>
      </c>
      <c r="AR106" s="81">
        <f t="shared" si="241"/>
        <v>0</v>
      </c>
      <c r="AS106" s="80">
        <f t="shared" ref="AS106:AS113" si="253">IFERROR((AM106-$AK106)/ABS($AK106),0)</f>
        <v>0</v>
      </c>
      <c r="AT106" s="70">
        <f t="shared" ref="AT106:AT113" si="254">(AM106-$AK106)</f>
        <v>750</v>
      </c>
      <c r="AU106" s="80">
        <f t="shared" ref="AU106:AU113" si="255">IFERROR((AO106-$AK106)/ABS($AO106),0)</f>
        <v>1</v>
      </c>
      <c r="AV106" s="70">
        <f t="shared" ref="AV106:AV113" si="256">(AO106-$AK106)</f>
        <v>750</v>
      </c>
      <c r="AW106" s="80">
        <f t="shared" ref="AW106:AW113" si="257">IFERROR((AQ106-$AK106)/ABS($AK106),0)</f>
        <v>0</v>
      </c>
      <c r="AX106" s="70">
        <f t="shared" ref="AX106:AX113" si="258">(AQ106-$AK106)</f>
        <v>0</v>
      </c>
      <c r="AY106" s="82"/>
      <c r="BA106" s="79">
        <v>9000</v>
      </c>
      <c r="BB106" s="80">
        <f t="shared" si="242"/>
        <v>1.3023112515549299E-3</v>
      </c>
      <c r="BC106" s="79">
        <v>9000</v>
      </c>
      <c r="BD106" s="80">
        <f t="shared" si="243"/>
        <v>1.3023112515549299E-3</v>
      </c>
      <c r="BE106" s="79">
        <v>8555.52</v>
      </c>
      <c r="BF106" s="81">
        <f t="shared" si="244"/>
        <v>1.7924535695953202E-3</v>
      </c>
      <c r="BG106" s="80">
        <f t="shared" ref="BG106:BG113" si="259">IFERROR((BC106-$BA106)/ABS($BA106),0)</f>
        <v>0</v>
      </c>
      <c r="BH106" s="70">
        <f t="shared" ref="BH106:BH113" si="260">(BC106-$BA106)</f>
        <v>0</v>
      </c>
      <c r="BI106" s="80">
        <f t="shared" ref="BI106:BI113" si="261">IFERROR((BE106-$BA106)/ABS($BA106),0)</f>
        <v>-4.938666666666662E-2</v>
      </c>
      <c r="BJ106" s="70">
        <f t="shared" ref="BJ106:BJ113" si="262">(BE106-$BA106)</f>
        <v>-444.47999999999956</v>
      </c>
      <c r="BK106" s="82"/>
    </row>
    <row r="107" spans="2:63" ht="11.95" outlineLevel="2" thickBot="1" x14ac:dyDescent="0.3">
      <c r="B107" t="str">
        <f t="shared" si="246"/>
        <v>#showrow</v>
      </c>
      <c r="E107" s="3"/>
      <c r="F107" s="3"/>
      <c r="G107" s="3"/>
      <c r="H107" s="255" t="s">
        <v>153</v>
      </c>
      <c r="I107" s="18"/>
      <c r="J107" s="18"/>
      <c r="K107" s="18"/>
      <c r="L107" s="78"/>
      <c r="M107" s="79">
        <v>1490.15</v>
      </c>
      <c r="N107" s="80">
        <f t="shared" si="234"/>
        <v>2.8156756656050183E-3</v>
      </c>
      <c r="O107" s="79">
        <v>4000</v>
      </c>
      <c r="P107" s="80">
        <f t="shared" si="235"/>
        <v>7.5244650089840437E-3</v>
      </c>
      <c r="Q107" s="79">
        <v>4000</v>
      </c>
      <c r="R107" s="80">
        <f t="shared" si="236"/>
        <v>7.5244650089840437E-3</v>
      </c>
      <c r="S107" s="79">
        <v>344.57</v>
      </c>
      <c r="T107" s="81">
        <f t="shared" si="237"/>
        <v>1.8888025533396098E-3</v>
      </c>
      <c r="U107" s="80">
        <f t="shared" si="247"/>
        <v>1.6842935274972317</v>
      </c>
      <c r="V107" s="70">
        <f t="shared" si="248"/>
        <v>2509.85</v>
      </c>
      <c r="W107" s="80">
        <f t="shared" si="249"/>
        <v>1.6842935274972317</v>
      </c>
      <c r="X107" s="70">
        <f t="shared" si="250"/>
        <v>2509.85</v>
      </c>
      <c r="Y107" s="80">
        <f t="shared" si="251"/>
        <v>-0.76876824480756978</v>
      </c>
      <c r="Z107" s="70">
        <f t="shared" si="252"/>
        <v>-1145.5800000000002</v>
      </c>
      <c r="AA107" s="82"/>
      <c r="AC107" s="138">
        <v>1490.15</v>
      </c>
      <c r="AD107" s="138">
        <v>344.57</v>
      </c>
      <c r="AE107" s="138">
        <v>4000</v>
      </c>
      <c r="AF107" s="233"/>
      <c r="AG107" s="139"/>
      <c r="AH107" s="233"/>
      <c r="AI107" s="139"/>
      <c r="AK107" s="79">
        <v>1490.15</v>
      </c>
      <c r="AL107" s="80">
        <f t="shared" si="238"/>
        <v>2.8156756656050183E-3</v>
      </c>
      <c r="AM107" s="79">
        <v>4000</v>
      </c>
      <c r="AN107" s="80">
        <f t="shared" si="239"/>
        <v>7.5244650089840437E-3</v>
      </c>
      <c r="AO107" s="79">
        <v>4000</v>
      </c>
      <c r="AP107" s="80">
        <f t="shared" si="240"/>
        <v>7.5244650089840437E-3</v>
      </c>
      <c r="AQ107" s="79">
        <v>344.57</v>
      </c>
      <c r="AR107" s="81">
        <f t="shared" si="241"/>
        <v>1.8888025533396098E-3</v>
      </c>
      <c r="AS107" s="80">
        <f t="shared" si="253"/>
        <v>1.6842935274972317</v>
      </c>
      <c r="AT107" s="70">
        <f t="shared" si="254"/>
        <v>2509.85</v>
      </c>
      <c r="AU107" s="80">
        <f t="shared" si="255"/>
        <v>0.62746249999999992</v>
      </c>
      <c r="AV107" s="70">
        <f t="shared" si="256"/>
        <v>2509.85</v>
      </c>
      <c r="AW107" s="80">
        <f t="shared" si="257"/>
        <v>-0.76876824480756978</v>
      </c>
      <c r="AX107" s="70">
        <f t="shared" si="258"/>
        <v>-1145.5800000000002</v>
      </c>
      <c r="AY107" s="82"/>
      <c r="BA107" s="79">
        <v>48000</v>
      </c>
      <c r="BB107" s="80">
        <f t="shared" si="242"/>
        <v>6.9456600082929603E-3</v>
      </c>
      <c r="BC107" s="79">
        <v>48000</v>
      </c>
      <c r="BD107" s="80">
        <f t="shared" si="243"/>
        <v>6.9456600082929603E-3</v>
      </c>
      <c r="BE107" s="79">
        <v>42728.78</v>
      </c>
      <c r="BF107" s="81">
        <f t="shared" si="244"/>
        <v>8.9520396463865573E-3</v>
      </c>
      <c r="BG107" s="80">
        <f t="shared" si="259"/>
        <v>0</v>
      </c>
      <c r="BH107" s="70">
        <f t="shared" si="260"/>
        <v>0</v>
      </c>
      <c r="BI107" s="80">
        <f t="shared" si="261"/>
        <v>-0.10981708333333336</v>
      </c>
      <c r="BJ107" s="70">
        <f t="shared" si="262"/>
        <v>-5271.2200000000012</v>
      </c>
      <c r="BK107" s="82"/>
    </row>
    <row r="108" spans="2:63" ht="11.95" outlineLevel="2" thickBot="1" x14ac:dyDescent="0.3">
      <c r="B108" t="str">
        <f t="shared" si="246"/>
        <v>#showrow</v>
      </c>
      <c r="E108" s="3"/>
      <c r="F108" s="3"/>
      <c r="G108" s="3"/>
      <c r="H108" s="255" t="s">
        <v>154</v>
      </c>
      <c r="I108" s="18"/>
      <c r="J108" s="18"/>
      <c r="K108" s="18"/>
      <c r="L108" s="78"/>
      <c r="M108" s="79">
        <v>689.6</v>
      </c>
      <c r="N108" s="80">
        <f t="shared" si="234"/>
        <v>1.3030164339168677E-3</v>
      </c>
      <c r="O108" s="79">
        <v>1200</v>
      </c>
      <c r="P108" s="80">
        <f t="shared" si="235"/>
        <v>2.2573395026952128E-3</v>
      </c>
      <c r="Q108" s="79">
        <v>1200</v>
      </c>
      <c r="R108" s="80">
        <f t="shared" si="236"/>
        <v>2.2573395026952128E-3</v>
      </c>
      <c r="S108" s="79">
        <v>268.08999999999997</v>
      </c>
      <c r="T108" s="81">
        <f t="shared" si="237"/>
        <v>1.4695680892846618E-3</v>
      </c>
      <c r="U108" s="80">
        <f t="shared" si="247"/>
        <v>0.74013921113689085</v>
      </c>
      <c r="V108" s="70">
        <f t="shared" si="248"/>
        <v>510.4</v>
      </c>
      <c r="W108" s="80">
        <f t="shared" si="249"/>
        <v>0.74013921113689085</v>
      </c>
      <c r="X108" s="70">
        <f t="shared" si="250"/>
        <v>510.4</v>
      </c>
      <c r="Y108" s="80">
        <f t="shared" si="251"/>
        <v>-0.61123839907192579</v>
      </c>
      <c r="Z108" s="70">
        <f t="shared" si="252"/>
        <v>-421.51000000000005</v>
      </c>
      <c r="AA108" s="82"/>
      <c r="AC108" s="138">
        <v>689.6</v>
      </c>
      <c r="AD108" s="138">
        <v>268.08999999999997</v>
      </c>
      <c r="AE108" s="138">
        <v>1200</v>
      </c>
      <c r="AF108" s="233"/>
      <c r="AG108" s="139"/>
      <c r="AH108" s="233"/>
      <c r="AI108" s="139"/>
      <c r="AK108" s="79">
        <v>689.6</v>
      </c>
      <c r="AL108" s="80">
        <f t="shared" si="238"/>
        <v>1.3030164339168677E-3</v>
      </c>
      <c r="AM108" s="79">
        <v>1200</v>
      </c>
      <c r="AN108" s="80">
        <f t="shared" si="239"/>
        <v>2.2573395026952128E-3</v>
      </c>
      <c r="AO108" s="79">
        <v>1200</v>
      </c>
      <c r="AP108" s="80">
        <f t="shared" si="240"/>
        <v>2.2573395026952128E-3</v>
      </c>
      <c r="AQ108" s="79">
        <v>268.08999999999997</v>
      </c>
      <c r="AR108" s="81">
        <f t="shared" si="241"/>
        <v>1.4695680892846618E-3</v>
      </c>
      <c r="AS108" s="80">
        <f t="shared" si="253"/>
        <v>0.74013921113689085</v>
      </c>
      <c r="AT108" s="70">
        <f t="shared" si="254"/>
        <v>510.4</v>
      </c>
      <c r="AU108" s="80">
        <f t="shared" si="255"/>
        <v>0.42533333333333334</v>
      </c>
      <c r="AV108" s="70">
        <f t="shared" si="256"/>
        <v>510.4</v>
      </c>
      <c r="AW108" s="80">
        <f t="shared" si="257"/>
        <v>-0.61123839907192579</v>
      </c>
      <c r="AX108" s="70">
        <f t="shared" si="258"/>
        <v>-421.51000000000005</v>
      </c>
      <c r="AY108" s="82"/>
      <c r="BA108" s="79">
        <v>14400</v>
      </c>
      <c r="BB108" s="80">
        <f t="shared" si="242"/>
        <v>2.0836980024878881E-3</v>
      </c>
      <c r="BC108" s="79">
        <v>14400</v>
      </c>
      <c r="BD108" s="80">
        <f t="shared" si="243"/>
        <v>2.0836980024878881E-3</v>
      </c>
      <c r="BE108" s="79">
        <v>12832.73</v>
      </c>
      <c r="BF108" s="81">
        <f t="shared" si="244"/>
        <v>2.6885651247560583E-3</v>
      </c>
      <c r="BG108" s="80">
        <f t="shared" si="259"/>
        <v>0</v>
      </c>
      <c r="BH108" s="70">
        <f t="shared" si="260"/>
        <v>0</v>
      </c>
      <c r="BI108" s="80">
        <f t="shared" si="261"/>
        <v>-0.10883819444444448</v>
      </c>
      <c r="BJ108" s="70">
        <f t="shared" si="262"/>
        <v>-1567.2700000000004</v>
      </c>
      <c r="BK108" s="82"/>
    </row>
    <row r="109" spans="2:63" ht="11.95" outlineLevel="2" thickBot="1" x14ac:dyDescent="0.3">
      <c r="B109" t="str">
        <f t="shared" si="246"/>
        <v>#showrow</v>
      </c>
      <c r="E109" s="3"/>
      <c r="F109" s="3"/>
      <c r="G109" s="3"/>
      <c r="H109" s="255" t="s">
        <v>155</v>
      </c>
      <c r="I109" s="18"/>
      <c r="J109" s="18"/>
      <c r="K109" s="18"/>
      <c r="L109" s="78"/>
      <c r="M109" s="79"/>
      <c r="N109" s="80">
        <f t="shared" si="234"/>
        <v>0</v>
      </c>
      <c r="O109" s="79"/>
      <c r="P109" s="80">
        <f t="shared" si="235"/>
        <v>0</v>
      </c>
      <c r="Q109" s="79"/>
      <c r="R109" s="80">
        <f t="shared" si="236"/>
        <v>0</v>
      </c>
      <c r="S109" s="79"/>
      <c r="T109" s="81">
        <f t="shared" si="237"/>
        <v>0</v>
      </c>
      <c r="U109" s="80">
        <f t="shared" si="247"/>
        <v>0</v>
      </c>
      <c r="V109" s="70">
        <f t="shared" si="248"/>
        <v>0</v>
      </c>
      <c r="W109" s="80">
        <f t="shared" si="249"/>
        <v>0</v>
      </c>
      <c r="X109" s="70">
        <f t="shared" si="250"/>
        <v>0</v>
      </c>
      <c r="Y109" s="80">
        <f t="shared" si="251"/>
        <v>0</v>
      </c>
      <c r="Z109" s="70">
        <f t="shared" si="252"/>
        <v>0</v>
      </c>
      <c r="AA109" s="82"/>
      <c r="AC109" s="138">
        <v>0</v>
      </c>
      <c r="AD109" s="138">
        <v>0</v>
      </c>
      <c r="AE109" s="138">
        <v>0</v>
      </c>
      <c r="AF109" s="233"/>
      <c r="AG109" s="139"/>
      <c r="AH109" s="233"/>
      <c r="AI109" s="139"/>
      <c r="AK109" s="79">
        <v>0</v>
      </c>
      <c r="AL109" s="80">
        <f t="shared" si="238"/>
        <v>0</v>
      </c>
      <c r="AM109" s="79">
        <v>0</v>
      </c>
      <c r="AN109" s="80">
        <f t="shared" si="239"/>
        <v>0</v>
      </c>
      <c r="AO109" s="79">
        <v>0</v>
      </c>
      <c r="AP109" s="80">
        <f t="shared" si="240"/>
        <v>0</v>
      </c>
      <c r="AQ109" s="79">
        <v>0</v>
      </c>
      <c r="AR109" s="81">
        <f t="shared" si="241"/>
        <v>0</v>
      </c>
      <c r="AS109" s="80">
        <f t="shared" si="253"/>
        <v>0</v>
      </c>
      <c r="AT109" s="70">
        <f t="shared" si="254"/>
        <v>0</v>
      </c>
      <c r="AU109" s="80">
        <f t="shared" si="255"/>
        <v>0</v>
      </c>
      <c r="AV109" s="70">
        <f t="shared" si="256"/>
        <v>0</v>
      </c>
      <c r="AW109" s="80">
        <f t="shared" si="257"/>
        <v>0</v>
      </c>
      <c r="AX109" s="70">
        <f t="shared" si="258"/>
        <v>0</v>
      </c>
      <c r="AY109" s="82"/>
      <c r="BA109" s="79">
        <v>0</v>
      </c>
      <c r="BB109" s="80">
        <f t="shared" si="242"/>
        <v>0</v>
      </c>
      <c r="BC109" s="79">
        <v>0</v>
      </c>
      <c r="BD109" s="80">
        <f t="shared" si="243"/>
        <v>0</v>
      </c>
      <c r="BE109" s="79">
        <v>380.93</v>
      </c>
      <c r="BF109" s="81">
        <f t="shared" si="244"/>
        <v>7.9808046532057117E-5</v>
      </c>
      <c r="BG109" s="80">
        <f t="shared" si="259"/>
        <v>0</v>
      </c>
      <c r="BH109" s="70">
        <f t="shared" si="260"/>
        <v>0</v>
      </c>
      <c r="BI109" s="80">
        <f t="shared" si="261"/>
        <v>0</v>
      </c>
      <c r="BJ109" s="70">
        <f t="shared" si="262"/>
        <v>380.93</v>
      </c>
      <c r="BK109" s="82"/>
    </row>
    <row r="110" spans="2:63" ht="11.95" outlineLevel="2" thickBot="1" x14ac:dyDescent="0.3">
      <c r="B110" t="str">
        <f t="shared" si="246"/>
        <v>#showrow</v>
      </c>
      <c r="E110" s="3"/>
      <c r="F110" s="3"/>
      <c r="G110" s="3"/>
      <c r="H110" s="255" t="s">
        <v>156</v>
      </c>
      <c r="I110" s="18"/>
      <c r="J110" s="18"/>
      <c r="K110" s="18"/>
      <c r="L110" s="78"/>
      <c r="M110" s="79"/>
      <c r="N110" s="80">
        <f t="shared" si="234"/>
        <v>0</v>
      </c>
      <c r="O110" s="79">
        <v>300</v>
      </c>
      <c r="P110" s="80">
        <f t="shared" si="235"/>
        <v>5.6433487567380321E-4</v>
      </c>
      <c r="Q110" s="79">
        <v>300</v>
      </c>
      <c r="R110" s="80">
        <f t="shared" si="236"/>
        <v>5.6433487567380321E-4</v>
      </c>
      <c r="S110" s="79"/>
      <c r="T110" s="81">
        <f t="shared" si="237"/>
        <v>0</v>
      </c>
      <c r="U110" s="80">
        <f t="shared" si="247"/>
        <v>0</v>
      </c>
      <c r="V110" s="70">
        <f t="shared" si="248"/>
        <v>300</v>
      </c>
      <c r="W110" s="80">
        <f t="shared" si="249"/>
        <v>0</v>
      </c>
      <c r="X110" s="70">
        <f t="shared" si="250"/>
        <v>300</v>
      </c>
      <c r="Y110" s="80">
        <f t="shared" si="251"/>
        <v>0</v>
      </c>
      <c r="Z110" s="70">
        <f t="shared" si="252"/>
        <v>0</v>
      </c>
      <c r="AA110" s="82"/>
      <c r="AC110" s="138">
        <v>0</v>
      </c>
      <c r="AD110" s="138">
        <v>0</v>
      </c>
      <c r="AE110" s="138">
        <v>300</v>
      </c>
      <c r="AF110" s="233"/>
      <c r="AG110" s="139"/>
      <c r="AH110" s="233"/>
      <c r="AI110" s="139"/>
      <c r="AK110" s="79">
        <v>0</v>
      </c>
      <c r="AL110" s="80">
        <f t="shared" si="238"/>
        <v>0</v>
      </c>
      <c r="AM110" s="79">
        <v>300</v>
      </c>
      <c r="AN110" s="80">
        <f t="shared" si="239"/>
        <v>5.6433487567380321E-4</v>
      </c>
      <c r="AO110" s="79">
        <v>300</v>
      </c>
      <c r="AP110" s="80">
        <f t="shared" si="240"/>
        <v>5.6433487567380321E-4</v>
      </c>
      <c r="AQ110" s="79">
        <v>0</v>
      </c>
      <c r="AR110" s="81">
        <f t="shared" si="241"/>
        <v>0</v>
      </c>
      <c r="AS110" s="80">
        <f t="shared" si="253"/>
        <v>0</v>
      </c>
      <c r="AT110" s="70">
        <f t="shared" si="254"/>
        <v>300</v>
      </c>
      <c r="AU110" s="80">
        <f t="shared" si="255"/>
        <v>1</v>
      </c>
      <c r="AV110" s="70">
        <f t="shared" si="256"/>
        <v>300</v>
      </c>
      <c r="AW110" s="80">
        <f t="shared" si="257"/>
        <v>0</v>
      </c>
      <c r="AX110" s="70">
        <f t="shared" si="258"/>
        <v>0</v>
      </c>
      <c r="AY110" s="82"/>
      <c r="BA110" s="79">
        <v>3600</v>
      </c>
      <c r="BB110" s="80">
        <f t="shared" si="242"/>
        <v>5.2092450062197202E-4</v>
      </c>
      <c r="BC110" s="79">
        <v>3600</v>
      </c>
      <c r="BD110" s="80">
        <f t="shared" si="243"/>
        <v>5.2092450062197202E-4</v>
      </c>
      <c r="BE110" s="79">
        <v>2365</v>
      </c>
      <c r="BF110" s="81">
        <f t="shared" si="244"/>
        <v>4.9548743876385443E-4</v>
      </c>
      <c r="BG110" s="80">
        <f t="shared" si="259"/>
        <v>0</v>
      </c>
      <c r="BH110" s="70">
        <f t="shared" si="260"/>
        <v>0</v>
      </c>
      <c r="BI110" s="80">
        <f t="shared" si="261"/>
        <v>-0.34305555555555556</v>
      </c>
      <c r="BJ110" s="70">
        <f t="shared" si="262"/>
        <v>-1235</v>
      </c>
      <c r="BK110" s="82"/>
    </row>
    <row r="111" spans="2:63" ht="11.95" outlineLevel="2" thickBot="1" x14ac:dyDescent="0.3">
      <c r="B111" t="str">
        <f t="shared" si="246"/>
        <v>#showrow</v>
      </c>
      <c r="E111" s="3"/>
      <c r="F111" s="3"/>
      <c r="G111" s="3"/>
      <c r="H111" s="255" t="s">
        <v>157</v>
      </c>
      <c r="I111" s="18"/>
      <c r="J111" s="18"/>
      <c r="K111" s="18"/>
      <c r="L111" s="78"/>
      <c r="M111" s="79">
        <v>8608.2000000000007</v>
      </c>
      <c r="N111" s="80">
        <f t="shared" si="234"/>
        <v>1.6265409029064939E-2</v>
      </c>
      <c r="O111" s="79">
        <v>13000</v>
      </c>
      <c r="P111" s="80">
        <f t="shared" si="235"/>
        <v>2.4454511279198142E-2</v>
      </c>
      <c r="Q111" s="79">
        <v>13000</v>
      </c>
      <c r="R111" s="80">
        <f t="shared" si="236"/>
        <v>2.4454511279198142E-2</v>
      </c>
      <c r="S111" s="79">
        <v>1427.42</v>
      </c>
      <c r="T111" s="81">
        <f t="shared" si="237"/>
        <v>7.8245771271092251E-3</v>
      </c>
      <c r="U111" s="80">
        <f t="shared" si="247"/>
        <v>0.51018796031690705</v>
      </c>
      <c r="V111" s="70">
        <f t="shared" si="248"/>
        <v>4391.7999999999993</v>
      </c>
      <c r="W111" s="80">
        <f t="shared" si="249"/>
        <v>0.51018796031690705</v>
      </c>
      <c r="X111" s="70">
        <f t="shared" si="250"/>
        <v>4391.7999999999993</v>
      </c>
      <c r="Y111" s="80">
        <f t="shared" si="251"/>
        <v>-0.83417903859111076</v>
      </c>
      <c r="Z111" s="70">
        <f t="shared" si="252"/>
        <v>-7180.7800000000007</v>
      </c>
      <c r="AA111" s="82"/>
      <c r="AC111" s="138">
        <v>8608.2000000000007</v>
      </c>
      <c r="AD111" s="138">
        <v>1427.42</v>
      </c>
      <c r="AE111" s="138">
        <v>13000</v>
      </c>
      <c r="AF111" s="233"/>
      <c r="AG111" s="139"/>
      <c r="AH111" s="233"/>
      <c r="AI111" s="139"/>
      <c r="AK111" s="79">
        <v>8608.2000000000007</v>
      </c>
      <c r="AL111" s="80">
        <f t="shared" si="238"/>
        <v>1.6265409029064939E-2</v>
      </c>
      <c r="AM111" s="79">
        <v>13000</v>
      </c>
      <c r="AN111" s="80">
        <f t="shared" si="239"/>
        <v>2.4454511279198142E-2</v>
      </c>
      <c r="AO111" s="79">
        <v>13000</v>
      </c>
      <c r="AP111" s="80">
        <f t="shared" si="240"/>
        <v>2.4454511279198142E-2</v>
      </c>
      <c r="AQ111" s="79">
        <v>1427.42</v>
      </c>
      <c r="AR111" s="81">
        <f t="shared" si="241"/>
        <v>7.8245771271092251E-3</v>
      </c>
      <c r="AS111" s="80">
        <f t="shared" si="253"/>
        <v>0.51018796031690705</v>
      </c>
      <c r="AT111" s="70">
        <f t="shared" si="254"/>
        <v>4391.7999999999993</v>
      </c>
      <c r="AU111" s="80">
        <f t="shared" si="255"/>
        <v>0.33783076923076916</v>
      </c>
      <c r="AV111" s="70">
        <f t="shared" si="256"/>
        <v>4391.7999999999993</v>
      </c>
      <c r="AW111" s="80">
        <f t="shared" si="257"/>
        <v>-0.83417903859111076</v>
      </c>
      <c r="AX111" s="70">
        <f t="shared" si="258"/>
        <v>-7180.7800000000007</v>
      </c>
      <c r="AY111" s="82"/>
      <c r="BA111" s="79">
        <v>156000</v>
      </c>
      <c r="BB111" s="80">
        <f t="shared" si="242"/>
        <v>2.2573395026952121E-2</v>
      </c>
      <c r="BC111" s="79">
        <v>156000</v>
      </c>
      <c r="BD111" s="80">
        <f t="shared" si="243"/>
        <v>2.2573395026952121E-2</v>
      </c>
      <c r="BE111" s="79">
        <v>137854.64000000001</v>
      </c>
      <c r="BF111" s="81">
        <f t="shared" si="244"/>
        <v>2.8881709300343852E-2</v>
      </c>
      <c r="BG111" s="80">
        <f t="shared" si="259"/>
        <v>0</v>
      </c>
      <c r="BH111" s="70">
        <f t="shared" si="260"/>
        <v>0</v>
      </c>
      <c r="BI111" s="80">
        <f t="shared" si="261"/>
        <v>-0.11631641025641017</v>
      </c>
      <c r="BJ111" s="70">
        <f t="shared" si="262"/>
        <v>-18145.359999999986</v>
      </c>
      <c r="BK111" s="82"/>
    </row>
    <row r="112" spans="2:63" ht="11.95" outlineLevel="2" thickBot="1" x14ac:dyDescent="0.3">
      <c r="B112" t="str">
        <f t="shared" si="246"/>
        <v>#showrow</v>
      </c>
      <c r="E112" s="3"/>
      <c r="F112" s="3"/>
      <c r="G112" s="3"/>
      <c r="H112" s="255" t="s">
        <v>158</v>
      </c>
      <c r="I112" s="18"/>
      <c r="J112" s="18"/>
      <c r="K112" s="18"/>
      <c r="L112" s="78"/>
      <c r="M112" s="79"/>
      <c r="N112" s="80">
        <f t="shared" si="234"/>
        <v>0</v>
      </c>
      <c r="O112" s="79">
        <v>100</v>
      </c>
      <c r="P112" s="80">
        <f t="shared" si="235"/>
        <v>1.8811162522460107E-4</v>
      </c>
      <c r="Q112" s="79">
        <v>100</v>
      </c>
      <c r="R112" s="80">
        <f t="shared" si="236"/>
        <v>1.8811162522460107E-4</v>
      </c>
      <c r="S112" s="79"/>
      <c r="T112" s="81">
        <f t="shared" si="237"/>
        <v>0</v>
      </c>
      <c r="U112" s="80">
        <f t="shared" si="247"/>
        <v>0</v>
      </c>
      <c r="V112" s="70">
        <f t="shared" si="248"/>
        <v>100</v>
      </c>
      <c r="W112" s="80">
        <f t="shared" si="249"/>
        <v>0</v>
      </c>
      <c r="X112" s="70">
        <f t="shared" si="250"/>
        <v>100</v>
      </c>
      <c r="Y112" s="80">
        <f t="shared" si="251"/>
        <v>0</v>
      </c>
      <c r="Z112" s="70">
        <f t="shared" si="252"/>
        <v>0</v>
      </c>
      <c r="AA112" s="82"/>
      <c r="AC112" s="138">
        <v>0</v>
      </c>
      <c r="AD112" s="138">
        <v>0</v>
      </c>
      <c r="AE112" s="138">
        <v>100</v>
      </c>
      <c r="AF112" s="233"/>
      <c r="AG112" s="139"/>
      <c r="AH112" s="233"/>
      <c r="AI112" s="139"/>
      <c r="AK112" s="79">
        <v>0</v>
      </c>
      <c r="AL112" s="80">
        <f t="shared" si="238"/>
        <v>0</v>
      </c>
      <c r="AM112" s="79">
        <v>100</v>
      </c>
      <c r="AN112" s="80">
        <f t="shared" si="239"/>
        <v>1.8811162522460107E-4</v>
      </c>
      <c r="AO112" s="79">
        <v>100</v>
      </c>
      <c r="AP112" s="80">
        <f t="shared" si="240"/>
        <v>1.8811162522460107E-4</v>
      </c>
      <c r="AQ112" s="79">
        <v>0</v>
      </c>
      <c r="AR112" s="81">
        <f t="shared" si="241"/>
        <v>0</v>
      </c>
      <c r="AS112" s="80">
        <f t="shared" si="253"/>
        <v>0</v>
      </c>
      <c r="AT112" s="70">
        <f t="shared" si="254"/>
        <v>100</v>
      </c>
      <c r="AU112" s="80">
        <f t="shared" si="255"/>
        <v>1</v>
      </c>
      <c r="AV112" s="70">
        <f t="shared" si="256"/>
        <v>100</v>
      </c>
      <c r="AW112" s="80">
        <f t="shared" si="257"/>
        <v>0</v>
      </c>
      <c r="AX112" s="70">
        <f t="shared" si="258"/>
        <v>0</v>
      </c>
      <c r="AY112" s="82"/>
      <c r="BA112" s="79">
        <v>1200</v>
      </c>
      <c r="BB112" s="80">
        <f t="shared" si="242"/>
        <v>1.7364150020732401E-4</v>
      </c>
      <c r="BC112" s="79">
        <v>1200</v>
      </c>
      <c r="BD112" s="80">
        <f t="shared" si="243"/>
        <v>1.7364150020732401E-4</v>
      </c>
      <c r="BE112" s="79">
        <v>195.7</v>
      </c>
      <c r="BF112" s="81">
        <f t="shared" si="244"/>
        <v>4.1000799901093578E-5</v>
      </c>
      <c r="BG112" s="80">
        <f t="shared" si="259"/>
        <v>0</v>
      </c>
      <c r="BH112" s="70">
        <f t="shared" si="260"/>
        <v>0</v>
      </c>
      <c r="BI112" s="80">
        <f t="shared" si="261"/>
        <v>-0.83691666666666664</v>
      </c>
      <c r="BJ112" s="70">
        <f t="shared" si="262"/>
        <v>-1004.3</v>
      </c>
      <c r="BK112" s="82"/>
    </row>
    <row r="113" spans="2:63" ht="11.95" outlineLevel="2" thickBot="1" x14ac:dyDescent="0.3">
      <c r="B113" t="str">
        <f t="shared" si="246"/>
        <v>#showrow</v>
      </c>
      <c r="E113" s="3"/>
      <c r="F113" s="3"/>
      <c r="G113" s="3"/>
      <c r="H113" s="255" t="s">
        <v>159</v>
      </c>
      <c r="I113" s="18"/>
      <c r="J113" s="18"/>
      <c r="K113" s="18"/>
      <c r="L113" s="78"/>
      <c r="M113" s="79"/>
      <c r="N113" s="80">
        <f t="shared" si="234"/>
        <v>0</v>
      </c>
      <c r="O113" s="79">
        <v>1000</v>
      </c>
      <c r="P113" s="80">
        <f t="shared" si="235"/>
        <v>1.8811162522460109E-3</v>
      </c>
      <c r="Q113" s="79">
        <v>1000</v>
      </c>
      <c r="R113" s="80">
        <f t="shared" si="236"/>
        <v>1.8811162522460109E-3</v>
      </c>
      <c r="S113" s="79">
        <v>110.46</v>
      </c>
      <c r="T113" s="81">
        <f t="shared" si="237"/>
        <v>6.054999856107418E-4</v>
      </c>
      <c r="U113" s="80">
        <f t="shared" si="247"/>
        <v>0</v>
      </c>
      <c r="V113" s="70">
        <f t="shared" si="248"/>
        <v>1000</v>
      </c>
      <c r="W113" s="80">
        <f t="shared" si="249"/>
        <v>0</v>
      </c>
      <c r="X113" s="70">
        <f t="shared" si="250"/>
        <v>1000</v>
      </c>
      <c r="Y113" s="80">
        <f t="shared" si="251"/>
        <v>0</v>
      </c>
      <c r="Z113" s="70">
        <f t="shared" si="252"/>
        <v>110.46</v>
      </c>
      <c r="AA113" s="82"/>
      <c r="AC113" s="138">
        <v>0</v>
      </c>
      <c r="AD113" s="138">
        <v>110.46</v>
      </c>
      <c r="AE113" s="138">
        <v>1000</v>
      </c>
      <c r="AF113" s="233"/>
      <c r="AG113" s="139"/>
      <c r="AH113" s="233"/>
      <c r="AI113" s="139"/>
      <c r="AK113" s="79">
        <v>0</v>
      </c>
      <c r="AL113" s="80">
        <f t="shared" si="238"/>
        <v>0</v>
      </c>
      <c r="AM113" s="79">
        <v>1000</v>
      </c>
      <c r="AN113" s="80">
        <f t="shared" si="239"/>
        <v>1.8811162522460109E-3</v>
      </c>
      <c r="AO113" s="79">
        <v>1000</v>
      </c>
      <c r="AP113" s="80">
        <f t="shared" si="240"/>
        <v>1.8811162522460109E-3</v>
      </c>
      <c r="AQ113" s="79">
        <v>110.46</v>
      </c>
      <c r="AR113" s="81">
        <f t="shared" si="241"/>
        <v>6.054999856107418E-4</v>
      </c>
      <c r="AS113" s="80">
        <f t="shared" si="253"/>
        <v>0</v>
      </c>
      <c r="AT113" s="70">
        <f t="shared" si="254"/>
        <v>1000</v>
      </c>
      <c r="AU113" s="80">
        <f t="shared" si="255"/>
        <v>1</v>
      </c>
      <c r="AV113" s="70">
        <f t="shared" si="256"/>
        <v>1000</v>
      </c>
      <c r="AW113" s="80">
        <f t="shared" si="257"/>
        <v>0</v>
      </c>
      <c r="AX113" s="70">
        <f t="shared" si="258"/>
        <v>110.46</v>
      </c>
      <c r="AY113" s="82"/>
      <c r="BA113" s="79">
        <v>12000</v>
      </c>
      <c r="BB113" s="80">
        <f t="shared" si="242"/>
        <v>1.7364150020732401E-3</v>
      </c>
      <c r="BC113" s="79">
        <v>12000</v>
      </c>
      <c r="BD113" s="80">
        <f t="shared" si="243"/>
        <v>1.7364150020732401E-3</v>
      </c>
      <c r="BE113" s="79">
        <v>10484.39</v>
      </c>
      <c r="BF113" s="81">
        <f t="shared" si="244"/>
        <v>2.1965680964487811E-3</v>
      </c>
      <c r="BG113" s="80">
        <f t="shared" si="259"/>
        <v>0</v>
      </c>
      <c r="BH113" s="70">
        <f t="shared" si="260"/>
        <v>0</v>
      </c>
      <c r="BI113" s="80">
        <f t="shared" si="261"/>
        <v>-0.12630083333333339</v>
      </c>
      <c r="BJ113" s="70">
        <f t="shared" si="262"/>
        <v>-1515.6100000000006</v>
      </c>
      <c r="BK113" s="82"/>
    </row>
    <row r="114" spans="2:63" ht="11.95" outlineLevel="1" thickBot="1" x14ac:dyDescent="0.3">
      <c r="E114" s="3"/>
      <c r="F114" s="3"/>
      <c r="G114" s="3"/>
      <c r="H114" s="256" t="s">
        <v>110</v>
      </c>
      <c r="I114" s="18"/>
      <c r="J114" s="18"/>
      <c r="K114" s="18"/>
      <c r="L114" s="78"/>
      <c r="M114" s="79">
        <v>13437.6</v>
      </c>
      <c r="N114" s="80">
        <f t="shared" si="234"/>
        <v>2.5390681021463603E-2</v>
      </c>
      <c r="O114" s="79">
        <v>25771</v>
      </c>
      <c r="P114" s="80">
        <f t="shared" si="235"/>
        <v>4.8478246936631948E-2</v>
      </c>
      <c r="Q114" s="79">
        <v>25771</v>
      </c>
      <c r="R114" s="80">
        <f t="shared" si="236"/>
        <v>4.8478246936631948E-2</v>
      </c>
      <c r="S114" s="79">
        <v>16657.43</v>
      </c>
      <c r="T114" s="81">
        <f t="shared" si="237"/>
        <v>9.1309737690674797E-2</v>
      </c>
      <c r="U114" s="80">
        <f t="shared" si="132"/>
        <v>0.91782758825980826</v>
      </c>
      <c r="V114" s="70">
        <f t="shared" si="133"/>
        <v>12333.4</v>
      </c>
      <c r="W114" s="80">
        <f t="shared" si="134"/>
        <v>0.91782758825980826</v>
      </c>
      <c r="X114" s="259">
        <f t="shared" si="135"/>
        <v>12333.4</v>
      </c>
      <c r="Y114" s="80">
        <f t="shared" si="136"/>
        <v>0.23961347264392449</v>
      </c>
      <c r="Z114" s="70">
        <f t="shared" si="137"/>
        <v>3219.83</v>
      </c>
      <c r="AA114" s="82"/>
      <c r="AC114" s="138">
        <v>13437.6</v>
      </c>
      <c r="AD114" s="138">
        <v>16657.43</v>
      </c>
      <c r="AE114" s="138">
        <v>25771</v>
      </c>
      <c r="AF114" s="233"/>
      <c r="AG114" s="139"/>
      <c r="AH114" s="233"/>
      <c r="AI114" s="139"/>
      <c r="AK114" s="79">
        <v>13437.6</v>
      </c>
      <c r="AL114" s="80">
        <f t="shared" si="238"/>
        <v>2.5390681021463603E-2</v>
      </c>
      <c r="AM114" s="79">
        <v>25771</v>
      </c>
      <c r="AN114" s="80">
        <f t="shared" si="239"/>
        <v>4.8478246936631948E-2</v>
      </c>
      <c r="AO114" s="79">
        <v>25771</v>
      </c>
      <c r="AP114" s="80">
        <f t="shared" si="240"/>
        <v>4.8478246936631948E-2</v>
      </c>
      <c r="AQ114" s="79">
        <v>16657.43</v>
      </c>
      <c r="AR114" s="81">
        <f t="shared" si="241"/>
        <v>9.1309737690674797E-2</v>
      </c>
      <c r="AS114" s="80">
        <f t="shared" si="138"/>
        <v>0.91782758825980826</v>
      </c>
      <c r="AT114" s="70">
        <f t="shared" si="139"/>
        <v>12333.4</v>
      </c>
      <c r="AU114" s="80">
        <f t="shared" si="140"/>
        <v>0.47857669473439135</v>
      </c>
      <c r="AV114" s="70">
        <f t="shared" si="141"/>
        <v>12333.4</v>
      </c>
      <c r="AW114" s="80">
        <f t="shared" si="142"/>
        <v>0.23961347264392449</v>
      </c>
      <c r="AX114" s="70">
        <f t="shared" si="143"/>
        <v>3219.83</v>
      </c>
      <c r="AY114" s="82"/>
      <c r="BA114" s="79">
        <v>309252</v>
      </c>
      <c r="BB114" s="80">
        <f t="shared" si="242"/>
        <v>4.4749151018429467E-2</v>
      </c>
      <c r="BC114" s="79">
        <v>309252</v>
      </c>
      <c r="BD114" s="80">
        <f t="shared" si="243"/>
        <v>4.4749151018429467E-2</v>
      </c>
      <c r="BE114" s="79">
        <v>330018.43</v>
      </c>
      <c r="BF114" s="81">
        <f t="shared" si="244"/>
        <v>6.9141643393475005E-2</v>
      </c>
      <c r="BG114" s="80">
        <f t="shared" si="144"/>
        <v>0</v>
      </c>
      <c r="BH114" s="70">
        <f t="shared" si="145"/>
        <v>0</v>
      </c>
      <c r="BI114" s="80">
        <f t="shared" si="146"/>
        <v>6.7150511556917966E-2</v>
      </c>
      <c r="BJ114" s="70">
        <f t="shared" si="147"/>
        <v>20766.429999999993</v>
      </c>
      <c r="BK114" s="82"/>
    </row>
    <row r="115" spans="2:63" ht="11.95" hidden="1" outlineLevel="2" thickBot="1" x14ac:dyDescent="0.3">
      <c r="B115" t="str">
        <f>IF(LEFT(H115,3)="Mul", "#hiderow", "#showrow")</f>
        <v>#hiderow</v>
      </c>
      <c r="E115" s="3"/>
      <c r="F115" s="3"/>
      <c r="G115" s="3"/>
      <c r="H115" s="255" t="s">
        <v>6</v>
      </c>
      <c r="I115" s="18"/>
      <c r="J115" s="18"/>
      <c r="K115" s="18"/>
      <c r="L115" s="78"/>
      <c r="M115" s="79"/>
      <c r="N115" s="80">
        <f t="shared" si="234"/>
        <v>0</v>
      </c>
      <c r="O115" s="79"/>
      <c r="P115" s="80">
        <f t="shared" si="235"/>
        <v>0</v>
      </c>
      <c r="Q115" s="79"/>
      <c r="R115" s="80">
        <f t="shared" si="236"/>
        <v>0</v>
      </c>
      <c r="S115" s="79"/>
      <c r="T115" s="81">
        <f t="shared" si="237"/>
        <v>0</v>
      </c>
      <c r="U115" s="80">
        <f t="shared" si="132"/>
        <v>0</v>
      </c>
      <c r="V115" s="70">
        <f t="shared" si="133"/>
        <v>0</v>
      </c>
      <c r="W115" s="80">
        <f t="shared" si="134"/>
        <v>0</v>
      </c>
      <c r="X115" s="70">
        <f t="shared" si="135"/>
        <v>0</v>
      </c>
      <c r="Y115" s="80">
        <f t="shared" si="136"/>
        <v>0</v>
      </c>
      <c r="Z115" s="70">
        <f t="shared" si="137"/>
        <v>0</v>
      </c>
      <c r="AA115" s="82"/>
      <c r="AC115" s="138"/>
      <c r="AD115" s="138"/>
      <c r="AE115" s="138"/>
      <c r="AF115" s="233"/>
      <c r="AG115" s="139"/>
      <c r="AH115" s="233"/>
      <c r="AI115" s="139"/>
      <c r="AK115" s="79"/>
      <c r="AL115" s="80">
        <f t="shared" si="238"/>
        <v>0</v>
      </c>
      <c r="AM115" s="79"/>
      <c r="AN115" s="80">
        <f t="shared" si="239"/>
        <v>0</v>
      </c>
      <c r="AO115" s="79"/>
      <c r="AP115" s="80">
        <f t="shared" si="240"/>
        <v>0</v>
      </c>
      <c r="AQ115" s="79"/>
      <c r="AR115" s="81">
        <f t="shared" si="241"/>
        <v>0</v>
      </c>
      <c r="AS115" s="80">
        <f t="shared" si="138"/>
        <v>0</v>
      </c>
      <c r="AT115" s="70">
        <f t="shared" si="139"/>
        <v>0</v>
      </c>
      <c r="AU115" s="80">
        <f t="shared" si="140"/>
        <v>0</v>
      </c>
      <c r="AV115" s="70">
        <f t="shared" si="141"/>
        <v>0</v>
      </c>
      <c r="AW115" s="80">
        <f t="shared" si="142"/>
        <v>0</v>
      </c>
      <c r="AX115" s="70">
        <f t="shared" si="143"/>
        <v>0</v>
      </c>
      <c r="AY115" s="82"/>
      <c r="BA115" s="79"/>
      <c r="BB115" s="80">
        <f t="shared" si="242"/>
        <v>0</v>
      </c>
      <c r="BC115" s="79"/>
      <c r="BD115" s="80">
        <f t="shared" si="243"/>
        <v>0</v>
      </c>
      <c r="BE115" s="79"/>
      <c r="BF115" s="81">
        <f t="shared" si="244"/>
        <v>0</v>
      </c>
      <c r="BG115" s="80">
        <f t="shared" si="144"/>
        <v>0</v>
      </c>
      <c r="BH115" s="70">
        <f t="shared" si="145"/>
        <v>0</v>
      </c>
      <c r="BI115" s="80">
        <f t="shared" si="146"/>
        <v>0</v>
      </c>
      <c r="BJ115" s="70">
        <f t="shared" si="147"/>
        <v>0</v>
      </c>
      <c r="BK115" s="82"/>
    </row>
    <row r="116" spans="2:63" ht="11.95" outlineLevel="2" thickBot="1" x14ac:dyDescent="0.3">
      <c r="B116" t="str">
        <f t="shared" ref="B116:B120" si="263">IF(LEFT(H116,3)="Mul", "#hiderow", "#showrow")</f>
        <v>#showrow</v>
      </c>
      <c r="E116" s="3"/>
      <c r="F116" s="3"/>
      <c r="G116" s="3"/>
      <c r="H116" s="255" t="s">
        <v>142</v>
      </c>
      <c r="I116" s="18"/>
      <c r="J116" s="18"/>
      <c r="K116" s="18"/>
      <c r="L116" s="78"/>
      <c r="M116" s="79">
        <v>191.93</v>
      </c>
      <c r="N116" s="80">
        <f t="shared" si="234"/>
        <v>3.6265653155693794E-4</v>
      </c>
      <c r="O116" s="79">
        <v>1000</v>
      </c>
      <c r="P116" s="80">
        <f t="shared" si="235"/>
        <v>1.8811162522460109E-3</v>
      </c>
      <c r="Q116" s="79">
        <v>1000</v>
      </c>
      <c r="R116" s="80">
        <f t="shared" si="236"/>
        <v>1.8811162522460109E-3</v>
      </c>
      <c r="S116" s="79"/>
      <c r="T116" s="81">
        <f t="shared" si="237"/>
        <v>0</v>
      </c>
      <c r="U116" s="80">
        <f t="shared" ref="U116:U120" si="264">IFERROR(($O116-M116)/ABS(M116),0)</f>
        <v>4.2102328974105134</v>
      </c>
      <c r="V116" s="70">
        <f t="shared" ref="V116:V120" si="265">IFERROR((O116-$M116), 0-$M116)</f>
        <v>808.06999999999994</v>
      </c>
      <c r="W116" s="80">
        <f t="shared" ref="W116:W120" si="266">IFERROR((Q116-$M116)/ABS($M116),0)</f>
        <v>4.2102328974105134</v>
      </c>
      <c r="X116" s="70">
        <f t="shared" ref="X116:X120" si="267">IFERROR((Q116-$M116), 0 -$M116)</f>
        <v>808.06999999999994</v>
      </c>
      <c r="Y116" s="80">
        <f t="shared" ref="Y116:Y120" si="268">IFERROR((S116-$M116)/ABS($M116),0)</f>
        <v>-1</v>
      </c>
      <c r="Z116" s="70">
        <f t="shared" ref="Z116:Z120" si="269">IFERROR((S116-$M116),0-$M116)</f>
        <v>-191.93</v>
      </c>
      <c r="AA116" s="82"/>
      <c r="AC116" s="138">
        <v>191.93</v>
      </c>
      <c r="AD116" s="138">
        <v>0</v>
      </c>
      <c r="AE116" s="138">
        <v>1000</v>
      </c>
      <c r="AF116" s="233"/>
      <c r="AG116" s="139"/>
      <c r="AH116" s="233"/>
      <c r="AI116" s="139"/>
      <c r="AK116" s="79">
        <v>191.93</v>
      </c>
      <c r="AL116" s="80">
        <f t="shared" si="238"/>
        <v>3.6265653155693794E-4</v>
      </c>
      <c r="AM116" s="79">
        <v>1000</v>
      </c>
      <c r="AN116" s="80">
        <f t="shared" si="239"/>
        <v>1.8811162522460109E-3</v>
      </c>
      <c r="AO116" s="79">
        <v>1000</v>
      </c>
      <c r="AP116" s="80">
        <f t="shared" si="240"/>
        <v>1.8811162522460109E-3</v>
      </c>
      <c r="AQ116" s="79">
        <v>0</v>
      </c>
      <c r="AR116" s="81">
        <f t="shared" si="241"/>
        <v>0</v>
      </c>
      <c r="AS116" s="80">
        <f t="shared" ref="AS116:AS120" si="270">IFERROR((AM116-$AK116)/ABS($AK116),0)</f>
        <v>4.2102328974105134</v>
      </c>
      <c r="AT116" s="70">
        <f t="shared" ref="AT116:AT120" si="271">(AM116-$AK116)</f>
        <v>808.06999999999994</v>
      </c>
      <c r="AU116" s="80">
        <f t="shared" ref="AU116:AU120" si="272">IFERROR((AO116-$AK116)/ABS($AO116),0)</f>
        <v>0.80806999999999995</v>
      </c>
      <c r="AV116" s="70">
        <f t="shared" ref="AV116:AV120" si="273">(AO116-$AK116)</f>
        <v>808.06999999999994</v>
      </c>
      <c r="AW116" s="80">
        <f t="shared" ref="AW116:AW120" si="274">IFERROR((AQ116-$AK116)/ABS($AK116),0)</f>
        <v>-1</v>
      </c>
      <c r="AX116" s="70">
        <f t="shared" ref="AX116:AX120" si="275">(AQ116-$AK116)</f>
        <v>-191.93</v>
      </c>
      <c r="AY116" s="82"/>
      <c r="BA116" s="79">
        <v>12000</v>
      </c>
      <c r="BB116" s="80">
        <f t="shared" si="242"/>
        <v>1.7364150020732401E-3</v>
      </c>
      <c r="BC116" s="79">
        <v>12000</v>
      </c>
      <c r="BD116" s="80">
        <f t="shared" si="243"/>
        <v>1.7364150020732401E-3</v>
      </c>
      <c r="BE116" s="79">
        <v>7812.83</v>
      </c>
      <c r="BF116" s="81">
        <f t="shared" si="244"/>
        <v>1.6368537531490084E-3</v>
      </c>
      <c r="BG116" s="80">
        <f t="shared" ref="BG116:BG120" si="276">IFERROR((BC116-$BA116)/ABS($BA116),0)</f>
        <v>0</v>
      </c>
      <c r="BH116" s="70">
        <f t="shared" ref="BH116:BH120" si="277">(BC116-$BA116)</f>
        <v>0</v>
      </c>
      <c r="BI116" s="80">
        <f t="shared" ref="BI116:BI120" si="278">IFERROR((BE116-$BA116)/ABS($BA116),0)</f>
        <v>-0.34893083333333336</v>
      </c>
      <c r="BJ116" s="70">
        <f t="shared" ref="BJ116:BJ120" si="279">(BE116-$BA116)</f>
        <v>-4187.17</v>
      </c>
      <c r="BK116" s="82"/>
    </row>
    <row r="117" spans="2:63" ht="11.95" outlineLevel="2" thickBot="1" x14ac:dyDescent="0.3">
      <c r="B117" t="str">
        <f t="shared" si="263"/>
        <v>#showrow</v>
      </c>
      <c r="E117" s="3"/>
      <c r="F117" s="3"/>
      <c r="G117" s="3"/>
      <c r="H117" s="255" t="s">
        <v>143</v>
      </c>
      <c r="I117" s="18"/>
      <c r="J117" s="18"/>
      <c r="K117" s="18"/>
      <c r="L117" s="78"/>
      <c r="M117" s="79"/>
      <c r="N117" s="80">
        <f t="shared" si="234"/>
        <v>0</v>
      </c>
      <c r="O117" s="79">
        <v>125</v>
      </c>
      <c r="P117" s="80">
        <f t="shared" si="235"/>
        <v>2.3513953153075137E-4</v>
      </c>
      <c r="Q117" s="79">
        <v>125</v>
      </c>
      <c r="R117" s="80">
        <f t="shared" si="236"/>
        <v>2.3513953153075137E-4</v>
      </c>
      <c r="S117" s="79"/>
      <c r="T117" s="81">
        <f t="shared" si="237"/>
        <v>0</v>
      </c>
      <c r="U117" s="80">
        <f t="shared" si="264"/>
        <v>0</v>
      </c>
      <c r="V117" s="70">
        <f t="shared" si="265"/>
        <v>125</v>
      </c>
      <c r="W117" s="80">
        <f t="shared" si="266"/>
        <v>0</v>
      </c>
      <c r="X117" s="70">
        <f t="shared" si="267"/>
        <v>125</v>
      </c>
      <c r="Y117" s="80">
        <f t="shared" si="268"/>
        <v>0</v>
      </c>
      <c r="Z117" s="70">
        <f t="shared" si="269"/>
        <v>0</v>
      </c>
      <c r="AA117" s="82"/>
      <c r="AC117" s="138">
        <v>0</v>
      </c>
      <c r="AD117" s="138">
        <v>0</v>
      </c>
      <c r="AE117" s="138">
        <v>125</v>
      </c>
      <c r="AF117" s="233"/>
      <c r="AG117" s="139"/>
      <c r="AH117" s="233"/>
      <c r="AI117" s="139"/>
      <c r="AK117" s="79">
        <v>0</v>
      </c>
      <c r="AL117" s="80">
        <f t="shared" si="238"/>
        <v>0</v>
      </c>
      <c r="AM117" s="79">
        <v>125</v>
      </c>
      <c r="AN117" s="80">
        <f t="shared" si="239"/>
        <v>2.3513953153075137E-4</v>
      </c>
      <c r="AO117" s="79">
        <v>125</v>
      </c>
      <c r="AP117" s="80">
        <f t="shared" si="240"/>
        <v>2.3513953153075137E-4</v>
      </c>
      <c r="AQ117" s="79">
        <v>0</v>
      </c>
      <c r="AR117" s="81">
        <f t="shared" si="241"/>
        <v>0</v>
      </c>
      <c r="AS117" s="80">
        <f t="shared" si="270"/>
        <v>0</v>
      </c>
      <c r="AT117" s="70">
        <f t="shared" si="271"/>
        <v>125</v>
      </c>
      <c r="AU117" s="80">
        <f t="shared" si="272"/>
        <v>1</v>
      </c>
      <c r="AV117" s="70">
        <f t="shared" si="273"/>
        <v>125</v>
      </c>
      <c r="AW117" s="80">
        <f t="shared" si="274"/>
        <v>0</v>
      </c>
      <c r="AX117" s="70">
        <f t="shared" si="275"/>
        <v>0</v>
      </c>
      <c r="AY117" s="82"/>
      <c r="BA117" s="79">
        <v>1500</v>
      </c>
      <c r="BB117" s="80">
        <f t="shared" si="242"/>
        <v>2.1705187525915501E-4</v>
      </c>
      <c r="BC117" s="79">
        <v>1500</v>
      </c>
      <c r="BD117" s="80">
        <f t="shared" si="243"/>
        <v>2.1705187525915501E-4</v>
      </c>
      <c r="BE117" s="79">
        <v>1000</v>
      </c>
      <c r="BF117" s="81">
        <f t="shared" si="244"/>
        <v>2.0950843076695749E-4</v>
      </c>
      <c r="BG117" s="80">
        <f t="shared" si="276"/>
        <v>0</v>
      </c>
      <c r="BH117" s="70">
        <f t="shared" si="277"/>
        <v>0</v>
      </c>
      <c r="BI117" s="80">
        <f t="shared" si="278"/>
        <v>-0.33333333333333331</v>
      </c>
      <c r="BJ117" s="70">
        <f t="shared" si="279"/>
        <v>-500</v>
      </c>
      <c r="BK117" s="82"/>
    </row>
    <row r="118" spans="2:63" ht="11.95" outlineLevel="2" thickBot="1" x14ac:dyDescent="0.3">
      <c r="B118" t="str">
        <f t="shared" si="263"/>
        <v>#showrow</v>
      </c>
      <c r="E118" s="3"/>
      <c r="F118" s="3"/>
      <c r="G118" s="3"/>
      <c r="H118" s="255" t="s">
        <v>144</v>
      </c>
      <c r="I118" s="18"/>
      <c r="J118" s="18"/>
      <c r="K118" s="18"/>
      <c r="L118" s="78"/>
      <c r="M118" s="79"/>
      <c r="N118" s="80">
        <f t="shared" si="234"/>
        <v>0</v>
      </c>
      <c r="O118" s="79">
        <v>6000</v>
      </c>
      <c r="P118" s="80">
        <f t="shared" si="235"/>
        <v>1.1286697513476066E-2</v>
      </c>
      <c r="Q118" s="79">
        <v>6000</v>
      </c>
      <c r="R118" s="80">
        <f t="shared" si="236"/>
        <v>1.1286697513476066E-2</v>
      </c>
      <c r="S118" s="79"/>
      <c r="T118" s="81">
        <f t="shared" si="237"/>
        <v>0</v>
      </c>
      <c r="U118" s="80">
        <f t="shared" si="264"/>
        <v>0</v>
      </c>
      <c r="V118" s="70">
        <f t="shared" si="265"/>
        <v>6000</v>
      </c>
      <c r="W118" s="80">
        <f t="shared" si="266"/>
        <v>0</v>
      </c>
      <c r="X118" s="70">
        <f t="shared" si="267"/>
        <v>6000</v>
      </c>
      <c r="Y118" s="80">
        <f t="shared" si="268"/>
        <v>0</v>
      </c>
      <c r="Z118" s="70">
        <f t="shared" si="269"/>
        <v>0</v>
      </c>
      <c r="AA118" s="82"/>
      <c r="AC118" s="138">
        <v>0</v>
      </c>
      <c r="AD118" s="138">
        <v>0</v>
      </c>
      <c r="AE118" s="138">
        <v>6000</v>
      </c>
      <c r="AF118" s="233"/>
      <c r="AG118" s="139"/>
      <c r="AH118" s="233"/>
      <c r="AI118" s="139"/>
      <c r="AK118" s="79">
        <v>0</v>
      </c>
      <c r="AL118" s="80">
        <f t="shared" si="238"/>
        <v>0</v>
      </c>
      <c r="AM118" s="79">
        <v>6000</v>
      </c>
      <c r="AN118" s="80">
        <f t="shared" si="239"/>
        <v>1.1286697513476066E-2</v>
      </c>
      <c r="AO118" s="79">
        <v>6000</v>
      </c>
      <c r="AP118" s="80">
        <f t="shared" si="240"/>
        <v>1.1286697513476066E-2</v>
      </c>
      <c r="AQ118" s="79">
        <v>0</v>
      </c>
      <c r="AR118" s="81">
        <f t="shared" si="241"/>
        <v>0</v>
      </c>
      <c r="AS118" s="80">
        <f t="shared" si="270"/>
        <v>0</v>
      </c>
      <c r="AT118" s="70">
        <f t="shared" si="271"/>
        <v>6000</v>
      </c>
      <c r="AU118" s="80">
        <f t="shared" si="272"/>
        <v>1</v>
      </c>
      <c r="AV118" s="70">
        <f t="shared" si="273"/>
        <v>6000</v>
      </c>
      <c r="AW118" s="80">
        <f t="shared" si="274"/>
        <v>0</v>
      </c>
      <c r="AX118" s="70">
        <f t="shared" si="275"/>
        <v>0</v>
      </c>
      <c r="AY118" s="82"/>
      <c r="BA118" s="79">
        <v>72000</v>
      </c>
      <c r="BB118" s="80">
        <f t="shared" si="242"/>
        <v>1.0418490012439439E-2</v>
      </c>
      <c r="BC118" s="79">
        <v>72000</v>
      </c>
      <c r="BD118" s="80">
        <f t="shared" si="243"/>
        <v>1.0418490012439439E-2</v>
      </c>
      <c r="BE118" s="79">
        <v>71154.95</v>
      </c>
      <c r="BF118" s="81">
        <f t="shared" si="244"/>
        <v>1.4907561915801322E-2</v>
      </c>
      <c r="BG118" s="80">
        <f t="shared" si="276"/>
        <v>0</v>
      </c>
      <c r="BH118" s="70">
        <f t="shared" si="277"/>
        <v>0</v>
      </c>
      <c r="BI118" s="80">
        <f t="shared" si="278"/>
        <v>-1.1736805555555596E-2</v>
      </c>
      <c r="BJ118" s="70">
        <f t="shared" si="279"/>
        <v>-845.05000000000291</v>
      </c>
      <c r="BK118" s="82"/>
    </row>
    <row r="119" spans="2:63" ht="11.95" outlineLevel="2" thickBot="1" x14ac:dyDescent="0.3">
      <c r="B119" t="str">
        <f t="shared" si="263"/>
        <v>#showrow</v>
      </c>
      <c r="E119" s="3"/>
      <c r="F119" s="3"/>
      <c r="G119" s="3"/>
      <c r="H119" s="255" t="s">
        <v>145</v>
      </c>
      <c r="I119" s="18"/>
      <c r="J119" s="18"/>
      <c r="K119" s="18"/>
      <c r="L119" s="78"/>
      <c r="M119" s="79">
        <v>16145.67</v>
      </c>
      <c r="N119" s="80">
        <f t="shared" si="234"/>
        <v>3.050764696432505E-2</v>
      </c>
      <c r="O119" s="79">
        <v>16146</v>
      </c>
      <c r="P119" s="80">
        <f t="shared" si="235"/>
        <v>3.0372503008764092E-2</v>
      </c>
      <c r="Q119" s="79">
        <v>16146</v>
      </c>
      <c r="R119" s="80">
        <f t="shared" si="236"/>
        <v>3.0372503008764092E-2</v>
      </c>
      <c r="S119" s="79">
        <v>16270.66</v>
      </c>
      <c r="T119" s="81">
        <f t="shared" si="237"/>
        <v>8.9189610681488979E-2</v>
      </c>
      <c r="U119" s="80">
        <f t="shared" si="264"/>
        <v>2.0438916440130837E-5</v>
      </c>
      <c r="V119" s="70">
        <f t="shared" si="265"/>
        <v>0.32999999999992724</v>
      </c>
      <c r="W119" s="80">
        <f t="shared" si="266"/>
        <v>2.0438916440130837E-5</v>
      </c>
      <c r="X119" s="70">
        <f t="shared" si="267"/>
        <v>0.32999999999992724</v>
      </c>
      <c r="Y119" s="80">
        <f t="shared" si="268"/>
        <v>7.7413944419773093E-3</v>
      </c>
      <c r="Z119" s="70">
        <f t="shared" si="269"/>
        <v>124.98999999999978</v>
      </c>
      <c r="AA119" s="82"/>
      <c r="AC119" s="138">
        <v>16145.67</v>
      </c>
      <c r="AD119" s="138">
        <v>16270.66</v>
      </c>
      <c r="AE119" s="138">
        <v>16146</v>
      </c>
      <c r="AF119" s="233"/>
      <c r="AG119" s="139"/>
      <c r="AH119" s="233"/>
      <c r="AI119" s="139"/>
      <c r="AK119" s="79">
        <v>16145.67</v>
      </c>
      <c r="AL119" s="80">
        <f t="shared" si="238"/>
        <v>3.050764696432505E-2</v>
      </c>
      <c r="AM119" s="79">
        <v>16146</v>
      </c>
      <c r="AN119" s="80">
        <f t="shared" si="239"/>
        <v>3.0372503008764092E-2</v>
      </c>
      <c r="AO119" s="79">
        <v>16146</v>
      </c>
      <c r="AP119" s="80">
        <f t="shared" si="240"/>
        <v>3.0372503008764092E-2</v>
      </c>
      <c r="AQ119" s="79">
        <v>16270.66</v>
      </c>
      <c r="AR119" s="81">
        <f t="shared" si="241"/>
        <v>8.9189610681488979E-2</v>
      </c>
      <c r="AS119" s="80">
        <f t="shared" si="270"/>
        <v>2.0438916440130837E-5</v>
      </c>
      <c r="AT119" s="70">
        <f t="shared" si="271"/>
        <v>0.32999999999992724</v>
      </c>
      <c r="AU119" s="80">
        <f t="shared" si="272"/>
        <v>2.043849869936376E-5</v>
      </c>
      <c r="AV119" s="70">
        <f t="shared" si="273"/>
        <v>0.32999999999992724</v>
      </c>
      <c r="AW119" s="80">
        <f t="shared" si="274"/>
        <v>7.7413944419773093E-3</v>
      </c>
      <c r="AX119" s="70">
        <f t="shared" si="275"/>
        <v>124.98999999999978</v>
      </c>
      <c r="AY119" s="82"/>
      <c r="BA119" s="79">
        <v>193752</v>
      </c>
      <c r="BB119" s="80">
        <f t="shared" si="242"/>
        <v>2.8036156623474532E-2</v>
      </c>
      <c r="BC119" s="79">
        <v>193752</v>
      </c>
      <c r="BD119" s="80">
        <f t="shared" si="243"/>
        <v>2.8036156623474532E-2</v>
      </c>
      <c r="BE119" s="79">
        <v>219872.98</v>
      </c>
      <c r="BF119" s="81">
        <f t="shared" si="244"/>
        <v>4.6065243007854632E-2</v>
      </c>
      <c r="BG119" s="80">
        <f t="shared" si="276"/>
        <v>0</v>
      </c>
      <c r="BH119" s="70">
        <f t="shared" si="277"/>
        <v>0</v>
      </c>
      <c r="BI119" s="80">
        <f t="shared" si="278"/>
        <v>0.13481656963541028</v>
      </c>
      <c r="BJ119" s="70">
        <f t="shared" si="279"/>
        <v>26120.98000000001</v>
      </c>
      <c r="BK119" s="82"/>
    </row>
    <row r="120" spans="2:63" ht="11.95" outlineLevel="2" thickBot="1" x14ac:dyDescent="0.3">
      <c r="B120" t="str">
        <f t="shared" si="263"/>
        <v>#showrow</v>
      </c>
      <c r="E120" s="3"/>
      <c r="F120" s="3"/>
      <c r="G120" s="3"/>
      <c r="H120" s="255" t="s">
        <v>146</v>
      </c>
      <c r="I120" s="18"/>
      <c r="J120" s="18"/>
      <c r="K120" s="18"/>
      <c r="L120" s="78"/>
      <c r="M120" s="79">
        <v>-2900</v>
      </c>
      <c r="N120" s="80">
        <f t="shared" si="234"/>
        <v>-5.4796224744183821E-3</v>
      </c>
      <c r="O120" s="79">
        <v>2500</v>
      </c>
      <c r="P120" s="80">
        <f t="shared" si="235"/>
        <v>4.7027906306150273E-3</v>
      </c>
      <c r="Q120" s="79">
        <v>2500</v>
      </c>
      <c r="R120" s="80">
        <f t="shared" si="236"/>
        <v>4.7027906306150273E-3</v>
      </c>
      <c r="S120" s="79">
        <v>386.77</v>
      </c>
      <c r="T120" s="81">
        <f t="shared" si="237"/>
        <v>2.1201270091858282E-3</v>
      </c>
      <c r="U120" s="80">
        <f t="shared" si="264"/>
        <v>1.8620689655172413</v>
      </c>
      <c r="V120" s="70">
        <f t="shared" si="265"/>
        <v>5400</v>
      </c>
      <c r="W120" s="80">
        <f t="shared" si="266"/>
        <v>1.8620689655172413</v>
      </c>
      <c r="X120" s="70">
        <f t="shared" si="267"/>
        <v>5400</v>
      </c>
      <c r="Y120" s="80">
        <f t="shared" si="268"/>
        <v>1.1333689655172414</v>
      </c>
      <c r="Z120" s="70">
        <f t="shared" si="269"/>
        <v>3286.77</v>
      </c>
      <c r="AA120" s="82"/>
      <c r="AC120" s="138">
        <v>-2900</v>
      </c>
      <c r="AD120" s="138">
        <v>386.77</v>
      </c>
      <c r="AE120" s="138">
        <v>2500</v>
      </c>
      <c r="AF120" s="233"/>
      <c r="AG120" s="139"/>
      <c r="AH120" s="233"/>
      <c r="AI120" s="139"/>
      <c r="AK120" s="79">
        <v>-2900</v>
      </c>
      <c r="AL120" s="80">
        <f t="shared" si="238"/>
        <v>-5.4796224744183821E-3</v>
      </c>
      <c r="AM120" s="79">
        <v>2500</v>
      </c>
      <c r="AN120" s="80">
        <f t="shared" si="239"/>
        <v>4.7027906306150273E-3</v>
      </c>
      <c r="AO120" s="79">
        <v>2500</v>
      </c>
      <c r="AP120" s="80">
        <f t="shared" si="240"/>
        <v>4.7027906306150273E-3</v>
      </c>
      <c r="AQ120" s="79">
        <v>386.77</v>
      </c>
      <c r="AR120" s="81">
        <f t="shared" si="241"/>
        <v>2.1201270091858282E-3</v>
      </c>
      <c r="AS120" s="80">
        <f t="shared" si="270"/>
        <v>1.8620689655172413</v>
      </c>
      <c r="AT120" s="70">
        <f t="shared" si="271"/>
        <v>5400</v>
      </c>
      <c r="AU120" s="80">
        <f t="shared" si="272"/>
        <v>2.16</v>
      </c>
      <c r="AV120" s="70">
        <f t="shared" si="273"/>
        <v>5400</v>
      </c>
      <c r="AW120" s="80">
        <f t="shared" si="274"/>
        <v>1.1333689655172414</v>
      </c>
      <c r="AX120" s="70">
        <f t="shared" si="275"/>
        <v>3286.77</v>
      </c>
      <c r="AY120" s="82"/>
      <c r="BA120" s="79">
        <v>30000</v>
      </c>
      <c r="BB120" s="80">
        <f t="shared" si="242"/>
        <v>4.3410375051831001E-3</v>
      </c>
      <c r="BC120" s="79">
        <v>30000</v>
      </c>
      <c r="BD120" s="80">
        <f t="shared" si="243"/>
        <v>4.3410375051831001E-3</v>
      </c>
      <c r="BE120" s="79">
        <v>30177.67</v>
      </c>
      <c r="BF120" s="81">
        <f t="shared" si="244"/>
        <v>6.3224762859030899E-3</v>
      </c>
      <c r="BG120" s="80">
        <f t="shared" si="276"/>
        <v>0</v>
      </c>
      <c r="BH120" s="70">
        <f t="shared" si="277"/>
        <v>0</v>
      </c>
      <c r="BI120" s="80">
        <f t="shared" si="278"/>
        <v>5.9223333333332752E-3</v>
      </c>
      <c r="BJ120" s="70">
        <f t="shared" si="279"/>
        <v>177.66999999999825</v>
      </c>
      <c r="BK120" s="82"/>
    </row>
    <row r="121" spans="2:63" ht="11.95" outlineLevel="1" thickBot="1" x14ac:dyDescent="0.3">
      <c r="E121" s="3"/>
      <c r="F121" s="3"/>
      <c r="G121" s="3"/>
      <c r="H121" s="256" t="s">
        <v>111</v>
      </c>
      <c r="I121" s="18"/>
      <c r="J121" s="18"/>
      <c r="K121" s="18"/>
      <c r="L121" s="78"/>
      <c r="M121" s="79">
        <v>474.94</v>
      </c>
      <c r="N121" s="80">
        <f t="shared" si="234"/>
        <v>8.9741099931043666E-4</v>
      </c>
      <c r="O121" s="79">
        <v>500</v>
      </c>
      <c r="P121" s="80">
        <f t="shared" si="235"/>
        <v>9.4055812612300546E-4</v>
      </c>
      <c r="Q121" s="79">
        <v>500</v>
      </c>
      <c r="R121" s="80">
        <f t="shared" si="236"/>
        <v>9.4055812612300546E-4</v>
      </c>
      <c r="S121" s="79">
        <v>33330</v>
      </c>
      <c r="T121" s="81">
        <f t="shared" si="237"/>
        <v>0.18270246714110105</v>
      </c>
      <c r="U121" s="80">
        <f t="shared" si="132"/>
        <v>5.2764559733861127E-2</v>
      </c>
      <c r="V121" s="70">
        <f t="shared" si="133"/>
        <v>25.060000000000002</v>
      </c>
      <c r="W121" s="80">
        <f t="shared" si="134"/>
        <v>5.2764559733861127E-2</v>
      </c>
      <c r="X121" s="70">
        <f t="shared" si="135"/>
        <v>25.060000000000002</v>
      </c>
      <c r="Y121" s="80">
        <f t="shared" si="136"/>
        <v>69.177285551859171</v>
      </c>
      <c r="Z121" s="70">
        <f t="shared" si="137"/>
        <v>32855.06</v>
      </c>
      <c r="AA121" s="82"/>
      <c r="AC121" s="138">
        <v>474.94</v>
      </c>
      <c r="AD121" s="138">
        <v>33330</v>
      </c>
      <c r="AE121" s="138">
        <v>500</v>
      </c>
      <c r="AF121" s="233"/>
      <c r="AG121" s="139"/>
      <c r="AH121" s="233"/>
      <c r="AI121" s="139"/>
      <c r="AK121" s="79">
        <v>474.94</v>
      </c>
      <c r="AL121" s="80">
        <f t="shared" si="238"/>
        <v>8.9741099931043666E-4</v>
      </c>
      <c r="AM121" s="79">
        <v>500</v>
      </c>
      <c r="AN121" s="80">
        <f t="shared" si="239"/>
        <v>9.4055812612300546E-4</v>
      </c>
      <c r="AO121" s="79">
        <v>500</v>
      </c>
      <c r="AP121" s="80">
        <f t="shared" si="240"/>
        <v>9.4055812612300546E-4</v>
      </c>
      <c r="AQ121" s="79">
        <v>33330</v>
      </c>
      <c r="AR121" s="81">
        <f t="shared" si="241"/>
        <v>0.18270246714110105</v>
      </c>
      <c r="AS121" s="80">
        <f t="shared" si="138"/>
        <v>5.2764559733861127E-2</v>
      </c>
      <c r="AT121" s="70">
        <f t="shared" si="139"/>
        <v>25.060000000000002</v>
      </c>
      <c r="AU121" s="80">
        <f t="shared" si="140"/>
        <v>5.0120000000000005E-2</v>
      </c>
      <c r="AV121" s="70">
        <f t="shared" si="141"/>
        <v>25.060000000000002</v>
      </c>
      <c r="AW121" s="80">
        <f t="shared" si="142"/>
        <v>69.177285551859171</v>
      </c>
      <c r="AX121" s="70">
        <f t="shared" si="143"/>
        <v>32855.06</v>
      </c>
      <c r="AY121" s="82"/>
      <c r="BA121" s="79">
        <v>6000</v>
      </c>
      <c r="BB121" s="80">
        <f t="shared" si="242"/>
        <v>8.6820750103662003E-4</v>
      </c>
      <c r="BC121" s="79">
        <v>6000</v>
      </c>
      <c r="BD121" s="80">
        <f t="shared" si="243"/>
        <v>8.6820750103662003E-4</v>
      </c>
      <c r="BE121" s="79">
        <v>204117.8</v>
      </c>
      <c r="BF121" s="81">
        <f t="shared" si="244"/>
        <v>4.2764399969603677E-2</v>
      </c>
      <c r="BG121" s="80">
        <f t="shared" si="144"/>
        <v>0</v>
      </c>
      <c r="BH121" s="70">
        <f t="shared" si="145"/>
        <v>0</v>
      </c>
      <c r="BI121" s="80">
        <f t="shared" si="146"/>
        <v>33.019633333333331</v>
      </c>
      <c r="BJ121" s="70">
        <f t="shared" si="147"/>
        <v>198117.8</v>
      </c>
      <c r="BK121" s="82"/>
    </row>
    <row r="122" spans="2:63" ht="11.95" hidden="1" outlineLevel="2" thickBot="1" x14ac:dyDescent="0.3">
      <c r="B122" t="str">
        <f>IF(LEFT(H122,3)="Mul", "#hiderow", "#showrow")</f>
        <v>#hiderow</v>
      </c>
      <c r="E122" s="3"/>
      <c r="F122" s="3"/>
      <c r="G122" s="3"/>
      <c r="H122" s="255" t="s">
        <v>6</v>
      </c>
      <c r="I122" s="18"/>
      <c r="J122" s="18"/>
      <c r="K122" s="18"/>
      <c r="L122" s="78"/>
      <c r="M122" s="79"/>
      <c r="N122" s="80">
        <f t="shared" si="234"/>
        <v>0</v>
      </c>
      <c r="O122" s="79"/>
      <c r="P122" s="80">
        <f t="shared" si="235"/>
        <v>0</v>
      </c>
      <c r="Q122" s="79"/>
      <c r="R122" s="80">
        <f t="shared" si="236"/>
        <v>0</v>
      </c>
      <c r="S122" s="79"/>
      <c r="T122" s="81">
        <f t="shared" si="237"/>
        <v>0</v>
      </c>
      <c r="U122" s="80">
        <f t="shared" si="132"/>
        <v>0</v>
      </c>
      <c r="V122" s="70">
        <f t="shared" si="133"/>
        <v>0</v>
      </c>
      <c r="W122" s="80">
        <f t="shared" si="134"/>
        <v>0</v>
      </c>
      <c r="X122" s="70">
        <f t="shared" si="135"/>
        <v>0</v>
      </c>
      <c r="Y122" s="80">
        <f t="shared" si="136"/>
        <v>0</v>
      </c>
      <c r="Z122" s="70">
        <f t="shared" si="137"/>
        <v>0</v>
      </c>
      <c r="AA122" s="82"/>
      <c r="AC122" s="138"/>
      <c r="AD122" s="138"/>
      <c r="AE122" s="138"/>
      <c r="AF122" s="233"/>
      <c r="AG122" s="139"/>
      <c r="AH122" s="233"/>
      <c r="AI122" s="139"/>
      <c r="AK122" s="79"/>
      <c r="AL122" s="80">
        <f t="shared" si="238"/>
        <v>0</v>
      </c>
      <c r="AM122" s="79"/>
      <c r="AN122" s="80">
        <f t="shared" si="239"/>
        <v>0</v>
      </c>
      <c r="AO122" s="79"/>
      <c r="AP122" s="80">
        <f t="shared" si="240"/>
        <v>0</v>
      </c>
      <c r="AQ122" s="79"/>
      <c r="AR122" s="81">
        <f t="shared" si="241"/>
        <v>0</v>
      </c>
      <c r="AS122" s="80">
        <f t="shared" si="138"/>
        <v>0</v>
      </c>
      <c r="AT122" s="70">
        <f t="shared" si="139"/>
        <v>0</v>
      </c>
      <c r="AU122" s="80">
        <f t="shared" si="140"/>
        <v>0</v>
      </c>
      <c r="AV122" s="70">
        <f t="shared" si="141"/>
        <v>0</v>
      </c>
      <c r="AW122" s="80">
        <f t="shared" si="142"/>
        <v>0</v>
      </c>
      <c r="AX122" s="70">
        <f t="shared" si="143"/>
        <v>0</v>
      </c>
      <c r="AY122" s="82"/>
      <c r="BA122" s="79"/>
      <c r="BB122" s="80">
        <f t="shared" si="242"/>
        <v>0</v>
      </c>
      <c r="BC122" s="79"/>
      <c r="BD122" s="80">
        <f t="shared" si="243"/>
        <v>0</v>
      </c>
      <c r="BE122" s="79"/>
      <c r="BF122" s="81">
        <f t="shared" si="244"/>
        <v>0</v>
      </c>
      <c r="BG122" s="80">
        <f t="shared" si="144"/>
        <v>0</v>
      </c>
      <c r="BH122" s="70">
        <f t="shared" si="145"/>
        <v>0</v>
      </c>
      <c r="BI122" s="80">
        <f t="shared" si="146"/>
        <v>0</v>
      </c>
      <c r="BJ122" s="70">
        <f t="shared" si="147"/>
        <v>0</v>
      </c>
      <c r="BK122" s="82"/>
    </row>
    <row r="123" spans="2:63" ht="11.95" outlineLevel="2" thickBot="1" x14ac:dyDescent="0.3">
      <c r="B123" t="str">
        <f t="shared" ref="B123:B125" si="280">IF(LEFT(H123,3)="Mul", "#hiderow", "#showrow")</f>
        <v>#showrow</v>
      </c>
      <c r="E123" s="3"/>
      <c r="F123" s="3"/>
      <c r="G123" s="3"/>
      <c r="H123" s="255" t="s">
        <v>160</v>
      </c>
      <c r="I123" s="18"/>
      <c r="J123" s="18"/>
      <c r="K123" s="18"/>
      <c r="L123" s="78"/>
      <c r="M123" s="79"/>
      <c r="N123" s="80">
        <f t="shared" si="234"/>
        <v>0</v>
      </c>
      <c r="O123" s="79"/>
      <c r="P123" s="80">
        <f t="shared" si="235"/>
        <v>0</v>
      </c>
      <c r="Q123" s="79"/>
      <c r="R123" s="80">
        <f t="shared" si="236"/>
        <v>0</v>
      </c>
      <c r="S123" s="79"/>
      <c r="T123" s="81">
        <f t="shared" si="237"/>
        <v>0</v>
      </c>
      <c r="U123" s="80">
        <f t="shared" ref="U123:U125" si="281">IFERROR(($O123-M123)/ABS(M123),0)</f>
        <v>0</v>
      </c>
      <c r="V123" s="70">
        <f t="shared" ref="V123:V125" si="282">IFERROR((O123-$M123), 0-$M123)</f>
        <v>0</v>
      </c>
      <c r="W123" s="80">
        <f t="shared" ref="W123:W125" si="283">IFERROR((Q123-$M123)/ABS($M123),0)</f>
        <v>0</v>
      </c>
      <c r="X123" s="70">
        <f t="shared" ref="X123:X125" si="284">IFERROR((Q123-$M123), 0 -$M123)</f>
        <v>0</v>
      </c>
      <c r="Y123" s="80">
        <f t="shared" ref="Y123:Y125" si="285">IFERROR((S123-$M123)/ABS($M123),0)</f>
        <v>0</v>
      </c>
      <c r="Z123" s="70">
        <f t="shared" ref="Z123:Z125" si="286">IFERROR((S123-$M123),0-$M123)</f>
        <v>0</v>
      </c>
      <c r="AA123" s="82"/>
      <c r="AC123" s="138">
        <v>0</v>
      </c>
      <c r="AD123" s="138">
        <v>0</v>
      </c>
      <c r="AE123" s="138">
        <v>0</v>
      </c>
      <c r="AF123" s="233"/>
      <c r="AG123" s="139"/>
      <c r="AH123" s="233"/>
      <c r="AI123" s="139"/>
      <c r="AK123" s="79">
        <v>0</v>
      </c>
      <c r="AL123" s="80">
        <f t="shared" si="238"/>
        <v>0</v>
      </c>
      <c r="AM123" s="79">
        <v>0</v>
      </c>
      <c r="AN123" s="80">
        <f t="shared" si="239"/>
        <v>0</v>
      </c>
      <c r="AO123" s="79">
        <v>0</v>
      </c>
      <c r="AP123" s="80">
        <f t="shared" si="240"/>
        <v>0</v>
      </c>
      <c r="AQ123" s="79">
        <v>0</v>
      </c>
      <c r="AR123" s="81">
        <f t="shared" si="241"/>
        <v>0</v>
      </c>
      <c r="AS123" s="80">
        <f t="shared" ref="AS123:AS125" si="287">IFERROR((AM123-$AK123)/ABS($AK123),0)</f>
        <v>0</v>
      </c>
      <c r="AT123" s="70">
        <f t="shared" ref="AT123:AT125" si="288">(AM123-$AK123)</f>
        <v>0</v>
      </c>
      <c r="AU123" s="80">
        <f t="shared" ref="AU123:AU125" si="289">IFERROR((AO123-$AK123)/ABS($AO123),0)</f>
        <v>0</v>
      </c>
      <c r="AV123" s="70">
        <f t="shared" ref="AV123:AV125" si="290">(AO123-$AK123)</f>
        <v>0</v>
      </c>
      <c r="AW123" s="80">
        <f t="shared" ref="AW123:AW125" si="291">IFERROR((AQ123-$AK123)/ABS($AK123),0)</f>
        <v>0</v>
      </c>
      <c r="AX123" s="70">
        <f t="shared" ref="AX123:AX125" si="292">(AQ123-$AK123)</f>
        <v>0</v>
      </c>
      <c r="AY123" s="82"/>
      <c r="BA123" s="79">
        <v>0</v>
      </c>
      <c r="BB123" s="80">
        <f t="shared" si="242"/>
        <v>0</v>
      </c>
      <c r="BC123" s="79">
        <v>0</v>
      </c>
      <c r="BD123" s="80">
        <f t="shared" si="243"/>
        <v>0</v>
      </c>
      <c r="BE123" s="79">
        <v>500</v>
      </c>
      <c r="BF123" s="81">
        <f t="shared" si="244"/>
        <v>1.0475421538347875E-4</v>
      </c>
      <c r="BG123" s="80">
        <f t="shared" ref="BG123:BG125" si="293">IFERROR((BC123-$BA123)/ABS($BA123),0)</f>
        <v>0</v>
      </c>
      <c r="BH123" s="70">
        <f t="shared" ref="BH123:BH125" si="294">(BC123-$BA123)</f>
        <v>0</v>
      </c>
      <c r="BI123" s="80">
        <f t="shared" ref="BI123:BI125" si="295">IFERROR((BE123-$BA123)/ABS($BA123),0)</f>
        <v>0</v>
      </c>
      <c r="BJ123" s="70">
        <f t="shared" ref="BJ123:BJ125" si="296">(BE123-$BA123)</f>
        <v>500</v>
      </c>
      <c r="BK123" s="82"/>
    </row>
    <row r="124" spans="2:63" ht="11.95" outlineLevel="2" thickBot="1" x14ac:dyDescent="0.3">
      <c r="B124" t="str">
        <f t="shared" si="280"/>
        <v>#showrow</v>
      </c>
      <c r="E124" s="3"/>
      <c r="F124" s="3"/>
      <c r="G124" s="3"/>
      <c r="H124" s="255" t="s">
        <v>161</v>
      </c>
      <c r="I124" s="18"/>
      <c r="J124" s="18"/>
      <c r="K124" s="18"/>
      <c r="L124" s="78"/>
      <c r="M124" s="79"/>
      <c r="N124" s="80">
        <f t="shared" si="234"/>
        <v>0</v>
      </c>
      <c r="O124" s="79"/>
      <c r="P124" s="80">
        <f t="shared" si="235"/>
        <v>0</v>
      </c>
      <c r="Q124" s="79"/>
      <c r="R124" s="80">
        <f t="shared" si="236"/>
        <v>0</v>
      </c>
      <c r="S124" s="79">
        <v>33330</v>
      </c>
      <c r="T124" s="81">
        <f t="shared" si="237"/>
        <v>0.18270246714110105</v>
      </c>
      <c r="U124" s="80">
        <f t="shared" si="281"/>
        <v>0</v>
      </c>
      <c r="V124" s="70">
        <f t="shared" si="282"/>
        <v>0</v>
      </c>
      <c r="W124" s="80">
        <f t="shared" si="283"/>
        <v>0</v>
      </c>
      <c r="X124" s="70">
        <f t="shared" si="284"/>
        <v>0</v>
      </c>
      <c r="Y124" s="80">
        <f t="shared" si="285"/>
        <v>0</v>
      </c>
      <c r="Z124" s="70">
        <f t="shared" si="286"/>
        <v>33330</v>
      </c>
      <c r="AA124" s="82"/>
      <c r="AC124" s="138">
        <v>0</v>
      </c>
      <c r="AD124" s="138">
        <v>33330</v>
      </c>
      <c r="AE124" s="138">
        <v>0</v>
      </c>
      <c r="AF124" s="233"/>
      <c r="AG124" s="139"/>
      <c r="AH124" s="233"/>
      <c r="AI124" s="139"/>
      <c r="AK124" s="79">
        <v>0</v>
      </c>
      <c r="AL124" s="80">
        <f t="shared" si="238"/>
        <v>0</v>
      </c>
      <c r="AM124" s="79">
        <v>0</v>
      </c>
      <c r="AN124" s="80">
        <f t="shared" si="239"/>
        <v>0</v>
      </c>
      <c r="AO124" s="79">
        <v>0</v>
      </c>
      <c r="AP124" s="80">
        <f t="shared" si="240"/>
        <v>0</v>
      </c>
      <c r="AQ124" s="79">
        <v>33330</v>
      </c>
      <c r="AR124" s="81">
        <f t="shared" si="241"/>
        <v>0.18270246714110105</v>
      </c>
      <c r="AS124" s="80">
        <f t="shared" si="287"/>
        <v>0</v>
      </c>
      <c r="AT124" s="70">
        <f t="shared" si="288"/>
        <v>0</v>
      </c>
      <c r="AU124" s="80">
        <f t="shared" si="289"/>
        <v>0</v>
      </c>
      <c r="AV124" s="70">
        <f t="shared" si="290"/>
        <v>0</v>
      </c>
      <c r="AW124" s="80">
        <f t="shared" si="291"/>
        <v>0</v>
      </c>
      <c r="AX124" s="70">
        <f t="shared" si="292"/>
        <v>33330</v>
      </c>
      <c r="AY124" s="82"/>
      <c r="BA124" s="79">
        <v>0</v>
      </c>
      <c r="BB124" s="80">
        <f t="shared" si="242"/>
        <v>0</v>
      </c>
      <c r="BC124" s="79">
        <v>0</v>
      </c>
      <c r="BD124" s="80">
        <f t="shared" si="243"/>
        <v>0</v>
      </c>
      <c r="BE124" s="79">
        <v>179150</v>
      </c>
      <c r="BF124" s="81">
        <f t="shared" si="244"/>
        <v>3.7533435371900438E-2</v>
      </c>
      <c r="BG124" s="80">
        <f t="shared" si="293"/>
        <v>0</v>
      </c>
      <c r="BH124" s="70">
        <f t="shared" si="294"/>
        <v>0</v>
      </c>
      <c r="BI124" s="80">
        <f t="shared" si="295"/>
        <v>0</v>
      </c>
      <c r="BJ124" s="70">
        <f t="shared" si="296"/>
        <v>179150</v>
      </c>
      <c r="BK124" s="82"/>
    </row>
    <row r="125" spans="2:63" ht="11.95" outlineLevel="2" thickBot="1" x14ac:dyDescent="0.3">
      <c r="B125" t="str">
        <f t="shared" si="280"/>
        <v>#showrow</v>
      </c>
      <c r="E125" s="3"/>
      <c r="F125" s="3"/>
      <c r="G125" s="3"/>
      <c r="H125" s="255" t="s">
        <v>162</v>
      </c>
      <c r="I125" s="18"/>
      <c r="J125" s="18"/>
      <c r="K125" s="18"/>
      <c r="L125" s="78"/>
      <c r="M125" s="79">
        <v>474.94</v>
      </c>
      <c r="N125" s="80">
        <f t="shared" si="234"/>
        <v>8.9741099931043666E-4</v>
      </c>
      <c r="O125" s="79">
        <v>500</v>
      </c>
      <c r="P125" s="80">
        <f t="shared" si="235"/>
        <v>9.4055812612300546E-4</v>
      </c>
      <c r="Q125" s="79">
        <v>500</v>
      </c>
      <c r="R125" s="80">
        <f t="shared" si="236"/>
        <v>9.4055812612300546E-4</v>
      </c>
      <c r="S125" s="79"/>
      <c r="T125" s="81">
        <f t="shared" si="237"/>
        <v>0</v>
      </c>
      <c r="U125" s="80">
        <f t="shared" si="281"/>
        <v>5.2764559733861127E-2</v>
      </c>
      <c r="V125" s="70">
        <f t="shared" si="282"/>
        <v>25.060000000000002</v>
      </c>
      <c r="W125" s="80">
        <f t="shared" si="283"/>
        <v>5.2764559733861127E-2</v>
      </c>
      <c r="X125" s="70">
        <f t="shared" si="284"/>
        <v>25.060000000000002</v>
      </c>
      <c r="Y125" s="80">
        <f t="shared" si="285"/>
        <v>-1</v>
      </c>
      <c r="Z125" s="70">
        <f t="shared" si="286"/>
        <v>-474.94</v>
      </c>
      <c r="AA125" s="82"/>
      <c r="AC125" s="138">
        <v>474.94</v>
      </c>
      <c r="AD125" s="138">
        <v>0</v>
      </c>
      <c r="AE125" s="138">
        <v>500</v>
      </c>
      <c r="AF125" s="233"/>
      <c r="AG125" s="139"/>
      <c r="AH125" s="233"/>
      <c r="AI125" s="139"/>
      <c r="AK125" s="79">
        <v>474.94</v>
      </c>
      <c r="AL125" s="80">
        <f t="shared" si="238"/>
        <v>8.9741099931043666E-4</v>
      </c>
      <c r="AM125" s="79">
        <v>500</v>
      </c>
      <c r="AN125" s="80">
        <f t="shared" si="239"/>
        <v>9.4055812612300546E-4</v>
      </c>
      <c r="AO125" s="79">
        <v>500</v>
      </c>
      <c r="AP125" s="80">
        <f t="shared" si="240"/>
        <v>9.4055812612300546E-4</v>
      </c>
      <c r="AQ125" s="79">
        <v>0</v>
      </c>
      <c r="AR125" s="81">
        <f t="shared" si="241"/>
        <v>0</v>
      </c>
      <c r="AS125" s="80">
        <f t="shared" si="287"/>
        <v>5.2764559733861127E-2</v>
      </c>
      <c r="AT125" s="70">
        <f t="shared" si="288"/>
        <v>25.060000000000002</v>
      </c>
      <c r="AU125" s="80">
        <f t="shared" si="289"/>
        <v>5.0120000000000005E-2</v>
      </c>
      <c r="AV125" s="70">
        <f t="shared" si="290"/>
        <v>25.060000000000002</v>
      </c>
      <c r="AW125" s="80">
        <f t="shared" si="291"/>
        <v>-1</v>
      </c>
      <c r="AX125" s="70">
        <f t="shared" si="292"/>
        <v>-474.94</v>
      </c>
      <c r="AY125" s="82"/>
      <c r="BA125" s="79">
        <v>6000</v>
      </c>
      <c r="BB125" s="80">
        <f t="shared" si="242"/>
        <v>8.6820750103662003E-4</v>
      </c>
      <c r="BC125" s="79">
        <v>6000</v>
      </c>
      <c r="BD125" s="80">
        <f t="shared" si="243"/>
        <v>8.6820750103662003E-4</v>
      </c>
      <c r="BE125" s="79">
        <v>24467.8</v>
      </c>
      <c r="BF125" s="81">
        <f t="shared" si="244"/>
        <v>5.1262103823197626E-3</v>
      </c>
      <c r="BG125" s="80">
        <f t="shared" si="293"/>
        <v>0</v>
      </c>
      <c r="BH125" s="70">
        <f t="shared" si="294"/>
        <v>0</v>
      </c>
      <c r="BI125" s="80">
        <f t="shared" si="295"/>
        <v>3.0779666666666667</v>
      </c>
      <c r="BJ125" s="70">
        <f t="shared" si="296"/>
        <v>18467.8</v>
      </c>
      <c r="BK125" s="82"/>
    </row>
    <row r="126" spans="2:63" ht="11.95" outlineLevel="1" thickBot="1" x14ac:dyDescent="0.3">
      <c r="E126" s="3"/>
      <c r="F126" s="3"/>
      <c r="G126" s="3"/>
      <c r="H126" s="256" t="s">
        <v>112</v>
      </c>
      <c r="I126" s="18"/>
      <c r="J126" s="18"/>
      <c r="K126" s="18"/>
      <c r="L126" s="78"/>
      <c r="M126" s="79">
        <v>0</v>
      </c>
      <c r="N126" s="80">
        <f t="shared" si="234"/>
        <v>0</v>
      </c>
      <c r="O126" s="79">
        <v>0</v>
      </c>
      <c r="P126" s="80">
        <f t="shared" si="235"/>
        <v>0</v>
      </c>
      <c r="Q126" s="79">
        <v>0</v>
      </c>
      <c r="R126" s="80">
        <f t="shared" si="236"/>
        <v>0</v>
      </c>
      <c r="S126" s="79">
        <v>0</v>
      </c>
      <c r="T126" s="81">
        <f t="shared" si="237"/>
        <v>0</v>
      </c>
      <c r="U126" s="80">
        <f t="shared" si="132"/>
        <v>0</v>
      </c>
      <c r="V126" s="70">
        <f t="shared" si="133"/>
        <v>0</v>
      </c>
      <c r="W126" s="80">
        <f t="shared" si="134"/>
        <v>0</v>
      </c>
      <c r="X126" s="70">
        <f t="shared" si="135"/>
        <v>0</v>
      </c>
      <c r="Y126" s="80">
        <f t="shared" si="136"/>
        <v>0</v>
      </c>
      <c r="Z126" s="70">
        <f t="shared" si="137"/>
        <v>0</v>
      </c>
      <c r="AA126" s="82"/>
      <c r="AC126" s="138">
        <v>0</v>
      </c>
      <c r="AD126" s="138">
        <v>0</v>
      </c>
      <c r="AE126" s="138">
        <v>0</v>
      </c>
      <c r="AF126" s="233"/>
      <c r="AG126" s="139"/>
      <c r="AH126" s="233"/>
      <c r="AI126" s="139"/>
      <c r="AK126" s="79">
        <v>0</v>
      </c>
      <c r="AL126" s="80">
        <f t="shared" si="238"/>
        <v>0</v>
      </c>
      <c r="AM126" s="79">
        <v>0</v>
      </c>
      <c r="AN126" s="80">
        <f t="shared" si="239"/>
        <v>0</v>
      </c>
      <c r="AO126" s="79">
        <v>0</v>
      </c>
      <c r="AP126" s="80">
        <f t="shared" si="240"/>
        <v>0</v>
      </c>
      <c r="AQ126" s="79">
        <v>0</v>
      </c>
      <c r="AR126" s="81">
        <f t="shared" si="241"/>
        <v>0</v>
      </c>
      <c r="AS126" s="80">
        <f t="shared" si="138"/>
        <v>0</v>
      </c>
      <c r="AT126" s="70">
        <f t="shared" si="139"/>
        <v>0</v>
      </c>
      <c r="AU126" s="80">
        <f t="shared" si="140"/>
        <v>0</v>
      </c>
      <c r="AV126" s="70">
        <f t="shared" si="141"/>
        <v>0</v>
      </c>
      <c r="AW126" s="80">
        <f t="shared" si="142"/>
        <v>0</v>
      </c>
      <c r="AX126" s="70">
        <f t="shared" si="143"/>
        <v>0</v>
      </c>
      <c r="AY126" s="82"/>
      <c r="BA126" s="79">
        <v>0</v>
      </c>
      <c r="BB126" s="80">
        <f t="shared" si="242"/>
        <v>0</v>
      </c>
      <c r="BC126" s="79">
        <v>0</v>
      </c>
      <c r="BD126" s="80">
        <f t="shared" si="243"/>
        <v>0</v>
      </c>
      <c r="BE126" s="79">
        <v>6562.84</v>
      </c>
      <c r="BF126" s="81">
        <f t="shared" si="244"/>
        <v>1.3749703097746192E-3</v>
      </c>
      <c r="BG126" s="80">
        <f t="shared" si="144"/>
        <v>0</v>
      </c>
      <c r="BH126" s="70">
        <f t="shared" si="145"/>
        <v>0</v>
      </c>
      <c r="BI126" s="80">
        <f t="shared" si="146"/>
        <v>0</v>
      </c>
      <c r="BJ126" s="70">
        <f t="shared" si="147"/>
        <v>6562.84</v>
      </c>
      <c r="BK126" s="82"/>
    </row>
    <row r="127" spans="2:63" ht="11.95" hidden="1" outlineLevel="2" thickBot="1" x14ac:dyDescent="0.3">
      <c r="B127" t="str">
        <f>IF(LEFT(H127,3)="Mul", "#hiderow", "#showrow")</f>
        <v>#hiderow</v>
      </c>
      <c r="E127" s="3"/>
      <c r="F127" s="3"/>
      <c r="G127" s="3"/>
      <c r="H127" s="255" t="s">
        <v>6</v>
      </c>
      <c r="I127" s="18"/>
      <c r="J127" s="18"/>
      <c r="K127" s="18"/>
      <c r="L127" s="78"/>
      <c r="M127" s="79"/>
      <c r="N127" s="80">
        <f t="shared" si="234"/>
        <v>0</v>
      </c>
      <c r="O127" s="79"/>
      <c r="P127" s="80">
        <f t="shared" si="235"/>
        <v>0</v>
      </c>
      <c r="Q127" s="79"/>
      <c r="R127" s="80">
        <f t="shared" si="236"/>
        <v>0</v>
      </c>
      <c r="S127" s="79"/>
      <c r="T127" s="81">
        <f t="shared" si="237"/>
        <v>0</v>
      </c>
      <c r="U127" s="80">
        <f t="shared" si="132"/>
        <v>0</v>
      </c>
      <c r="V127" s="70">
        <f t="shared" si="133"/>
        <v>0</v>
      </c>
      <c r="W127" s="80">
        <f t="shared" si="134"/>
        <v>0</v>
      </c>
      <c r="X127" s="70">
        <f t="shared" si="135"/>
        <v>0</v>
      </c>
      <c r="Y127" s="80">
        <f t="shared" si="136"/>
        <v>0</v>
      </c>
      <c r="Z127" s="70">
        <f t="shared" si="137"/>
        <v>0</v>
      </c>
      <c r="AA127" s="82"/>
      <c r="AC127" s="138"/>
      <c r="AD127" s="138"/>
      <c r="AE127" s="138"/>
      <c r="AF127" s="233"/>
      <c r="AG127" s="139"/>
      <c r="AH127" s="233"/>
      <c r="AI127" s="139"/>
      <c r="AK127" s="79"/>
      <c r="AL127" s="80">
        <f t="shared" si="238"/>
        <v>0</v>
      </c>
      <c r="AM127" s="79"/>
      <c r="AN127" s="80">
        <f t="shared" si="239"/>
        <v>0</v>
      </c>
      <c r="AO127" s="79"/>
      <c r="AP127" s="80">
        <f t="shared" si="240"/>
        <v>0</v>
      </c>
      <c r="AQ127" s="79"/>
      <c r="AR127" s="81">
        <f t="shared" si="241"/>
        <v>0</v>
      </c>
      <c r="AS127" s="80">
        <f t="shared" si="138"/>
        <v>0</v>
      </c>
      <c r="AT127" s="70">
        <f t="shared" si="139"/>
        <v>0</v>
      </c>
      <c r="AU127" s="80">
        <f t="shared" si="140"/>
        <v>0</v>
      </c>
      <c r="AV127" s="70">
        <f t="shared" si="141"/>
        <v>0</v>
      </c>
      <c r="AW127" s="80">
        <f t="shared" si="142"/>
        <v>0</v>
      </c>
      <c r="AX127" s="70">
        <f t="shared" si="143"/>
        <v>0</v>
      </c>
      <c r="AY127" s="82"/>
      <c r="BA127" s="79"/>
      <c r="BB127" s="80">
        <f t="shared" si="242"/>
        <v>0</v>
      </c>
      <c r="BC127" s="79"/>
      <c r="BD127" s="80">
        <f t="shared" si="243"/>
        <v>0</v>
      </c>
      <c r="BE127" s="79"/>
      <c r="BF127" s="81">
        <f t="shared" si="244"/>
        <v>0</v>
      </c>
      <c r="BG127" s="80">
        <f t="shared" si="144"/>
        <v>0</v>
      </c>
      <c r="BH127" s="70">
        <f t="shared" si="145"/>
        <v>0</v>
      </c>
      <c r="BI127" s="80">
        <f t="shared" si="146"/>
        <v>0</v>
      </c>
      <c r="BJ127" s="70">
        <f t="shared" si="147"/>
        <v>0</v>
      </c>
      <c r="BK127" s="82"/>
    </row>
    <row r="128" spans="2:63" ht="11.95" outlineLevel="2" thickBot="1" x14ac:dyDescent="0.3">
      <c r="B128" t="str">
        <f>IF(LEFT(H128,3)="Mul", "#hiderow", "#showrow")</f>
        <v>#showrow</v>
      </c>
      <c r="E128" s="3"/>
      <c r="F128" s="3"/>
      <c r="G128" s="3"/>
      <c r="H128" s="255" t="s">
        <v>141</v>
      </c>
      <c r="I128" s="18"/>
      <c r="J128" s="18"/>
      <c r="K128" s="18"/>
      <c r="L128" s="78"/>
      <c r="M128" s="79"/>
      <c r="N128" s="80">
        <f t="shared" si="234"/>
        <v>0</v>
      </c>
      <c r="O128" s="79"/>
      <c r="P128" s="80">
        <f t="shared" si="235"/>
        <v>0</v>
      </c>
      <c r="Q128" s="79"/>
      <c r="R128" s="80">
        <f t="shared" si="236"/>
        <v>0</v>
      </c>
      <c r="S128" s="79"/>
      <c r="T128" s="81">
        <f t="shared" si="237"/>
        <v>0</v>
      </c>
      <c r="U128" s="80">
        <f t="shared" ref="U128" si="297">IFERROR(($O128-M128)/ABS(M128),0)</f>
        <v>0</v>
      </c>
      <c r="V128" s="70">
        <f t="shared" ref="V128" si="298">IFERROR((O128-$M128), 0-$M128)</f>
        <v>0</v>
      </c>
      <c r="W128" s="80">
        <f t="shared" ref="W128" si="299">IFERROR((Q128-$M128)/ABS($M128),0)</f>
        <v>0</v>
      </c>
      <c r="X128" s="70">
        <f t="shared" ref="X128" si="300">IFERROR((Q128-$M128), 0 -$M128)</f>
        <v>0</v>
      </c>
      <c r="Y128" s="80">
        <f t="shared" ref="Y128" si="301">IFERROR((S128-$M128)/ABS($M128),0)</f>
        <v>0</v>
      </c>
      <c r="Z128" s="70">
        <f t="shared" ref="Z128" si="302">IFERROR((S128-$M128),0-$M128)</f>
        <v>0</v>
      </c>
      <c r="AA128" s="82"/>
      <c r="AC128" s="138">
        <v>0</v>
      </c>
      <c r="AD128" s="138">
        <v>0</v>
      </c>
      <c r="AE128" s="138">
        <v>0</v>
      </c>
      <c r="AF128" s="233"/>
      <c r="AG128" s="139"/>
      <c r="AH128" s="233"/>
      <c r="AI128" s="139"/>
      <c r="AK128" s="79">
        <v>0</v>
      </c>
      <c r="AL128" s="80">
        <f t="shared" si="238"/>
        <v>0</v>
      </c>
      <c r="AM128" s="79">
        <v>0</v>
      </c>
      <c r="AN128" s="80">
        <f t="shared" si="239"/>
        <v>0</v>
      </c>
      <c r="AO128" s="79">
        <v>0</v>
      </c>
      <c r="AP128" s="80">
        <f t="shared" si="240"/>
        <v>0</v>
      </c>
      <c r="AQ128" s="79">
        <v>0</v>
      </c>
      <c r="AR128" s="81">
        <f t="shared" si="241"/>
        <v>0</v>
      </c>
      <c r="AS128" s="80">
        <f t="shared" ref="AS128" si="303">IFERROR((AM128-$AK128)/ABS($AK128),0)</f>
        <v>0</v>
      </c>
      <c r="AT128" s="70">
        <f t="shared" ref="AT128" si="304">(AM128-$AK128)</f>
        <v>0</v>
      </c>
      <c r="AU128" s="80">
        <f t="shared" ref="AU128" si="305">IFERROR((AO128-$AK128)/ABS($AO128),0)</f>
        <v>0</v>
      </c>
      <c r="AV128" s="70">
        <f t="shared" ref="AV128" si="306">(AO128-$AK128)</f>
        <v>0</v>
      </c>
      <c r="AW128" s="80">
        <f t="shared" ref="AW128" si="307">IFERROR((AQ128-$AK128)/ABS($AK128),0)</f>
        <v>0</v>
      </c>
      <c r="AX128" s="70">
        <f t="shared" ref="AX128" si="308">(AQ128-$AK128)</f>
        <v>0</v>
      </c>
      <c r="AY128" s="82"/>
      <c r="BA128" s="79">
        <v>0</v>
      </c>
      <c r="BB128" s="80">
        <f t="shared" si="242"/>
        <v>0</v>
      </c>
      <c r="BC128" s="79">
        <v>0</v>
      </c>
      <c r="BD128" s="80">
        <f t="shared" si="243"/>
        <v>0</v>
      </c>
      <c r="BE128" s="79">
        <v>6562.84</v>
      </c>
      <c r="BF128" s="81">
        <f t="shared" si="244"/>
        <v>1.3749703097746192E-3</v>
      </c>
      <c r="BG128" s="80">
        <f t="shared" ref="BG128" si="309">IFERROR((BC128-$BA128)/ABS($BA128),0)</f>
        <v>0</v>
      </c>
      <c r="BH128" s="70">
        <f t="shared" ref="BH128" si="310">(BC128-$BA128)</f>
        <v>0</v>
      </c>
      <c r="BI128" s="80">
        <f t="shared" ref="BI128" si="311">IFERROR((BE128-$BA128)/ABS($BA128),0)</f>
        <v>0</v>
      </c>
      <c r="BJ128" s="70">
        <f t="shared" ref="BJ128" si="312">(BE128-$BA128)</f>
        <v>6562.84</v>
      </c>
      <c r="BK128" s="82"/>
    </row>
    <row r="129" spans="2:63" ht="11.95" outlineLevel="1" thickBot="1" x14ac:dyDescent="0.3">
      <c r="E129" s="3"/>
      <c r="F129" s="3"/>
      <c r="G129" s="3"/>
      <c r="H129" s="256" t="s">
        <v>113</v>
      </c>
      <c r="I129" s="18"/>
      <c r="J129" s="18"/>
      <c r="K129" s="18"/>
      <c r="L129" s="78"/>
      <c r="M129" s="79">
        <v>0</v>
      </c>
      <c r="N129" s="80">
        <f t="shared" si="234"/>
        <v>0</v>
      </c>
      <c r="O129" s="79">
        <v>0</v>
      </c>
      <c r="P129" s="80">
        <f t="shared" si="235"/>
        <v>0</v>
      </c>
      <c r="Q129" s="79">
        <v>0</v>
      </c>
      <c r="R129" s="80">
        <f t="shared" si="236"/>
        <v>0</v>
      </c>
      <c r="S129" s="79">
        <v>0</v>
      </c>
      <c r="T129" s="81">
        <f t="shared" si="237"/>
        <v>0</v>
      </c>
      <c r="U129" s="80">
        <f t="shared" si="132"/>
        <v>0</v>
      </c>
      <c r="V129" s="70">
        <f t="shared" si="133"/>
        <v>0</v>
      </c>
      <c r="W129" s="80">
        <f t="shared" si="134"/>
        <v>0</v>
      </c>
      <c r="X129" s="70">
        <f t="shared" si="135"/>
        <v>0</v>
      </c>
      <c r="Y129" s="80">
        <f t="shared" si="136"/>
        <v>0</v>
      </c>
      <c r="Z129" s="70">
        <f t="shared" si="137"/>
        <v>0</v>
      </c>
      <c r="AA129" s="82"/>
      <c r="AC129" s="138">
        <v>0</v>
      </c>
      <c r="AD129" s="138">
        <v>0</v>
      </c>
      <c r="AE129" s="138">
        <v>0</v>
      </c>
      <c r="AF129" s="233"/>
      <c r="AG129" s="139"/>
      <c r="AH129" s="233"/>
      <c r="AI129" s="139"/>
      <c r="AK129" s="79">
        <v>0</v>
      </c>
      <c r="AL129" s="80">
        <f t="shared" si="238"/>
        <v>0</v>
      </c>
      <c r="AM129" s="79">
        <v>0</v>
      </c>
      <c r="AN129" s="80">
        <f t="shared" si="239"/>
        <v>0</v>
      </c>
      <c r="AO129" s="79">
        <v>0</v>
      </c>
      <c r="AP129" s="80">
        <f t="shared" si="240"/>
        <v>0</v>
      </c>
      <c r="AQ129" s="79">
        <v>0</v>
      </c>
      <c r="AR129" s="81">
        <f t="shared" si="241"/>
        <v>0</v>
      </c>
      <c r="AS129" s="80">
        <f t="shared" si="138"/>
        <v>0</v>
      </c>
      <c r="AT129" s="70">
        <f t="shared" si="139"/>
        <v>0</v>
      </c>
      <c r="AU129" s="80">
        <f t="shared" si="140"/>
        <v>0</v>
      </c>
      <c r="AV129" s="70">
        <f t="shared" si="141"/>
        <v>0</v>
      </c>
      <c r="AW129" s="80">
        <f t="shared" si="142"/>
        <v>0</v>
      </c>
      <c r="AX129" s="70">
        <f t="shared" si="143"/>
        <v>0</v>
      </c>
      <c r="AY129" s="82"/>
      <c r="BA129" s="79">
        <v>0</v>
      </c>
      <c r="BB129" s="80">
        <f t="shared" si="242"/>
        <v>0</v>
      </c>
      <c r="BC129" s="79">
        <v>0</v>
      </c>
      <c r="BD129" s="80">
        <f t="shared" si="243"/>
        <v>0</v>
      </c>
      <c r="BE129" s="79">
        <v>772.8</v>
      </c>
      <c r="BF129" s="81">
        <f t="shared" si="244"/>
        <v>1.6190811529670474E-4</v>
      </c>
      <c r="BG129" s="80">
        <f t="shared" si="144"/>
        <v>0</v>
      </c>
      <c r="BH129" s="70">
        <f t="shared" si="145"/>
        <v>0</v>
      </c>
      <c r="BI129" s="80">
        <f t="shared" si="146"/>
        <v>0</v>
      </c>
      <c r="BJ129" s="70">
        <f t="shared" si="147"/>
        <v>772.8</v>
      </c>
      <c r="BK129" s="82"/>
    </row>
    <row r="130" spans="2:63" ht="11.95" hidden="1" outlineLevel="2" thickBot="1" x14ac:dyDescent="0.3">
      <c r="B130" t="str">
        <f>IF(LEFT(H130,3)="Mul", "#hiderow", "#showrow")</f>
        <v>#hiderow</v>
      </c>
      <c r="E130" s="3"/>
      <c r="F130" s="3"/>
      <c r="G130" s="3"/>
      <c r="H130" s="255" t="s">
        <v>6</v>
      </c>
      <c r="I130" s="18"/>
      <c r="J130" s="18"/>
      <c r="K130" s="18"/>
      <c r="L130" s="78"/>
      <c r="M130" s="79"/>
      <c r="N130" s="80">
        <f t="shared" ref="N130:N161" si="313">IFERROR(M130/SUMIFS(M:M, $H:$H, "Net Sales"),0)</f>
        <v>0</v>
      </c>
      <c r="O130" s="79"/>
      <c r="P130" s="80">
        <f t="shared" ref="P130:P161" si="314">IFERROR(O130/SUMIFS(O:O, $H:$H, "Net Sales"),0)</f>
        <v>0</v>
      </c>
      <c r="Q130" s="79"/>
      <c r="R130" s="80">
        <f t="shared" ref="R130:R161" si="315">IFERROR(Q130/SUMIFS(Q:Q, $H:$H, "Net Sales"),0)</f>
        <v>0</v>
      </c>
      <c r="S130" s="79"/>
      <c r="T130" s="81">
        <f t="shared" ref="T130:T161" si="316">IFERROR(S130/SUMIFS(S:S, $H:$H, "Net Sales"),0)</f>
        <v>0</v>
      </c>
      <c r="U130" s="80">
        <f t="shared" si="132"/>
        <v>0</v>
      </c>
      <c r="V130" s="70">
        <f t="shared" si="133"/>
        <v>0</v>
      </c>
      <c r="W130" s="80">
        <f t="shared" si="134"/>
        <v>0</v>
      </c>
      <c r="X130" s="70">
        <f t="shared" si="135"/>
        <v>0</v>
      </c>
      <c r="Y130" s="80">
        <f t="shared" si="136"/>
        <v>0</v>
      </c>
      <c r="Z130" s="70">
        <f t="shared" si="137"/>
        <v>0</v>
      </c>
      <c r="AA130" s="82"/>
      <c r="AC130" s="138"/>
      <c r="AD130" s="138"/>
      <c r="AE130" s="138"/>
      <c r="AF130" s="233"/>
      <c r="AG130" s="139"/>
      <c r="AH130" s="233"/>
      <c r="AI130" s="139"/>
      <c r="AK130" s="79"/>
      <c r="AL130" s="80">
        <f t="shared" ref="AL130:AL161" si="317">IFERROR(AK130/SUMIFS(AK:AK, $H:$H, "Net Sales"),0)</f>
        <v>0</v>
      </c>
      <c r="AM130" s="79"/>
      <c r="AN130" s="80">
        <f t="shared" ref="AN130:AN161" si="318">IFERROR(AM130/SUMIFS(AM:AM, $H:$H, "Net Sales"),0)</f>
        <v>0</v>
      </c>
      <c r="AO130" s="79"/>
      <c r="AP130" s="80">
        <f t="shared" ref="AP130:AP161" si="319">IFERROR(AO130/SUMIFS(AO:AO, $H:$H, "Net Sales"),0)</f>
        <v>0</v>
      </c>
      <c r="AQ130" s="79"/>
      <c r="AR130" s="81">
        <f t="shared" ref="AR130:AR161" si="320">IFERROR(AQ130/SUMIFS(AQ:AQ, $H:$H, "Net Sales"),0)</f>
        <v>0</v>
      </c>
      <c r="AS130" s="80">
        <f t="shared" si="138"/>
        <v>0</v>
      </c>
      <c r="AT130" s="70">
        <f t="shared" si="139"/>
        <v>0</v>
      </c>
      <c r="AU130" s="80">
        <f t="shared" si="140"/>
        <v>0</v>
      </c>
      <c r="AV130" s="70">
        <f t="shared" si="141"/>
        <v>0</v>
      </c>
      <c r="AW130" s="80">
        <f t="shared" si="142"/>
        <v>0</v>
      </c>
      <c r="AX130" s="70">
        <f t="shared" si="143"/>
        <v>0</v>
      </c>
      <c r="AY130" s="82"/>
      <c r="BA130" s="79"/>
      <c r="BB130" s="80">
        <f t="shared" ref="BB130:BB161" si="321">IFERROR(BA130/SUMIFS(BA:BA, $H:$H, "Net Sales"),0)</f>
        <v>0</v>
      </c>
      <c r="BC130" s="79"/>
      <c r="BD130" s="80">
        <f t="shared" ref="BD130:BD161" si="322">IFERROR(BC130/SUMIFS(BC:BC, $H:$H, "Net Sales"),0)</f>
        <v>0</v>
      </c>
      <c r="BE130" s="79"/>
      <c r="BF130" s="81">
        <f t="shared" ref="BF130:BF161" si="323">IFERROR(BE130/SUMIFS(BE:BE, $H:$H, "Net Sales"),0)</f>
        <v>0</v>
      </c>
      <c r="BG130" s="80">
        <f t="shared" si="144"/>
        <v>0</v>
      </c>
      <c r="BH130" s="70">
        <f t="shared" si="145"/>
        <v>0</v>
      </c>
      <c r="BI130" s="80">
        <f t="shared" si="146"/>
        <v>0</v>
      </c>
      <c r="BJ130" s="70">
        <f t="shared" si="147"/>
        <v>0</v>
      </c>
      <c r="BK130" s="82"/>
    </row>
    <row r="131" spans="2:63" ht="11.95" outlineLevel="2" thickBot="1" x14ac:dyDescent="0.3">
      <c r="B131" t="str">
        <f>IF(LEFT(H131,3)="Mul", "#hiderow", "#showrow")</f>
        <v>#showrow</v>
      </c>
      <c r="E131" s="3"/>
      <c r="F131" s="3"/>
      <c r="G131" s="3"/>
      <c r="H131" s="255" t="s">
        <v>180</v>
      </c>
      <c r="I131" s="18"/>
      <c r="J131" s="18"/>
      <c r="K131" s="18"/>
      <c r="L131" s="78"/>
      <c r="M131" s="79"/>
      <c r="N131" s="80">
        <f t="shared" si="313"/>
        <v>0</v>
      </c>
      <c r="O131" s="79"/>
      <c r="P131" s="80">
        <f t="shared" si="314"/>
        <v>0</v>
      </c>
      <c r="Q131" s="79"/>
      <c r="R131" s="80">
        <f t="shared" si="315"/>
        <v>0</v>
      </c>
      <c r="S131" s="79"/>
      <c r="T131" s="81">
        <f t="shared" si="316"/>
        <v>0</v>
      </c>
      <c r="U131" s="80">
        <f t="shared" ref="U131" si="324">IFERROR(($O131-M131)/ABS(M131),0)</f>
        <v>0</v>
      </c>
      <c r="V131" s="70">
        <f t="shared" ref="V131" si="325">IFERROR((O131-$M131), 0-$M131)</f>
        <v>0</v>
      </c>
      <c r="W131" s="80">
        <f t="shared" ref="W131" si="326">IFERROR((Q131-$M131)/ABS($M131),0)</f>
        <v>0</v>
      </c>
      <c r="X131" s="70">
        <f t="shared" ref="X131" si="327">IFERROR((Q131-$M131), 0 -$M131)</f>
        <v>0</v>
      </c>
      <c r="Y131" s="80">
        <f t="shared" ref="Y131" si="328">IFERROR((S131-$M131)/ABS($M131),0)</f>
        <v>0</v>
      </c>
      <c r="Z131" s="70">
        <f t="shared" ref="Z131" si="329">IFERROR((S131-$M131),0-$M131)</f>
        <v>0</v>
      </c>
      <c r="AA131" s="82"/>
      <c r="AC131" s="138">
        <v>0</v>
      </c>
      <c r="AD131" s="138">
        <v>0</v>
      </c>
      <c r="AE131" s="138">
        <v>0</v>
      </c>
      <c r="AF131" s="233"/>
      <c r="AG131" s="139"/>
      <c r="AH131" s="233"/>
      <c r="AI131" s="139"/>
      <c r="AK131" s="79">
        <v>0</v>
      </c>
      <c r="AL131" s="80">
        <f t="shared" si="317"/>
        <v>0</v>
      </c>
      <c r="AM131" s="79">
        <v>0</v>
      </c>
      <c r="AN131" s="80">
        <f t="shared" si="318"/>
        <v>0</v>
      </c>
      <c r="AO131" s="79">
        <v>0</v>
      </c>
      <c r="AP131" s="80">
        <f t="shared" si="319"/>
        <v>0</v>
      </c>
      <c r="AQ131" s="79">
        <v>0</v>
      </c>
      <c r="AR131" s="81">
        <f t="shared" si="320"/>
        <v>0</v>
      </c>
      <c r="AS131" s="80">
        <f t="shared" ref="AS131" si="330">IFERROR((AM131-$AK131)/ABS($AK131),0)</f>
        <v>0</v>
      </c>
      <c r="AT131" s="70">
        <f t="shared" ref="AT131" si="331">(AM131-$AK131)</f>
        <v>0</v>
      </c>
      <c r="AU131" s="80">
        <f t="shared" ref="AU131" si="332">IFERROR((AO131-$AK131)/ABS($AO131),0)</f>
        <v>0</v>
      </c>
      <c r="AV131" s="70">
        <f t="shared" ref="AV131" si="333">(AO131-$AK131)</f>
        <v>0</v>
      </c>
      <c r="AW131" s="80">
        <f t="shared" ref="AW131" si="334">IFERROR((AQ131-$AK131)/ABS($AK131),0)</f>
        <v>0</v>
      </c>
      <c r="AX131" s="70">
        <f t="shared" ref="AX131" si="335">(AQ131-$AK131)</f>
        <v>0</v>
      </c>
      <c r="AY131" s="82"/>
      <c r="BA131" s="79">
        <v>0</v>
      </c>
      <c r="BB131" s="80">
        <f t="shared" si="321"/>
        <v>0</v>
      </c>
      <c r="BC131" s="79">
        <v>0</v>
      </c>
      <c r="BD131" s="80">
        <f t="shared" si="322"/>
        <v>0</v>
      </c>
      <c r="BE131" s="79">
        <v>772.8</v>
      </c>
      <c r="BF131" s="81">
        <f t="shared" si="323"/>
        <v>1.6190811529670474E-4</v>
      </c>
      <c r="BG131" s="80">
        <f t="shared" ref="BG131" si="336">IFERROR((BC131-$BA131)/ABS($BA131),0)</f>
        <v>0</v>
      </c>
      <c r="BH131" s="70">
        <f t="shared" ref="BH131" si="337">(BC131-$BA131)</f>
        <v>0</v>
      </c>
      <c r="BI131" s="80">
        <f t="shared" ref="BI131" si="338">IFERROR((BE131-$BA131)/ABS($BA131),0)</f>
        <v>0</v>
      </c>
      <c r="BJ131" s="70">
        <f t="shared" ref="BJ131" si="339">(BE131-$BA131)</f>
        <v>772.8</v>
      </c>
      <c r="BK131" s="82"/>
    </row>
    <row r="132" spans="2:63" ht="11.95" outlineLevel="1" collapsed="1" thickBot="1" x14ac:dyDescent="0.3">
      <c r="E132" s="3"/>
      <c r="F132" s="3"/>
      <c r="G132" s="3"/>
      <c r="H132" s="256" t="s">
        <v>114</v>
      </c>
      <c r="I132" s="18"/>
      <c r="J132" s="18"/>
      <c r="K132" s="18"/>
      <c r="L132" s="78"/>
      <c r="M132" s="79">
        <v>0</v>
      </c>
      <c r="N132" s="80">
        <f t="shared" si="313"/>
        <v>0</v>
      </c>
      <c r="O132" s="79">
        <v>0</v>
      </c>
      <c r="P132" s="80">
        <f t="shared" si="314"/>
        <v>0</v>
      </c>
      <c r="Q132" s="79">
        <v>0</v>
      </c>
      <c r="R132" s="80">
        <f t="shared" si="315"/>
        <v>0</v>
      </c>
      <c r="S132" s="79">
        <v>0</v>
      </c>
      <c r="T132" s="81">
        <f t="shared" si="316"/>
        <v>0</v>
      </c>
      <c r="U132" s="80">
        <f t="shared" si="132"/>
        <v>0</v>
      </c>
      <c r="V132" s="70">
        <f t="shared" si="133"/>
        <v>0</v>
      </c>
      <c r="W132" s="80">
        <f t="shared" si="134"/>
        <v>0</v>
      </c>
      <c r="X132" s="70">
        <f t="shared" si="135"/>
        <v>0</v>
      </c>
      <c r="Y132" s="80">
        <f t="shared" si="136"/>
        <v>0</v>
      </c>
      <c r="Z132" s="70">
        <f t="shared" si="137"/>
        <v>0</v>
      </c>
      <c r="AA132" s="82"/>
      <c r="AC132" s="138">
        <v>0</v>
      </c>
      <c r="AD132" s="138">
        <v>0</v>
      </c>
      <c r="AE132" s="138">
        <v>0</v>
      </c>
      <c r="AF132" s="233"/>
      <c r="AG132" s="139"/>
      <c r="AH132" s="233"/>
      <c r="AI132" s="139"/>
      <c r="AK132" s="79">
        <v>0</v>
      </c>
      <c r="AL132" s="80">
        <f t="shared" si="317"/>
        <v>0</v>
      </c>
      <c r="AM132" s="79">
        <v>0</v>
      </c>
      <c r="AN132" s="80">
        <f t="shared" si="318"/>
        <v>0</v>
      </c>
      <c r="AO132" s="79">
        <v>0</v>
      </c>
      <c r="AP132" s="80">
        <f t="shared" si="319"/>
        <v>0</v>
      </c>
      <c r="AQ132" s="79">
        <v>0</v>
      </c>
      <c r="AR132" s="81">
        <f t="shared" si="320"/>
        <v>0</v>
      </c>
      <c r="AS132" s="80">
        <f t="shared" si="138"/>
        <v>0</v>
      </c>
      <c r="AT132" s="70">
        <f t="shared" si="139"/>
        <v>0</v>
      </c>
      <c r="AU132" s="80">
        <f t="shared" si="140"/>
        <v>0</v>
      </c>
      <c r="AV132" s="70">
        <f t="shared" si="141"/>
        <v>0</v>
      </c>
      <c r="AW132" s="80">
        <f t="shared" si="142"/>
        <v>0</v>
      </c>
      <c r="AX132" s="70">
        <f t="shared" si="143"/>
        <v>0</v>
      </c>
      <c r="AY132" s="82"/>
      <c r="BA132" s="79">
        <v>0</v>
      </c>
      <c r="BB132" s="80">
        <f t="shared" si="321"/>
        <v>0</v>
      </c>
      <c r="BC132" s="79">
        <v>0</v>
      </c>
      <c r="BD132" s="80">
        <f t="shared" si="322"/>
        <v>0</v>
      </c>
      <c r="BE132" s="79">
        <v>0</v>
      </c>
      <c r="BF132" s="81">
        <f t="shared" si="323"/>
        <v>0</v>
      </c>
      <c r="BG132" s="80">
        <f t="shared" si="144"/>
        <v>0</v>
      </c>
      <c r="BH132" s="70">
        <f t="shared" si="145"/>
        <v>0</v>
      </c>
      <c r="BI132" s="80">
        <f t="shared" si="146"/>
        <v>0</v>
      </c>
      <c r="BJ132" s="70">
        <f t="shared" si="147"/>
        <v>0</v>
      </c>
      <c r="BK132" s="82"/>
    </row>
    <row r="133" spans="2:63" ht="11.95" hidden="1" outlineLevel="2" thickBot="1" x14ac:dyDescent="0.3">
      <c r="B133" t="str">
        <f>IF(LEFT(H133,3)="Mul", "#hiderow", "#showrow")</f>
        <v>#hiderow</v>
      </c>
      <c r="E133" s="3"/>
      <c r="F133" s="3"/>
      <c r="G133" s="3"/>
      <c r="H133" s="255" t="s">
        <v>6</v>
      </c>
      <c r="I133" s="18"/>
      <c r="J133" s="18"/>
      <c r="K133" s="18"/>
      <c r="L133" s="78"/>
      <c r="M133" s="79"/>
      <c r="N133" s="80">
        <f t="shared" si="313"/>
        <v>0</v>
      </c>
      <c r="O133" s="79"/>
      <c r="P133" s="80">
        <f t="shared" si="314"/>
        <v>0</v>
      </c>
      <c r="Q133" s="79"/>
      <c r="R133" s="80">
        <f t="shared" si="315"/>
        <v>0</v>
      </c>
      <c r="S133" s="79"/>
      <c r="T133" s="81">
        <f t="shared" si="316"/>
        <v>0</v>
      </c>
      <c r="U133" s="80">
        <f t="shared" si="132"/>
        <v>0</v>
      </c>
      <c r="V133" s="70">
        <f t="shared" si="133"/>
        <v>0</v>
      </c>
      <c r="W133" s="80">
        <f t="shared" si="134"/>
        <v>0</v>
      </c>
      <c r="X133" s="70">
        <f t="shared" si="135"/>
        <v>0</v>
      </c>
      <c r="Y133" s="80">
        <f t="shared" si="136"/>
        <v>0</v>
      </c>
      <c r="Z133" s="70">
        <f t="shared" si="137"/>
        <v>0</v>
      </c>
      <c r="AA133" s="82"/>
      <c r="AC133" s="138"/>
      <c r="AD133" s="138"/>
      <c r="AE133" s="138"/>
      <c r="AF133" s="233"/>
      <c r="AG133" s="139"/>
      <c r="AH133" s="233"/>
      <c r="AI133" s="139"/>
      <c r="AK133" s="79"/>
      <c r="AL133" s="80">
        <f t="shared" si="317"/>
        <v>0</v>
      </c>
      <c r="AM133" s="79"/>
      <c r="AN133" s="80">
        <f t="shared" si="318"/>
        <v>0</v>
      </c>
      <c r="AO133" s="79"/>
      <c r="AP133" s="80">
        <f t="shared" si="319"/>
        <v>0</v>
      </c>
      <c r="AQ133" s="79"/>
      <c r="AR133" s="81">
        <f t="shared" si="320"/>
        <v>0</v>
      </c>
      <c r="AS133" s="80">
        <f t="shared" si="138"/>
        <v>0</v>
      </c>
      <c r="AT133" s="70">
        <f t="shared" si="139"/>
        <v>0</v>
      </c>
      <c r="AU133" s="80">
        <f t="shared" si="140"/>
        <v>0</v>
      </c>
      <c r="AV133" s="70">
        <f t="shared" si="141"/>
        <v>0</v>
      </c>
      <c r="AW133" s="80">
        <f t="shared" si="142"/>
        <v>0</v>
      </c>
      <c r="AX133" s="70">
        <f t="shared" si="143"/>
        <v>0</v>
      </c>
      <c r="AY133" s="82"/>
      <c r="BA133" s="79"/>
      <c r="BB133" s="80">
        <f t="shared" si="321"/>
        <v>0</v>
      </c>
      <c r="BC133" s="79"/>
      <c r="BD133" s="80">
        <f t="shared" si="322"/>
        <v>0</v>
      </c>
      <c r="BE133" s="79"/>
      <c r="BF133" s="81">
        <f t="shared" si="323"/>
        <v>0</v>
      </c>
      <c r="BG133" s="80">
        <f t="shared" si="144"/>
        <v>0</v>
      </c>
      <c r="BH133" s="70">
        <f t="shared" si="145"/>
        <v>0</v>
      </c>
      <c r="BI133" s="80">
        <f t="shared" si="146"/>
        <v>0</v>
      </c>
      <c r="BJ133" s="70">
        <f t="shared" si="147"/>
        <v>0</v>
      </c>
      <c r="BK133" s="82"/>
    </row>
    <row r="134" spans="2:63" ht="11.95" x14ac:dyDescent="0.25">
      <c r="B134" t="str">
        <f>B65</f>
        <v>#showrow</v>
      </c>
      <c r="E134" s="19"/>
      <c r="F134" s="19"/>
      <c r="G134" s="19"/>
      <c r="H134" s="19" t="s">
        <v>81</v>
      </c>
      <c r="I134" s="85"/>
      <c r="J134" s="85"/>
      <c r="K134" s="85"/>
      <c r="L134" s="144">
        <v>-1</v>
      </c>
      <c r="M134" s="85">
        <f>SUMIFS(M66:M133,$I66:$I133,"&lt;&gt;"&amp;$I$29,$E66:$E133,"&lt;&gt;*[-]*",$F66:$F133,"&lt;&gt;*[-]*",$G66:$G133,"&lt;&gt;*[-]*", $H66:$H133, "Operating Expenses")</f>
        <v>0</v>
      </c>
      <c r="N134" s="86">
        <f t="shared" si="313"/>
        <v>0</v>
      </c>
      <c r="O134" s="85">
        <f>SUMIFS(O66:O133,$I66:$I133,"&lt;&gt;"&amp;$I$29,$E66:$E133,"&lt;&gt;*[-]*",$F66:$F133,"&lt;&gt;*[-]*",$G66:$G133,"&lt;&gt;*[-]*", $H66:$H133, "Operating Expenses")</f>
        <v>-2.17E-10</v>
      </c>
      <c r="P134" s="86">
        <f t="shared" si="314"/>
        <v>-4.0820222673738435E-16</v>
      </c>
      <c r="Q134" s="85">
        <f>SUMIFS(Q66:Q133,$I66:$I133,"&lt;&gt;"&amp;$I$29,$E66:$E133,"&lt;&gt;*[-]*",$F66:$F133,"&lt;&gt;*[-]*",$G66:$G133,"&lt;&gt;*[-]*", $H66:$H133, "Operating Expenses")</f>
        <v>-2.17E-10</v>
      </c>
      <c r="R134" s="86">
        <f t="shared" si="315"/>
        <v>-4.0820222673738435E-16</v>
      </c>
      <c r="S134" s="85">
        <f>SUMIFS(S66:S133,$I66:$I133,"&lt;&gt;"&amp;$I$29,$E66:$E133,"&lt;&gt;*[-]*",$F66:$F133,"&lt;&gt;*[-]*",$G66:$G133,"&lt;&gt;*[-]*", $H66:$H133, "Operating Expenses")</f>
        <v>0</v>
      </c>
      <c r="T134" s="86">
        <f t="shared" si="316"/>
        <v>0</v>
      </c>
      <c r="U134" s="86">
        <f>IFERROR(($O134-M134)/ABS(M134),0)</f>
        <v>0</v>
      </c>
      <c r="V134" s="87">
        <f>IFERROR((O134-$M134), 0-$M134)</f>
        <v>-2.17E-10</v>
      </c>
      <c r="W134" s="86">
        <f>IFERROR((Q134-$M134)/ABS($M134),0)</f>
        <v>0</v>
      </c>
      <c r="X134" s="87">
        <f>IFERROR((Q134-$M134), 0 -$M134)</f>
        <v>-2.17E-10</v>
      </c>
      <c r="Y134" s="86">
        <f>IFERROR((S134-$M134)/ABS($M134),0)</f>
        <v>0</v>
      </c>
      <c r="Z134" s="87">
        <f>IFERROR((S134-$M134),0-$M134)</f>
        <v>0</v>
      </c>
      <c r="AA134" s="88"/>
      <c r="AC134" s="142">
        <f>SUMIFS(AC66:AC133,$I66:$I133,"&lt;&gt;"&amp;$I$29,$E66:$E133,"&lt;&gt;*[-]*",$F66:$F133,"&lt;&gt;*[-]*",$G66:$G133,"&lt;&gt;*[-]*", $H66:$H133, "Operating Expenses")</f>
        <v>0</v>
      </c>
      <c r="AD134" s="142">
        <f>SUMIFS(AD66:AD133,$I66:$I133,"&lt;&gt;"&amp;$I$29,$E66:$E133,"&lt;&gt;*[-]*",$F66:$F133,"&lt;&gt;*[-]*",$G66:$G133,"&lt;&gt;*[-]*", $H66:$H133, "Operating Expenses")</f>
        <v>0</v>
      </c>
      <c r="AE134" s="142">
        <f>SUMIFS(AE66:AE133,$I66:$I133,"&lt;&gt;"&amp;$I$29,$E66:$E133,"&lt;&gt;*[-]*",$F66:$F133,"&lt;&gt;*[-]*",$G66:$G133,"&lt;&gt;*[-]*", $H66:$H133, "Operating Expenses")</f>
        <v>-2.17E-10</v>
      </c>
      <c r="AF134" s="173">
        <f>IFERROR((AD134-$AC134)/ABS($AC134),0)</f>
        <v>0</v>
      </c>
      <c r="AG134" s="143">
        <f>(AD134-$AC134)</f>
        <v>0</v>
      </c>
      <c r="AH134" s="173">
        <f>IFERROR((AE134-$AC134)/ABS($AC134),0)</f>
        <v>0</v>
      </c>
      <c r="AI134" s="143">
        <f>(AE134-$AC134)</f>
        <v>-2.17E-10</v>
      </c>
      <c r="AK134" s="85">
        <f>SUMIFS(AK66:AK133,$I66:$I133,"&lt;&gt;"&amp;$I$29,$E66:$E133,"&lt;&gt;*[-]*",$F66:$F133,"&lt;&gt;*[-]*",$G66:$G133,"&lt;&gt;*[-]*", $H66:$H133, "Operating Expenses")</f>
        <v>0</v>
      </c>
      <c r="AL134" s="86">
        <f t="shared" si="317"/>
        <v>0</v>
      </c>
      <c r="AM134" s="85">
        <f>SUMIFS(AM66:AM133,$I66:$I133,"&lt;&gt;"&amp;$I$29,$E66:$E133,"&lt;&gt;*[-]*",$F66:$F133,"&lt;&gt;*[-]*",$G66:$G133,"&lt;&gt;*[-]*", $H66:$H133, "Operating Expenses")</f>
        <v>-2.17E-10</v>
      </c>
      <c r="AN134" s="86">
        <f t="shared" si="318"/>
        <v>-4.0820222673738435E-16</v>
      </c>
      <c r="AO134" s="85">
        <f>SUMIFS(AO66:AO133,$I66:$I133,"&lt;&gt;"&amp;$I$29,$E66:$E133,"&lt;&gt;*[-]*",$F66:$F133,"&lt;&gt;*[-]*",$G66:$G133,"&lt;&gt;*[-]*", $H66:$H133, "Operating Expenses")</f>
        <v>-2.17E-10</v>
      </c>
      <c r="AP134" s="86">
        <f t="shared" si="319"/>
        <v>-4.0820222673738435E-16</v>
      </c>
      <c r="AQ134" s="85">
        <f>SUMIFS(AQ66:AQ133,$I66:$I133,"&lt;&gt;"&amp;$I$29,$E66:$E133,"&lt;&gt;*[-]*",$F66:$F133,"&lt;&gt;*[-]*",$G66:$G133,"&lt;&gt;*[-]*", $H66:$H133, "Operating Expenses")</f>
        <v>0</v>
      </c>
      <c r="AR134" s="86">
        <f t="shared" si="320"/>
        <v>0</v>
      </c>
      <c r="AS134" s="86">
        <f>IFERROR((AM134-$AK134)/ABS($AK134),0)</f>
        <v>0</v>
      </c>
      <c r="AT134" s="87">
        <f>(AM134-$AK134)</f>
        <v>-2.17E-10</v>
      </c>
      <c r="AU134" s="86">
        <f>IFERROR((AO134-$AK134)/ABS($AO134),0)</f>
        <v>-1</v>
      </c>
      <c r="AV134" s="87">
        <f>(AO134-$AK134)</f>
        <v>-2.17E-10</v>
      </c>
      <c r="AW134" s="86">
        <f>IFERROR((AQ134-$AK134)/ABS($AK134),0)</f>
        <v>0</v>
      </c>
      <c r="AX134" s="87">
        <f>(AQ134-$AK134)</f>
        <v>0</v>
      </c>
      <c r="AY134" s="88"/>
      <c r="BA134" s="85">
        <f>SUMIFS(BA66:BA133,$I66:$I133,"&lt;&gt;"&amp;$I$29,$E66:$E133,"&lt;&gt;*[-]*",$F66:$F133,"&lt;&gt;*[-]*",$G66:$G133,"&lt;&gt;*[-]*", $H66:$H133, "Operating Expenses")</f>
        <v>-3.1359999999999999E-9</v>
      </c>
      <c r="BB134" s="86">
        <f t="shared" si="321"/>
        <v>-4.5378312054180671E-16</v>
      </c>
      <c r="BC134" s="85">
        <f>SUMIFS(BC66:BC133,$I66:$I133,"&lt;&gt;"&amp;$I$29,$E66:$E133,"&lt;&gt;*[-]*",$F66:$F133,"&lt;&gt;*[-]*",$G66:$G133,"&lt;&gt;*[-]*", $H66:$H133, "Operating Expenses")</f>
        <v>-3.1359999999999999E-9</v>
      </c>
      <c r="BD134" s="86">
        <f t="shared" si="322"/>
        <v>-4.5378312054180671E-16</v>
      </c>
      <c r="BE134" s="85">
        <f>SUMIFS(BE66:BE133,$I66:$I133,"&lt;&gt;"&amp;$I$29,$E66:$E133,"&lt;&gt;*[-]*",$F66:$F133,"&lt;&gt;*[-]*",$G66:$G133,"&lt;&gt;*[-]*", $H66:$H133, "Operating Expenses")</f>
        <v>34.979999999999997</v>
      </c>
      <c r="BF134" s="86">
        <f t="shared" si="323"/>
        <v>7.3286049082281721E-6</v>
      </c>
      <c r="BG134" s="86">
        <f>IFERROR((BC134-$BA134)/ABS($BA134),0)</f>
        <v>0</v>
      </c>
      <c r="BH134" s="87">
        <f>(BC134-$BA134)</f>
        <v>0</v>
      </c>
      <c r="BI134" s="86">
        <f>IFERROR((BE134-$BA134)/ABS($BA134),0)</f>
        <v>11154336735.693878</v>
      </c>
      <c r="BJ134" s="87">
        <f>(BE134-$BA134)</f>
        <v>34.980000003135999</v>
      </c>
      <c r="BK134" s="88"/>
    </row>
    <row r="135" spans="2:63" x14ac:dyDescent="0.25">
      <c r="N135" s="145"/>
      <c r="P135" s="145"/>
      <c r="R135" s="145"/>
      <c r="T135" s="145"/>
      <c r="U135" s="145"/>
      <c r="V135" s="84"/>
      <c r="W135" s="145"/>
      <c r="X135" s="84"/>
      <c r="Y135" s="145"/>
      <c r="Z135" s="84"/>
      <c r="AA135" s="84"/>
      <c r="AF135" s="169"/>
      <c r="AG135" s="140"/>
      <c r="AH135" s="169"/>
      <c r="AI135" s="140"/>
      <c r="AL135" s="145"/>
      <c r="AN135" s="145"/>
      <c r="AP135" s="145"/>
      <c r="AR135" s="145"/>
      <c r="AS135" s="145"/>
      <c r="AT135" s="84"/>
      <c r="AU135" s="145"/>
      <c r="AV135" s="84"/>
      <c r="AW135" s="145"/>
      <c r="AX135" s="84"/>
      <c r="AY135" s="84"/>
      <c r="BB135" s="145"/>
      <c r="BD135" s="145"/>
      <c r="BF135" s="145"/>
      <c r="BG135" s="145"/>
      <c r="BH135" s="84"/>
      <c r="BI135" s="145"/>
      <c r="BJ135" s="84"/>
      <c r="BK135" s="84"/>
    </row>
    <row r="136" spans="2:63" x14ac:dyDescent="0.25">
      <c r="B136" s="24" t="str">
        <f>B134</f>
        <v>#showrow</v>
      </c>
      <c r="C136" s="24"/>
      <c r="D136" s="24"/>
      <c r="E136" s="24"/>
      <c r="F136" s="24"/>
      <c r="G136" s="24"/>
      <c r="H136" s="24" t="s">
        <v>32</v>
      </c>
      <c r="I136" s="24"/>
      <c r="J136" s="24"/>
      <c r="K136" s="24"/>
      <c r="L136" s="24"/>
      <c r="M136" s="26">
        <f>M62-M134-M146</f>
        <v>253993.33000000002</v>
      </c>
      <c r="N136" s="153">
        <f>IFERROR(M136/SUMIFS(M:M, $H:$H, "Net Sales"),0)</f>
        <v>0.47992674462771201</v>
      </c>
      <c r="O136" s="26">
        <f>O62-O134-O146</f>
        <v>212509.85095674926</v>
      </c>
      <c r="P136" s="153">
        <f>IFERROR(O136/SUMIFS(O:O, $H:$H, "Net Sales"),0)</f>
        <v>0.39975573439711848</v>
      </c>
      <c r="Q136" s="26">
        <f>Q62-Q134-Q146</f>
        <v>212509.85095674926</v>
      </c>
      <c r="R136" s="153">
        <f>IFERROR(Q136/SUMIFS(Q:Q, $H:$H, "Net Sales"),0)</f>
        <v>0.39975573439711848</v>
      </c>
      <c r="S136" s="26">
        <f>S62-S134-S146</f>
        <v>43794.73000000001</v>
      </c>
      <c r="T136" s="153">
        <f>IFERROR(S136/SUMIFS(S:S, $H:$H, "Net Sales"),0)</f>
        <v>0.24006616317966981</v>
      </c>
      <c r="U136" s="153">
        <f>IFERROR((M136-$O136)/ABS($O136),0)</f>
        <v>0.19520732265580301</v>
      </c>
      <c r="V136" s="92">
        <f>(M136-$O136)</f>
        <v>41483.479043250758</v>
      </c>
      <c r="W136" s="153">
        <f>IFERROR(($M136-Q136)/ABS(Q136),0)</f>
        <v>0.19520732265580301</v>
      </c>
      <c r="X136" s="92">
        <f>($M136-Q136)</f>
        <v>41483.479043250758</v>
      </c>
      <c r="Y136" s="153">
        <f>IFERROR(($M136-S136)/ABS(S136),0)</f>
        <v>4.7996322845237307</v>
      </c>
      <c r="Z136" s="92">
        <f>($M136-S136)</f>
        <v>210198.6</v>
      </c>
      <c r="AA136" s="88"/>
      <c r="AC136" s="234">
        <f>AC62-AC134-AC146</f>
        <v>253993.33000000002</v>
      </c>
      <c r="AD136" s="234">
        <f>AD62-AD134-AD146</f>
        <v>43794.73000000001</v>
      </c>
      <c r="AE136" s="234">
        <f>AE62-AE134-AE146</f>
        <v>212509.85095674926</v>
      </c>
      <c r="AF136" s="235">
        <f>IFERROR((AC136-$AD136)/ABS($AD136),0)</f>
        <v>4.7996322845237307</v>
      </c>
      <c r="AG136" s="238">
        <f>(AC136-$AD136)</f>
        <v>210198.6</v>
      </c>
      <c r="AH136" s="233">
        <f>IFERROR(($AC136-AD136)/ABS(AD136),0)</f>
        <v>4.7996322845237307</v>
      </c>
      <c r="AI136" s="238">
        <f>($AC136-AE136)</f>
        <v>41483.479043250758</v>
      </c>
      <c r="AK136" s="26">
        <f>AK62-AK134-AK146</f>
        <v>253993.33000000002</v>
      </c>
      <c r="AL136" s="153">
        <f>IFERROR(AK136/SUMIFS(AK:AK, $H:$H, "Net Sales"),0)</f>
        <v>0.47992674462771201</v>
      </c>
      <c r="AM136" s="26">
        <f>AM62-AM134-AM146</f>
        <v>212509.85095674926</v>
      </c>
      <c r="AN136" s="153">
        <f>IFERROR(AM136/SUMIFS(AM:AM, $H:$H, "Net Sales"),0)</f>
        <v>0.39975573439711848</v>
      </c>
      <c r="AO136" s="26">
        <f>AO62-AO134-AO146</f>
        <v>212509.85095674926</v>
      </c>
      <c r="AP136" s="153">
        <f>IFERROR(AO136/SUMIFS(AO:AO, $H:$H, "Net Sales"),0)</f>
        <v>0.39975573439711848</v>
      </c>
      <c r="AQ136" s="26">
        <f>AQ62-AQ134-AQ146</f>
        <v>43794.73000000001</v>
      </c>
      <c r="AR136" s="153">
        <f>IFERROR(AQ136/SUMIFS(AQ:AQ, $H:$H, "Net Sales"),0)</f>
        <v>0.24006616317966981</v>
      </c>
      <c r="AS136" s="153">
        <f>IFERROR((AK136-$AM136)/ABS($AM136),0)</f>
        <v>0.19520732265580301</v>
      </c>
      <c r="AT136" s="92">
        <f>(AK136-$AM136)</f>
        <v>41483.479043250758</v>
      </c>
      <c r="AU136" s="153">
        <f>IFERROR(($AK136-AO136)/ABS(AO136),0)</f>
        <v>0.19520732265580301</v>
      </c>
      <c r="AV136" s="92">
        <f>($AK136-AO136)</f>
        <v>41483.479043250758</v>
      </c>
      <c r="AW136" s="153">
        <f>IFERROR(($AK136-AQ136)/ABS(AQ136),0)</f>
        <v>4.7996322845237307</v>
      </c>
      <c r="AX136" s="92">
        <f>($AK136-AQ136)</f>
        <v>210198.6</v>
      </c>
      <c r="AY136" s="88"/>
      <c r="BA136" s="26">
        <f>BA62-BA134-BA146</f>
        <v>2817749.0624377429</v>
      </c>
      <c r="BB136" s="153">
        <f>IFERROR(BA136/SUMIFS(BA:BA, $H:$H, "Net Sales"),0)</f>
        <v>0.40773181200789194</v>
      </c>
      <c r="BC136" s="26">
        <f>BC62-BC134-BC146</f>
        <v>2817749.0624377429</v>
      </c>
      <c r="BD136" s="153">
        <f>IFERROR(BC136/SUMIFS(BC:BC, $H:$H, "Net Sales"),0)</f>
        <v>0.40773181200789194</v>
      </c>
      <c r="BE136" s="26">
        <f>BE62-BE134-BE146</f>
        <v>1482701.4600000004</v>
      </c>
      <c r="BF136" s="153">
        <f>IFERROR(BE136/SUMIFS(BE:BE, $H:$H, "Net Sales"),0)</f>
        <v>0.31063845618047686</v>
      </c>
      <c r="BG136" s="153">
        <f>IFERROR((BA136-$BC136)/ABS($BC136),0)</f>
        <v>0</v>
      </c>
      <c r="BH136" s="92">
        <f>(BA136-$BC136)</f>
        <v>0</v>
      </c>
      <c r="BI136" s="153">
        <f>IFERROR(($BA136-BE136)/ABS(BE136),0)</f>
        <v>0.90041565241174182</v>
      </c>
      <c r="BJ136" s="92">
        <f>($BA136-BE136)</f>
        <v>1335047.6024377425</v>
      </c>
      <c r="BK136" s="104"/>
    </row>
    <row r="137" spans="2:63" x14ac:dyDescent="0.25">
      <c r="H137" s="27" t="s">
        <v>33</v>
      </c>
      <c r="M137" s="96">
        <f>IFERROR(M136/M40,"")</f>
        <v>0.47992674462771201</v>
      </c>
      <c r="N137" s="105"/>
      <c r="O137" s="96">
        <f>IFERROR(O136/O40,"")</f>
        <v>0.39975573439711848</v>
      </c>
      <c r="P137" s="105"/>
      <c r="Q137" s="96">
        <f>IFERROR(Q136/Q40,"")</f>
        <v>0.39975573439711848</v>
      </c>
      <c r="R137" s="105"/>
      <c r="S137" s="96">
        <f>IFERROR(S136/S40,"")</f>
        <v>0.24006616317966981</v>
      </c>
      <c r="T137" s="105"/>
      <c r="U137" s="105"/>
      <c r="V137" s="106"/>
      <c r="W137" s="105"/>
      <c r="X137" s="106"/>
      <c r="Y137" s="105"/>
      <c r="Z137" s="106"/>
      <c r="AA137" s="106"/>
      <c r="AC137" s="239">
        <f>IFERROR(AC136/AC40,"")</f>
        <v>0.47992674462771201</v>
      </c>
      <c r="AD137" s="239">
        <f>IFERROR(AD136/AD40,"")</f>
        <v>0.24006616317966981</v>
      </c>
      <c r="AE137" s="239">
        <f>IFERROR(AE136/AE40,"")</f>
        <v>0.39975573439711848</v>
      </c>
      <c r="AF137" s="169"/>
      <c r="AG137" s="140"/>
      <c r="AH137" s="169"/>
      <c r="AI137" s="140"/>
      <c r="AK137" s="96">
        <f>IFERROR(AK136/AK40,"")</f>
        <v>0.47992674462771201</v>
      </c>
      <c r="AL137" s="105"/>
      <c r="AM137" s="96">
        <f>IFERROR(AM136/AM40,"")</f>
        <v>0.39975573439711848</v>
      </c>
      <c r="AN137" s="105"/>
      <c r="AO137" s="96">
        <f>IFERROR(AO136/AO40,"")</f>
        <v>0.39975573439711848</v>
      </c>
      <c r="AP137" s="105"/>
      <c r="AQ137" s="96">
        <f>IFERROR(AQ136/AQ40,"")</f>
        <v>0.24006616317966981</v>
      </c>
      <c r="AR137" s="105"/>
      <c r="AS137" s="105"/>
      <c r="AT137" s="106"/>
      <c r="AU137" s="105"/>
      <c r="AV137" s="106"/>
      <c r="AW137" s="105"/>
      <c r="AX137" s="106"/>
      <c r="AY137" s="106"/>
      <c r="BA137" s="96">
        <f>IFERROR(BA136/BA40,"")</f>
        <v>0.40773181200789194</v>
      </c>
      <c r="BB137" s="105"/>
      <c r="BC137" s="96">
        <f>IFERROR(BC136/BC40,"")</f>
        <v>0.40773181200789194</v>
      </c>
      <c r="BD137" s="105"/>
      <c r="BE137" s="96">
        <f>IFERROR(BE136/BE40,"")</f>
        <v>0.31063845618047686</v>
      </c>
      <c r="BF137" s="105"/>
      <c r="BG137" s="105"/>
      <c r="BH137" s="106"/>
      <c r="BI137" s="105"/>
      <c r="BJ137" s="106"/>
      <c r="BK137" s="109"/>
    </row>
    <row r="138" spans="2:63" x14ac:dyDescent="0.25">
      <c r="N138" s="145"/>
      <c r="P138" s="145"/>
      <c r="R138" s="145"/>
      <c r="T138" s="145"/>
      <c r="U138" s="145"/>
      <c r="V138" s="84"/>
      <c r="W138" s="145"/>
      <c r="X138" s="84"/>
      <c r="Y138" s="145"/>
      <c r="Z138" s="84"/>
      <c r="AA138" s="84"/>
      <c r="AF138" s="169"/>
      <c r="AG138" s="140"/>
      <c r="AH138" s="169"/>
      <c r="AI138" s="140"/>
      <c r="AL138" s="145"/>
      <c r="AN138" s="145"/>
      <c r="AP138" s="145"/>
      <c r="AR138" s="145"/>
      <c r="AS138" s="145"/>
      <c r="AT138" s="84"/>
      <c r="AU138" s="145"/>
      <c r="AV138" s="84"/>
      <c r="AW138" s="145"/>
      <c r="AX138" s="84"/>
      <c r="AY138" s="84"/>
      <c r="BB138" s="145"/>
      <c r="BD138" s="145"/>
      <c r="BF138" s="145"/>
      <c r="BG138" s="145"/>
      <c r="BH138" s="84"/>
      <c r="BI138" s="145"/>
      <c r="BJ138" s="84"/>
      <c r="BK138" s="84"/>
    </row>
    <row r="139" spans="2:63" ht="12.45" thickBot="1" x14ac:dyDescent="0.3">
      <c r="E139" s="4"/>
      <c r="F139" s="4"/>
      <c r="G139" s="4"/>
      <c r="H139" s="4" t="s">
        <v>18</v>
      </c>
      <c r="I139" s="4"/>
      <c r="J139" s="5"/>
      <c r="K139" s="5"/>
      <c r="L139" s="5"/>
      <c r="M139" s="5"/>
      <c r="N139" s="152"/>
      <c r="O139" s="5"/>
      <c r="P139" s="152"/>
      <c r="Q139" s="5"/>
      <c r="R139" s="152"/>
      <c r="S139" s="5"/>
      <c r="T139" s="152"/>
      <c r="U139" s="152"/>
      <c r="V139" s="75"/>
      <c r="W139" s="152"/>
      <c r="X139" s="75"/>
      <c r="Y139" s="152"/>
      <c r="Z139" s="75"/>
      <c r="AA139" s="75"/>
      <c r="AC139" s="133"/>
      <c r="AD139" s="133"/>
      <c r="AE139" s="133"/>
      <c r="AF139" s="171"/>
      <c r="AG139" s="134"/>
      <c r="AH139" s="171"/>
      <c r="AI139" s="134"/>
      <c r="AK139" s="5"/>
      <c r="AL139" s="152"/>
      <c r="AM139" s="5"/>
      <c r="AN139" s="152"/>
      <c r="AO139" s="5"/>
      <c r="AP139" s="152"/>
      <c r="AQ139" s="5"/>
      <c r="AR139" s="152"/>
      <c r="AS139" s="152"/>
      <c r="AT139" s="75"/>
      <c r="AU139" s="152"/>
      <c r="AV139" s="75"/>
      <c r="AW139" s="152"/>
      <c r="AX139" s="75"/>
      <c r="AY139" s="75"/>
      <c r="BA139" s="5"/>
      <c r="BB139" s="152"/>
      <c r="BC139" s="5"/>
      <c r="BD139" s="152"/>
      <c r="BE139" s="5"/>
      <c r="BF139" s="152"/>
      <c r="BG139" s="152"/>
      <c r="BH139" s="75"/>
      <c r="BI139" s="152"/>
      <c r="BJ139" s="75"/>
      <c r="BK139" s="75"/>
    </row>
    <row r="140" spans="2:63" ht="11.95" hidden="1" thickBot="1" x14ac:dyDescent="0.3">
      <c r="B140" t="s">
        <v>1</v>
      </c>
      <c r="E140" s="3"/>
      <c r="F140" s="3"/>
      <c r="G140" s="3"/>
      <c r="H140" s="3"/>
      <c r="I140" s="18"/>
      <c r="J140" s="18"/>
      <c r="K140" s="18"/>
      <c r="L140" s="78"/>
      <c r="M140" s="79"/>
      <c r="N140" s="80">
        <f t="shared" ref="N140:N145" si="340">IFERROR(M140/SUMIFS(M:M, $H:$H, "Net Sales"),0)</f>
        <v>0</v>
      </c>
      <c r="O140" s="79"/>
      <c r="P140" s="80">
        <f t="shared" ref="P140:P145" si="341">IFERROR(O140/SUMIFS(O:O, $H:$H, "Net Sales"),0)</f>
        <v>0</v>
      </c>
      <c r="Q140" s="79"/>
      <c r="R140" s="80">
        <f t="shared" ref="R140:R145" si="342">IFERROR(Q140/SUMIFS(Q:Q, $H:$H, "Net Sales"),0)</f>
        <v>0</v>
      </c>
      <c r="S140" s="79"/>
      <c r="T140" s="81">
        <f t="shared" ref="T140:T146" si="343">IFERROR(S140/SUMIFS(S:S, $H:$H, "Net Sales"),0)</f>
        <v>0</v>
      </c>
      <c r="U140" s="80">
        <f t="shared" ref="U140:U145" si="344">IFERROR(($O140-M140)/ABS(M140),0)</f>
        <v>0</v>
      </c>
      <c r="V140" s="70">
        <f t="shared" ref="V140:V145" si="345">IFERROR((O140-$M140), 0-$M140)</f>
        <v>0</v>
      </c>
      <c r="W140" s="80">
        <f t="shared" ref="W140:W145" si="346">IFERROR((Q140-$M140)/ABS($M140),0)</f>
        <v>0</v>
      </c>
      <c r="X140" s="70">
        <f t="shared" ref="X140:X145" si="347">IFERROR((Q140-$M140), 0 -$M140)</f>
        <v>0</v>
      </c>
      <c r="Y140" s="80">
        <f t="shared" ref="Y140:Y145" si="348">IFERROR((S140-$M140)/ABS($M140),0)</f>
        <v>0</v>
      </c>
      <c r="Z140" s="70">
        <f t="shared" ref="Z140:Z145" si="349">IFERROR((S140-$M140),0-$M140)</f>
        <v>0</v>
      </c>
      <c r="AA140" s="82"/>
      <c r="AC140" s="138"/>
      <c r="AD140" s="138"/>
      <c r="AE140" s="138"/>
      <c r="AF140" s="172"/>
      <c r="AG140" s="139"/>
      <c r="AH140" s="172"/>
      <c r="AI140" s="139"/>
      <c r="AK140" s="79"/>
      <c r="AL140" s="80">
        <f t="shared" ref="AL140:AL146" si="350">IFERROR(AK140/SUMIFS(AK:AK, $H:$H, "Net Sales"),0)</f>
        <v>0</v>
      </c>
      <c r="AM140" s="79"/>
      <c r="AN140" s="80">
        <f t="shared" ref="AN140:AN146" si="351">IFERROR(AM140/SUMIFS(AM:AM, $H:$H, "Net Sales"),0)</f>
        <v>0</v>
      </c>
      <c r="AO140" s="79"/>
      <c r="AP140" s="80">
        <f t="shared" ref="AP140:AP146" si="352">IFERROR(AO140/SUMIFS(AO:AO, $H:$H, "Net Sales"),0)</f>
        <v>0</v>
      </c>
      <c r="AQ140" s="79"/>
      <c r="AR140" s="81">
        <f t="shared" ref="AR140:AR146" si="353">IFERROR(AQ140/SUMIFS(AQ:AQ, $H:$H, "Net Sales"),0)</f>
        <v>0</v>
      </c>
      <c r="AS140" s="80">
        <f t="shared" ref="AS140:AS145" si="354">IFERROR((AM140-$AK140)/ABS($AK140),0)</f>
        <v>0</v>
      </c>
      <c r="AT140" s="70">
        <f t="shared" ref="AT140:AT145" si="355">(AM140-$AK140)</f>
        <v>0</v>
      </c>
      <c r="AU140" s="80">
        <f t="shared" ref="AU140:AU145" si="356">IFERROR((AO140-$AK140)/ABS($AO140),0)</f>
        <v>0</v>
      </c>
      <c r="AV140" s="70">
        <f t="shared" ref="AV140:AV145" si="357">(AO140-$AK140)</f>
        <v>0</v>
      </c>
      <c r="AW140" s="80">
        <f t="shared" ref="AW140:AW145" si="358">IFERROR((AQ140-$AK140)/ABS($AK140),0)</f>
        <v>0</v>
      </c>
      <c r="AX140" s="70">
        <f t="shared" ref="AX140:AX145" si="359">(AQ140-$AK140)</f>
        <v>0</v>
      </c>
      <c r="AY140" s="82"/>
      <c r="BA140" s="79"/>
      <c r="BB140" s="80">
        <f t="shared" ref="BB140:BB146" si="360">IFERROR(BA140/SUMIFS(BA:BA, $H:$H, "Net Sales"),0)</f>
        <v>0</v>
      </c>
      <c r="BC140" s="79"/>
      <c r="BD140" s="80">
        <f t="shared" ref="BD140:BD146" si="361">IFERROR(BC140/SUMIFS(BC:BC, $H:$H, "Net Sales"),0)</f>
        <v>0</v>
      </c>
      <c r="BE140" s="79"/>
      <c r="BF140" s="81">
        <f t="shared" ref="BF140:BF146" si="362">IFERROR(BE140/SUMIFS(BE:BE, $H:$H, "Net Sales"),0)</f>
        <v>0</v>
      </c>
      <c r="BG140" s="80">
        <f t="shared" ref="BG140:BG145" si="363">IFERROR((BC140-$BA140)/ABS($BA140),0)</f>
        <v>0</v>
      </c>
      <c r="BH140" s="70">
        <f t="shared" ref="BH140:BH145" si="364">(BC140-$BA140)</f>
        <v>0</v>
      </c>
      <c r="BI140" s="80">
        <f t="shared" ref="BI140:BI145" si="365">IFERROR((BE140-$BA140)/ABS($BA140),0)</f>
        <v>0</v>
      </c>
      <c r="BJ140" s="70">
        <f t="shared" ref="BJ140:BJ145" si="366">(BE140-$BA140)</f>
        <v>0</v>
      </c>
      <c r="BK140" s="82"/>
    </row>
    <row r="141" spans="2:63" ht="11.95" thickBot="1" x14ac:dyDescent="0.3">
      <c r="E141" s="3"/>
      <c r="F141" s="3"/>
      <c r="G141" s="3"/>
      <c r="H141" s="253" t="s">
        <v>18</v>
      </c>
      <c r="I141" s="18"/>
      <c r="J141" s="18"/>
      <c r="K141" s="18"/>
      <c r="L141" s="78"/>
      <c r="M141" s="79">
        <v>0</v>
      </c>
      <c r="N141" s="80">
        <f t="shared" si="340"/>
        <v>0</v>
      </c>
      <c r="O141" s="79">
        <v>0</v>
      </c>
      <c r="P141" s="80">
        <f t="shared" si="341"/>
        <v>0</v>
      </c>
      <c r="Q141" s="79">
        <v>0</v>
      </c>
      <c r="R141" s="80">
        <f t="shared" si="342"/>
        <v>0</v>
      </c>
      <c r="S141" s="79">
        <v>0</v>
      </c>
      <c r="T141" s="81">
        <f t="shared" si="343"/>
        <v>0</v>
      </c>
      <c r="U141" s="80">
        <f t="shared" si="344"/>
        <v>0</v>
      </c>
      <c r="V141" s="70">
        <f t="shared" si="345"/>
        <v>0</v>
      </c>
      <c r="W141" s="80">
        <f t="shared" si="346"/>
        <v>0</v>
      </c>
      <c r="X141" s="70">
        <f t="shared" si="347"/>
        <v>0</v>
      </c>
      <c r="Y141" s="80">
        <f t="shared" si="348"/>
        <v>0</v>
      </c>
      <c r="Z141" s="70">
        <f t="shared" si="349"/>
        <v>0</v>
      </c>
      <c r="AA141" s="70"/>
      <c r="AC141" s="138">
        <v>0</v>
      </c>
      <c r="AD141" s="138">
        <v>0</v>
      </c>
      <c r="AE141" s="138">
        <v>0</v>
      </c>
      <c r="AF141" s="172">
        <f t="shared" ref="AF141" si="367">IFERROR(($AC141-AD141)/ABS(AD141),0)</f>
        <v>0</v>
      </c>
      <c r="AG141" s="139">
        <f>($AC141-AD141)</f>
        <v>0</v>
      </c>
      <c r="AH141" s="172">
        <f>IFERROR(($AC141-AE141)/ABS(AE141),0)</f>
        <v>0</v>
      </c>
      <c r="AI141" s="139">
        <f>($AC141-AE141)</f>
        <v>0</v>
      </c>
      <c r="AK141" s="79">
        <v>0</v>
      </c>
      <c r="AL141" s="80">
        <f t="shared" si="350"/>
        <v>0</v>
      </c>
      <c r="AM141" s="79">
        <v>0</v>
      </c>
      <c r="AN141" s="80">
        <f t="shared" si="351"/>
        <v>0</v>
      </c>
      <c r="AO141" s="79">
        <v>0</v>
      </c>
      <c r="AP141" s="80">
        <f t="shared" si="352"/>
        <v>0</v>
      </c>
      <c r="AQ141" s="79">
        <v>0</v>
      </c>
      <c r="AR141" s="81">
        <f t="shared" si="353"/>
        <v>0</v>
      </c>
      <c r="AS141" s="80">
        <f t="shared" si="354"/>
        <v>0</v>
      </c>
      <c r="AT141" s="70">
        <f t="shared" si="355"/>
        <v>0</v>
      </c>
      <c r="AU141" s="80">
        <f t="shared" si="356"/>
        <v>0</v>
      </c>
      <c r="AV141" s="70">
        <f t="shared" si="357"/>
        <v>0</v>
      </c>
      <c r="AW141" s="80">
        <f t="shared" si="358"/>
        <v>0</v>
      </c>
      <c r="AX141" s="70">
        <f t="shared" si="359"/>
        <v>0</v>
      </c>
      <c r="AY141" s="70"/>
      <c r="BA141" s="79">
        <v>0</v>
      </c>
      <c r="BB141" s="80">
        <f t="shared" si="360"/>
        <v>0</v>
      </c>
      <c r="BC141" s="79">
        <v>0</v>
      </c>
      <c r="BD141" s="80">
        <f t="shared" si="361"/>
        <v>0</v>
      </c>
      <c r="BE141" s="79">
        <v>0</v>
      </c>
      <c r="BF141" s="81">
        <f t="shared" si="362"/>
        <v>0</v>
      </c>
      <c r="BG141" s="80">
        <f t="shared" si="363"/>
        <v>0</v>
      </c>
      <c r="BH141" s="70">
        <f t="shared" si="364"/>
        <v>0</v>
      </c>
      <c r="BI141" s="80">
        <f t="shared" si="365"/>
        <v>0</v>
      </c>
      <c r="BJ141" s="70">
        <f t="shared" si="366"/>
        <v>0</v>
      </c>
      <c r="BK141" s="70"/>
    </row>
    <row r="142" spans="2:63" ht="11.95" outlineLevel="1" collapsed="1" thickBot="1" x14ac:dyDescent="0.3">
      <c r="E142" s="3"/>
      <c r="F142" s="3"/>
      <c r="G142" s="3"/>
      <c r="H142" s="256" t="s">
        <v>115</v>
      </c>
      <c r="I142" s="18"/>
      <c r="J142" s="18"/>
      <c r="K142" s="18"/>
      <c r="L142" s="78"/>
      <c r="M142" s="79">
        <v>0</v>
      </c>
      <c r="N142" s="80">
        <f t="shared" si="340"/>
        <v>0</v>
      </c>
      <c r="O142" s="79">
        <v>0</v>
      </c>
      <c r="P142" s="80">
        <f t="shared" si="341"/>
        <v>0</v>
      </c>
      <c r="Q142" s="79">
        <v>0</v>
      </c>
      <c r="R142" s="80">
        <f t="shared" si="342"/>
        <v>0</v>
      </c>
      <c r="S142" s="79">
        <v>0</v>
      </c>
      <c r="T142" s="81">
        <f t="shared" si="343"/>
        <v>0</v>
      </c>
      <c r="U142" s="80">
        <f t="shared" si="344"/>
        <v>0</v>
      </c>
      <c r="V142" s="70">
        <f t="shared" si="345"/>
        <v>0</v>
      </c>
      <c r="W142" s="80">
        <f t="shared" si="346"/>
        <v>0</v>
      </c>
      <c r="X142" s="70">
        <f t="shared" si="347"/>
        <v>0</v>
      </c>
      <c r="Y142" s="80">
        <f t="shared" si="348"/>
        <v>0</v>
      </c>
      <c r="Z142" s="70">
        <f t="shared" si="349"/>
        <v>0</v>
      </c>
      <c r="AA142" s="70"/>
      <c r="AC142" s="138">
        <v>0</v>
      </c>
      <c r="AD142" s="138">
        <v>0</v>
      </c>
      <c r="AE142" s="138">
        <v>0</v>
      </c>
      <c r="AF142" s="233"/>
      <c r="AG142" s="139"/>
      <c r="AH142" s="233"/>
      <c r="AI142" s="139"/>
      <c r="AK142" s="79">
        <v>0</v>
      </c>
      <c r="AL142" s="80">
        <f t="shared" si="350"/>
        <v>0</v>
      </c>
      <c r="AM142" s="79">
        <v>0</v>
      </c>
      <c r="AN142" s="80">
        <f t="shared" si="351"/>
        <v>0</v>
      </c>
      <c r="AO142" s="79">
        <v>0</v>
      </c>
      <c r="AP142" s="80">
        <f t="shared" si="352"/>
        <v>0</v>
      </c>
      <c r="AQ142" s="79">
        <v>0</v>
      </c>
      <c r="AR142" s="81">
        <f t="shared" si="353"/>
        <v>0</v>
      </c>
      <c r="AS142" s="80">
        <f t="shared" si="354"/>
        <v>0</v>
      </c>
      <c r="AT142" s="70">
        <f t="shared" si="355"/>
        <v>0</v>
      </c>
      <c r="AU142" s="80">
        <f t="shared" si="356"/>
        <v>0</v>
      </c>
      <c r="AV142" s="70">
        <f t="shared" si="357"/>
        <v>0</v>
      </c>
      <c r="AW142" s="80">
        <f t="shared" si="358"/>
        <v>0</v>
      </c>
      <c r="AX142" s="70">
        <f t="shared" si="359"/>
        <v>0</v>
      </c>
      <c r="AY142" s="70"/>
      <c r="BA142" s="79">
        <v>0</v>
      </c>
      <c r="BB142" s="80">
        <f t="shared" si="360"/>
        <v>0</v>
      </c>
      <c r="BC142" s="79">
        <v>0</v>
      </c>
      <c r="BD142" s="80">
        <f t="shared" si="361"/>
        <v>0</v>
      </c>
      <c r="BE142" s="79">
        <v>0</v>
      </c>
      <c r="BF142" s="81">
        <f t="shared" si="362"/>
        <v>0</v>
      </c>
      <c r="BG142" s="80">
        <f t="shared" si="363"/>
        <v>0</v>
      </c>
      <c r="BH142" s="70">
        <f t="shared" si="364"/>
        <v>0</v>
      </c>
      <c r="BI142" s="80">
        <f t="shared" si="365"/>
        <v>0</v>
      </c>
      <c r="BJ142" s="70">
        <f t="shared" si="366"/>
        <v>0</v>
      </c>
      <c r="BK142" s="70"/>
    </row>
    <row r="143" spans="2:63" ht="11.95" hidden="1" outlineLevel="2" thickBot="1" x14ac:dyDescent="0.3">
      <c r="B143" t="str">
        <f>IF(LEFT(H143,3)="Mul", "#hiderow", "#showrow")</f>
        <v>#hiderow</v>
      </c>
      <c r="E143" s="3"/>
      <c r="F143" s="3"/>
      <c r="G143" s="3"/>
      <c r="H143" s="255" t="s">
        <v>6</v>
      </c>
      <c r="I143" s="18"/>
      <c r="J143" s="18"/>
      <c r="K143" s="18"/>
      <c r="L143" s="78"/>
      <c r="M143" s="79"/>
      <c r="N143" s="80">
        <f t="shared" si="340"/>
        <v>0</v>
      </c>
      <c r="O143" s="79"/>
      <c r="P143" s="80">
        <f t="shared" si="341"/>
        <v>0</v>
      </c>
      <c r="Q143" s="79"/>
      <c r="R143" s="80">
        <f t="shared" si="342"/>
        <v>0</v>
      </c>
      <c r="S143" s="79"/>
      <c r="T143" s="81">
        <f t="shared" si="343"/>
        <v>0</v>
      </c>
      <c r="U143" s="80">
        <f t="shared" si="344"/>
        <v>0</v>
      </c>
      <c r="V143" s="70">
        <f t="shared" si="345"/>
        <v>0</v>
      </c>
      <c r="W143" s="80">
        <f t="shared" si="346"/>
        <v>0</v>
      </c>
      <c r="X143" s="70">
        <f t="shared" si="347"/>
        <v>0</v>
      </c>
      <c r="Y143" s="80">
        <f t="shared" si="348"/>
        <v>0</v>
      </c>
      <c r="Z143" s="70">
        <f t="shared" si="349"/>
        <v>0</v>
      </c>
      <c r="AA143" s="70"/>
      <c r="AC143" s="138"/>
      <c r="AD143" s="138"/>
      <c r="AE143" s="138"/>
      <c r="AF143" s="233"/>
      <c r="AG143" s="139"/>
      <c r="AH143" s="233"/>
      <c r="AI143" s="139"/>
      <c r="AK143" s="79"/>
      <c r="AL143" s="80">
        <f t="shared" si="350"/>
        <v>0</v>
      </c>
      <c r="AM143" s="79"/>
      <c r="AN143" s="80">
        <f t="shared" si="351"/>
        <v>0</v>
      </c>
      <c r="AO143" s="79"/>
      <c r="AP143" s="80">
        <f t="shared" si="352"/>
        <v>0</v>
      </c>
      <c r="AQ143" s="79"/>
      <c r="AR143" s="81">
        <f t="shared" si="353"/>
        <v>0</v>
      </c>
      <c r="AS143" s="80">
        <f t="shared" si="354"/>
        <v>0</v>
      </c>
      <c r="AT143" s="70">
        <f t="shared" si="355"/>
        <v>0</v>
      </c>
      <c r="AU143" s="80">
        <f t="shared" si="356"/>
        <v>0</v>
      </c>
      <c r="AV143" s="70">
        <f t="shared" si="357"/>
        <v>0</v>
      </c>
      <c r="AW143" s="80">
        <f t="shared" si="358"/>
        <v>0</v>
      </c>
      <c r="AX143" s="70">
        <f t="shared" si="359"/>
        <v>0</v>
      </c>
      <c r="AY143" s="70"/>
      <c r="BA143" s="79"/>
      <c r="BB143" s="80">
        <f t="shared" si="360"/>
        <v>0</v>
      </c>
      <c r="BC143" s="79"/>
      <c r="BD143" s="80">
        <f t="shared" si="361"/>
        <v>0</v>
      </c>
      <c r="BE143" s="79"/>
      <c r="BF143" s="81">
        <f t="shared" si="362"/>
        <v>0</v>
      </c>
      <c r="BG143" s="80">
        <f t="shared" si="363"/>
        <v>0</v>
      </c>
      <c r="BH143" s="70">
        <f t="shared" si="364"/>
        <v>0</v>
      </c>
      <c r="BI143" s="80">
        <f t="shared" si="365"/>
        <v>0</v>
      </c>
      <c r="BJ143" s="70">
        <f t="shared" si="366"/>
        <v>0</v>
      </c>
      <c r="BK143" s="70"/>
    </row>
    <row r="144" spans="2:63" ht="11.95" outlineLevel="1" collapsed="1" thickBot="1" x14ac:dyDescent="0.3">
      <c r="E144" s="3"/>
      <c r="F144" s="3"/>
      <c r="G144" s="3"/>
      <c r="H144" s="256" t="s">
        <v>116</v>
      </c>
      <c r="I144" s="18"/>
      <c r="J144" s="18"/>
      <c r="K144" s="18"/>
      <c r="L144" s="78"/>
      <c r="M144" s="79">
        <v>0</v>
      </c>
      <c r="N144" s="80">
        <f t="shared" si="340"/>
        <v>0</v>
      </c>
      <c r="O144" s="79">
        <v>0</v>
      </c>
      <c r="P144" s="80">
        <f t="shared" si="341"/>
        <v>0</v>
      </c>
      <c r="Q144" s="79">
        <v>0</v>
      </c>
      <c r="R144" s="80">
        <f t="shared" si="342"/>
        <v>0</v>
      </c>
      <c r="S144" s="79">
        <v>0</v>
      </c>
      <c r="T144" s="81">
        <f t="shared" si="343"/>
        <v>0</v>
      </c>
      <c r="U144" s="80">
        <f t="shared" si="344"/>
        <v>0</v>
      </c>
      <c r="V144" s="70">
        <f t="shared" si="345"/>
        <v>0</v>
      </c>
      <c r="W144" s="80">
        <f t="shared" si="346"/>
        <v>0</v>
      </c>
      <c r="X144" s="70">
        <f t="shared" si="347"/>
        <v>0</v>
      </c>
      <c r="Y144" s="80">
        <f t="shared" si="348"/>
        <v>0</v>
      </c>
      <c r="Z144" s="70">
        <f t="shared" si="349"/>
        <v>0</v>
      </c>
      <c r="AA144" s="70"/>
      <c r="AC144" s="138">
        <v>0</v>
      </c>
      <c r="AD144" s="138">
        <v>0</v>
      </c>
      <c r="AE144" s="138">
        <v>0</v>
      </c>
      <c r="AF144" s="233"/>
      <c r="AG144" s="139"/>
      <c r="AH144" s="233"/>
      <c r="AI144" s="139"/>
      <c r="AK144" s="79">
        <v>0</v>
      </c>
      <c r="AL144" s="80">
        <f t="shared" si="350"/>
        <v>0</v>
      </c>
      <c r="AM144" s="79">
        <v>0</v>
      </c>
      <c r="AN144" s="80">
        <f t="shared" si="351"/>
        <v>0</v>
      </c>
      <c r="AO144" s="79">
        <v>0</v>
      </c>
      <c r="AP144" s="80">
        <f t="shared" si="352"/>
        <v>0</v>
      </c>
      <c r="AQ144" s="79">
        <v>0</v>
      </c>
      <c r="AR144" s="81">
        <f t="shared" si="353"/>
        <v>0</v>
      </c>
      <c r="AS144" s="80">
        <f t="shared" si="354"/>
        <v>0</v>
      </c>
      <c r="AT144" s="70">
        <f t="shared" si="355"/>
        <v>0</v>
      </c>
      <c r="AU144" s="80">
        <f t="shared" si="356"/>
        <v>0</v>
      </c>
      <c r="AV144" s="70">
        <f t="shared" si="357"/>
        <v>0</v>
      </c>
      <c r="AW144" s="80">
        <f t="shared" si="358"/>
        <v>0</v>
      </c>
      <c r="AX144" s="70">
        <f t="shared" si="359"/>
        <v>0</v>
      </c>
      <c r="AY144" s="70"/>
      <c r="BA144" s="79">
        <v>0</v>
      </c>
      <c r="BB144" s="80">
        <f t="shared" si="360"/>
        <v>0</v>
      </c>
      <c r="BC144" s="79">
        <v>0</v>
      </c>
      <c r="BD144" s="80">
        <f t="shared" si="361"/>
        <v>0</v>
      </c>
      <c r="BE144" s="79">
        <v>0</v>
      </c>
      <c r="BF144" s="81">
        <f t="shared" si="362"/>
        <v>0</v>
      </c>
      <c r="BG144" s="80">
        <f t="shared" si="363"/>
        <v>0</v>
      </c>
      <c r="BH144" s="70">
        <f t="shared" si="364"/>
        <v>0</v>
      </c>
      <c r="BI144" s="80">
        <f t="shared" si="365"/>
        <v>0</v>
      </c>
      <c r="BJ144" s="70">
        <f t="shared" si="366"/>
        <v>0</v>
      </c>
      <c r="BK144" s="70"/>
    </row>
    <row r="145" spans="2:63" ht="11.95" hidden="1" outlineLevel="2" thickBot="1" x14ac:dyDescent="0.3">
      <c r="B145" t="str">
        <f>IF(LEFT(H145,3)="Mul", "#hiderow", "#showrow")</f>
        <v>#hiderow</v>
      </c>
      <c r="E145" s="3"/>
      <c r="F145" s="3"/>
      <c r="G145" s="3"/>
      <c r="H145" s="255" t="s">
        <v>6</v>
      </c>
      <c r="I145" s="18"/>
      <c r="J145" s="18"/>
      <c r="K145" s="18"/>
      <c r="L145" s="78"/>
      <c r="M145" s="79"/>
      <c r="N145" s="80">
        <f t="shared" si="340"/>
        <v>0</v>
      </c>
      <c r="O145" s="79"/>
      <c r="P145" s="80">
        <f t="shared" si="341"/>
        <v>0</v>
      </c>
      <c r="Q145" s="79"/>
      <c r="R145" s="80">
        <f t="shared" si="342"/>
        <v>0</v>
      </c>
      <c r="S145" s="79"/>
      <c r="T145" s="81">
        <f t="shared" si="343"/>
        <v>0</v>
      </c>
      <c r="U145" s="80">
        <f t="shared" si="344"/>
        <v>0</v>
      </c>
      <c r="V145" s="70">
        <f t="shared" si="345"/>
        <v>0</v>
      </c>
      <c r="W145" s="80">
        <f t="shared" si="346"/>
        <v>0</v>
      </c>
      <c r="X145" s="70">
        <f t="shared" si="347"/>
        <v>0</v>
      </c>
      <c r="Y145" s="80">
        <f t="shared" si="348"/>
        <v>0</v>
      </c>
      <c r="Z145" s="70">
        <f t="shared" si="349"/>
        <v>0</v>
      </c>
      <c r="AA145" s="70"/>
      <c r="AC145" s="138"/>
      <c r="AD145" s="138"/>
      <c r="AE145" s="138"/>
      <c r="AF145" s="233"/>
      <c r="AG145" s="139"/>
      <c r="AH145" s="233"/>
      <c r="AI145" s="139"/>
      <c r="AK145" s="79"/>
      <c r="AL145" s="80">
        <f t="shared" si="350"/>
        <v>0</v>
      </c>
      <c r="AM145" s="79"/>
      <c r="AN145" s="80">
        <f t="shared" si="351"/>
        <v>0</v>
      </c>
      <c r="AO145" s="79"/>
      <c r="AP145" s="80">
        <f t="shared" si="352"/>
        <v>0</v>
      </c>
      <c r="AQ145" s="79"/>
      <c r="AR145" s="81">
        <f t="shared" si="353"/>
        <v>0</v>
      </c>
      <c r="AS145" s="80">
        <f t="shared" si="354"/>
        <v>0</v>
      </c>
      <c r="AT145" s="70">
        <f t="shared" si="355"/>
        <v>0</v>
      </c>
      <c r="AU145" s="80">
        <f t="shared" si="356"/>
        <v>0</v>
      </c>
      <c r="AV145" s="70">
        <f t="shared" si="357"/>
        <v>0</v>
      </c>
      <c r="AW145" s="80">
        <f t="shared" si="358"/>
        <v>0</v>
      </c>
      <c r="AX145" s="70">
        <f t="shared" si="359"/>
        <v>0</v>
      </c>
      <c r="AY145" s="70"/>
      <c r="BA145" s="79"/>
      <c r="BB145" s="80">
        <f t="shared" si="360"/>
        <v>0</v>
      </c>
      <c r="BC145" s="79"/>
      <c r="BD145" s="80">
        <f t="shared" si="361"/>
        <v>0</v>
      </c>
      <c r="BE145" s="79"/>
      <c r="BF145" s="81">
        <f t="shared" si="362"/>
        <v>0</v>
      </c>
      <c r="BG145" s="80">
        <f t="shared" si="363"/>
        <v>0</v>
      </c>
      <c r="BH145" s="70">
        <f t="shared" si="364"/>
        <v>0</v>
      </c>
      <c r="BI145" s="80">
        <f t="shared" si="365"/>
        <v>0</v>
      </c>
      <c r="BJ145" s="70">
        <f t="shared" si="366"/>
        <v>0</v>
      </c>
      <c r="BK145" s="70"/>
    </row>
    <row r="146" spans="2:63" ht="11.95" x14ac:dyDescent="0.25">
      <c r="E146" s="19"/>
      <c r="F146" s="19"/>
      <c r="G146" s="19"/>
      <c r="H146" s="19" t="s">
        <v>82</v>
      </c>
      <c r="I146" s="85"/>
      <c r="J146" s="85"/>
      <c r="K146" s="85"/>
      <c r="L146" s="144">
        <v>-1</v>
      </c>
      <c r="M146" s="85">
        <f>SUMIFS(M141:M145,$I141:$I145,"&lt;&gt;"&amp;$I$29,$E141:$E145,"&lt;&gt;*[-]*",$F141:$F145,"&lt;&gt;*[-]*",$G141:$G145,"&lt;&gt;*[-]*",$H141:$H145,"Other Income/Expense")</f>
        <v>0</v>
      </c>
      <c r="N146" s="86"/>
      <c r="O146" s="85">
        <f>SUMIFS(O141:O145,$I141:$I145,"&lt;&gt;"&amp;$I$29,$E141:$E145,"&lt;&gt;*[-]*",$F141:$F145,"&lt;&gt;*[-]*",$G141:$G145,"&lt;&gt;*[-]*",$H141:$H145,"Other Income/Expense")</f>
        <v>0</v>
      </c>
      <c r="P146" s="86"/>
      <c r="Q146" s="85">
        <f>SUMIFS(Q141:Q145,$I141:$I145,"&lt;&gt;"&amp;$I$29,$E141:$E145,"&lt;&gt;*[-]*",$F141:$F145,"&lt;&gt;*[-]*",$G141:$G145,"&lt;&gt;*[-]*",$H141:$H145,"Other Income/Expense")</f>
        <v>0</v>
      </c>
      <c r="R146" s="86"/>
      <c r="S146" s="85">
        <f>SUMIFS(S141:S145,$I141:$I145,"&lt;&gt;"&amp;$I$29,$E141:$E145,"&lt;&gt;*[-]*",$F141:$F145,"&lt;&gt;*[-]*",$G141:$G145,"&lt;&gt;*[-]*",$H141:$H145,"Other Income/Expense")</f>
        <v>0</v>
      </c>
      <c r="T146" s="86">
        <f t="shared" si="343"/>
        <v>0</v>
      </c>
      <c r="U146" s="86">
        <f>IFERROR(($O146-M146)/ABS(M146),0)</f>
        <v>0</v>
      </c>
      <c r="V146" s="87">
        <f>IFERROR((O146-$M146), 0-$M146)</f>
        <v>0</v>
      </c>
      <c r="W146" s="86">
        <f>IFERROR((Q146-$M146)/ABS($M146),0)</f>
        <v>0</v>
      </c>
      <c r="X146" s="87">
        <f>IFERROR((Q146-$M146), 0 -$M146)</f>
        <v>0</v>
      </c>
      <c r="Y146" s="86">
        <f>IFERROR((S146-$M146)/ABS($M146),0)</f>
        <v>0</v>
      </c>
      <c r="Z146" s="87">
        <f>IFERROR((S146-$M146),0-$M146)</f>
        <v>0</v>
      </c>
      <c r="AA146" s="87"/>
      <c r="AC146" s="142">
        <f>SUMIFS(AC141:AC145,$I141:$I145,"&lt;&gt;"&amp;$I$29,$E141:$E145,"&lt;&gt;*[-]*",$F141:$F145,"&lt;&gt;*[-]*",$G141:$G145,"&lt;&gt;*[-]*",$H141:$H145,"Other Income/Expense")</f>
        <v>0</v>
      </c>
      <c r="AD146" s="142">
        <f>SUMIFS(AD141:AD145,$I141:$I145,"&lt;&gt;"&amp;$I$29,$E141:$E145,"&lt;&gt;*[-]*",$F141:$F145,"&lt;&gt;*[-]*",$G141:$G145,"&lt;&gt;*[-]*",$H141:$H145,"Other Income/Expense")</f>
        <v>0</v>
      </c>
      <c r="AE146" s="142">
        <f>SUMIFS(AE141:AE145,$I141:$I145,"&lt;&gt;"&amp;$I$29,$E141:$E145,"&lt;&gt;*[-]*",$F141:$F145,"&lt;&gt;*[-]*",$G141:$G145,"&lt;&gt;*[-]*",$H141:$H145,"Other Income/Expense")</f>
        <v>0</v>
      </c>
      <c r="AF146" s="173">
        <f t="shared" ref="AF146" si="368">IFERROR(($AC146-AD146)/ABS(AD146),0)</f>
        <v>0</v>
      </c>
      <c r="AG146" s="143">
        <f>($AC146-AD146)</f>
        <v>0</v>
      </c>
      <c r="AH146" s="173">
        <f>IFERROR(($AC146-AE146)/ABS(AE146),0)</f>
        <v>0</v>
      </c>
      <c r="AI146" s="143">
        <f>($AC146-AE146)</f>
        <v>0</v>
      </c>
      <c r="AK146" s="85">
        <f>SUMIFS(AK141:AK145,$I141:$I145,"&lt;&gt;"&amp;$I$29,$E141:$E145,"&lt;&gt;*[-]*",$F141:$F145,"&lt;&gt;*[-]*",$G141:$G145,"&lt;&gt;*[-]*",$H141:$H145,"Other Income/Expense")</f>
        <v>0</v>
      </c>
      <c r="AL146" s="86">
        <f t="shared" si="350"/>
        <v>0</v>
      </c>
      <c r="AM146" s="85">
        <f>SUMIFS(AM141:AM145,$I141:$I145,"&lt;&gt;"&amp;$I$29,$E141:$E145,"&lt;&gt;*[-]*",$F141:$F145,"&lt;&gt;*[-]*",$G141:$G145,"&lt;&gt;*[-]*",$H141:$H145,"Other Income/Expense")</f>
        <v>0</v>
      </c>
      <c r="AN146" s="86">
        <f t="shared" si="351"/>
        <v>0</v>
      </c>
      <c r="AO146" s="85">
        <f>SUMIFS(AO141:AO145,$I141:$I145,"&lt;&gt;"&amp;$I$29,$E141:$E145,"&lt;&gt;*[-]*",$F141:$F145,"&lt;&gt;*[-]*",$G141:$G145,"&lt;&gt;*[-]*",$H141:$H145,"Other Income/Expense")</f>
        <v>0</v>
      </c>
      <c r="AP146" s="86">
        <f t="shared" si="352"/>
        <v>0</v>
      </c>
      <c r="AQ146" s="85">
        <f>SUMIFS(AQ141:AQ145,$I141:$I145,"&lt;&gt;"&amp;$I$29,$E141:$E145,"&lt;&gt;*[-]*",$F141:$F145,"&lt;&gt;*[-]*",$G141:$G145,"&lt;&gt;*[-]*",$H141:$H145,"Other Income/Expense")</f>
        <v>0</v>
      </c>
      <c r="AR146" s="86">
        <f t="shared" si="353"/>
        <v>0</v>
      </c>
      <c r="AS146" s="86">
        <f>IFERROR((AM146-$AK146)/ABS($AK146),0)</f>
        <v>0</v>
      </c>
      <c r="AT146" s="87">
        <f>(AM146-$AK146)</f>
        <v>0</v>
      </c>
      <c r="AU146" s="86">
        <f>IFERROR((AO146-$AK146)/ABS($AO146),0)</f>
        <v>0</v>
      </c>
      <c r="AV146" s="87">
        <f>(AO146-$AK146)</f>
        <v>0</v>
      </c>
      <c r="AW146" s="86">
        <f>IFERROR((AQ146-$AK146)/ABS($AK146),0)</f>
        <v>0</v>
      </c>
      <c r="AX146" s="87">
        <f>(AQ146-$AK146)</f>
        <v>0</v>
      </c>
      <c r="AY146" s="87"/>
      <c r="BA146" s="85">
        <f>SUMIFS(BA141:BA145,$I141:$I145,"&lt;&gt;"&amp;$I$29,$E141:$E145,"&lt;&gt;*[-]*",$F141:$F145,"&lt;&gt;*[-]*",$G141:$G145,"&lt;&gt;*[-]*",$H141:$H145,"Other Income/Expense")</f>
        <v>0</v>
      </c>
      <c r="BB146" s="86">
        <f t="shared" si="360"/>
        <v>0</v>
      </c>
      <c r="BC146" s="85">
        <f>SUMIFS(BC141:BC145,$I141:$I145,"&lt;&gt;"&amp;$I$29,$E141:$E145,"&lt;&gt;*[-]*",$F141:$F145,"&lt;&gt;*[-]*",$G141:$G145,"&lt;&gt;*[-]*",$H141:$H145,"Other Income/Expense")</f>
        <v>0</v>
      </c>
      <c r="BD146" s="86">
        <f t="shared" si="361"/>
        <v>0</v>
      </c>
      <c r="BE146" s="85">
        <f>SUMIFS(BE141:BE145,$I141:$I145,"&lt;&gt;"&amp;$I$29,$E141:$E145,"&lt;&gt;*[-]*",$F141:$F145,"&lt;&gt;*[-]*",$G141:$G145,"&lt;&gt;*[-]*",$H141:$H145,"Other Income/Expense")</f>
        <v>0</v>
      </c>
      <c r="BF146" s="86">
        <f t="shared" si="362"/>
        <v>0</v>
      </c>
      <c r="BG146" s="86">
        <f>IFERROR((BC146-$BA146)/ABS($BA146),0)</f>
        <v>0</v>
      </c>
      <c r="BH146" s="87">
        <f>(BC146-$BA146)</f>
        <v>0</v>
      </c>
      <c r="BI146" s="86">
        <f>IFERROR((BE146-$BA146)/ABS($BA146),0)</f>
        <v>0</v>
      </c>
      <c r="BJ146" s="87">
        <f>(BE146-$BA146)</f>
        <v>0</v>
      </c>
      <c r="BK146" s="87"/>
    </row>
    <row r="147" spans="2:63" x14ac:dyDescent="0.25">
      <c r="N147" s="145"/>
      <c r="P147" s="145"/>
      <c r="R147" s="145"/>
      <c r="T147" s="145"/>
      <c r="U147" s="145"/>
      <c r="V147" s="84"/>
      <c r="W147" s="145"/>
      <c r="X147" s="84"/>
      <c r="Y147" s="145"/>
      <c r="Z147" s="84"/>
      <c r="AA147" s="84"/>
      <c r="AF147" s="169"/>
      <c r="AG147" s="140"/>
      <c r="AH147" s="169"/>
      <c r="AI147" s="140"/>
      <c r="AL147" s="145"/>
      <c r="AN147" s="145"/>
      <c r="AP147" s="145"/>
      <c r="AR147" s="145"/>
      <c r="AS147" s="145"/>
      <c r="AT147" s="84"/>
      <c r="AU147" s="145"/>
      <c r="AV147" s="84"/>
      <c r="AW147" s="145"/>
      <c r="AX147" s="84"/>
      <c r="AY147" s="84"/>
      <c r="BB147" s="145"/>
      <c r="BD147" s="145"/>
      <c r="BF147" s="145"/>
      <c r="BG147" s="145"/>
      <c r="BH147" s="84"/>
      <c r="BI147" s="145"/>
      <c r="BJ147" s="84"/>
      <c r="BK147" s="84"/>
    </row>
    <row r="148" spans="2:63" ht="12.45" thickBot="1" x14ac:dyDescent="0.3">
      <c r="E148" s="4"/>
      <c r="F148" s="4"/>
      <c r="G148" s="4"/>
      <c r="H148" s="4" t="s">
        <v>19</v>
      </c>
      <c r="I148" s="4"/>
      <c r="J148" s="5"/>
      <c r="K148" s="5"/>
      <c r="L148" s="5"/>
      <c r="M148" s="5"/>
      <c r="N148" s="152"/>
      <c r="O148" s="5"/>
      <c r="P148" s="152"/>
      <c r="Q148" s="5"/>
      <c r="R148" s="152"/>
      <c r="S148" s="5"/>
      <c r="T148" s="152"/>
      <c r="U148" s="152"/>
      <c r="V148" s="75"/>
      <c r="W148" s="152"/>
      <c r="X148" s="75"/>
      <c r="Y148" s="152"/>
      <c r="Z148" s="75"/>
      <c r="AA148" s="75"/>
      <c r="AC148" s="133"/>
      <c r="AD148" s="133"/>
      <c r="AE148" s="133"/>
      <c r="AF148" s="171"/>
      <c r="AG148" s="134"/>
      <c r="AH148" s="171"/>
      <c r="AI148" s="134"/>
      <c r="AK148" s="23"/>
      <c r="AL148" s="152"/>
      <c r="AM148" s="23"/>
      <c r="AN148" s="152"/>
      <c r="AO148" s="23"/>
      <c r="AP148" s="152"/>
      <c r="AQ148" s="5"/>
      <c r="AR148" s="152"/>
      <c r="AS148" s="152"/>
      <c r="AT148" s="75"/>
      <c r="AU148" s="152"/>
      <c r="AV148" s="75"/>
      <c r="AW148" s="152"/>
      <c r="AX148" s="75"/>
      <c r="AY148" s="75"/>
      <c r="BA148" s="5"/>
      <c r="BB148" s="152"/>
      <c r="BC148" s="5"/>
      <c r="BD148" s="152"/>
      <c r="BE148" s="5"/>
      <c r="BF148" s="152"/>
      <c r="BG148" s="152"/>
      <c r="BH148" s="75"/>
      <c r="BI148" s="152"/>
      <c r="BJ148" s="75"/>
      <c r="BK148" s="75"/>
    </row>
    <row r="149" spans="2:63" ht="11.95" hidden="1" thickBot="1" x14ac:dyDescent="0.3">
      <c r="B149" t="s">
        <v>1</v>
      </c>
      <c r="E149" s="3"/>
      <c r="F149" s="3"/>
      <c r="G149" s="3"/>
      <c r="H149" s="3" t="s">
        <v>19</v>
      </c>
      <c r="I149" s="18"/>
      <c r="J149" s="18"/>
      <c r="K149" s="18"/>
      <c r="L149" s="78"/>
      <c r="M149" s="79">
        <v>0</v>
      </c>
      <c r="N149" s="80">
        <f>IFERROR(M149/SUMIFS(M:M, $H:$H, "Net Sales"),0)</f>
        <v>0</v>
      </c>
      <c r="O149" s="79">
        <v>0</v>
      </c>
      <c r="P149" s="80">
        <f>IFERROR(O149/SUMIFS(O:O, $H:$H, "Net Sales"),0)</f>
        <v>0</v>
      </c>
      <c r="Q149" s="79">
        <v>0</v>
      </c>
      <c r="R149" s="80">
        <f>IFERROR(Q149/SUMIFS(Q:Q, $H:$H, "Net Sales"),0)</f>
        <v>0</v>
      </c>
      <c r="S149" s="79">
        <v>0</v>
      </c>
      <c r="T149" s="81">
        <f>IFERROR(S149/SUMIFS(S:S, $H:$H, "Net Sales"),0)</f>
        <v>0</v>
      </c>
      <c r="U149" s="80">
        <f t="shared" ref="U149:U150" si="369">IFERROR(($O149-M149)/ABS(M149),0)</f>
        <v>0</v>
      </c>
      <c r="V149" s="70">
        <f t="shared" ref="V149:V150" si="370">IFERROR((O149-$M149), 0-$M149)</f>
        <v>0</v>
      </c>
      <c r="W149" s="80">
        <f t="shared" ref="W149:W150" si="371">IFERROR((Q149-$M149)/ABS($M149),0)</f>
        <v>0</v>
      </c>
      <c r="X149" s="70">
        <f t="shared" ref="X149:X150" si="372">IFERROR((Q149-$M149), 0 -$M149)</f>
        <v>0</v>
      </c>
      <c r="Y149" s="80">
        <f t="shared" ref="Y149:Y150" si="373">IFERROR((S149-$M149)/ABS($M149),0)</f>
        <v>0</v>
      </c>
      <c r="Z149" s="70">
        <f t="shared" ref="Z149:Z150" si="374">IFERROR((S149-$M149),0-$M149)</f>
        <v>0</v>
      </c>
      <c r="AA149" s="70"/>
      <c r="AC149" s="138">
        <v>0</v>
      </c>
      <c r="AD149" s="138">
        <v>0</v>
      </c>
      <c r="AE149" s="138">
        <v>0</v>
      </c>
      <c r="AF149" s="172"/>
      <c r="AG149" s="139"/>
      <c r="AH149" s="172"/>
      <c r="AI149" s="139"/>
      <c r="AK149" s="79">
        <v>0</v>
      </c>
      <c r="AL149" s="80">
        <f>IFERROR(AK149/SUMIFS(AK:AK, $H:$H, "Net Sales"),0)</f>
        <v>0</v>
      </c>
      <c r="AM149" s="79">
        <v>0</v>
      </c>
      <c r="AN149" s="80">
        <f>IFERROR(AM149/SUMIFS(AM:AM, $H:$H, "Net Sales"),0)</f>
        <v>0</v>
      </c>
      <c r="AO149" s="79">
        <v>0</v>
      </c>
      <c r="AP149" s="80">
        <f>IFERROR(AO149/SUMIFS(AO:AO, $H:$H, "Net Sales"),0)</f>
        <v>0</v>
      </c>
      <c r="AQ149" s="79">
        <v>0</v>
      </c>
      <c r="AR149" s="81">
        <f>IFERROR(AQ149/SUMIFS(AQ:AQ, $H:$H, "Net Sales"),0)</f>
        <v>0</v>
      </c>
      <c r="AS149" s="80">
        <f t="shared" ref="AS149:AS150" si="375">IFERROR((AM149-$AK149)/ABS($AK149),0)</f>
        <v>0</v>
      </c>
      <c r="AT149" s="70">
        <f t="shared" ref="AT149:AT150" si="376">(AM149-$AK149)</f>
        <v>0</v>
      </c>
      <c r="AU149" s="80">
        <f t="shared" ref="AU149:AU150" si="377">IFERROR((AO149-$AK149)/ABS($AO149),0)</f>
        <v>0</v>
      </c>
      <c r="AV149" s="70">
        <f t="shared" ref="AV149:AV150" si="378">(AO149-$AK149)</f>
        <v>0</v>
      </c>
      <c r="AW149" s="80">
        <f t="shared" ref="AW149:AW150" si="379">IFERROR((AQ149-$AK149)/ABS($AK149),0)</f>
        <v>0</v>
      </c>
      <c r="AX149" s="70">
        <f t="shared" ref="AX149:AX150" si="380">(AQ149-$AK149)</f>
        <v>0</v>
      </c>
      <c r="AY149" s="70"/>
      <c r="BA149" s="79">
        <v>0</v>
      </c>
      <c r="BB149" s="80">
        <f>IFERROR(BA149/SUMIFS(BA:BA, $H:$H, "Net Sales"),0)</f>
        <v>0</v>
      </c>
      <c r="BC149" s="79">
        <v>0</v>
      </c>
      <c r="BD149" s="80">
        <f>IFERROR(BC149/SUMIFS(BC:BC, $H:$H, "Net Sales"),0)</f>
        <v>0</v>
      </c>
      <c r="BE149" s="79">
        <v>0</v>
      </c>
      <c r="BF149" s="81">
        <f>IFERROR(BE149/SUMIFS(BE:BE, $H:$H, "Net Sales"),0)</f>
        <v>0</v>
      </c>
      <c r="BG149" s="80">
        <f t="shared" ref="BG149:BG150" si="381">IFERROR((BC149-$BA149)/ABS($BA149),0)</f>
        <v>0</v>
      </c>
      <c r="BH149" s="70">
        <f t="shared" ref="BH149:BH150" si="382">(BC149-$BA149)</f>
        <v>0</v>
      </c>
      <c r="BI149" s="80">
        <f t="shared" ref="BI149:BI150" si="383">IFERROR((BE149-$BA149)/ABS($BA149),0)</f>
        <v>0</v>
      </c>
      <c r="BJ149" s="70">
        <f t="shared" ref="BJ149:BJ150" si="384">(BE149-$BA149)</f>
        <v>0</v>
      </c>
      <c r="BK149" s="70"/>
    </row>
    <row r="150" spans="2:63" ht="11.95" hidden="1" thickBot="1" x14ac:dyDescent="0.3">
      <c r="B150" t="str">
        <f>IF(LEFT(H150,3)="Mul", "#hiderow", "#showrow")</f>
        <v>#hiderow</v>
      </c>
      <c r="E150" s="3"/>
      <c r="F150" s="3"/>
      <c r="G150" s="3"/>
      <c r="H150" s="255" t="s">
        <v>6</v>
      </c>
      <c r="I150" s="18"/>
      <c r="J150" s="18"/>
      <c r="K150" s="18"/>
      <c r="L150" s="78"/>
      <c r="M150" s="79"/>
      <c r="N150" s="80">
        <f>IFERROR(M150/SUMIFS(M:M, $H:$H, "Net Sales"),0)</f>
        <v>0</v>
      </c>
      <c r="O150" s="79">
        <v>0</v>
      </c>
      <c r="P150" s="80">
        <f>IFERROR(O150/SUMIFS(O:O, $H:$H, "Net Sales"),0)</f>
        <v>0</v>
      </c>
      <c r="Q150" s="79">
        <v>0</v>
      </c>
      <c r="R150" s="80">
        <f>IFERROR(Q150/SUMIFS(Q:Q, $H:$H, "Net Sales"),0)</f>
        <v>0</v>
      </c>
      <c r="S150" s="79"/>
      <c r="T150" s="81">
        <f>IFERROR(S150/SUMIFS(S:S, $H:$H, "Net Sales"),0)</f>
        <v>0</v>
      </c>
      <c r="U150" s="80">
        <f t="shared" si="369"/>
        <v>0</v>
      </c>
      <c r="V150" s="70">
        <f t="shared" si="370"/>
        <v>0</v>
      </c>
      <c r="W150" s="80">
        <f t="shared" si="371"/>
        <v>0</v>
      </c>
      <c r="X150" s="70">
        <f t="shared" si="372"/>
        <v>0</v>
      </c>
      <c r="Y150" s="80">
        <f t="shared" si="373"/>
        <v>0</v>
      </c>
      <c r="Z150" s="70">
        <f t="shared" si="374"/>
        <v>0</v>
      </c>
      <c r="AA150" s="70"/>
      <c r="AC150" s="138"/>
      <c r="AD150" s="138"/>
      <c r="AE150" s="138"/>
      <c r="AF150" s="172">
        <f t="shared" ref="AF150:AF151" si="385">IFERROR(($AC150-AD150)/ABS(AD150),0)</f>
        <v>0</v>
      </c>
      <c r="AG150" s="139">
        <f>($AC150-AD150)</f>
        <v>0</v>
      </c>
      <c r="AH150" s="172">
        <f>IFERROR(($AC150-AE150)/ABS(AE150),0)</f>
        <v>0</v>
      </c>
      <c r="AI150" s="139">
        <f>($AC150-AE150)</f>
        <v>0</v>
      </c>
      <c r="AK150" s="79"/>
      <c r="AL150" s="80">
        <f>IFERROR(AK150/SUMIFS(AK:AK, $H:$H, "Net Sales"),0)</f>
        <v>0</v>
      </c>
      <c r="AM150" s="79"/>
      <c r="AN150" s="80">
        <f>IFERROR(AM150/SUMIFS(AM:AM, $H:$H, "Net Sales"),0)</f>
        <v>0</v>
      </c>
      <c r="AO150" s="79"/>
      <c r="AP150" s="80">
        <f>IFERROR(AO150/SUMIFS(AO:AO, $H:$H, "Net Sales"),0)</f>
        <v>0</v>
      </c>
      <c r="AQ150" s="79"/>
      <c r="AR150" s="81">
        <f>IFERROR(AQ150/SUMIFS(AQ:AQ, $H:$H, "Net Sales"),0)</f>
        <v>0</v>
      </c>
      <c r="AS150" s="80">
        <f t="shared" si="375"/>
        <v>0</v>
      </c>
      <c r="AT150" s="70">
        <f t="shared" si="376"/>
        <v>0</v>
      </c>
      <c r="AU150" s="80">
        <f t="shared" si="377"/>
        <v>0</v>
      </c>
      <c r="AV150" s="70">
        <f t="shared" si="378"/>
        <v>0</v>
      </c>
      <c r="AW150" s="80">
        <f t="shared" si="379"/>
        <v>0</v>
      </c>
      <c r="AX150" s="70">
        <f t="shared" si="380"/>
        <v>0</v>
      </c>
      <c r="AY150" s="70"/>
      <c r="BA150" s="79"/>
      <c r="BB150" s="80">
        <f>IFERROR(BA150/SUMIFS(BA:BA, $H:$H, "Net Sales"),0)</f>
        <v>0</v>
      </c>
      <c r="BC150" s="79"/>
      <c r="BD150" s="80">
        <f>IFERROR(BC150/SUMIFS(BC:BC, $H:$H, "Net Sales"),0)</f>
        <v>0</v>
      </c>
      <c r="BE150" s="79"/>
      <c r="BF150" s="81">
        <f>IFERROR(BE150/SUMIFS(BE:BE, $H:$H, "Net Sales"),0)</f>
        <v>0</v>
      </c>
      <c r="BG150" s="80">
        <f t="shared" si="381"/>
        <v>0</v>
      </c>
      <c r="BH150" s="70">
        <f t="shared" si="382"/>
        <v>0</v>
      </c>
      <c r="BI150" s="80">
        <f t="shared" si="383"/>
        <v>0</v>
      </c>
      <c r="BJ150" s="70">
        <f t="shared" si="384"/>
        <v>0</v>
      </c>
      <c r="BK150" s="70"/>
    </row>
    <row r="151" spans="2:63" ht="11.95" x14ac:dyDescent="0.25">
      <c r="E151" s="19"/>
      <c r="F151" s="19"/>
      <c r="G151" s="19"/>
      <c r="H151" s="19" t="s">
        <v>83</v>
      </c>
      <c r="I151" s="85"/>
      <c r="J151" s="85"/>
      <c r="K151" s="85"/>
      <c r="L151" s="144">
        <v>-1</v>
      </c>
      <c r="M151" s="85">
        <f>SUMIFS(M149:M150,$I149:$I150,"&lt;&gt;"&amp;$I$29,$E149:$E150,"&lt;&gt;*[-]*",$F149:$F150,"&lt;&gt;*[-]*",$G149:$G150,"&lt;&gt;*[-]*",$H149:$H150,"Income Tax Expense/Benefit")</f>
        <v>0</v>
      </c>
      <c r="N151" s="86"/>
      <c r="O151" s="85">
        <f>SUMIFS(O149:O150,$I149:$I150,"&lt;&gt;"&amp;$I$29,$E149:$E150,"&lt;&gt;*[-]*",$F149:$F150,"&lt;&gt;*[-]*",$G149:$G150,"&lt;&gt;*[-]*",$H149:$H150,"Income Tax Expense/Benefit")</f>
        <v>0</v>
      </c>
      <c r="P151" s="86"/>
      <c r="Q151" s="85">
        <f>SUMIFS(Q149:Q150,$I149:$I150,"&lt;&gt;"&amp;$I$29,$E149:$E150,"&lt;&gt;*[-]*",$F149:$F150,"&lt;&gt;*[-]*",$G149:$G150,"&lt;&gt;*[-]*",$H149:$H150,"Income Tax Expense/Benefit")</f>
        <v>0</v>
      </c>
      <c r="R151" s="86"/>
      <c r="S151" s="85">
        <f>SUMIFS(S149:S150,$I149:$I150,"&lt;&gt;"&amp;$I$29,$E149:$E150,"&lt;&gt;*[-]*",$F149:$F150,"&lt;&gt;*[-]*",$G149:$G150,"&lt;&gt;*[-]*",$H149:$H150,"Income Tax Expense/Benefit")</f>
        <v>0</v>
      </c>
      <c r="T151" s="86">
        <f>IFERROR(S151/SUMIFS(S:S, $H:$H, "Net Sales"),0)</f>
        <v>0</v>
      </c>
      <c r="U151" s="86">
        <f>IFERROR(($O151-M151)/ABS(M151),0)</f>
        <v>0</v>
      </c>
      <c r="V151" s="87">
        <f>IFERROR((O151-$M151), 0-$M151)</f>
        <v>0</v>
      </c>
      <c r="W151" s="86">
        <f>IFERROR((Q151-$M151)/ABS($M151),0)</f>
        <v>0</v>
      </c>
      <c r="X151" s="87">
        <f>IFERROR((Q151-$M151), 0 -$M151)</f>
        <v>0</v>
      </c>
      <c r="Y151" s="86">
        <f>IFERROR((S151-$M151)/ABS($M151),0)</f>
        <v>0</v>
      </c>
      <c r="Z151" s="87">
        <f>IFERROR((S151-$M151),0-$M151)</f>
        <v>0</v>
      </c>
      <c r="AA151" s="87"/>
      <c r="AC151" s="142">
        <f>SUMIFS(AC149:AC150,$I149:$I150,"&lt;&gt;"&amp;$I$29,$E149:$E150,"&lt;&gt;*[-]*",$F149:$F150,"&lt;&gt;*[-]*",$G149:$G150,"&lt;&gt;*[-]*",$H149:$H150,"Income Tax Expense/Benefit")</f>
        <v>0</v>
      </c>
      <c r="AD151" s="142">
        <f>SUMIFS(AD149:AD150,$I149:$I150,"&lt;&gt;"&amp;$I$29,$E149:$E150,"&lt;&gt;*[-]*",$F149:$F150,"&lt;&gt;*[-]*",$G149:$G150,"&lt;&gt;*[-]*",$H149:$H150,"Income Tax Expense/Benefit")</f>
        <v>0</v>
      </c>
      <c r="AE151" s="142">
        <f>SUMIFS(AE149:AE150,$I149:$I150,"&lt;&gt;"&amp;$I$29,$E149:$E150,"&lt;&gt;*[-]*",$F149:$F150,"&lt;&gt;*[-]*",$G149:$G150,"&lt;&gt;*[-]*",$H149:$H150,"Income Tax Expense/Benefit")</f>
        <v>0</v>
      </c>
      <c r="AF151" s="173">
        <f t="shared" si="385"/>
        <v>0</v>
      </c>
      <c r="AG151" s="143">
        <f>($AC151-AD151)</f>
        <v>0</v>
      </c>
      <c r="AH151" s="173">
        <f>IFERROR(($AC151-AE151)/ABS(AE151),0)</f>
        <v>0</v>
      </c>
      <c r="AI151" s="143">
        <f>($AC151-AE151)</f>
        <v>0</v>
      </c>
      <c r="AK151" s="85">
        <f>SUMIFS(AK149:AK150,$I149:$I150,"&lt;&gt;"&amp;$I$29,$E149:$E150,"&lt;&gt;*[-]*",$F149:$F150,"&lt;&gt;*[-]*",$G149:$G150,"&lt;&gt;*[-]*",$H149:$H150,"Income Tax Expense/Benefit")</f>
        <v>0</v>
      </c>
      <c r="AL151" s="86">
        <f>IFERROR(AK151/SUMIFS(AK:AK, $H:$H, "Net Sales"),0)</f>
        <v>0</v>
      </c>
      <c r="AM151" s="85">
        <f>SUMIFS(AM149:AM150,$I149:$I150,"&lt;&gt;"&amp;$I$29,$E149:$E150,"&lt;&gt;*[-]*",$F149:$F150,"&lt;&gt;*[-]*",$G149:$G150,"&lt;&gt;*[-]*",$H149:$H150,"Income Tax Expense/Benefit")</f>
        <v>0</v>
      </c>
      <c r="AN151" s="86">
        <f>IFERROR(AM151/SUMIFS(AM:AM, $H:$H, "Net Sales"),0)</f>
        <v>0</v>
      </c>
      <c r="AO151" s="85">
        <f>SUMIFS(AO149:AO150,$I149:$I150,"&lt;&gt;"&amp;$I$29,$E149:$E150,"&lt;&gt;*[-]*",$F149:$F150,"&lt;&gt;*[-]*",$G149:$G150,"&lt;&gt;*[-]*",$H149:$H150,"Income Tax Expense/Benefit")</f>
        <v>0</v>
      </c>
      <c r="AP151" s="86">
        <f>IFERROR(AO151/SUMIFS(AO:AO, $H:$H, "Net Sales"),0)</f>
        <v>0</v>
      </c>
      <c r="AQ151" s="85">
        <f>SUMIFS(AQ149:AQ150,$I149:$I150,"&lt;&gt;"&amp;$I$29,$E149:$E150,"&lt;&gt;*[-]*",$F149:$F150,"&lt;&gt;*[-]*",$G149:$G150,"&lt;&gt;*[-]*",$H149:$H150,"Income Tax Expense/Benefit")</f>
        <v>0</v>
      </c>
      <c r="AR151" s="86">
        <f>IFERROR(AQ151/SUMIFS(AQ:AQ, $H:$H, "Net Sales"),0)</f>
        <v>0</v>
      </c>
      <c r="AS151" s="86">
        <f>IFERROR((AM151-$AK151)/ABS($AK151),0)</f>
        <v>0</v>
      </c>
      <c r="AT151" s="87">
        <f>(AM151-$AK151)</f>
        <v>0</v>
      </c>
      <c r="AU151" s="86">
        <f>IFERROR((AO151-$AK151)/ABS($AO151),0)</f>
        <v>0</v>
      </c>
      <c r="AV151" s="87">
        <f>(AO151-$AK151)</f>
        <v>0</v>
      </c>
      <c r="AW151" s="86">
        <f>IFERROR((AQ151-$AK151)/ABS($AK151),0)</f>
        <v>0</v>
      </c>
      <c r="AX151" s="87">
        <f>(AQ151-$AK151)</f>
        <v>0</v>
      </c>
      <c r="AY151" s="87"/>
      <c r="BA151" s="85">
        <f>SUMIFS(BA149:BA150,$I149:$I150,"&lt;&gt;"&amp;$I$29,$E149:$E150,"&lt;&gt;*[-]*",$F149:$F150,"&lt;&gt;*[-]*",$G149:$G150,"&lt;&gt;*[-]*",$H149:$H150,"Income Tax Expense/Benefit")</f>
        <v>0</v>
      </c>
      <c r="BB151" s="86">
        <f>IFERROR(BA151/SUMIFS(BA:BA, $H:$H, "Net Sales"),0)</f>
        <v>0</v>
      </c>
      <c r="BC151" s="85">
        <f>SUMIFS(BC149:BC150,$I149:$I150,"&lt;&gt;"&amp;$I$29,$E149:$E150,"&lt;&gt;*[-]*",$F149:$F150,"&lt;&gt;*[-]*",$G149:$G150,"&lt;&gt;*[-]*",$H149:$H150,"Income Tax Expense/Benefit")</f>
        <v>0</v>
      </c>
      <c r="BD151" s="86">
        <f>IFERROR(BC151/SUMIFS(BC:BC, $H:$H, "Net Sales"),0)</f>
        <v>0</v>
      </c>
      <c r="BE151" s="85">
        <f>SUMIFS(BE149:BE150,$I149:$I150,"&lt;&gt;"&amp;$I$29,$E149:$E150,"&lt;&gt;*[-]*",$F149:$F150,"&lt;&gt;*[-]*",$G149:$G150,"&lt;&gt;*[-]*",$H149:$H150,"Income Tax Expense/Benefit")</f>
        <v>0</v>
      </c>
      <c r="BF151" s="86">
        <f>IFERROR(BE151/SUMIFS(BE:BE, $H:$H, "Net Sales"),0)</f>
        <v>0</v>
      </c>
      <c r="BG151" s="86">
        <f>IFERROR((BC151-$BA151)/ABS($BA151),0)</f>
        <v>0</v>
      </c>
      <c r="BH151" s="87">
        <f>(BC151-$BA151)</f>
        <v>0</v>
      </c>
      <c r="BI151" s="86">
        <f>IFERROR((BE151-$BA151)/ABS($BA151),0)</f>
        <v>0</v>
      </c>
      <c r="BJ151" s="87">
        <f>(BE151-$BA151)</f>
        <v>0</v>
      </c>
      <c r="BK151" s="87"/>
    </row>
    <row r="152" spans="2:63" x14ac:dyDescent="0.25">
      <c r="N152" s="145"/>
      <c r="P152" s="145"/>
      <c r="R152" s="145"/>
      <c r="T152" s="145"/>
      <c r="U152" s="145"/>
      <c r="V152" s="84"/>
      <c r="W152" s="145"/>
      <c r="X152" s="84"/>
      <c r="Y152" s="145"/>
      <c r="Z152" s="84"/>
      <c r="AA152" s="84"/>
      <c r="AF152" s="169"/>
      <c r="AG152" s="140"/>
      <c r="AH152" s="169"/>
      <c r="AI152" s="140"/>
      <c r="AL152" s="145"/>
      <c r="AN152" s="145"/>
      <c r="AP152" s="145"/>
      <c r="AR152" s="145"/>
      <c r="AS152" s="145"/>
      <c r="AT152" s="84"/>
      <c r="AU152" s="145"/>
      <c r="AV152" s="84"/>
      <c r="AW152" s="145"/>
      <c r="AX152" s="84"/>
      <c r="AY152" s="84"/>
      <c r="BB152" s="145"/>
      <c r="BD152" s="145"/>
      <c r="BF152" s="145"/>
      <c r="BG152" s="145"/>
      <c r="BH152" s="84"/>
      <c r="BI152" s="145"/>
      <c r="BJ152" s="84"/>
      <c r="BK152" s="84"/>
    </row>
    <row r="153" spans="2:63" ht="12.45" thickBot="1" x14ac:dyDescent="0.3">
      <c r="E153" s="4"/>
      <c r="F153" s="4"/>
      <c r="G153" s="4"/>
      <c r="H153" s="4" t="s">
        <v>28</v>
      </c>
      <c r="I153" s="4"/>
      <c r="J153" s="5"/>
      <c r="K153" s="5"/>
      <c r="L153" s="5"/>
      <c r="M153" s="5"/>
      <c r="N153" s="152"/>
      <c r="O153" s="5"/>
      <c r="P153" s="152"/>
      <c r="Q153" s="5"/>
      <c r="R153" s="152"/>
      <c r="S153" s="5"/>
      <c r="T153" s="152"/>
      <c r="U153" s="152"/>
      <c r="V153" s="75"/>
      <c r="W153" s="152"/>
      <c r="X153" s="75"/>
      <c r="Y153" s="152"/>
      <c r="Z153" s="75"/>
      <c r="AA153" s="75"/>
      <c r="AC153" s="133"/>
      <c r="AD153" s="133"/>
      <c r="AE153" s="133"/>
      <c r="AF153" s="171"/>
      <c r="AG153" s="134"/>
      <c r="AH153" s="171"/>
      <c r="AI153" s="134"/>
      <c r="AK153" s="5"/>
      <c r="AL153" s="152"/>
      <c r="AM153" s="5"/>
      <c r="AN153" s="152"/>
      <c r="AO153" s="5"/>
      <c r="AP153" s="152"/>
      <c r="AQ153" s="5"/>
      <c r="AR153" s="152"/>
      <c r="AS153" s="152"/>
      <c r="AT153" s="75"/>
      <c r="AU153" s="152"/>
      <c r="AV153" s="75"/>
      <c r="AW153" s="152"/>
      <c r="AX153" s="75"/>
      <c r="AY153" s="75"/>
      <c r="BA153" s="5"/>
      <c r="BB153" s="152"/>
      <c r="BC153" s="5"/>
      <c r="BD153" s="152"/>
      <c r="BE153" s="5"/>
      <c r="BF153" s="152"/>
      <c r="BG153" s="152"/>
      <c r="BH153" s="75"/>
      <c r="BI153" s="152"/>
      <c r="BJ153" s="75"/>
      <c r="BK153" s="75"/>
    </row>
    <row r="154" spans="2:63" ht="11.95" hidden="1" thickBot="1" x14ac:dyDescent="0.3">
      <c r="B154" t="s">
        <v>1</v>
      </c>
      <c r="E154" s="3"/>
      <c r="F154" s="3"/>
      <c r="G154" s="3"/>
      <c r="H154" s="3" t="s">
        <v>28</v>
      </c>
      <c r="I154" s="18"/>
      <c r="J154" s="18"/>
      <c r="K154" s="18"/>
      <c r="L154" s="78"/>
      <c r="M154" s="79">
        <v>32278.14</v>
      </c>
      <c r="N154" s="80">
        <f t="shared" ref="N154:N160" si="386">IFERROR(M154/SUMIFS(M:M, $H:$H, "Net Sales"),0)</f>
        <v>6.0990352198766536E-2</v>
      </c>
      <c r="O154" s="79">
        <v>0</v>
      </c>
      <c r="P154" s="80">
        <f t="shared" ref="P154:P160" si="387">IFERROR(O154/SUMIFS(O:O, $H:$H, "Net Sales"),0)</f>
        <v>0</v>
      </c>
      <c r="Q154" s="79">
        <v>0</v>
      </c>
      <c r="R154" s="80">
        <f t="shared" ref="R154:R160" si="388">IFERROR(Q154/SUMIFS(Q:Q, $H:$H, "Net Sales"),0)</f>
        <v>0</v>
      </c>
      <c r="S154" s="79">
        <v>30811.37</v>
      </c>
      <c r="T154" s="81">
        <f t="shared" ref="T154:T161" si="389">IFERROR(S154/SUMIFS(S:S, $H:$H, "Net Sales"),0)</f>
        <v>0.16889628907882709</v>
      </c>
      <c r="U154" s="80">
        <f t="shared" ref="U154:U155" si="390">IFERROR(($O154-M154)/ABS(M154),0)</f>
        <v>-1</v>
      </c>
      <c r="V154" s="70">
        <f t="shared" ref="V154:V155" si="391">IFERROR((O154-$M154), 0-$M154)</f>
        <v>-32278.14</v>
      </c>
      <c r="W154" s="80">
        <f t="shared" ref="W154:W155" si="392">IFERROR((Q154-$M154)/ABS($M154),0)</f>
        <v>-1</v>
      </c>
      <c r="X154" s="70">
        <f t="shared" ref="X154:X155" si="393">IFERROR((Q154-$M154), 0 -$M154)</f>
        <v>-32278.14</v>
      </c>
      <c r="Y154" s="80">
        <f t="shared" ref="Y154:Y155" si="394">IFERROR((S154-$M154)/ABS($M154),0)</f>
        <v>-4.5441589880953502E-2</v>
      </c>
      <c r="Z154" s="70">
        <f t="shared" ref="Z154:Z155" si="395">IFERROR((S154-$M154),0-$M154)</f>
        <v>-1466.7700000000004</v>
      </c>
      <c r="AA154" s="70"/>
      <c r="AC154" s="138">
        <v>32278.14</v>
      </c>
      <c r="AD154" s="138">
        <v>30811.37</v>
      </c>
      <c r="AE154" s="138">
        <v>0</v>
      </c>
      <c r="AF154" s="172"/>
      <c r="AG154" s="139"/>
      <c r="AH154" s="172"/>
      <c r="AI154" s="139"/>
      <c r="AK154" s="79">
        <v>32278.14</v>
      </c>
      <c r="AL154" s="80">
        <f t="shared" ref="AL154:AL161" si="396">IFERROR(AK154/SUMIFS(AK:AK, $H:$H, "Net Sales"),0)</f>
        <v>6.0990352198766536E-2</v>
      </c>
      <c r="AM154" s="79">
        <v>0</v>
      </c>
      <c r="AN154" s="80">
        <f t="shared" ref="AN154:AN161" si="397">IFERROR(AM154/SUMIFS(AM:AM, $H:$H, "Net Sales"),0)</f>
        <v>0</v>
      </c>
      <c r="AO154" s="79">
        <v>0</v>
      </c>
      <c r="AP154" s="80">
        <f t="shared" ref="AP154:AP161" si="398">IFERROR(AO154/SUMIFS(AO:AO, $H:$H, "Net Sales"),0)</f>
        <v>0</v>
      </c>
      <c r="AQ154" s="79">
        <v>30811.37</v>
      </c>
      <c r="AR154" s="81">
        <f t="shared" ref="AR154:AR161" si="399">IFERROR(AQ154/SUMIFS(AQ:AQ, $H:$H, "Net Sales"),0)</f>
        <v>0.16889628907882709</v>
      </c>
      <c r="AS154" s="80">
        <f t="shared" ref="AS154:AS155" si="400">IFERROR((AM154-$AK154)/ABS($AK154),0)</f>
        <v>-1</v>
      </c>
      <c r="AT154" s="70">
        <f t="shared" ref="AT154:AT155" si="401">(AM154-$AK154)</f>
        <v>-32278.14</v>
      </c>
      <c r="AU154" s="80">
        <f t="shared" ref="AU154:AU155" si="402">IFERROR((AO154-$AK154)/ABS($AO154),0)</f>
        <v>0</v>
      </c>
      <c r="AV154" s="70">
        <f t="shared" ref="AV154:AV155" si="403">(AO154-$AK154)</f>
        <v>-32278.14</v>
      </c>
      <c r="AW154" s="80">
        <f t="shared" ref="AW154:AW155" si="404">IFERROR((AQ154-$AK154)/ABS($AK154),0)</f>
        <v>-4.5441589880953502E-2</v>
      </c>
      <c r="AX154" s="70">
        <f t="shared" ref="AX154:AX155" si="405">(AQ154-$AK154)</f>
        <v>-1466.7700000000004</v>
      </c>
      <c r="AY154" s="70"/>
      <c r="BA154" s="79">
        <v>0</v>
      </c>
      <c r="BB154" s="80">
        <f t="shared" ref="BB154:BB161" si="406">IFERROR(BA154/SUMIFS(BA:BA, $H:$H, "Net Sales"),0)</f>
        <v>0</v>
      </c>
      <c r="BC154" s="79">
        <v>0</v>
      </c>
      <c r="BD154" s="80">
        <f t="shared" ref="BD154:BD161" si="407">IFERROR(BC154/SUMIFS(BC:BC, $H:$H, "Net Sales"),0)</f>
        <v>0</v>
      </c>
      <c r="BE154" s="79">
        <v>370126.23</v>
      </c>
      <c r="BF154" s="81">
        <f t="shared" ref="BF154:BF161" si="408">IFERROR(BE154/SUMIFS(BE:BE, $H:$H, "Net Sales"),0)</f>
        <v>7.7544565632989976E-2</v>
      </c>
      <c r="BG154" s="80">
        <f t="shared" ref="BG154:BG155" si="409">IFERROR((BC154-$BA154)/ABS($BA154),0)</f>
        <v>0</v>
      </c>
      <c r="BH154" s="70">
        <f t="shared" ref="BH154:BH155" si="410">(BC154-$BA154)</f>
        <v>0</v>
      </c>
      <c r="BI154" s="80">
        <f t="shared" ref="BI154:BI155" si="411">IFERROR((BE154-$BA154)/ABS($BA154),0)</f>
        <v>0</v>
      </c>
      <c r="BJ154" s="70">
        <f t="shared" ref="BJ154:BJ155" si="412">(BE154-$BA154)</f>
        <v>370126.23</v>
      </c>
      <c r="BK154" s="70"/>
    </row>
    <row r="155" spans="2:63" ht="11.95" hidden="1" thickBot="1" x14ac:dyDescent="0.3">
      <c r="B155" t="str">
        <f>IF(LEFT(H155,3)="Mul", "#hiderow", "#showrow")</f>
        <v>#hiderow</v>
      </c>
      <c r="E155" s="3"/>
      <c r="F155" s="3"/>
      <c r="G155" s="3"/>
      <c r="H155" s="255" t="s">
        <v>6</v>
      </c>
      <c r="I155" s="18"/>
      <c r="J155" s="18"/>
      <c r="K155" s="18"/>
      <c r="L155" s="78"/>
      <c r="M155" s="79"/>
      <c r="N155" s="80">
        <f t="shared" si="386"/>
        <v>0</v>
      </c>
      <c r="O155" s="79">
        <v>0</v>
      </c>
      <c r="P155" s="80">
        <f t="shared" si="387"/>
        <v>0</v>
      </c>
      <c r="Q155" s="79">
        <v>0</v>
      </c>
      <c r="R155" s="80">
        <f t="shared" si="388"/>
        <v>0</v>
      </c>
      <c r="S155" s="79"/>
      <c r="T155" s="81">
        <f t="shared" si="389"/>
        <v>0</v>
      </c>
      <c r="U155" s="80">
        <f t="shared" si="390"/>
        <v>0</v>
      </c>
      <c r="V155" s="70">
        <f t="shared" si="391"/>
        <v>0</v>
      </c>
      <c r="W155" s="80">
        <f t="shared" si="392"/>
        <v>0</v>
      </c>
      <c r="X155" s="70">
        <f t="shared" si="393"/>
        <v>0</v>
      </c>
      <c r="Y155" s="80">
        <f t="shared" si="394"/>
        <v>0</v>
      </c>
      <c r="Z155" s="70">
        <f t="shared" si="395"/>
        <v>0</v>
      </c>
      <c r="AA155" s="70"/>
      <c r="AC155" s="138"/>
      <c r="AD155" s="138"/>
      <c r="AE155" s="138"/>
      <c r="AF155" s="172">
        <f t="shared" ref="AF155:AF161" si="413">IFERROR(($AC155-AD155)/ABS(AD155),0)</f>
        <v>0</v>
      </c>
      <c r="AG155" s="139">
        <f>($AC155-AD155)</f>
        <v>0</v>
      </c>
      <c r="AH155" s="172">
        <f>IFERROR(($AC155-AE155)/ABS(AE155),0)</f>
        <v>0</v>
      </c>
      <c r="AI155" s="139">
        <f>($AC155-AE155)</f>
        <v>0</v>
      </c>
      <c r="AK155" s="79"/>
      <c r="AL155" s="80">
        <f t="shared" si="396"/>
        <v>0</v>
      </c>
      <c r="AM155" s="79"/>
      <c r="AN155" s="80">
        <f t="shared" si="397"/>
        <v>0</v>
      </c>
      <c r="AO155" s="79"/>
      <c r="AP155" s="80">
        <f t="shared" si="398"/>
        <v>0</v>
      </c>
      <c r="AQ155" s="79"/>
      <c r="AR155" s="81">
        <f t="shared" si="399"/>
        <v>0</v>
      </c>
      <c r="AS155" s="80">
        <f t="shared" si="400"/>
        <v>0</v>
      </c>
      <c r="AT155" s="70">
        <f t="shared" si="401"/>
        <v>0</v>
      </c>
      <c r="AU155" s="80">
        <f t="shared" si="402"/>
        <v>0</v>
      </c>
      <c r="AV155" s="70">
        <f t="shared" si="403"/>
        <v>0</v>
      </c>
      <c r="AW155" s="80">
        <f t="shared" si="404"/>
        <v>0</v>
      </c>
      <c r="AX155" s="70">
        <f t="shared" si="405"/>
        <v>0</v>
      </c>
      <c r="AY155" s="70"/>
      <c r="BA155" s="79"/>
      <c r="BB155" s="80">
        <f t="shared" si="406"/>
        <v>0</v>
      </c>
      <c r="BC155" s="79"/>
      <c r="BD155" s="80">
        <f t="shared" si="407"/>
        <v>0</v>
      </c>
      <c r="BE155" s="79"/>
      <c r="BF155" s="81">
        <f t="shared" si="408"/>
        <v>0</v>
      </c>
      <c r="BG155" s="80">
        <f t="shared" si="409"/>
        <v>0</v>
      </c>
      <c r="BH155" s="70">
        <f t="shared" si="410"/>
        <v>0</v>
      </c>
      <c r="BI155" s="80">
        <f t="shared" si="411"/>
        <v>0</v>
      </c>
      <c r="BJ155" s="70">
        <f t="shared" si="412"/>
        <v>0</v>
      </c>
      <c r="BK155" s="70"/>
    </row>
    <row r="156" spans="2:63" ht="11.95" thickBot="1" x14ac:dyDescent="0.3">
      <c r="B156" t="str">
        <f t="shared" ref="B156:B160" si="414">IF(LEFT(H156,3)="Mul", "#hiderow", "#showrow")</f>
        <v>#showrow</v>
      </c>
      <c r="E156" s="3"/>
      <c r="F156" s="3"/>
      <c r="G156" s="3"/>
      <c r="H156" s="255" t="s">
        <v>175</v>
      </c>
      <c r="I156" s="18"/>
      <c r="J156" s="18"/>
      <c r="K156" s="18"/>
      <c r="L156" s="78"/>
      <c r="M156" s="79">
        <v>1724.94</v>
      </c>
      <c r="N156" s="80">
        <f t="shared" si="386"/>
        <v>3.2593172382838773E-3</v>
      </c>
      <c r="O156" s="79"/>
      <c r="P156" s="80">
        <f t="shared" si="387"/>
        <v>0</v>
      </c>
      <c r="Q156" s="79"/>
      <c r="R156" s="80">
        <f t="shared" si="388"/>
        <v>0</v>
      </c>
      <c r="S156" s="79">
        <v>2280.38</v>
      </c>
      <c r="T156" s="81">
        <f t="shared" si="389"/>
        <v>1.2500181578734596E-2</v>
      </c>
      <c r="U156" s="80">
        <f t="shared" ref="U156:U160" si="415">IFERROR(($O156-M156)/ABS(M156),0)</f>
        <v>-1</v>
      </c>
      <c r="V156" s="70">
        <f t="shared" ref="V156:V160" si="416">IFERROR((O156-$M156), 0-$M156)</f>
        <v>-1724.94</v>
      </c>
      <c r="W156" s="80">
        <f t="shared" ref="W156:W160" si="417">IFERROR((Q156-$M156)/ABS($M156),0)</f>
        <v>-1</v>
      </c>
      <c r="X156" s="70">
        <f t="shared" ref="X156:X160" si="418">IFERROR((Q156-$M156), 0 -$M156)</f>
        <v>-1724.94</v>
      </c>
      <c r="Y156" s="80">
        <f t="shared" ref="Y156:Y160" si="419">IFERROR((S156-$M156)/ABS($M156),0)</f>
        <v>0.32200540308648418</v>
      </c>
      <c r="Z156" s="70">
        <f t="shared" ref="Z156:Z160" si="420">IFERROR((S156-$M156),0-$M156)</f>
        <v>555.44000000000005</v>
      </c>
      <c r="AA156" s="70"/>
      <c r="AC156" s="138">
        <v>1724.94</v>
      </c>
      <c r="AD156" s="138">
        <v>2280.38</v>
      </c>
      <c r="AE156" s="138">
        <v>0</v>
      </c>
      <c r="AF156" s="172">
        <f t="shared" ref="AF156:AF160" si="421">IFERROR(($AC156-AD156)/ABS(AD156),0)</f>
        <v>-0.24357343951446689</v>
      </c>
      <c r="AG156" s="139">
        <f t="shared" ref="AG156:AG160" si="422">($AC156-AD156)</f>
        <v>-555.44000000000005</v>
      </c>
      <c r="AH156" s="172">
        <f t="shared" ref="AH156:AH160" si="423">IFERROR(($AC156-AE156)/ABS(AE156),0)</f>
        <v>0</v>
      </c>
      <c r="AI156" s="139">
        <f t="shared" ref="AI156:AI160" si="424">($AC156-AE156)</f>
        <v>1724.94</v>
      </c>
      <c r="AK156" s="79">
        <v>1724.94</v>
      </c>
      <c r="AL156" s="80">
        <f t="shared" si="396"/>
        <v>3.2593172382838773E-3</v>
      </c>
      <c r="AM156" s="79">
        <v>0</v>
      </c>
      <c r="AN156" s="80">
        <f t="shared" si="397"/>
        <v>0</v>
      </c>
      <c r="AO156" s="79">
        <v>0</v>
      </c>
      <c r="AP156" s="80">
        <f t="shared" si="398"/>
        <v>0</v>
      </c>
      <c r="AQ156" s="79">
        <v>2280.38</v>
      </c>
      <c r="AR156" s="81">
        <f t="shared" si="399"/>
        <v>1.2500181578734596E-2</v>
      </c>
      <c r="AS156" s="80">
        <f t="shared" ref="AS156:AS160" si="425">IFERROR((AM156-$AK156)/ABS($AK156),0)</f>
        <v>-1</v>
      </c>
      <c r="AT156" s="70">
        <f t="shared" ref="AT156:AT160" si="426">(AM156-$AK156)</f>
        <v>-1724.94</v>
      </c>
      <c r="AU156" s="80">
        <f t="shared" ref="AU156:AU160" si="427">IFERROR((AO156-$AK156)/ABS($AO156),0)</f>
        <v>0</v>
      </c>
      <c r="AV156" s="70">
        <f t="shared" ref="AV156:AV160" si="428">(AO156-$AK156)</f>
        <v>-1724.94</v>
      </c>
      <c r="AW156" s="80">
        <f t="shared" ref="AW156:AW160" si="429">IFERROR((AQ156-$AK156)/ABS($AK156),0)</f>
        <v>0.32200540308648418</v>
      </c>
      <c r="AX156" s="70">
        <f t="shared" ref="AX156:AX160" si="430">(AQ156-$AK156)</f>
        <v>555.44000000000005</v>
      </c>
      <c r="AY156" s="70"/>
      <c r="BA156" s="79">
        <v>0</v>
      </c>
      <c r="BB156" s="80">
        <f t="shared" si="406"/>
        <v>0</v>
      </c>
      <c r="BC156" s="79">
        <v>0</v>
      </c>
      <c r="BD156" s="80">
        <f t="shared" si="407"/>
        <v>0</v>
      </c>
      <c r="BE156" s="79">
        <v>27930.7</v>
      </c>
      <c r="BF156" s="81">
        <f t="shared" si="408"/>
        <v>5.8517171272226597E-3</v>
      </c>
      <c r="BG156" s="80">
        <f t="shared" ref="BG156:BG160" si="431">IFERROR((BC156-$BA156)/ABS($BA156),0)</f>
        <v>0</v>
      </c>
      <c r="BH156" s="70">
        <f t="shared" ref="BH156:BH160" si="432">(BC156-$BA156)</f>
        <v>0</v>
      </c>
      <c r="BI156" s="80">
        <f t="shared" ref="BI156:BI160" si="433">IFERROR((BE156-$BA156)/ABS($BA156),0)</f>
        <v>0</v>
      </c>
      <c r="BJ156" s="70">
        <f t="shared" ref="BJ156:BJ160" si="434">(BE156-$BA156)</f>
        <v>27930.7</v>
      </c>
      <c r="BK156" s="70"/>
    </row>
    <row r="157" spans="2:63" ht="11.95" thickBot="1" x14ac:dyDescent="0.3">
      <c r="B157" t="str">
        <f t="shared" si="414"/>
        <v>#showrow</v>
      </c>
      <c r="E157" s="3"/>
      <c r="F157" s="3"/>
      <c r="G157" s="3"/>
      <c r="H157" s="255" t="s">
        <v>176</v>
      </c>
      <c r="I157" s="18"/>
      <c r="J157" s="18"/>
      <c r="K157" s="18"/>
      <c r="L157" s="78"/>
      <c r="M157" s="79">
        <v>456.66</v>
      </c>
      <c r="N157" s="80">
        <f t="shared" si="386"/>
        <v>8.6287048247168918E-4</v>
      </c>
      <c r="O157" s="79"/>
      <c r="P157" s="80">
        <f t="shared" si="387"/>
        <v>0</v>
      </c>
      <c r="Q157" s="79"/>
      <c r="R157" s="80">
        <f t="shared" si="388"/>
        <v>0</v>
      </c>
      <c r="S157" s="79">
        <v>425.71</v>
      </c>
      <c r="T157" s="81">
        <f t="shared" si="389"/>
        <v>2.3335813767368175E-3</v>
      </c>
      <c r="U157" s="80">
        <f t="shared" si="415"/>
        <v>-1</v>
      </c>
      <c r="V157" s="70">
        <f t="shared" si="416"/>
        <v>-456.66</v>
      </c>
      <c r="W157" s="80">
        <f t="shared" si="417"/>
        <v>-1</v>
      </c>
      <c r="X157" s="70">
        <f t="shared" si="418"/>
        <v>-456.66</v>
      </c>
      <c r="Y157" s="80">
        <f t="shared" si="419"/>
        <v>-6.7774712039591914E-2</v>
      </c>
      <c r="Z157" s="70">
        <f t="shared" si="420"/>
        <v>-30.950000000000045</v>
      </c>
      <c r="AA157" s="70"/>
      <c r="AC157" s="138">
        <v>456.66</v>
      </c>
      <c r="AD157" s="138">
        <v>425.71</v>
      </c>
      <c r="AE157" s="138">
        <v>0</v>
      </c>
      <c r="AF157" s="172">
        <f t="shared" si="421"/>
        <v>7.2702074181954957E-2</v>
      </c>
      <c r="AG157" s="139">
        <f t="shared" si="422"/>
        <v>30.950000000000045</v>
      </c>
      <c r="AH157" s="172">
        <f t="shared" si="423"/>
        <v>0</v>
      </c>
      <c r="AI157" s="139">
        <f t="shared" si="424"/>
        <v>456.66</v>
      </c>
      <c r="AK157" s="79">
        <v>456.66</v>
      </c>
      <c r="AL157" s="80">
        <f t="shared" si="396"/>
        <v>8.6287048247168918E-4</v>
      </c>
      <c r="AM157" s="79">
        <v>0</v>
      </c>
      <c r="AN157" s="80">
        <f t="shared" si="397"/>
        <v>0</v>
      </c>
      <c r="AO157" s="79">
        <v>0</v>
      </c>
      <c r="AP157" s="80">
        <f t="shared" si="398"/>
        <v>0</v>
      </c>
      <c r="AQ157" s="79">
        <v>425.71</v>
      </c>
      <c r="AR157" s="81">
        <f t="shared" si="399"/>
        <v>2.3335813767368175E-3</v>
      </c>
      <c r="AS157" s="80">
        <f t="shared" si="425"/>
        <v>-1</v>
      </c>
      <c r="AT157" s="70">
        <f t="shared" si="426"/>
        <v>-456.66</v>
      </c>
      <c r="AU157" s="80">
        <f t="shared" si="427"/>
        <v>0</v>
      </c>
      <c r="AV157" s="70">
        <f t="shared" si="428"/>
        <v>-456.66</v>
      </c>
      <c r="AW157" s="80">
        <f t="shared" si="429"/>
        <v>-6.7774712039591914E-2</v>
      </c>
      <c r="AX157" s="70">
        <f t="shared" si="430"/>
        <v>-30.950000000000045</v>
      </c>
      <c r="AY157" s="70"/>
      <c r="BA157" s="79">
        <v>0</v>
      </c>
      <c r="BB157" s="80">
        <f t="shared" si="406"/>
        <v>0</v>
      </c>
      <c r="BC157" s="79">
        <v>0</v>
      </c>
      <c r="BD157" s="80">
        <f t="shared" si="407"/>
        <v>0</v>
      </c>
      <c r="BE157" s="79">
        <v>5647.79</v>
      </c>
      <c r="BF157" s="81">
        <f t="shared" si="408"/>
        <v>1.1832596202013149E-3</v>
      </c>
      <c r="BG157" s="80">
        <f t="shared" si="431"/>
        <v>0</v>
      </c>
      <c r="BH157" s="70">
        <f t="shared" si="432"/>
        <v>0</v>
      </c>
      <c r="BI157" s="80">
        <f t="shared" si="433"/>
        <v>0</v>
      </c>
      <c r="BJ157" s="70">
        <f t="shared" si="434"/>
        <v>5647.79</v>
      </c>
      <c r="BK157" s="70"/>
    </row>
    <row r="158" spans="2:63" ht="11.95" thickBot="1" x14ac:dyDescent="0.3">
      <c r="B158" t="str">
        <f t="shared" si="414"/>
        <v>#showrow</v>
      </c>
      <c r="E158" s="3"/>
      <c r="F158" s="3"/>
      <c r="G158" s="3"/>
      <c r="H158" s="255" t="s">
        <v>177</v>
      </c>
      <c r="I158" s="18"/>
      <c r="J158" s="18"/>
      <c r="K158" s="18"/>
      <c r="L158" s="78"/>
      <c r="M158" s="79">
        <v>2524.13</v>
      </c>
      <c r="N158" s="80">
        <f t="shared" si="386"/>
        <v>4.769406715984025E-3</v>
      </c>
      <c r="O158" s="79"/>
      <c r="P158" s="80">
        <f t="shared" si="387"/>
        <v>0</v>
      </c>
      <c r="Q158" s="79"/>
      <c r="R158" s="80">
        <f t="shared" si="388"/>
        <v>0</v>
      </c>
      <c r="S158" s="79">
        <v>1828.85</v>
      </c>
      <c r="T158" s="81">
        <f t="shared" si="389"/>
        <v>1.002506471740182E-2</v>
      </c>
      <c r="U158" s="80">
        <f t="shared" si="415"/>
        <v>-1</v>
      </c>
      <c r="V158" s="70">
        <f t="shared" si="416"/>
        <v>-2524.13</v>
      </c>
      <c r="W158" s="80">
        <f t="shared" si="417"/>
        <v>-1</v>
      </c>
      <c r="X158" s="70">
        <f t="shared" si="418"/>
        <v>-2524.13</v>
      </c>
      <c r="Y158" s="80">
        <f t="shared" si="419"/>
        <v>-0.27545332451181204</v>
      </c>
      <c r="Z158" s="70">
        <f t="shared" si="420"/>
        <v>-695.2800000000002</v>
      </c>
      <c r="AA158" s="70"/>
      <c r="AC158" s="138">
        <v>2524.13</v>
      </c>
      <c r="AD158" s="138">
        <v>1828.85</v>
      </c>
      <c r="AE158" s="138">
        <v>0</v>
      </c>
      <c r="AF158" s="172">
        <f t="shared" si="421"/>
        <v>0.38017333296880568</v>
      </c>
      <c r="AG158" s="139">
        <f t="shared" si="422"/>
        <v>695.2800000000002</v>
      </c>
      <c r="AH158" s="172">
        <f t="shared" si="423"/>
        <v>0</v>
      </c>
      <c r="AI158" s="139">
        <f t="shared" si="424"/>
        <v>2524.13</v>
      </c>
      <c r="AK158" s="79">
        <v>2524.13</v>
      </c>
      <c r="AL158" s="80">
        <f t="shared" si="396"/>
        <v>4.769406715984025E-3</v>
      </c>
      <c r="AM158" s="79">
        <v>0</v>
      </c>
      <c r="AN158" s="80">
        <f t="shared" si="397"/>
        <v>0</v>
      </c>
      <c r="AO158" s="79">
        <v>0</v>
      </c>
      <c r="AP158" s="80">
        <f t="shared" si="398"/>
        <v>0</v>
      </c>
      <c r="AQ158" s="79">
        <v>1828.85</v>
      </c>
      <c r="AR158" s="81">
        <f t="shared" si="399"/>
        <v>1.002506471740182E-2</v>
      </c>
      <c r="AS158" s="80">
        <f t="shared" si="425"/>
        <v>-1</v>
      </c>
      <c r="AT158" s="70">
        <f t="shared" si="426"/>
        <v>-2524.13</v>
      </c>
      <c r="AU158" s="80">
        <f t="shared" si="427"/>
        <v>0</v>
      </c>
      <c r="AV158" s="70">
        <f t="shared" si="428"/>
        <v>-2524.13</v>
      </c>
      <c r="AW158" s="80">
        <f t="shared" si="429"/>
        <v>-0.27545332451181204</v>
      </c>
      <c r="AX158" s="70">
        <f t="shared" si="430"/>
        <v>-695.2800000000002</v>
      </c>
      <c r="AY158" s="70"/>
      <c r="BA158" s="79">
        <v>0</v>
      </c>
      <c r="BB158" s="80">
        <f t="shared" si="406"/>
        <v>0</v>
      </c>
      <c r="BC158" s="79">
        <v>0</v>
      </c>
      <c r="BD158" s="80">
        <f t="shared" si="407"/>
        <v>0</v>
      </c>
      <c r="BE158" s="79">
        <v>25280.14</v>
      </c>
      <c r="BF158" s="81">
        <f t="shared" si="408"/>
        <v>5.2964024609689925E-3</v>
      </c>
      <c r="BG158" s="80">
        <f t="shared" si="431"/>
        <v>0</v>
      </c>
      <c r="BH158" s="70">
        <f t="shared" si="432"/>
        <v>0</v>
      </c>
      <c r="BI158" s="80">
        <f t="shared" si="433"/>
        <v>0</v>
      </c>
      <c r="BJ158" s="70">
        <f t="shared" si="434"/>
        <v>25280.14</v>
      </c>
      <c r="BK158" s="70"/>
    </row>
    <row r="159" spans="2:63" ht="11.95" thickBot="1" x14ac:dyDescent="0.3">
      <c r="B159" t="str">
        <f t="shared" si="414"/>
        <v>#showrow</v>
      </c>
      <c r="E159" s="3"/>
      <c r="F159" s="3"/>
      <c r="G159" s="3"/>
      <c r="H159" s="255" t="s">
        <v>178</v>
      </c>
      <c r="I159" s="18"/>
      <c r="J159" s="18"/>
      <c r="K159" s="18"/>
      <c r="L159" s="78"/>
      <c r="M159" s="79">
        <v>22526.63</v>
      </c>
      <c r="N159" s="80">
        <f t="shared" si="386"/>
        <v>4.2564630352037024E-2</v>
      </c>
      <c r="O159" s="79"/>
      <c r="P159" s="80">
        <f t="shared" si="387"/>
        <v>0</v>
      </c>
      <c r="Q159" s="79"/>
      <c r="R159" s="80">
        <f t="shared" si="388"/>
        <v>0</v>
      </c>
      <c r="S159" s="79">
        <v>21236.58</v>
      </c>
      <c r="T159" s="81">
        <f t="shared" si="389"/>
        <v>0.11641090787996893</v>
      </c>
      <c r="U159" s="80">
        <f t="shared" si="415"/>
        <v>-1</v>
      </c>
      <c r="V159" s="70">
        <f t="shared" si="416"/>
        <v>-22526.63</v>
      </c>
      <c r="W159" s="80">
        <f t="shared" si="417"/>
        <v>-1</v>
      </c>
      <c r="X159" s="70">
        <f t="shared" si="418"/>
        <v>-22526.63</v>
      </c>
      <c r="Y159" s="80">
        <f t="shared" si="419"/>
        <v>-5.7267775961162379E-2</v>
      </c>
      <c r="Z159" s="70">
        <f t="shared" si="420"/>
        <v>-1290.0499999999993</v>
      </c>
      <c r="AA159" s="70"/>
      <c r="AC159" s="138">
        <v>22526.63</v>
      </c>
      <c r="AD159" s="138">
        <v>21236.58</v>
      </c>
      <c r="AE159" s="138">
        <v>0</v>
      </c>
      <c r="AF159" s="172">
        <f t="shared" si="421"/>
        <v>6.0746598557771501E-2</v>
      </c>
      <c r="AG159" s="139">
        <f t="shared" si="422"/>
        <v>1290.0499999999993</v>
      </c>
      <c r="AH159" s="172">
        <f t="shared" si="423"/>
        <v>0</v>
      </c>
      <c r="AI159" s="139">
        <f t="shared" si="424"/>
        <v>22526.63</v>
      </c>
      <c r="AK159" s="79">
        <v>22526.63</v>
      </c>
      <c r="AL159" s="80">
        <f t="shared" si="396"/>
        <v>4.2564630352037024E-2</v>
      </c>
      <c r="AM159" s="79">
        <v>0</v>
      </c>
      <c r="AN159" s="80">
        <f t="shared" si="397"/>
        <v>0</v>
      </c>
      <c r="AO159" s="79">
        <v>0</v>
      </c>
      <c r="AP159" s="80">
        <f t="shared" si="398"/>
        <v>0</v>
      </c>
      <c r="AQ159" s="79">
        <v>21236.58</v>
      </c>
      <c r="AR159" s="81">
        <f t="shared" si="399"/>
        <v>0.11641090787996893</v>
      </c>
      <c r="AS159" s="80">
        <f t="shared" si="425"/>
        <v>-1</v>
      </c>
      <c r="AT159" s="70">
        <f t="shared" si="426"/>
        <v>-22526.63</v>
      </c>
      <c r="AU159" s="80">
        <f t="shared" si="427"/>
        <v>0</v>
      </c>
      <c r="AV159" s="70">
        <f t="shared" si="428"/>
        <v>-22526.63</v>
      </c>
      <c r="AW159" s="80">
        <f t="shared" si="429"/>
        <v>-5.7267775961162379E-2</v>
      </c>
      <c r="AX159" s="70">
        <f t="shared" si="430"/>
        <v>-1290.0499999999993</v>
      </c>
      <c r="AY159" s="70"/>
      <c r="BA159" s="79">
        <v>0</v>
      </c>
      <c r="BB159" s="80">
        <f t="shared" si="406"/>
        <v>0</v>
      </c>
      <c r="BC159" s="79">
        <v>0</v>
      </c>
      <c r="BD159" s="80">
        <f t="shared" si="407"/>
        <v>0</v>
      </c>
      <c r="BE159" s="79">
        <v>245682.03</v>
      </c>
      <c r="BF159" s="81">
        <f t="shared" si="408"/>
        <v>5.147245657294057E-2</v>
      </c>
      <c r="BG159" s="80">
        <f t="shared" si="431"/>
        <v>0</v>
      </c>
      <c r="BH159" s="70">
        <f t="shared" si="432"/>
        <v>0</v>
      </c>
      <c r="BI159" s="80">
        <f t="shared" si="433"/>
        <v>0</v>
      </c>
      <c r="BJ159" s="70">
        <f t="shared" si="434"/>
        <v>245682.03</v>
      </c>
      <c r="BK159" s="70"/>
    </row>
    <row r="160" spans="2:63" ht="11.95" thickBot="1" x14ac:dyDescent="0.3">
      <c r="B160" t="str">
        <f t="shared" si="414"/>
        <v>#showrow</v>
      </c>
      <c r="E160" s="3"/>
      <c r="F160" s="3"/>
      <c r="G160" s="3"/>
      <c r="H160" s="255" t="s">
        <v>179</v>
      </c>
      <c r="I160" s="18"/>
      <c r="J160" s="18"/>
      <c r="K160" s="18"/>
      <c r="L160" s="78"/>
      <c r="M160" s="79">
        <v>5045.78</v>
      </c>
      <c r="N160" s="80">
        <f t="shared" si="386"/>
        <v>9.5341274099899256E-3</v>
      </c>
      <c r="O160" s="79"/>
      <c r="P160" s="80">
        <f t="shared" si="387"/>
        <v>0</v>
      </c>
      <c r="Q160" s="79"/>
      <c r="R160" s="80">
        <f t="shared" si="388"/>
        <v>0</v>
      </c>
      <c r="S160" s="79">
        <v>5039.8500000000004</v>
      </c>
      <c r="T160" s="81">
        <f t="shared" si="389"/>
        <v>2.7626553525984948E-2</v>
      </c>
      <c r="U160" s="80">
        <f t="shared" si="415"/>
        <v>-1</v>
      </c>
      <c r="V160" s="70">
        <f t="shared" si="416"/>
        <v>-5045.78</v>
      </c>
      <c r="W160" s="80">
        <f t="shared" si="417"/>
        <v>-1</v>
      </c>
      <c r="X160" s="70">
        <f t="shared" si="418"/>
        <v>-5045.78</v>
      </c>
      <c r="Y160" s="80">
        <f t="shared" si="419"/>
        <v>-1.1752395070731148E-3</v>
      </c>
      <c r="Z160" s="70">
        <f t="shared" si="420"/>
        <v>-5.9299999999993815</v>
      </c>
      <c r="AA160" s="70"/>
      <c r="AC160" s="138">
        <v>5045.78</v>
      </c>
      <c r="AD160" s="138">
        <v>5039.8500000000004</v>
      </c>
      <c r="AE160" s="138">
        <v>0</v>
      </c>
      <c r="AF160" s="172">
        <f t="shared" si="421"/>
        <v>1.1766223201086106E-3</v>
      </c>
      <c r="AG160" s="139">
        <f t="shared" si="422"/>
        <v>5.9299999999993815</v>
      </c>
      <c r="AH160" s="172">
        <f t="shared" si="423"/>
        <v>0</v>
      </c>
      <c r="AI160" s="139">
        <f t="shared" si="424"/>
        <v>5045.78</v>
      </c>
      <c r="AK160" s="79">
        <v>5045.78</v>
      </c>
      <c r="AL160" s="80">
        <f t="shared" si="396"/>
        <v>9.5341274099899256E-3</v>
      </c>
      <c r="AM160" s="79">
        <v>0</v>
      </c>
      <c r="AN160" s="80">
        <f t="shared" si="397"/>
        <v>0</v>
      </c>
      <c r="AO160" s="79">
        <v>0</v>
      </c>
      <c r="AP160" s="80">
        <f t="shared" si="398"/>
        <v>0</v>
      </c>
      <c r="AQ160" s="79">
        <v>5039.8500000000004</v>
      </c>
      <c r="AR160" s="81">
        <f t="shared" si="399"/>
        <v>2.7626553525984948E-2</v>
      </c>
      <c r="AS160" s="80">
        <f t="shared" si="425"/>
        <v>-1</v>
      </c>
      <c r="AT160" s="70">
        <f t="shared" si="426"/>
        <v>-5045.78</v>
      </c>
      <c r="AU160" s="80">
        <f t="shared" si="427"/>
        <v>0</v>
      </c>
      <c r="AV160" s="70">
        <f t="shared" si="428"/>
        <v>-5045.78</v>
      </c>
      <c r="AW160" s="80">
        <f t="shared" si="429"/>
        <v>-1.1752395070731148E-3</v>
      </c>
      <c r="AX160" s="70">
        <f t="shared" si="430"/>
        <v>-5.9299999999993815</v>
      </c>
      <c r="AY160" s="70"/>
      <c r="BA160" s="79">
        <v>0</v>
      </c>
      <c r="BB160" s="80">
        <f t="shared" si="406"/>
        <v>0</v>
      </c>
      <c r="BC160" s="79">
        <v>0</v>
      </c>
      <c r="BD160" s="80">
        <f t="shared" si="407"/>
        <v>0</v>
      </c>
      <c r="BE160" s="79">
        <v>65585.570000000007</v>
      </c>
      <c r="BF160" s="81">
        <f t="shared" si="408"/>
        <v>1.3740729851656445E-2</v>
      </c>
      <c r="BG160" s="80">
        <f t="shared" si="431"/>
        <v>0</v>
      </c>
      <c r="BH160" s="70">
        <f t="shared" si="432"/>
        <v>0</v>
      </c>
      <c r="BI160" s="80">
        <f t="shared" si="433"/>
        <v>0</v>
      </c>
      <c r="BJ160" s="70">
        <f t="shared" si="434"/>
        <v>65585.570000000007</v>
      </c>
      <c r="BK160" s="70"/>
    </row>
    <row r="161" spans="2:63" ht="11.95" x14ac:dyDescent="0.25">
      <c r="E161" s="19"/>
      <c r="F161" s="19"/>
      <c r="G161" s="19"/>
      <c r="H161" s="19" t="s">
        <v>84</v>
      </c>
      <c r="I161" s="85"/>
      <c r="J161" s="85"/>
      <c r="K161" s="85"/>
      <c r="L161" s="144">
        <v>-1</v>
      </c>
      <c r="M161" s="85">
        <f>SUMIFS(M154:M155,$I154:$I155,"&lt;&gt;"&amp;$I$29,$E154:$E155,"&lt;&gt;*[-]*",$F154:$F155,"&lt;&gt;*[-]*",$G154:$G155,"&lt;&gt;*[-]*",$H154:$H155,"Depreciation &amp; Amortization")</f>
        <v>32278.14</v>
      </c>
      <c r="N161" s="86"/>
      <c r="O161" s="85">
        <f>SUMIFS(O154:O155,$I154:$I155,"&lt;&gt;"&amp;$I$29,$E154:$E155,"&lt;&gt;*[-]*",$F154:$F155,"&lt;&gt;*[-]*",$G154:$G155,"&lt;&gt;*[-]*",$H154:$H155,"Depreciation &amp; Amortization")</f>
        <v>0</v>
      </c>
      <c r="P161" s="86"/>
      <c r="Q161" s="85">
        <f>SUMIFS(Q154:Q155,$I154:$I155,"&lt;&gt;"&amp;$I$29,$E154:$E155,"&lt;&gt;*[-]*",$F154:$F155,"&lt;&gt;*[-]*",$G154:$G155,"&lt;&gt;*[-]*",$H154:$H155,"Depreciation &amp; Amortization")</f>
        <v>0</v>
      </c>
      <c r="R161" s="86"/>
      <c r="S161" s="85">
        <f>SUMIFS(S154:S155,$I154:$I155,"&lt;&gt;"&amp;$I$29,$E154:$E155,"&lt;&gt;*[-]*",$F154:$F155,"&lt;&gt;*[-]*",$G154:$G155,"&lt;&gt;*[-]*",$H154:$H155,"Depreciation &amp; Amortization")</f>
        <v>30811.37</v>
      </c>
      <c r="T161" s="86">
        <f t="shared" si="389"/>
        <v>0.16889628907882709</v>
      </c>
      <c r="U161" s="86">
        <f>IFERROR(($O161-M161)/ABS(M161),0)</f>
        <v>-1</v>
      </c>
      <c r="V161" s="87">
        <f>IFERROR((O161-$M161), 0-$M161)</f>
        <v>-32278.14</v>
      </c>
      <c r="W161" s="86">
        <f>IFERROR((Q161-$M161)/ABS($M161),0)</f>
        <v>-1</v>
      </c>
      <c r="X161" s="87">
        <f>IFERROR((Q161-$M161), 0 -$M161)</f>
        <v>-32278.14</v>
      </c>
      <c r="Y161" s="86">
        <f>IFERROR((S161-$M161)/ABS($M161),0)</f>
        <v>-4.5441589880953502E-2</v>
      </c>
      <c r="Z161" s="87">
        <f>IFERROR((S161-$M161),0-$M161)</f>
        <v>-1466.7700000000004</v>
      </c>
      <c r="AA161" s="87"/>
      <c r="AC161" s="142">
        <f>SUMIFS(AC154:AC155,$I154:$I155,"&lt;&gt;"&amp;$I$29,$E154:$E155,"&lt;&gt;*[-]*",$F154:$F155,"&lt;&gt;*[-]*",$G154:$G155,"&lt;&gt;*[-]*",$H154:$H155,"Depreciation &amp; Amortization")</f>
        <v>32278.14</v>
      </c>
      <c r="AD161" s="142">
        <f>SUMIFS(AD154:AD155,$I154:$I155,"&lt;&gt;"&amp;$I$29,$E154:$E155,"&lt;&gt;*[-]*",$F154:$F155,"&lt;&gt;*[-]*",$G154:$G155,"&lt;&gt;*[-]*",$H154:$H155,"Depreciation &amp; Amortization")</f>
        <v>30811.37</v>
      </c>
      <c r="AE161" s="142">
        <f>SUMIFS(AE154:AE155,$I154:$I155,"&lt;&gt;"&amp;$I$29,$E154:$E155,"&lt;&gt;*[-]*",$F154:$F155,"&lt;&gt;*[-]*",$G154:$G155,"&lt;&gt;*[-]*",$H154:$H155,"Depreciation &amp; Amortization")</f>
        <v>0</v>
      </c>
      <c r="AF161" s="173">
        <f t="shared" si="413"/>
        <v>4.7604828996568489E-2</v>
      </c>
      <c r="AG161" s="143">
        <f>($AC161-AD161)</f>
        <v>1466.7700000000004</v>
      </c>
      <c r="AH161" s="173">
        <f>IFERROR(($AC161-AE161)/ABS(AE161),0)</f>
        <v>0</v>
      </c>
      <c r="AI161" s="143">
        <f>($AC161-AE161)</f>
        <v>32278.14</v>
      </c>
      <c r="AK161" s="85">
        <f>SUMIFS(AK154:AK155,$I154:$I155,"&lt;&gt;"&amp;$I$29,$E154:$E155,"&lt;&gt;*[-]*",$F154:$F155,"&lt;&gt;*[-]*",$G154:$G155,"&lt;&gt;*[-]*",$H154:$H155,"Depreciation &amp; Amortization")</f>
        <v>32278.14</v>
      </c>
      <c r="AL161" s="86">
        <f t="shared" si="396"/>
        <v>6.0990352198766536E-2</v>
      </c>
      <c r="AM161" s="85">
        <f>SUMIFS(AM154:AM155,$I154:$I155,"&lt;&gt;"&amp;$I$29,$E154:$E155,"&lt;&gt;*[-]*",$F154:$F155,"&lt;&gt;*[-]*",$G154:$G155,"&lt;&gt;*[-]*",$H154:$H155,"Depreciation &amp; Amortization")</f>
        <v>0</v>
      </c>
      <c r="AN161" s="86">
        <f t="shared" si="397"/>
        <v>0</v>
      </c>
      <c r="AO161" s="85">
        <f>SUMIFS(AO154:AO155,$I154:$I155,"&lt;&gt;"&amp;$I$29,$E154:$E155,"&lt;&gt;*[-]*",$F154:$F155,"&lt;&gt;*[-]*",$G154:$G155,"&lt;&gt;*[-]*",$H154:$H155,"Depreciation &amp; Amortization")</f>
        <v>0</v>
      </c>
      <c r="AP161" s="86">
        <f t="shared" si="398"/>
        <v>0</v>
      </c>
      <c r="AQ161" s="85">
        <f>SUMIFS(AQ154:AQ155,$I154:$I155,"&lt;&gt;"&amp;$I$29,$E154:$E155,"&lt;&gt;*[-]*",$F154:$F155,"&lt;&gt;*[-]*",$G154:$G155,"&lt;&gt;*[-]*",$H154:$H155,"Depreciation &amp; Amortization")</f>
        <v>30811.37</v>
      </c>
      <c r="AR161" s="86">
        <f t="shared" si="399"/>
        <v>0.16889628907882709</v>
      </c>
      <c r="AS161" s="86">
        <f>IFERROR((AM161-$AK161)/ABS($AK161),0)</f>
        <v>-1</v>
      </c>
      <c r="AT161" s="87">
        <f>(AM161-$AK161)</f>
        <v>-32278.14</v>
      </c>
      <c r="AU161" s="86">
        <f>IFERROR((AO161-$AK161)/ABS($AO161),0)</f>
        <v>0</v>
      </c>
      <c r="AV161" s="87">
        <f>(AO161-$AK161)</f>
        <v>-32278.14</v>
      </c>
      <c r="AW161" s="86">
        <f>IFERROR((AQ161-$AK161)/ABS($AK161),0)</f>
        <v>-4.5441589880953502E-2</v>
      </c>
      <c r="AX161" s="87">
        <f>(AQ161-$AK161)</f>
        <v>-1466.7700000000004</v>
      </c>
      <c r="AY161" s="87"/>
      <c r="BA161" s="85">
        <f>SUMIFS(BA154:BA155,$I154:$I155,"&lt;&gt;"&amp;$I$29,$E154:$E155,"&lt;&gt;*[-]*",$F154:$F155,"&lt;&gt;*[-]*",$G154:$G155,"&lt;&gt;*[-]*",$H154:$H155,"Depreciation &amp; Amortization")</f>
        <v>0</v>
      </c>
      <c r="BB161" s="86">
        <f t="shared" si="406"/>
        <v>0</v>
      </c>
      <c r="BC161" s="85">
        <f>SUMIFS(BC154:BC155,$I154:$I155,"&lt;&gt;"&amp;$I$29,$E154:$E155,"&lt;&gt;*[-]*",$F154:$F155,"&lt;&gt;*[-]*",$G154:$G155,"&lt;&gt;*[-]*",$H154:$H155,"Depreciation &amp; Amortization")</f>
        <v>0</v>
      </c>
      <c r="BD161" s="86">
        <f t="shared" si="407"/>
        <v>0</v>
      </c>
      <c r="BE161" s="85">
        <f>SUMIFS(BE154:BE155,$I154:$I155,"&lt;&gt;"&amp;$I$29,$E154:$E155,"&lt;&gt;*[-]*",$F154:$F155,"&lt;&gt;*[-]*",$G154:$G155,"&lt;&gt;*[-]*",$H154:$H155,"Depreciation &amp; Amortization")</f>
        <v>370126.23</v>
      </c>
      <c r="BF161" s="86">
        <f t="shared" si="408"/>
        <v>7.7544565632989976E-2</v>
      </c>
      <c r="BG161" s="86">
        <f>IFERROR((BC161-$BA161)/ABS($BA161),0)</f>
        <v>0</v>
      </c>
      <c r="BH161" s="87">
        <f>(BC161-$BA161)</f>
        <v>0</v>
      </c>
      <c r="BI161" s="86">
        <f>IFERROR((BE161-$BA161)/ABS($BA161),0)</f>
        <v>0</v>
      </c>
      <c r="BJ161" s="87">
        <f>(BE161-$BA161)</f>
        <v>370126.23</v>
      </c>
      <c r="BK161" s="87"/>
    </row>
    <row r="162" spans="2:63" x14ac:dyDescent="0.25">
      <c r="N162" s="145"/>
      <c r="P162" s="145"/>
      <c r="R162" s="145"/>
      <c r="T162" s="145"/>
      <c r="U162" s="145"/>
      <c r="V162" s="84"/>
      <c r="W162" s="145"/>
      <c r="X162" s="84"/>
      <c r="Y162" s="145"/>
      <c r="Z162" s="84"/>
      <c r="AA162" s="84"/>
      <c r="AF162" s="169"/>
      <c r="AG162" s="140"/>
      <c r="AH162" s="169"/>
      <c r="AI162" s="140"/>
      <c r="AL162" s="145"/>
      <c r="AN162" s="145"/>
      <c r="AP162" s="145"/>
      <c r="AR162" s="145"/>
      <c r="AS162" s="145"/>
      <c r="AT162" s="84"/>
      <c r="AU162" s="145"/>
      <c r="AV162" s="84"/>
      <c r="AW162" s="145"/>
      <c r="AX162" s="84"/>
      <c r="AY162" s="84"/>
      <c r="BB162" s="145"/>
      <c r="BD162" s="145"/>
      <c r="BF162" s="145"/>
      <c r="BG162" s="145"/>
      <c r="BH162" s="84"/>
      <c r="BI162" s="145"/>
      <c r="BJ162" s="84"/>
      <c r="BK162" s="84"/>
    </row>
    <row r="163" spans="2:63" ht="12.45" thickBot="1" x14ac:dyDescent="0.3">
      <c r="E163" s="4"/>
      <c r="F163" s="4"/>
      <c r="G163" s="4"/>
      <c r="H163" s="4" t="s">
        <v>29</v>
      </c>
      <c r="I163" s="4"/>
      <c r="J163" s="5"/>
      <c r="K163" s="5"/>
      <c r="L163" s="5"/>
      <c r="M163" s="5"/>
      <c r="N163" s="152"/>
      <c r="O163" s="5"/>
      <c r="P163" s="152"/>
      <c r="Q163" s="5"/>
      <c r="R163" s="152"/>
      <c r="S163" s="5"/>
      <c r="T163" s="152"/>
      <c r="U163" s="152"/>
      <c r="V163" s="75"/>
      <c r="W163" s="152"/>
      <c r="X163" s="75"/>
      <c r="Y163" s="152"/>
      <c r="Z163" s="75"/>
      <c r="AA163" s="75"/>
      <c r="AC163" s="133"/>
      <c r="AD163" s="133"/>
      <c r="AE163" s="133"/>
      <c r="AF163" s="171"/>
      <c r="AG163" s="134"/>
      <c r="AH163" s="171"/>
      <c r="AI163" s="134"/>
      <c r="AK163" s="5"/>
      <c r="AL163" s="152"/>
      <c r="AM163" s="5"/>
      <c r="AN163" s="152"/>
      <c r="AO163" s="5"/>
      <c r="AP163" s="152"/>
      <c r="AQ163" s="5"/>
      <c r="AR163" s="152"/>
      <c r="AS163" s="152"/>
      <c r="AT163" s="75"/>
      <c r="AU163" s="152"/>
      <c r="AV163" s="75"/>
      <c r="AW163" s="152"/>
      <c r="AX163" s="75"/>
      <c r="AY163" s="75"/>
      <c r="BA163" s="5"/>
      <c r="BB163" s="152"/>
      <c r="BC163" s="5"/>
      <c r="BD163" s="152"/>
      <c r="BE163" s="5"/>
      <c r="BF163" s="152"/>
      <c r="BG163" s="152"/>
      <c r="BH163" s="75"/>
      <c r="BI163" s="152"/>
      <c r="BJ163" s="75"/>
      <c r="BK163" s="75"/>
    </row>
    <row r="164" spans="2:63" ht="11.95" hidden="1" thickBot="1" x14ac:dyDescent="0.3">
      <c r="B164" t="s">
        <v>1</v>
      </c>
      <c r="E164" s="3"/>
      <c r="F164" s="3"/>
      <c r="G164" s="3"/>
      <c r="H164" s="3" t="s">
        <v>119</v>
      </c>
      <c r="I164" s="18"/>
      <c r="J164" s="18"/>
      <c r="K164" s="18"/>
      <c r="L164" s="78"/>
      <c r="M164" s="79">
        <v>0</v>
      </c>
      <c r="N164" s="80">
        <f>IFERROR(M164/SUMIFS(M:M, $H:$H, "Net Sales"),0)</f>
        <v>0</v>
      </c>
      <c r="O164" s="79">
        <v>0</v>
      </c>
      <c r="P164" s="80">
        <f>IFERROR(O164/SUMIFS(O:O, $H:$H, "Net Sales"),0)</f>
        <v>0</v>
      </c>
      <c r="Q164" s="79">
        <v>0</v>
      </c>
      <c r="R164" s="80">
        <f>IFERROR(Q164/SUMIFS(Q:Q, $H:$H, "Net Sales"),0)</f>
        <v>0</v>
      </c>
      <c r="S164" s="79">
        <v>0</v>
      </c>
      <c r="T164" s="81">
        <f>IFERROR(S164/SUMIFS(S:S, $H:$H, "Net Sales"),0)</f>
        <v>0</v>
      </c>
      <c r="U164" s="80">
        <f t="shared" ref="U164:U165" si="435">IFERROR(($O164-M164)/ABS(M164),0)</f>
        <v>0</v>
      </c>
      <c r="V164" s="70">
        <f t="shared" ref="V164:V165" si="436">IFERROR((O164-$M164), 0-$M164)</f>
        <v>0</v>
      </c>
      <c r="W164" s="80">
        <f t="shared" ref="W164:W165" si="437">IFERROR((Q164-$M164)/ABS($M164),0)</f>
        <v>0</v>
      </c>
      <c r="X164" s="70">
        <f t="shared" ref="X164:X165" si="438">IFERROR((Q164-$M164), 0 -$M164)</f>
        <v>0</v>
      </c>
      <c r="Y164" s="80">
        <f t="shared" ref="Y164:Y165" si="439">IFERROR((S164-$M164)/ABS($M164),0)</f>
        <v>0</v>
      </c>
      <c r="Z164" s="70">
        <f t="shared" ref="Z164:Z165" si="440">IFERROR((S164-$M164),0-$M164)</f>
        <v>0</v>
      </c>
      <c r="AA164" s="70"/>
      <c r="AC164" s="138">
        <v>0</v>
      </c>
      <c r="AD164" s="138">
        <v>0</v>
      </c>
      <c r="AE164" s="138">
        <v>0</v>
      </c>
      <c r="AF164" s="172"/>
      <c r="AG164" s="139"/>
      <c r="AH164" s="172"/>
      <c r="AI164" s="139"/>
      <c r="AK164" s="79">
        <v>0</v>
      </c>
      <c r="AL164" s="80">
        <f>IFERROR(AK164/SUMIFS(AK:AK, $H:$H, "Net Sales"),0)</f>
        <v>0</v>
      </c>
      <c r="AM164" s="79">
        <v>0</v>
      </c>
      <c r="AN164" s="80">
        <f>IFERROR(AM164/SUMIFS(AM:AM, $H:$H, "Net Sales"),0)</f>
        <v>0</v>
      </c>
      <c r="AO164" s="79">
        <v>0</v>
      </c>
      <c r="AP164" s="80">
        <f>IFERROR(AO164/SUMIFS(AO:AO, $H:$H, "Net Sales"),0)</f>
        <v>0</v>
      </c>
      <c r="AQ164" s="79">
        <v>0</v>
      </c>
      <c r="AR164" s="81">
        <f>IFERROR(AQ164/SUMIFS(AQ:AQ, $H:$H, "Net Sales"),0)</f>
        <v>0</v>
      </c>
      <c r="AS164" s="80">
        <f t="shared" ref="AS164:AS165" si="441">IFERROR((AM164-$AK164)/ABS($AK164),0)</f>
        <v>0</v>
      </c>
      <c r="AT164" s="70">
        <f t="shared" ref="AT164:AT165" si="442">(AM164-$AK164)</f>
        <v>0</v>
      </c>
      <c r="AU164" s="80">
        <f t="shared" ref="AU164:AU165" si="443">IFERROR((AO164-$AK164)/ABS($AO164),0)</f>
        <v>0</v>
      </c>
      <c r="AV164" s="70">
        <f t="shared" ref="AV164:AV165" si="444">(AO164-$AK164)</f>
        <v>0</v>
      </c>
      <c r="AW164" s="80">
        <f t="shared" ref="AW164:AW165" si="445">IFERROR((AQ164-$AK164)/ABS($AK164),0)</f>
        <v>0</v>
      </c>
      <c r="AX164" s="70">
        <f t="shared" ref="AX164:AX165" si="446">(AQ164-$AK164)</f>
        <v>0</v>
      </c>
      <c r="AY164" s="70"/>
      <c r="BA164" s="79">
        <v>0</v>
      </c>
      <c r="BB164" s="80">
        <f>IFERROR(BA164/SUMIFS(BA:BA, $H:$H, "Net Sales"),0)</f>
        <v>0</v>
      </c>
      <c r="BC164" s="79">
        <v>0</v>
      </c>
      <c r="BD164" s="80">
        <f>IFERROR(BC164/SUMIFS(BC:BC, $H:$H, "Net Sales"),0)</f>
        <v>0</v>
      </c>
      <c r="BE164" s="79">
        <v>0</v>
      </c>
      <c r="BF164" s="81">
        <f>IFERROR(BE164/SUMIFS(BE:BE, $H:$H, "Net Sales"),0)</f>
        <v>0</v>
      </c>
      <c r="BG164" s="80">
        <f t="shared" ref="BG164:BG165" si="447">IFERROR((BC164-$BA164)/ABS($BA164),0)</f>
        <v>0</v>
      </c>
      <c r="BH164" s="70">
        <f t="shared" ref="BH164:BH165" si="448">(BC164-$BA164)</f>
        <v>0</v>
      </c>
      <c r="BI164" s="80">
        <f t="shared" ref="BI164:BI165" si="449">IFERROR((BE164-$BA164)/ABS($BA164),0)</f>
        <v>0</v>
      </c>
      <c r="BJ164" s="70">
        <f t="shared" ref="BJ164:BJ165" si="450">(BE164-$BA164)</f>
        <v>0</v>
      </c>
      <c r="BK164" s="70"/>
    </row>
    <row r="165" spans="2:63" ht="11.95" hidden="1" thickBot="1" x14ac:dyDescent="0.3">
      <c r="B165" t="str">
        <f>IF(LEFT(H165,3)="Mul", "#hiderow", "#showrow")</f>
        <v>#hiderow</v>
      </c>
      <c r="E165" s="3"/>
      <c r="F165" s="3"/>
      <c r="G165" s="3"/>
      <c r="H165" s="255" t="s">
        <v>6</v>
      </c>
      <c r="I165" s="18"/>
      <c r="J165" s="18"/>
      <c r="K165" s="18"/>
      <c r="L165" s="78"/>
      <c r="M165" s="79"/>
      <c r="N165" s="80">
        <f>IFERROR(M165/SUMIFS(M:M, $H:$H, "Net Sales"),0)</f>
        <v>0</v>
      </c>
      <c r="O165" s="79">
        <v>0</v>
      </c>
      <c r="P165" s="80">
        <f>IFERROR(O165/SUMIFS(O:O, $H:$H, "Net Sales"),0)</f>
        <v>0</v>
      </c>
      <c r="Q165" s="79">
        <v>0</v>
      </c>
      <c r="R165" s="80">
        <f>IFERROR(Q165/SUMIFS(Q:Q, $H:$H, "Net Sales"),0)</f>
        <v>0</v>
      </c>
      <c r="S165" s="79"/>
      <c r="T165" s="81">
        <f>IFERROR(S165/SUMIFS(S:S, $H:$H, "Net Sales"),0)</f>
        <v>0</v>
      </c>
      <c r="U165" s="80">
        <f t="shared" si="435"/>
        <v>0</v>
      </c>
      <c r="V165" s="70">
        <f t="shared" si="436"/>
        <v>0</v>
      </c>
      <c r="W165" s="80">
        <f t="shared" si="437"/>
        <v>0</v>
      </c>
      <c r="X165" s="70">
        <f t="shared" si="438"/>
        <v>0</v>
      </c>
      <c r="Y165" s="80">
        <f t="shared" si="439"/>
        <v>0</v>
      </c>
      <c r="Z165" s="70">
        <f t="shared" si="440"/>
        <v>0</v>
      </c>
      <c r="AA165" s="70"/>
      <c r="AC165" s="138"/>
      <c r="AD165" s="138"/>
      <c r="AE165" s="138"/>
      <c r="AF165" s="172">
        <f t="shared" ref="AF165:AF166" si="451">IFERROR(($AC165-AD165)/ABS(AD165),0)</f>
        <v>0</v>
      </c>
      <c r="AG165" s="139">
        <f>($AC165-AD165)</f>
        <v>0</v>
      </c>
      <c r="AH165" s="172">
        <f>IFERROR(($AC165-AE165)/ABS(AE165),0)</f>
        <v>0</v>
      </c>
      <c r="AI165" s="139">
        <f>($AC165-AE165)</f>
        <v>0</v>
      </c>
      <c r="AK165" s="79"/>
      <c r="AL165" s="80">
        <f>IFERROR(AK165/SUMIFS(AK:AK, $H:$H, "Net Sales"),0)</f>
        <v>0</v>
      </c>
      <c r="AM165" s="79"/>
      <c r="AN165" s="80">
        <f>IFERROR(AM165/SUMIFS(AM:AM, $H:$H, "Net Sales"),0)</f>
        <v>0</v>
      </c>
      <c r="AO165" s="79"/>
      <c r="AP165" s="80">
        <f>IFERROR(AO165/SUMIFS(AO:AO, $H:$H, "Net Sales"),0)</f>
        <v>0</v>
      </c>
      <c r="AQ165" s="79"/>
      <c r="AR165" s="81">
        <f>IFERROR(AQ165/SUMIFS(AQ:AQ, $H:$H, "Net Sales"),0)</f>
        <v>0</v>
      </c>
      <c r="AS165" s="80">
        <f t="shared" si="441"/>
        <v>0</v>
      </c>
      <c r="AT165" s="70">
        <f t="shared" si="442"/>
        <v>0</v>
      </c>
      <c r="AU165" s="80">
        <f t="shared" si="443"/>
        <v>0</v>
      </c>
      <c r="AV165" s="70">
        <f t="shared" si="444"/>
        <v>0</v>
      </c>
      <c r="AW165" s="80">
        <f t="shared" si="445"/>
        <v>0</v>
      </c>
      <c r="AX165" s="70">
        <f t="shared" si="446"/>
        <v>0</v>
      </c>
      <c r="AY165" s="70"/>
      <c r="BA165" s="79"/>
      <c r="BB165" s="80">
        <f>IFERROR(BA165/SUMIFS(BA:BA, $H:$H, "Net Sales"),0)</f>
        <v>0</v>
      </c>
      <c r="BC165" s="79"/>
      <c r="BD165" s="80">
        <f>IFERROR(BC165/SUMIFS(BC:BC, $H:$H, "Net Sales"),0)</f>
        <v>0</v>
      </c>
      <c r="BE165" s="79"/>
      <c r="BF165" s="81">
        <f>IFERROR(BE165/SUMIFS(BE:BE, $H:$H, "Net Sales"),0)</f>
        <v>0</v>
      </c>
      <c r="BG165" s="80">
        <f t="shared" si="447"/>
        <v>0</v>
      </c>
      <c r="BH165" s="70">
        <f t="shared" si="448"/>
        <v>0</v>
      </c>
      <c r="BI165" s="80">
        <f t="shared" si="449"/>
        <v>0</v>
      </c>
      <c r="BJ165" s="70">
        <f t="shared" si="450"/>
        <v>0</v>
      </c>
      <c r="BK165" s="70"/>
    </row>
    <row r="166" spans="2:63" ht="11.95" x14ac:dyDescent="0.25">
      <c r="E166" s="19"/>
      <c r="F166" s="19"/>
      <c r="G166" s="19"/>
      <c r="H166" s="19" t="s">
        <v>85</v>
      </c>
      <c r="I166" s="85"/>
      <c r="J166" s="85"/>
      <c r="K166" s="85"/>
      <c r="L166" s="144">
        <v>-1</v>
      </c>
      <c r="M166" s="85">
        <f>SUMIFS(M164:M165,$I164:$I165,"&lt;&gt;"&amp;$I$29,$E164:$E165,"&lt;&gt;*[-]*",$F164:$F165,"&lt;&gt;*[-]*",$G164:$G165,"&lt;&gt;*[-]*",$H164:$H165,"Restructuring")</f>
        <v>0</v>
      </c>
      <c r="N166" s="86"/>
      <c r="O166" s="85">
        <f>SUMIFS(O164:O165,$I164:$I165,"&lt;&gt;"&amp;$I$29,$E164:$E165,"&lt;&gt;*[-]*",$F164:$F165,"&lt;&gt;*[-]*",$G164:$G165,"&lt;&gt;*[-]*",$H164:$H165,"Restructuring")</f>
        <v>0</v>
      </c>
      <c r="P166" s="86"/>
      <c r="Q166" s="85">
        <f>SUMIFS(Q164:Q165,$I164:$I165,"&lt;&gt;"&amp;$I$29,$E164:$E165,"&lt;&gt;*[-]*",$F164:$F165,"&lt;&gt;*[-]*",$G164:$G165,"&lt;&gt;*[-]*",$H164:$H165,"Restructuring")</f>
        <v>0</v>
      </c>
      <c r="R166" s="86"/>
      <c r="S166" s="85">
        <f>SUMIFS(S164:S165,$I164:$I165,"&lt;&gt;"&amp;$I$29,$E164:$E165,"&lt;&gt;*[-]*",$F164:$F165,"&lt;&gt;*[-]*",$G164:$G165,"&lt;&gt;*[-]*",$H164:$H165,"Restructuring")</f>
        <v>0</v>
      </c>
      <c r="T166" s="86">
        <f>IFERROR(S166/SUMIFS(S:S, $H:$H, "Net Sales"),0)</f>
        <v>0</v>
      </c>
      <c r="U166" s="86">
        <f>IFERROR(($O166-M166)/ABS(M166),0)</f>
        <v>0</v>
      </c>
      <c r="V166" s="87">
        <f>IFERROR((O166-$M166), 0-$M166)</f>
        <v>0</v>
      </c>
      <c r="W166" s="86">
        <f>IFERROR((Q166-$M166)/ABS($M166),0)</f>
        <v>0</v>
      </c>
      <c r="X166" s="87">
        <f>IFERROR((Q166-$M166), 0 -$M166)</f>
        <v>0</v>
      </c>
      <c r="Y166" s="86">
        <f>IFERROR((S166-$M166)/ABS($M166),0)</f>
        <v>0</v>
      </c>
      <c r="Z166" s="87">
        <f>IFERROR((S166-$M166),0-$M166)</f>
        <v>0</v>
      </c>
      <c r="AA166" s="87"/>
      <c r="AC166" s="142">
        <f>SUMIFS(AC165:AC165,$I165:$I165,"&lt;&gt;"&amp;$I$29,$E165:$E165,"&lt;&gt;*[-]*",$F165:$F165,"&lt;&gt;*[-]*",$G165:$G165,"&lt;&gt;*[-]*",$H165:$H165,"*Restructuring*")</f>
        <v>0</v>
      </c>
      <c r="AD166" s="142">
        <f>SUMIFS(AD165:AD165,$I165:$I165,"&lt;&gt;"&amp;$I$29,$E165:$E165,"&lt;&gt;*[-]*",$F165:$F165,"&lt;&gt;*[-]*",$G165:$G165,"&lt;&gt;*[-]*",$H165:$H165,"*Restructuring*")</f>
        <v>0</v>
      </c>
      <c r="AE166" s="142">
        <f>SUMIFS(AE165:AE165,$I165:$I165,"&lt;&gt;"&amp;$I$29,$E165:$E165,"&lt;&gt;*[-]*",$F165:$F165,"&lt;&gt;*[-]*",$G165:$G165,"&lt;&gt;*[-]*",$H165:$H165,"*Restructuring*")</f>
        <v>0</v>
      </c>
      <c r="AF166" s="173">
        <f t="shared" si="451"/>
        <v>0</v>
      </c>
      <c r="AG166" s="143">
        <f>($AC166-AD166)</f>
        <v>0</v>
      </c>
      <c r="AH166" s="173">
        <f>IFERROR(($AC166-AE166)/ABS(AE166),0)</f>
        <v>0</v>
      </c>
      <c r="AI166" s="143">
        <f>($AC166-AE166)</f>
        <v>0</v>
      </c>
      <c r="AK166" s="85">
        <f>SUMIFS(AK164:AK165,$I164:$I165,"&lt;&gt;"&amp;$I$29,$E164:$E165,"&lt;&gt;*[-]*",$F164:$F165,"&lt;&gt;*[-]*",$G164:$G165,"&lt;&gt;*[-]*",$H164:$H165,"Restructuring")</f>
        <v>0</v>
      </c>
      <c r="AL166" s="86">
        <f>IFERROR(AK166/SUMIFS(AK:AK, $H:$H, "Net Sales"),0)</f>
        <v>0</v>
      </c>
      <c r="AM166" s="85">
        <f>SUMIFS(AM164:AM165,$I164:$I165,"&lt;&gt;"&amp;$I$29,$E164:$E165,"&lt;&gt;*[-]*",$F164:$F165,"&lt;&gt;*[-]*",$G164:$G165,"&lt;&gt;*[-]*",$H164:$H165,"Restructuring")</f>
        <v>0</v>
      </c>
      <c r="AN166" s="86">
        <f>IFERROR(AM166/SUMIFS(AM:AM, $H:$H, "Net Sales"),0)</f>
        <v>0</v>
      </c>
      <c r="AO166" s="85">
        <f>SUMIFS(AO164:AO165,$I164:$I165,"&lt;&gt;"&amp;$I$29,$E164:$E165,"&lt;&gt;*[-]*",$F164:$F165,"&lt;&gt;*[-]*",$G164:$G165,"&lt;&gt;*[-]*",$H164:$H165,"Restructuring")</f>
        <v>0</v>
      </c>
      <c r="AP166" s="86">
        <f>IFERROR(AO166/SUMIFS(AO:AO, $H:$H, "Net Sales"),0)</f>
        <v>0</v>
      </c>
      <c r="AQ166" s="85">
        <f>SUMIFS(AQ164:AQ165,$I164:$I165,"&lt;&gt;"&amp;$I$29,$E164:$E165,"&lt;&gt;*[-]*",$F164:$F165,"&lt;&gt;*[-]*",$G164:$G165,"&lt;&gt;*[-]*",$H164:$H165,"Restructuring")</f>
        <v>0</v>
      </c>
      <c r="AR166" s="86">
        <f>IFERROR(AQ166/SUMIFS(AQ:AQ, $H:$H, "Net Sales"),0)</f>
        <v>0</v>
      </c>
      <c r="AS166" s="86">
        <f>IFERROR((AM166-$AK166)/ABS($AK166),0)</f>
        <v>0</v>
      </c>
      <c r="AT166" s="87">
        <f>(AM166-$AK166)</f>
        <v>0</v>
      </c>
      <c r="AU166" s="86">
        <f>IFERROR((AO166-$AK166)/ABS($AO166),0)</f>
        <v>0</v>
      </c>
      <c r="AV166" s="87">
        <f>(AO166-$AK166)</f>
        <v>0</v>
      </c>
      <c r="AW166" s="86">
        <f>IFERROR((AQ166-$AK166)/ABS($AK166),0)</f>
        <v>0</v>
      </c>
      <c r="AX166" s="87">
        <f>(AQ166-$AK166)</f>
        <v>0</v>
      </c>
      <c r="AY166" s="87"/>
      <c r="BA166" s="85">
        <f>SUMIFS(BA164:BA165,$I164:$I165,"&lt;&gt;"&amp;$I$29,$E164:$E165,"&lt;&gt;*[-]*",$F164:$F165,"&lt;&gt;*[-]*",$G164:$G165,"&lt;&gt;*[-]*",$H164:$H165,"Restructuring")</f>
        <v>0</v>
      </c>
      <c r="BB166" s="86">
        <f>IFERROR(BA166/SUMIFS(BA:BA, $H:$H, "Net Sales"),0)</f>
        <v>0</v>
      </c>
      <c r="BC166" s="85">
        <f>SUMIFS(BC164:BC165,$I164:$I165,"&lt;&gt;"&amp;$I$29,$E164:$E165,"&lt;&gt;*[-]*",$F164:$F165,"&lt;&gt;*[-]*",$G164:$G165,"&lt;&gt;*[-]*",$H164:$H165,"Restructuring")</f>
        <v>0</v>
      </c>
      <c r="BD166" s="86">
        <f>IFERROR(BC166/SUMIFS(BC:BC, $H:$H, "Net Sales"),0)</f>
        <v>0</v>
      </c>
      <c r="BE166" s="85">
        <f>SUMIFS(BE164:BE165,$I164:$I165,"&lt;&gt;"&amp;$I$29,$E164:$E165,"&lt;&gt;*[-]*",$F164:$F165,"&lt;&gt;*[-]*",$G164:$G165,"&lt;&gt;*[-]*",$H164:$H165,"Restructuring")</f>
        <v>0</v>
      </c>
      <c r="BF166" s="86">
        <f>IFERROR(BE166/SUMIFS(BE:BE, $H:$H, "Net Sales"),0)</f>
        <v>0</v>
      </c>
      <c r="BG166" s="86">
        <f>IFERROR((BC166-$BA166)/ABS($BA166),0)</f>
        <v>0</v>
      </c>
      <c r="BH166" s="87">
        <f>(BC166-$BA166)</f>
        <v>0</v>
      </c>
      <c r="BI166" s="86">
        <f>IFERROR((BE166-$BA166)/ABS($BA166),0)</f>
        <v>0</v>
      </c>
      <c r="BJ166" s="87">
        <f>(BE166-$BA166)</f>
        <v>0</v>
      </c>
      <c r="BK166" s="87"/>
    </row>
    <row r="167" spans="2:63" x14ac:dyDescent="0.25">
      <c r="N167" s="145"/>
      <c r="P167" s="145"/>
      <c r="R167" s="145"/>
      <c r="T167" s="145"/>
      <c r="U167" s="145"/>
      <c r="V167" s="84"/>
      <c r="W167" s="145"/>
      <c r="X167" s="84"/>
      <c r="Y167" s="145"/>
      <c r="Z167" s="84"/>
      <c r="AA167" s="84"/>
      <c r="AF167" s="169"/>
      <c r="AG167" s="140"/>
      <c r="AH167" s="169"/>
      <c r="AI167" s="140"/>
      <c r="AL167" s="145"/>
      <c r="AN167" s="145"/>
      <c r="AP167" s="145"/>
      <c r="AR167" s="145"/>
      <c r="AS167" s="145"/>
      <c r="AT167" s="84"/>
      <c r="AU167" s="145"/>
      <c r="AV167" s="84"/>
      <c r="AW167" s="145"/>
      <c r="AX167" s="84"/>
      <c r="AY167" s="84"/>
      <c r="BB167" s="145"/>
      <c r="BD167" s="145"/>
      <c r="BF167" s="145"/>
      <c r="BG167" s="145"/>
      <c r="BH167" s="84"/>
      <c r="BI167" s="145"/>
      <c r="BJ167" s="84"/>
      <c r="BK167" s="84"/>
    </row>
    <row r="168" spans="2:63" ht="12.45" thickBot="1" x14ac:dyDescent="0.3">
      <c r="E168" s="4"/>
      <c r="F168" s="4"/>
      <c r="G168" s="4"/>
      <c r="H168" s="4" t="s">
        <v>30</v>
      </c>
      <c r="I168" s="4"/>
      <c r="J168" s="5"/>
      <c r="K168" s="5"/>
      <c r="L168" s="5"/>
      <c r="M168" s="5"/>
      <c r="N168" s="152"/>
      <c r="O168" s="5"/>
      <c r="P168" s="152"/>
      <c r="Q168" s="5"/>
      <c r="R168" s="152"/>
      <c r="S168" s="5"/>
      <c r="T168" s="152"/>
      <c r="U168" s="152"/>
      <c r="V168" s="75"/>
      <c r="W168" s="152"/>
      <c r="X168" s="75"/>
      <c r="Y168" s="152"/>
      <c r="Z168" s="75"/>
      <c r="AA168" s="75"/>
      <c r="AC168" s="133"/>
      <c r="AD168" s="133"/>
      <c r="AE168" s="133"/>
      <c r="AF168" s="171"/>
      <c r="AG168" s="134"/>
      <c r="AH168" s="171"/>
      <c r="AI168" s="134"/>
      <c r="AK168" s="5"/>
      <c r="AL168" s="152"/>
      <c r="AM168" s="5"/>
      <c r="AN168" s="152"/>
      <c r="AO168" s="5"/>
      <c r="AP168" s="152"/>
      <c r="AQ168" s="5"/>
      <c r="AR168" s="152"/>
      <c r="AS168" s="152"/>
      <c r="AT168" s="75"/>
      <c r="AU168" s="152"/>
      <c r="AV168" s="75"/>
      <c r="AW168" s="152"/>
      <c r="AX168" s="75"/>
      <c r="AY168" s="75"/>
      <c r="BA168" s="5"/>
      <c r="BB168" s="152"/>
      <c r="BC168" s="5"/>
      <c r="BD168" s="152"/>
      <c r="BE168" s="5"/>
      <c r="BF168" s="152"/>
      <c r="BG168" s="152"/>
      <c r="BH168" s="75"/>
      <c r="BI168" s="152"/>
      <c r="BJ168" s="75"/>
      <c r="BK168" s="75"/>
    </row>
    <row r="169" spans="2:63" ht="11.95" hidden="1" thickBot="1" x14ac:dyDescent="0.3">
      <c r="B169" t="s">
        <v>1</v>
      </c>
      <c r="E169" s="3"/>
      <c r="F169" s="3"/>
      <c r="G169" s="3"/>
      <c r="H169" s="3" t="s">
        <v>30</v>
      </c>
      <c r="I169" s="18"/>
      <c r="J169" s="18"/>
      <c r="K169" s="18"/>
      <c r="L169" s="78"/>
      <c r="M169" s="79">
        <v>0</v>
      </c>
      <c r="N169" s="80">
        <f>IFERROR(M169/SUMIFS(M:M, $H:$H, "Net Sales"),0)</f>
        <v>0</v>
      </c>
      <c r="O169" s="79">
        <v>0</v>
      </c>
      <c r="P169" s="80">
        <f>IFERROR(O169/SUMIFS(O:O, $H:$H, "Net Sales"),0)</f>
        <v>0</v>
      </c>
      <c r="Q169" s="79">
        <v>0</v>
      </c>
      <c r="R169" s="80">
        <f>IFERROR(Q169/SUMIFS(Q:Q, $H:$H, "Net Sales"),0)</f>
        <v>0</v>
      </c>
      <c r="S169" s="79">
        <v>0</v>
      </c>
      <c r="T169" s="81">
        <f>IFERROR(S169/SUMIFS(S:S, $H:$H, "Net Sales"),0)</f>
        <v>0</v>
      </c>
      <c r="U169" s="80">
        <f t="shared" ref="U169:U170" si="452">IFERROR(($O169-M169)/ABS(M169),0)</f>
        <v>0</v>
      </c>
      <c r="V169" s="70">
        <f t="shared" ref="V169:V170" si="453">IFERROR((O169-$M169), 0-$M169)</f>
        <v>0</v>
      </c>
      <c r="W169" s="80">
        <f t="shared" ref="W169:W170" si="454">IFERROR((Q169-$M169)/ABS($M169),0)</f>
        <v>0</v>
      </c>
      <c r="X169" s="70">
        <f t="shared" ref="X169:X170" si="455">IFERROR((Q169-$M169), 0 -$M169)</f>
        <v>0</v>
      </c>
      <c r="Y169" s="80">
        <f t="shared" ref="Y169:Y170" si="456">IFERROR((S169-$M169)/ABS($M169),0)</f>
        <v>0</v>
      </c>
      <c r="Z169" s="70">
        <f t="shared" ref="Z169:Z170" si="457">IFERROR((S169-$M169),0-$M169)</f>
        <v>0</v>
      </c>
      <c r="AA169" s="70"/>
      <c r="AC169" s="138">
        <v>0</v>
      </c>
      <c r="AD169" s="138">
        <v>0</v>
      </c>
      <c r="AE169" s="138">
        <v>0</v>
      </c>
      <c r="AF169" s="172"/>
      <c r="AG169" s="139"/>
      <c r="AH169" s="172"/>
      <c r="AI169" s="139"/>
      <c r="AK169" s="79">
        <v>0</v>
      </c>
      <c r="AL169" s="80">
        <f>IFERROR(AK169/SUMIFS(AK:AK, $H:$H, "Net Sales"),0)</f>
        <v>0</v>
      </c>
      <c r="AM169" s="79">
        <v>0</v>
      </c>
      <c r="AN169" s="80">
        <f>IFERROR(AM169/SUMIFS(AM:AM, $H:$H, "Net Sales"),0)</f>
        <v>0</v>
      </c>
      <c r="AO169" s="79">
        <v>0</v>
      </c>
      <c r="AP169" s="80">
        <f>IFERROR(AO169/SUMIFS(AO:AO, $H:$H, "Net Sales"),0)</f>
        <v>0</v>
      </c>
      <c r="AQ169" s="79">
        <v>0</v>
      </c>
      <c r="AR169" s="81">
        <f>IFERROR(AQ169/SUMIFS(AQ:AQ, $H:$H, "Net Sales"),0)</f>
        <v>0</v>
      </c>
      <c r="AS169" s="80">
        <f t="shared" ref="AS169:AS170" si="458">IFERROR((AM169-$AK169)/ABS($AK169),0)</f>
        <v>0</v>
      </c>
      <c r="AT169" s="70">
        <f t="shared" ref="AT169:AT170" si="459">(AM169-$AK169)</f>
        <v>0</v>
      </c>
      <c r="AU169" s="80">
        <f t="shared" ref="AU169:AU170" si="460">IFERROR((AO169-$AK169)/ABS($AO169),0)</f>
        <v>0</v>
      </c>
      <c r="AV169" s="70">
        <f t="shared" ref="AV169:AV170" si="461">(AO169-$AK169)</f>
        <v>0</v>
      </c>
      <c r="AW169" s="80">
        <f t="shared" ref="AW169:AW170" si="462">IFERROR((AQ169-$AK169)/ABS($AK169),0)</f>
        <v>0</v>
      </c>
      <c r="AX169" s="70">
        <f t="shared" ref="AX169:AX170" si="463">(AQ169-$AK169)</f>
        <v>0</v>
      </c>
      <c r="AY169" s="70"/>
      <c r="BA169" s="79">
        <v>0</v>
      </c>
      <c r="BB169" s="80">
        <f>IFERROR(BA169/SUMIFS(BA:BA, $H:$H, "Net Sales"),0)</f>
        <v>0</v>
      </c>
      <c r="BC169" s="79">
        <v>0</v>
      </c>
      <c r="BD169" s="80">
        <f>IFERROR(BC169/SUMIFS(BC:BC, $H:$H, "Net Sales"),0)</f>
        <v>0</v>
      </c>
      <c r="BE169" s="79">
        <v>0</v>
      </c>
      <c r="BF169" s="81">
        <f>IFERROR(BE169/SUMIFS(BE:BE, $H:$H, "Net Sales"),0)</f>
        <v>0</v>
      </c>
      <c r="BG169" s="80">
        <f t="shared" ref="BG169:BG170" si="464">IFERROR((BC169-$BA169)/ABS($BA169),0)</f>
        <v>0</v>
      </c>
      <c r="BH169" s="70">
        <f t="shared" ref="BH169:BH170" si="465">(BC169-$BA169)</f>
        <v>0</v>
      </c>
      <c r="BI169" s="80">
        <f t="shared" ref="BI169:BI170" si="466">IFERROR((BE169-$BA169)/ABS($BA169),0)</f>
        <v>0</v>
      </c>
      <c r="BJ169" s="70">
        <f t="shared" ref="BJ169:BJ170" si="467">(BE169-$BA169)</f>
        <v>0</v>
      </c>
      <c r="BK169" s="70"/>
    </row>
    <row r="170" spans="2:63" ht="11.95" hidden="1" thickBot="1" x14ac:dyDescent="0.3">
      <c r="B170" t="str">
        <f>IF(LEFT(H170,3)="Mul", "#hiderow", "#showrow")</f>
        <v>#hiderow</v>
      </c>
      <c r="E170" s="3"/>
      <c r="F170" s="3"/>
      <c r="G170" s="3"/>
      <c r="H170" s="255" t="s">
        <v>6</v>
      </c>
      <c r="I170" s="18"/>
      <c r="J170" s="18"/>
      <c r="K170" s="18"/>
      <c r="L170" s="78"/>
      <c r="M170" s="79"/>
      <c r="N170" s="80">
        <f>IFERROR(M170/SUMIFS(M:M, $H:$H, "Net Sales"),0)</f>
        <v>0</v>
      </c>
      <c r="O170" s="79">
        <v>0</v>
      </c>
      <c r="P170" s="80">
        <f>IFERROR(O170/SUMIFS(O:O, $H:$H, "Net Sales"),0)</f>
        <v>0</v>
      </c>
      <c r="Q170" s="79">
        <v>0</v>
      </c>
      <c r="R170" s="80">
        <f>IFERROR(Q170/SUMIFS(Q:Q, $H:$H, "Net Sales"),0)</f>
        <v>0</v>
      </c>
      <c r="S170" s="79"/>
      <c r="T170" s="81">
        <f>IFERROR(S170/SUMIFS(S:S, $H:$H, "Net Sales"),0)</f>
        <v>0</v>
      </c>
      <c r="U170" s="80">
        <f t="shared" si="452"/>
        <v>0</v>
      </c>
      <c r="V170" s="70">
        <f t="shared" si="453"/>
        <v>0</v>
      </c>
      <c r="W170" s="80">
        <f t="shared" si="454"/>
        <v>0</v>
      </c>
      <c r="X170" s="70">
        <f t="shared" si="455"/>
        <v>0</v>
      </c>
      <c r="Y170" s="80">
        <f t="shared" si="456"/>
        <v>0</v>
      </c>
      <c r="Z170" s="70">
        <f t="shared" si="457"/>
        <v>0</v>
      </c>
      <c r="AA170" s="70"/>
      <c r="AC170" s="138"/>
      <c r="AD170" s="138"/>
      <c r="AE170" s="138"/>
      <c r="AF170" s="172">
        <f t="shared" ref="AF170:AF171" si="468">IFERROR(($AC170-AD170)/ABS(AD170),0)</f>
        <v>0</v>
      </c>
      <c r="AG170" s="139">
        <f>($AC170-AD170)</f>
        <v>0</v>
      </c>
      <c r="AH170" s="172">
        <f>IFERROR(($AC170-AE170)/ABS(AE170),0)</f>
        <v>0</v>
      </c>
      <c r="AI170" s="139">
        <f>($AC170-AE170)</f>
        <v>0</v>
      </c>
      <c r="AK170" s="79"/>
      <c r="AL170" s="80">
        <f>IFERROR(AK170/SUMIFS(AK:AK, $H:$H, "Net Sales"),0)</f>
        <v>0</v>
      </c>
      <c r="AM170" s="79"/>
      <c r="AN170" s="80">
        <f>IFERROR(AM170/SUMIFS(AM:AM, $H:$H, "Net Sales"),0)</f>
        <v>0</v>
      </c>
      <c r="AO170" s="79"/>
      <c r="AP170" s="80">
        <f>IFERROR(AO170/SUMIFS(AO:AO, $H:$H, "Net Sales"),0)</f>
        <v>0</v>
      </c>
      <c r="AQ170" s="79"/>
      <c r="AR170" s="81">
        <f>IFERROR(AQ170/SUMIFS(AQ:AQ, $H:$H, "Net Sales"),0)</f>
        <v>0</v>
      </c>
      <c r="AS170" s="80">
        <f t="shared" si="458"/>
        <v>0</v>
      </c>
      <c r="AT170" s="70">
        <f t="shared" si="459"/>
        <v>0</v>
      </c>
      <c r="AU170" s="80">
        <f t="shared" si="460"/>
        <v>0</v>
      </c>
      <c r="AV170" s="70">
        <f t="shared" si="461"/>
        <v>0</v>
      </c>
      <c r="AW170" s="80">
        <f t="shared" si="462"/>
        <v>0</v>
      </c>
      <c r="AX170" s="70">
        <f t="shared" si="463"/>
        <v>0</v>
      </c>
      <c r="AY170" s="70"/>
      <c r="BA170" s="79"/>
      <c r="BB170" s="80">
        <f>IFERROR(BA170/SUMIFS(BA:BA, $H:$H, "Net Sales"),0)</f>
        <v>0</v>
      </c>
      <c r="BC170" s="79"/>
      <c r="BD170" s="80">
        <f>IFERROR(BC170/SUMIFS(BC:BC, $H:$H, "Net Sales"),0)</f>
        <v>0</v>
      </c>
      <c r="BE170" s="79"/>
      <c r="BF170" s="81">
        <f>IFERROR(BE170/SUMIFS(BE:BE, $H:$H, "Net Sales"),0)</f>
        <v>0</v>
      </c>
      <c r="BG170" s="80">
        <f t="shared" si="464"/>
        <v>0</v>
      </c>
      <c r="BH170" s="70">
        <f t="shared" si="465"/>
        <v>0</v>
      </c>
      <c r="BI170" s="80">
        <f t="shared" si="466"/>
        <v>0</v>
      </c>
      <c r="BJ170" s="70">
        <f t="shared" si="467"/>
        <v>0</v>
      </c>
      <c r="BK170" s="70"/>
    </row>
    <row r="171" spans="2:63" ht="11.95" x14ac:dyDescent="0.25">
      <c r="E171" s="19"/>
      <c r="F171" s="19"/>
      <c r="G171" s="19"/>
      <c r="H171" s="19" t="s">
        <v>86</v>
      </c>
      <c r="I171" s="85"/>
      <c r="J171" s="85"/>
      <c r="K171" s="85"/>
      <c r="L171" s="144">
        <v>-1</v>
      </c>
      <c r="M171" s="85">
        <f>SUMIFS(M169:M170,$I169:$I170,"&lt;&gt;"&amp;$I$29,$E169:$E170,"&lt;&gt;*[-]*",$F169:$F170,"&lt;&gt;*[-]*",$G169:$G170,"&lt;&gt;*[-]*",$H169:$H170,"Pension")</f>
        <v>0</v>
      </c>
      <c r="N171" s="86"/>
      <c r="O171" s="85">
        <f>SUMIFS(O169:O170,$I169:$I170,"&lt;&gt;"&amp;$I$29,$E169:$E170,"&lt;&gt;*[-]*",$F169:$F170,"&lt;&gt;*[-]*",$G169:$G170,"&lt;&gt;*[-]*",$H169:$H170,"Pension")</f>
        <v>0</v>
      </c>
      <c r="P171" s="86"/>
      <c r="Q171" s="85">
        <f>SUMIFS(Q169:Q170,$I169:$I170,"&lt;&gt;"&amp;$I$29,$E169:$E170,"&lt;&gt;*[-]*",$F169:$F170,"&lt;&gt;*[-]*",$G169:$G170,"&lt;&gt;*[-]*",$H169:$H170,"Pension")</f>
        <v>0</v>
      </c>
      <c r="R171" s="86"/>
      <c r="S171" s="85">
        <f>SUMIFS(S169:S170,$I169:$I170,"&lt;&gt;"&amp;$I$29,$E169:$E170,"&lt;&gt;*[-]*",$F169:$F170,"&lt;&gt;*[-]*",$G169:$G170,"&lt;&gt;*[-]*",$H169:$H170,"Pension")</f>
        <v>0</v>
      </c>
      <c r="T171" s="86">
        <f>IFERROR(S171/SUMIFS(S:S, $H:$H, "Net Sales"),0)</f>
        <v>0</v>
      </c>
      <c r="U171" s="86">
        <f>IFERROR(($O171-M171)/ABS(M171),0)</f>
        <v>0</v>
      </c>
      <c r="V171" s="87">
        <f>IFERROR((O171-$M171), 0-$M171)</f>
        <v>0</v>
      </c>
      <c r="W171" s="86">
        <f>IFERROR((Q171-$M171)/ABS($M171),0)</f>
        <v>0</v>
      </c>
      <c r="X171" s="87">
        <f>IFERROR((Q171-$M171), 0 -$M171)</f>
        <v>0</v>
      </c>
      <c r="Y171" s="86">
        <f>IFERROR((S171-$M171)/ABS($M171),0)</f>
        <v>0</v>
      </c>
      <c r="Z171" s="87">
        <f>IFERROR((S171-$M171),0-$M171)</f>
        <v>0</v>
      </c>
      <c r="AA171" s="87"/>
      <c r="AC171" s="142">
        <f>SUMIFS(AC170:AC170,$I170:$I170,"&lt;&gt;"&amp;$I$29,$E170:$E170,"&lt;&gt;*[-]*",$F170:$F170,"&lt;&gt;*[-]*",$G170:$G170,"&lt;&gt;*[-]*",$H170:$H170,"Pension")</f>
        <v>0</v>
      </c>
      <c r="AD171" s="142">
        <f>SUMIFS(AD170:AD170,$I170:$I170,"&lt;&gt;"&amp;$I$29,$E170:$E170,"&lt;&gt;*[-]*",$F170:$F170,"&lt;&gt;*[-]*",$G170:$G170,"&lt;&gt;*[-]*",$H170:$H170,"Pension")</f>
        <v>0</v>
      </c>
      <c r="AE171" s="142">
        <f>SUMIFS(AE170:AE170,$I170:$I170,"&lt;&gt;"&amp;$I$29,$E170:$E170,"&lt;&gt;*[-]*",$F170:$F170,"&lt;&gt;*[-]*",$G170:$G170,"&lt;&gt;*[-]*",$H170:$H170,"Pension")</f>
        <v>0</v>
      </c>
      <c r="AF171" s="173">
        <f t="shared" si="468"/>
        <v>0</v>
      </c>
      <c r="AG171" s="143">
        <f>($AC171-AD171)</f>
        <v>0</v>
      </c>
      <c r="AH171" s="173">
        <f>IFERROR(($AC171-AE171)/ABS(AE171),0)</f>
        <v>0</v>
      </c>
      <c r="AI171" s="143">
        <f>($AC171-AE171)</f>
        <v>0</v>
      </c>
      <c r="AK171" s="85">
        <f>SUMIFS(AK169:AK170,$I169:$I170,"&lt;&gt;"&amp;$I$29,$E169:$E170,"&lt;&gt;*[-]*",$F169:$F170,"&lt;&gt;*[-]*",$G169:$G170,"&lt;&gt;*[-]*",$H169:$H170,"Pension")</f>
        <v>0</v>
      </c>
      <c r="AL171" s="86">
        <f>IFERROR(AK171/SUMIFS(AK:AK, $H:$H, "Net Sales"),0)</f>
        <v>0</v>
      </c>
      <c r="AM171" s="85">
        <f>SUMIFS(AM169:AM170,$I169:$I170,"&lt;&gt;"&amp;$I$29,$E169:$E170,"&lt;&gt;*[-]*",$F169:$F170,"&lt;&gt;*[-]*",$G169:$G170,"&lt;&gt;*[-]*",$H169:$H170,"Pension")</f>
        <v>0</v>
      </c>
      <c r="AN171" s="86">
        <f>IFERROR(AM171/SUMIFS(AM:AM, $H:$H, "Net Sales"),0)</f>
        <v>0</v>
      </c>
      <c r="AO171" s="85">
        <f>SUMIFS(AO169:AO170,$I169:$I170,"&lt;&gt;"&amp;$I$29,$E169:$E170,"&lt;&gt;*[-]*",$F169:$F170,"&lt;&gt;*[-]*",$G169:$G170,"&lt;&gt;*[-]*",$H169:$H170,"Pension")</f>
        <v>0</v>
      </c>
      <c r="AP171" s="86">
        <f>IFERROR(AO171/SUMIFS(AO:AO, $H:$H, "Net Sales"),0)</f>
        <v>0</v>
      </c>
      <c r="AQ171" s="85">
        <f>SUMIFS(AQ169:AQ170,$I169:$I170,"&lt;&gt;"&amp;$I$29,$E169:$E170,"&lt;&gt;*[-]*",$F169:$F170,"&lt;&gt;*[-]*",$G169:$G170,"&lt;&gt;*[-]*",$H169:$H170,"Pension")</f>
        <v>0</v>
      </c>
      <c r="AR171" s="86">
        <f>IFERROR(AQ171/SUMIFS(AQ:AQ, $H:$H, "Net Sales"),0)</f>
        <v>0</v>
      </c>
      <c r="AS171" s="86">
        <f>IFERROR((AM171-$AK171)/ABS($AK171),0)</f>
        <v>0</v>
      </c>
      <c r="AT171" s="87">
        <f>(AM171-$AK171)</f>
        <v>0</v>
      </c>
      <c r="AU171" s="86">
        <f>IFERROR((AO171-$AK171)/ABS($AO171),0)</f>
        <v>0</v>
      </c>
      <c r="AV171" s="87">
        <f>(AO171-$AK171)</f>
        <v>0</v>
      </c>
      <c r="AW171" s="86">
        <f>IFERROR((AQ171-$AK171)/ABS($AK171),0)</f>
        <v>0</v>
      </c>
      <c r="AX171" s="87">
        <f>(AQ171-$AK171)</f>
        <v>0</v>
      </c>
      <c r="AY171" s="87"/>
      <c r="BA171" s="85">
        <f>SUMIFS(BA169:BA170,$I169:$I170,"&lt;&gt;"&amp;$I$29,$E169:$E170,"&lt;&gt;*[-]*",$F169:$F170,"&lt;&gt;*[-]*",$G169:$G170,"&lt;&gt;*[-]*",$H169:$H170,"Pension")</f>
        <v>0</v>
      </c>
      <c r="BB171" s="86">
        <f>IFERROR(BA171/SUMIFS(BA:BA, $H:$H, "Net Sales"),0)</f>
        <v>0</v>
      </c>
      <c r="BC171" s="85">
        <f>SUMIFS(BC169:BC170,$I169:$I170,"&lt;&gt;"&amp;$I$29,$E169:$E170,"&lt;&gt;*[-]*",$F169:$F170,"&lt;&gt;*[-]*",$G169:$G170,"&lt;&gt;*[-]*",$H169:$H170,"Pension")</f>
        <v>0</v>
      </c>
      <c r="BD171" s="86">
        <f>IFERROR(BC171/SUMIFS(BC:BC, $H:$H, "Net Sales"),0)</f>
        <v>0</v>
      </c>
      <c r="BE171" s="85">
        <f>SUMIFS(BE169:BE170,$I169:$I170,"&lt;&gt;"&amp;$I$29,$E169:$E170,"&lt;&gt;*[-]*",$F169:$F170,"&lt;&gt;*[-]*",$G169:$G170,"&lt;&gt;*[-]*",$H169:$H170,"Pension")</f>
        <v>0</v>
      </c>
      <c r="BF171" s="86">
        <f>IFERROR(BE171/SUMIFS(BE:BE, $H:$H, "Net Sales"),0)</f>
        <v>0</v>
      </c>
      <c r="BG171" s="86">
        <f>IFERROR((BC171-$BA171)/ABS($BA171),0)</f>
        <v>0</v>
      </c>
      <c r="BH171" s="87">
        <f>(BC171-$BA171)</f>
        <v>0</v>
      </c>
      <c r="BI171" s="86">
        <f>IFERROR((BE171-$BA171)/ABS($BA171),0)</f>
        <v>0</v>
      </c>
      <c r="BJ171" s="87">
        <f>(BE171-$BA171)</f>
        <v>0</v>
      </c>
      <c r="BK171" s="87"/>
    </row>
    <row r="172" spans="2:63" x14ac:dyDescent="0.25">
      <c r="N172" s="145"/>
      <c r="P172" s="145"/>
      <c r="R172" s="145"/>
      <c r="T172" s="145"/>
      <c r="U172" s="145"/>
      <c r="V172" s="84"/>
      <c r="W172" s="145"/>
      <c r="X172" s="84"/>
      <c r="Y172" s="145"/>
      <c r="Z172" s="84"/>
      <c r="AA172" s="84"/>
      <c r="AF172" s="169"/>
      <c r="AG172" s="140"/>
      <c r="AH172" s="169"/>
      <c r="AI172" s="140"/>
      <c r="AL172" s="145"/>
      <c r="AN172" s="145"/>
      <c r="AP172" s="145"/>
      <c r="AR172" s="145"/>
      <c r="AS172" s="145"/>
      <c r="AT172" s="84"/>
      <c r="AU172" s="145"/>
      <c r="AV172" s="84"/>
      <c r="AW172" s="145"/>
      <c r="AX172" s="84"/>
      <c r="AY172" s="84"/>
      <c r="BB172" s="145"/>
      <c r="BD172" s="145"/>
      <c r="BF172" s="145"/>
      <c r="BG172" s="145"/>
      <c r="BH172" s="84"/>
      <c r="BI172" s="145"/>
      <c r="BJ172" s="84"/>
      <c r="BK172" s="84"/>
    </row>
    <row r="173" spans="2:63" ht="12.45" thickBot="1" x14ac:dyDescent="0.3">
      <c r="E173" s="4"/>
      <c r="F173" s="4"/>
      <c r="G173" s="4"/>
      <c r="H173" s="4" t="s">
        <v>45</v>
      </c>
      <c r="I173" s="4"/>
      <c r="J173" s="5"/>
      <c r="K173" s="5"/>
      <c r="L173" s="5"/>
      <c r="M173" s="5"/>
      <c r="N173" s="152"/>
      <c r="O173" s="5"/>
      <c r="P173" s="152"/>
      <c r="Q173" s="5"/>
      <c r="R173" s="152"/>
      <c r="S173" s="5"/>
      <c r="T173" s="152"/>
      <c r="U173" s="152"/>
      <c r="V173" s="75"/>
      <c r="W173" s="152"/>
      <c r="X173" s="75"/>
      <c r="Y173" s="152"/>
      <c r="Z173" s="75"/>
      <c r="AA173" s="75"/>
      <c r="AC173" s="133"/>
      <c r="AD173" s="133"/>
      <c r="AE173" s="133"/>
      <c r="AF173" s="171"/>
      <c r="AG173" s="134"/>
      <c r="AH173" s="171"/>
      <c r="AI173" s="134"/>
      <c r="AK173" s="5"/>
      <c r="AL173" s="152"/>
      <c r="AM173" s="5"/>
      <c r="AN173" s="152"/>
      <c r="AO173" s="5"/>
      <c r="AP173" s="152"/>
      <c r="AQ173" s="5"/>
      <c r="AR173" s="152"/>
      <c r="AS173" s="152"/>
      <c r="AT173" s="75"/>
      <c r="AU173" s="152"/>
      <c r="AV173" s="75"/>
      <c r="AW173" s="152"/>
      <c r="AX173" s="75"/>
      <c r="AY173" s="75"/>
      <c r="BA173" s="5"/>
      <c r="BB173" s="152"/>
      <c r="BC173" s="5"/>
      <c r="BD173" s="152"/>
      <c r="BE173" s="5"/>
      <c r="BF173" s="152"/>
      <c r="BG173" s="152"/>
      <c r="BH173" s="75"/>
      <c r="BI173" s="152"/>
      <c r="BJ173" s="75"/>
      <c r="BK173" s="75"/>
    </row>
    <row r="174" spans="2:63" ht="11.95" hidden="1" thickBot="1" x14ac:dyDescent="0.3">
      <c r="B174" t="s">
        <v>1</v>
      </c>
      <c r="E174" s="3"/>
      <c r="F174" s="3"/>
      <c r="G174" s="3"/>
      <c r="H174" s="3" t="s">
        <v>45</v>
      </c>
      <c r="I174" s="18"/>
      <c r="J174" s="18"/>
      <c r="K174" s="18"/>
      <c r="L174" s="78"/>
      <c r="M174" s="79">
        <v>0</v>
      </c>
      <c r="N174" s="80">
        <f>IFERROR(M174/SUMIFS(M:M, $H:$H, "Net Sales"),0)</f>
        <v>0</v>
      </c>
      <c r="O174" s="79">
        <v>0</v>
      </c>
      <c r="P174" s="80">
        <f>IFERROR(O174/SUMIFS(O:O, $H:$H, "Net Sales"),0)</f>
        <v>0</v>
      </c>
      <c r="Q174" s="79">
        <v>0</v>
      </c>
      <c r="R174" s="80">
        <f>IFERROR(Q174/SUMIFS(Q:Q, $H:$H, "Net Sales"),0)</f>
        <v>0</v>
      </c>
      <c r="S174" s="79">
        <v>0</v>
      </c>
      <c r="T174" s="81">
        <f>IFERROR(S174/SUMIFS(S:S, $H:$H, "Net Sales"),0)</f>
        <v>0</v>
      </c>
      <c r="U174" s="80">
        <f t="shared" ref="U174:U175" si="469">IFERROR(($O174-M174)/ABS(M174),0)</f>
        <v>0</v>
      </c>
      <c r="V174" s="70">
        <f t="shared" ref="V174:V175" si="470">IFERROR((O174-$M174), 0-$M174)</f>
        <v>0</v>
      </c>
      <c r="W174" s="80">
        <f t="shared" ref="W174:W175" si="471">IFERROR((Q174-$M174)/ABS($M174),0)</f>
        <v>0</v>
      </c>
      <c r="X174" s="70">
        <f t="shared" ref="X174:X175" si="472">IFERROR((Q174-$M174), 0 -$M174)</f>
        <v>0</v>
      </c>
      <c r="Y174" s="80">
        <f t="shared" ref="Y174:Y175" si="473">IFERROR((S174-$M174)/ABS($M174),0)</f>
        <v>0</v>
      </c>
      <c r="Z174" s="70">
        <f t="shared" ref="Z174:Z175" si="474">IFERROR((S174-$M174),0-$M174)</f>
        <v>0</v>
      </c>
      <c r="AA174" s="70"/>
      <c r="AC174" s="138">
        <v>0</v>
      </c>
      <c r="AD174" s="138">
        <v>0</v>
      </c>
      <c r="AE174" s="138">
        <v>0</v>
      </c>
      <c r="AF174" s="172"/>
      <c r="AG174" s="139"/>
      <c r="AH174" s="172"/>
      <c r="AI174" s="139"/>
      <c r="AK174" s="79">
        <v>0</v>
      </c>
      <c r="AL174" s="80">
        <f>IFERROR(AK174/SUMIFS(AK:AK, $H:$H, "Net Sales"),0)</f>
        <v>0</v>
      </c>
      <c r="AM174" s="79">
        <v>0</v>
      </c>
      <c r="AN174" s="80">
        <f>IFERROR(AM174/SUMIFS(AM:AM, $H:$H, "Net Sales"),0)</f>
        <v>0</v>
      </c>
      <c r="AO174" s="79">
        <v>0</v>
      </c>
      <c r="AP174" s="80">
        <f>IFERROR(AO174/SUMIFS(AO:AO, $H:$H, "Net Sales"),0)</f>
        <v>0</v>
      </c>
      <c r="AQ174" s="79">
        <v>0</v>
      </c>
      <c r="AR174" s="81">
        <f>IFERROR(AQ174/SUMIFS(AQ:AQ, $H:$H, "Net Sales"),0)</f>
        <v>0</v>
      </c>
      <c r="AS174" s="80">
        <f t="shared" ref="AS174:AS175" si="475">IFERROR((AM174-$AK174)/ABS($AK174),0)</f>
        <v>0</v>
      </c>
      <c r="AT174" s="70">
        <f t="shared" ref="AT174:AT175" si="476">(AM174-$AK174)</f>
        <v>0</v>
      </c>
      <c r="AU174" s="80">
        <f t="shared" ref="AU174:AU175" si="477">IFERROR((AO174-$AK174)/ABS($AO174),0)</f>
        <v>0</v>
      </c>
      <c r="AV174" s="70">
        <f t="shared" ref="AV174:AV175" si="478">(AO174-$AK174)</f>
        <v>0</v>
      </c>
      <c r="AW174" s="80">
        <f t="shared" ref="AW174:AW175" si="479">IFERROR((AQ174-$AK174)/ABS($AK174),0)</f>
        <v>0</v>
      </c>
      <c r="AX174" s="70">
        <f t="shared" ref="AX174:AX175" si="480">(AQ174-$AK174)</f>
        <v>0</v>
      </c>
      <c r="AY174" s="70"/>
      <c r="BA174" s="79">
        <v>0</v>
      </c>
      <c r="BB174" s="80">
        <f>IFERROR(BA174/SUMIFS(BA:BA, $H:$H, "Net Sales"),0)</f>
        <v>0</v>
      </c>
      <c r="BC174" s="79">
        <v>0</v>
      </c>
      <c r="BD174" s="80">
        <f>IFERROR(BC174/SUMIFS(BC:BC, $H:$H, "Net Sales"),0)</f>
        <v>0</v>
      </c>
      <c r="BE174" s="79">
        <v>0</v>
      </c>
      <c r="BF174" s="81">
        <f>IFERROR(BE174/SUMIFS(BE:BE, $H:$H, "Net Sales"),0)</f>
        <v>0</v>
      </c>
      <c r="BG174" s="80">
        <f t="shared" ref="BG174:BG175" si="481">IFERROR((BC174-$BA174)/ABS($BA174),0)</f>
        <v>0</v>
      </c>
      <c r="BH174" s="70">
        <f t="shared" ref="BH174:BH175" si="482">(BC174-$BA174)</f>
        <v>0</v>
      </c>
      <c r="BI174" s="80">
        <f t="shared" ref="BI174:BI175" si="483">IFERROR((BE174-$BA174)/ABS($BA174),0)</f>
        <v>0</v>
      </c>
      <c r="BJ174" s="70">
        <f t="shared" ref="BJ174:BJ175" si="484">(BE174-$BA174)</f>
        <v>0</v>
      </c>
      <c r="BK174" s="70"/>
    </row>
    <row r="175" spans="2:63" ht="11.95" hidden="1" thickBot="1" x14ac:dyDescent="0.3">
      <c r="B175" t="str">
        <f>IF(LEFT(H175,3)="Mul", "#hiderow", "#showrow")</f>
        <v>#hiderow</v>
      </c>
      <c r="E175" s="3"/>
      <c r="F175" s="3"/>
      <c r="G175" s="3"/>
      <c r="H175" s="255" t="s">
        <v>6</v>
      </c>
      <c r="I175" s="18"/>
      <c r="J175" s="18"/>
      <c r="K175" s="18"/>
      <c r="L175" s="78"/>
      <c r="M175" s="79"/>
      <c r="N175" s="80">
        <f>IFERROR(M175/SUMIFS(M:M, $H:$H, "Net Sales"),0)</f>
        <v>0</v>
      </c>
      <c r="O175" s="79">
        <v>0</v>
      </c>
      <c r="P175" s="80">
        <f>IFERROR(O175/SUMIFS(O:O, $H:$H, "Net Sales"),0)</f>
        <v>0</v>
      </c>
      <c r="Q175" s="79">
        <v>0</v>
      </c>
      <c r="R175" s="80">
        <f>IFERROR(Q175/SUMIFS(Q:Q, $H:$H, "Net Sales"),0)</f>
        <v>0</v>
      </c>
      <c r="S175" s="79"/>
      <c r="T175" s="81">
        <f>IFERROR(S175/SUMIFS(S:S, $H:$H, "Net Sales"),0)</f>
        <v>0</v>
      </c>
      <c r="U175" s="80">
        <f t="shared" si="469"/>
        <v>0</v>
      </c>
      <c r="V175" s="70">
        <f t="shared" si="470"/>
        <v>0</v>
      </c>
      <c r="W175" s="80">
        <f t="shared" si="471"/>
        <v>0</v>
      </c>
      <c r="X175" s="70">
        <f t="shared" si="472"/>
        <v>0</v>
      </c>
      <c r="Y175" s="80">
        <f t="shared" si="473"/>
        <v>0</v>
      </c>
      <c r="Z175" s="70">
        <f t="shared" si="474"/>
        <v>0</v>
      </c>
      <c r="AA175" s="70"/>
      <c r="AC175" s="138"/>
      <c r="AD175" s="138"/>
      <c r="AE175" s="138"/>
      <c r="AF175" s="172">
        <f t="shared" ref="AF175:AF176" si="485">IFERROR(($AC175-AD175)/ABS(AD175),0)</f>
        <v>0</v>
      </c>
      <c r="AG175" s="139">
        <f>($AC175-AD175)</f>
        <v>0</v>
      </c>
      <c r="AH175" s="172">
        <f>IFERROR(($AC175-AE175)/ABS(AE175),0)</f>
        <v>0</v>
      </c>
      <c r="AI175" s="139">
        <f>($AC175-AE175)</f>
        <v>0</v>
      </c>
      <c r="AK175" s="79"/>
      <c r="AL175" s="80">
        <f>IFERROR(AK175/SUMIFS(AK:AK, $H:$H, "Net Sales"),0)</f>
        <v>0</v>
      </c>
      <c r="AM175" s="79"/>
      <c r="AN175" s="80">
        <f>IFERROR(AM175/SUMIFS(AM:AM, $H:$H, "Net Sales"),0)</f>
        <v>0</v>
      </c>
      <c r="AO175" s="79"/>
      <c r="AP175" s="80">
        <f>IFERROR(AO175/SUMIFS(AO:AO, $H:$H, "Net Sales"),0)</f>
        <v>0</v>
      </c>
      <c r="AQ175" s="79"/>
      <c r="AR175" s="81">
        <f>IFERROR(AQ175/SUMIFS(AQ:AQ, $H:$H, "Net Sales"),0)</f>
        <v>0</v>
      </c>
      <c r="AS175" s="80">
        <f t="shared" si="475"/>
        <v>0</v>
      </c>
      <c r="AT175" s="70">
        <f t="shared" si="476"/>
        <v>0</v>
      </c>
      <c r="AU175" s="80">
        <f t="shared" si="477"/>
        <v>0</v>
      </c>
      <c r="AV175" s="70">
        <f t="shared" si="478"/>
        <v>0</v>
      </c>
      <c r="AW175" s="80">
        <f t="shared" si="479"/>
        <v>0</v>
      </c>
      <c r="AX175" s="70">
        <f t="shared" si="480"/>
        <v>0</v>
      </c>
      <c r="AY175" s="70"/>
      <c r="BA175" s="79"/>
      <c r="BB175" s="80">
        <f>IFERROR(BA175/SUMIFS(BA:BA, $H:$H, "Net Sales"),0)</f>
        <v>0</v>
      </c>
      <c r="BC175" s="79"/>
      <c r="BD175" s="80">
        <f>IFERROR(BC175/SUMIFS(BC:BC, $H:$H, "Net Sales"),0)</f>
        <v>0</v>
      </c>
      <c r="BE175" s="79"/>
      <c r="BF175" s="81">
        <f>IFERROR(BE175/SUMIFS(BE:BE, $H:$H, "Net Sales"),0)</f>
        <v>0</v>
      </c>
      <c r="BG175" s="80">
        <f t="shared" si="481"/>
        <v>0</v>
      </c>
      <c r="BH175" s="70">
        <f t="shared" si="482"/>
        <v>0</v>
      </c>
      <c r="BI175" s="80">
        <f t="shared" si="483"/>
        <v>0</v>
      </c>
      <c r="BJ175" s="70">
        <f t="shared" si="484"/>
        <v>0</v>
      </c>
      <c r="BK175" s="70"/>
    </row>
    <row r="176" spans="2:63" ht="11.95" x14ac:dyDescent="0.25">
      <c r="E176" s="19"/>
      <c r="F176" s="19"/>
      <c r="G176" s="19"/>
      <c r="H176" s="19" t="s">
        <v>87</v>
      </c>
      <c r="I176" s="85"/>
      <c r="J176" s="85"/>
      <c r="K176" s="85"/>
      <c r="L176" s="144">
        <v>-1</v>
      </c>
      <c r="M176" s="85">
        <f>SUMIFS(M174:M175,$I174:$I175,"&lt;&gt;"&amp;$I$29,$E174:$E175,"&lt;&gt;*[-]*",$F174:$F175,"&lt;&gt;*[-]*",$G174:$G175,"&lt;&gt;*[-]*",$H174:$H175,"Interest Expense")</f>
        <v>0</v>
      </c>
      <c r="N176" s="86"/>
      <c r="O176" s="85">
        <f>SUMIFS(O174:O175,$I174:$I175,"&lt;&gt;"&amp;$I$29,$E174:$E175,"&lt;&gt;*[-]*",$F174:$F175,"&lt;&gt;*[-]*",$G174:$G175,"&lt;&gt;*[-]*",$H174:$H175,"Interest Expense")</f>
        <v>0</v>
      </c>
      <c r="P176" s="86"/>
      <c r="Q176" s="85">
        <f>SUMIFS(Q174:Q175,$I174:$I175,"&lt;&gt;"&amp;$I$29,$E174:$E175,"&lt;&gt;*[-]*",$F174:$F175,"&lt;&gt;*[-]*",$G174:$G175,"&lt;&gt;*[-]*",$H174:$H175,"Interest Expense")</f>
        <v>0</v>
      </c>
      <c r="R176" s="86"/>
      <c r="S176" s="85">
        <f>SUMIFS(S174:S175,$I174:$I175,"&lt;&gt;"&amp;$I$29,$E174:$E175,"&lt;&gt;*[-]*",$F174:$F175,"&lt;&gt;*[-]*",$G174:$G175,"&lt;&gt;*[-]*",$H174:$H175,"Interest Expense")</f>
        <v>0</v>
      </c>
      <c r="T176" s="86">
        <f>IFERROR(S176/SUMIFS(S:S, $H:$H, "Net Sales"),0)</f>
        <v>0</v>
      </c>
      <c r="U176" s="86">
        <f>IFERROR(($O176-M176)/ABS(M176),0)</f>
        <v>0</v>
      </c>
      <c r="V176" s="87">
        <f>IFERROR((O176-$M176), 0-$M176)</f>
        <v>0</v>
      </c>
      <c r="W176" s="86">
        <f>IFERROR((Q176-$M176)/ABS($M176),0)</f>
        <v>0</v>
      </c>
      <c r="X176" s="87">
        <f>IFERROR((Q176-$M176), 0 -$M176)</f>
        <v>0</v>
      </c>
      <c r="Y176" s="86">
        <f>IFERROR((S176-$M176)/ABS($M176),0)</f>
        <v>0</v>
      </c>
      <c r="Z176" s="87">
        <f>IFERROR((S176-$M176),0-$M176)</f>
        <v>0</v>
      </c>
      <c r="AA176" s="87"/>
      <c r="AC176" s="142">
        <f>SUMIFS(AC174:AC175,$I174:$I175,"&lt;&gt;"&amp;$I$29,$E174:$E175,"&lt;&gt;*[-]*",$F174:$F175,"&lt;&gt;*[-]*",$G174:$G175,"&lt;&gt;*[-]*",$H174:$H175,"Interest Expense")</f>
        <v>0</v>
      </c>
      <c r="AD176" s="142">
        <f>SUMIFS(AD174:AD175,$I174:$I175,"&lt;&gt;"&amp;$I$29,$E174:$E175,"&lt;&gt;*[-]*",$F174:$F175,"&lt;&gt;*[-]*",$G174:$G175,"&lt;&gt;*[-]*",$H174:$H175,"Interest Expense")</f>
        <v>0</v>
      </c>
      <c r="AE176" s="142">
        <f>SUMIFS(AE174:AE175,$I174:$I175,"&lt;&gt;"&amp;$I$29,$E174:$E175,"&lt;&gt;*[-]*",$F174:$F175,"&lt;&gt;*[-]*",$G174:$G175,"&lt;&gt;*[-]*",$H174:$H175,"Interest Expense")</f>
        <v>0</v>
      </c>
      <c r="AF176" s="173">
        <f t="shared" si="485"/>
        <v>0</v>
      </c>
      <c r="AG176" s="143">
        <f>($AC176-AD176)</f>
        <v>0</v>
      </c>
      <c r="AH176" s="173">
        <f>IFERROR(($AC176-AE176)/ABS(AE176),0)</f>
        <v>0</v>
      </c>
      <c r="AI176" s="143">
        <f>($AC176-AE176)</f>
        <v>0</v>
      </c>
      <c r="AK176" s="85">
        <f>SUMIFS(AK174:AK175,$I174:$I175,"&lt;&gt;"&amp;$I$29,$E174:$E175,"&lt;&gt;*[-]*",$F174:$F175,"&lt;&gt;*[-]*",$G174:$G175,"&lt;&gt;*[-]*",$H174:$H175,"Interest Expense")</f>
        <v>0</v>
      </c>
      <c r="AL176" s="86">
        <f>IFERROR(AK176/SUMIFS(AK:AK, $H:$H, "Net Sales"),0)</f>
        <v>0</v>
      </c>
      <c r="AM176" s="85">
        <f>SUMIFS(AM174:AM175,$I174:$I175,"&lt;&gt;"&amp;$I$29,$E174:$E175,"&lt;&gt;*[-]*",$F174:$F175,"&lt;&gt;*[-]*",$G174:$G175,"&lt;&gt;*[-]*",$H174:$H175,"Interest Expense")</f>
        <v>0</v>
      </c>
      <c r="AN176" s="86">
        <f>IFERROR(AM176/SUMIFS(AM:AM, $H:$H, "Net Sales"),0)</f>
        <v>0</v>
      </c>
      <c r="AO176" s="85">
        <f>SUMIFS(AO174:AO175,$I174:$I175,"&lt;&gt;"&amp;$I$29,$E174:$E175,"&lt;&gt;*[-]*",$F174:$F175,"&lt;&gt;*[-]*",$G174:$G175,"&lt;&gt;*[-]*",$H174:$H175,"Interest Expense")</f>
        <v>0</v>
      </c>
      <c r="AP176" s="86">
        <f>IFERROR(AO176/SUMIFS(AO:AO, $H:$H, "Net Sales"),0)</f>
        <v>0</v>
      </c>
      <c r="AQ176" s="85">
        <f>SUMIFS(AQ174:AQ175,$I174:$I175,"&lt;&gt;"&amp;$I$29,$E174:$E175,"&lt;&gt;*[-]*",$F174:$F175,"&lt;&gt;*[-]*",$G174:$G175,"&lt;&gt;*[-]*",$H174:$H175,"Interest Expense")</f>
        <v>0</v>
      </c>
      <c r="AR176" s="86">
        <f>IFERROR(AQ176/SUMIFS(AQ:AQ, $H:$H, "Net Sales"),0)</f>
        <v>0</v>
      </c>
      <c r="AS176" s="86">
        <f>IFERROR((AM176-$AK176)/ABS($AK176),0)</f>
        <v>0</v>
      </c>
      <c r="AT176" s="87">
        <f>(AM176-$AK176)</f>
        <v>0</v>
      </c>
      <c r="AU176" s="86">
        <f>IFERROR((AO176-$AK176)/ABS($AO176),0)</f>
        <v>0</v>
      </c>
      <c r="AV176" s="87">
        <f>(AO176-$AK176)</f>
        <v>0</v>
      </c>
      <c r="AW176" s="86">
        <f>IFERROR((AQ176-$AK176)/ABS($AK176),0)</f>
        <v>0</v>
      </c>
      <c r="AX176" s="87">
        <f>(AQ176-$AK176)</f>
        <v>0</v>
      </c>
      <c r="AY176" s="87"/>
      <c r="BA176" s="85">
        <f>SUMIFS(BA174:BA175,$I174:$I175,"&lt;&gt;"&amp;$I$29,$E174:$E175,"&lt;&gt;*[-]*",$F174:$F175,"&lt;&gt;*[-]*",$G174:$G175,"&lt;&gt;*[-]*",$H174:$H175,"Interest Expense")</f>
        <v>0</v>
      </c>
      <c r="BB176" s="86">
        <f>IFERROR(BA176/SUMIFS(BA:BA, $H:$H, "Net Sales"),0)</f>
        <v>0</v>
      </c>
      <c r="BC176" s="85">
        <f>SUMIFS(BC174:BC175,$I174:$I175,"&lt;&gt;"&amp;$I$29,$E174:$E175,"&lt;&gt;*[-]*",$F174:$F175,"&lt;&gt;*[-]*",$G174:$G175,"&lt;&gt;*[-]*",$H174:$H175,"Interest Expense")</f>
        <v>0</v>
      </c>
      <c r="BD176" s="86">
        <f>IFERROR(BC176/SUMIFS(BC:BC, $H:$H, "Net Sales"),0)</f>
        <v>0</v>
      </c>
      <c r="BE176" s="85">
        <f>SUMIFS(BE174:BE175,$I174:$I175,"&lt;&gt;"&amp;$I$29,$E174:$E175,"&lt;&gt;*[-]*",$F174:$F175,"&lt;&gt;*[-]*",$G174:$G175,"&lt;&gt;*[-]*",$H174:$H175,"Interest Expense")</f>
        <v>0</v>
      </c>
      <c r="BF176" s="86">
        <f>IFERROR(BE176/SUMIFS(BE:BE, $H:$H, "Net Sales"),0)</f>
        <v>0</v>
      </c>
      <c r="BG176" s="86">
        <f>IFERROR((BC176-$BA176)/ABS($BA176),0)</f>
        <v>0</v>
      </c>
      <c r="BH176" s="87">
        <f>(BC176-$BA176)</f>
        <v>0</v>
      </c>
      <c r="BI176" s="86">
        <f>IFERROR((BE176-$BA176)/ABS($BA176),0)</f>
        <v>0</v>
      </c>
      <c r="BJ176" s="87">
        <f>(BE176-$BA176)</f>
        <v>0</v>
      </c>
      <c r="BK176" s="87"/>
    </row>
    <row r="177" spans="1:72" x14ac:dyDescent="0.25">
      <c r="N177" s="145"/>
      <c r="P177" s="145"/>
      <c r="R177" s="145"/>
      <c r="T177" s="145"/>
      <c r="U177" s="145"/>
      <c r="V177" s="84"/>
      <c r="W177" s="145"/>
      <c r="X177" s="84"/>
      <c r="Y177" s="145"/>
      <c r="Z177" s="84"/>
      <c r="AA177" s="84"/>
      <c r="AF177" s="169"/>
      <c r="AG177" s="140"/>
      <c r="AH177" s="169"/>
      <c r="AI177" s="140"/>
      <c r="AL177" s="145"/>
      <c r="AN177" s="145"/>
      <c r="AP177" s="145"/>
      <c r="AR177" s="145"/>
      <c r="AS177" s="145"/>
      <c r="AT177" s="84"/>
      <c r="AU177" s="145"/>
      <c r="AV177" s="84"/>
      <c r="AW177" s="145"/>
      <c r="AX177" s="84"/>
      <c r="AY177" s="84"/>
      <c r="BB177" s="145"/>
      <c r="BD177" s="145"/>
      <c r="BF177" s="145"/>
      <c r="BG177" s="145"/>
      <c r="BH177" s="84"/>
      <c r="BI177" s="145"/>
      <c r="BJ177" s="84"/>
      <c r="BK177" s="84"/>
    </row>
    <row r="178" spans="1:72" ht="12.45" thickBot="1" x14ac:dyDescent="0.3">
      <c r="E178" s="4"/>
      <c r="F178" s="4"/>
      <c r="G178" s="4"/>
      <c r="H178" s="4" t="s">
        <v>117</v>
      </c>
      <c r="I178" s="4"/>
      <c r="J178" s="5"/>
      <c r="K178" s="5"/>
      <c r="L178" s="5"/>
      <c r="M178" s="5"/>
      <c r="N178" s="152"/>
      <c r="O178" s="5"/>
      <c r="P178" s="152"/>
      <c r="Q178" s="5"/>
      <c r="R178" s="152"/>
      <c r="S178" s="5"/>
      <c r="T178" s="152"/>
      <c r="U178" s="152"/>
      <c r="V178" s="75"/>
      <c r="W178" s="152"/>
      <c r="X178" s="75"/>
      <c r="Y178" s="152"/>
      <c r="Z178" s="75"/>
      <c r="AA178" s="75"/>
      <c r="AC178" s="133"/>
      <c r="AD178" s="133"/>
      <c r="AE178" s="133"/>
      <c r="AF178" s="171"/>
      <c r="AG178" s="134"/>
      <c r="AH178" s="171"/>
      <c r="AI178" s="134"/>
      <c r="AK178" s="5"/>
      <c r="AL178" s="152"/>
      <c r="AM178" s="5"/>
      <c r="AN178" s="152"/>
      <c r="AO178" s="5"/>
      <c r="AP178" s="152"/>
      <c r="AQ178" s="5"/>
      <c r="AR178" s="152"/>
      <c r="AS178" s="152"/>
      <c r="AT178" s="75"/>
      <c r="AU178" s="152"/>
      <c r="AV178" s="75"/>
      <c r="AW178" s="152"/>
      <c r="AX178" s="75"/>
      <c r="AY178" s="75"/>
      <c r="BA178" s="5"/>
      <c r="BB178" s="152"/>
      <c r="BC178" s="5"/>
      <c r="BD178" s="152"/>
      <c r="BE178" s="5"/>
      <c r="BF178" s="152"/>
      <c r="BG178" s="152"/>
      <c r="BH178" s="75"/>
      <c r="BI178" s="152"/>
      <c r="BJ178" s="75"/>
      <c r="BK178" s="75"/>
    </row>
    <row r="179" spans="1:72" ht="11.95" hidden="1" thickBot="1" x14ac:dyDescent="0.3">
      <c r="B179" t="s">
        <v>1</v>
      </c>
      <c r="E179" s="3"/>
      <c r="F179" s="3"/>
      <c r="G179" s="3"/>
      <c r="H179" s="3" t="s">
        <v>117</v>
      </c>
      <c r="I179" s="18"/>
      <c r="J179" s="18"/>
      <c r="K179" s="18"/>
      <c r="L179" s="78"/>
      <c r="M179" s="79">
        <v>0</v>
      </c>
      <c r="N179" s="80">
        <f>IFERROR(M179/SUMIFS(M:M, $H:$H, "Net Sales"),0)</f>
        <v>0</v>
      </c>
      <c r="O179" s="79">
        <v>0</v>
      </c>
      <c r="P179" s="80">
        <f>IFERROR(O179/SUMIFS(O:O, $H:$H, "Net Sales"),0)</f>
        <v>0</v>
      </c>
      <c r="Q179" s="79">
        <v>0</v>
      </c>
      <c r="R179" s="80">
        <f>IFERROR(Q179/SUMIFS(Q:Q, $H:$H, "Net Sales"),0)</f>
        <v>0</v>
      </c>
      <c r="S179" s="79">
        <v>0</v>
      </c>
      <c r="T179" s="81">
        <f>IFERROR(S179/SUMIFS(S:S, $H:$H, "Net Sales"),0)</f>
        <v>0</v>
      </c>
      <c r="U179" s="80">
        <f t="shared" ref="U179:U180" si="486">IFERROR(($O179-M179)/ABS(M179),0)</f>
        <v>0</v>
      </c>
      <c r="V179" s="70">
        <f t="shared" ref="V179:V180" si="487">IFERROR((O179-$M179), 0-$M179)</f>
        <v>0</v>
      </c>
      <c r="W179" s="80">
        <f t="shared" ref="W179:W180" si="488">IFERROR((Q179-$M179)/ABS($M179),0)</f>
        <v>0</v>
      </c>
      <c r="X179" s="70">
        <f t="shared" ref="X179:X180" si="489">IFERROR((Q179-$M179), 0 -$M179)</f>
        <v>0</v>
      </c>
      <c r="Y179" s="80">
        <f t="shared" ref="Y179:Y180" si="490">IFERROR((S179-$M179)/ABS($M179),0)</f>
        <v>0</v>
      </c>
      <c r="Z179" s="70">
        <f t="shared" ref="Z179:Z180" si="491">IFERROR((S179-$M179),0-$M179)</f>
        <v>0</v>
      </c>
      <c r="AA179" s="70"/>
      <c r="AC179" s="138">
        <v>0</v>
      </c>
      <c r="AD179" s="138">
        <v>0</v>
      </c>
      <c r="AE179" s="138">
        <v>0</v>
      </c>
      <c r="AF179" s="172"/>
      <c r="AG179" s="139"/>
      <c r="AH179" s="172"/>
      <c r="AI179" s="139"/>
      <c r="AK179" s="79">
        <v>0</v>
      </c>
      <c r="AL179" s="80">
        <f>IFERROR(AK179/SUMIFS(AK:AK, $H:$H, "Net Sales"),0)</f>
        <v>0</v>
      </c>
      <c r="AM179" s="79">
        <v>0</v>
      </c>
      <c r="AN179" s="80">
        <f>IFERROR(AM179/SUMIFS(AM:AM, $H:$H, "Net Sales"),0)</f>
        <v>0</v>
      </c>
      <c r="AO179" s="79">
        <v>0</v>
      </c>
      <c r="AP179" s="80">
        <f>IFERROR(AO179/SUMIFS(AO:AO, $H:$H, "Net Sales"),0)</f>
        <v>0</v>
      </c>
      <c r="AQ179" s="79">
        <v>0</v>
      </c>
      <c r="AR179" s="81">
        <f>IFERROR(AQ179/SUMIFS(AQ:AQ, $H:$H, "Net Sales"),0)</f>
        <v>0</v>
      </c>
      <c r="AS179" s="80">
        <f t="shared" ref="AS179:AS180" si="492">IFERROR((AM179-$AK179)/ABS($AK179),0)</f>
        <v>0</v>
      </c>
      <c r="AT179" s="70">
        <f t="shared" ref="AT179:AT180" si="493">(AM179-$AK179)</f>
        <v>0</v>
      </c>
      <c r="AU179" s="80">
        <f t="shared" ref="AU179:AU180" si="494">IFERROR((AO179-$AK179)/ABS($AO179),0)</f>
        <v>0</v>
      </c>
      <c r="AV179" s="70">
        <f t="shared" ref="AV179:AV180" si="495">(AO179-$AK179)</f>
        <v>0</v>
      </c>
      <c r="AW179" s="80">
        <f t="shared" ref="AW179:AW180" si="496">IFERROR((AQ179-$AK179)/ABS($AK179),0)</f>
        <v>0</v>
      </c>
      <c r="AX179" s="70">
        <f t="shared" ref="AX179:AX180" si="497">(AQ179-$AK179)</f>
        <v>0</v>
      </c>
      <c r="AY179" s="70"/>
      <c r="BA179" s="79">
        <v>0</v>
      </c>
      <c r="BB179" s="80">
        <f>IFERROR(BA179/SUMIFS(BA:BA, $H:$H, "Net Sales"),0)</f>
        <v>0</v>
      </c>
      <c r="BC179" s="79">
        <v>0</v>
      </c>
      <c r="BD179" s="80">
        <f>IFERROR(BC179/SUMIFS(BC:BC, $H:$H, "Net Sales"),0)</f>
        <v>0</v>
      </c>
      <c r="BE179" s="79">
        <v>0</v>
      </c>
      <c r="BF179" s="81">
        <f>IFERROR(BE179/SUMIFS(BE:BE, $H:$H, "Net Sales"),0)</f>
        <v>0</v>
      </c>
      <c r="BG179" s="80">
        <f t="shared" ref="BG179:BG180" si="498">IFERROR((BC179-$BA179)/ABS($BA179),0)</f>
        <v>0</v>
      </c>
      <c r="BH179" s="70">
        <f t="shared" ref="BH179:BH180" si="499">(BC179-$BA179)</f>
        <v>0</v>
      </c>
      <c r="BI179" s="80">
        <f t="shared" ref="BI179:BI180" si="500">IFERROR((BE179-$BA179)/ABS($BA179),0)</f>
        <v>0</v>
      </c>
      <c r="BJ179" s="70">
        <f t="shared" ref="BJ179:BJ180" si="501">(BE179-$BA179)</f>
        <v>0</v>
      </c>
      <c r="BK179" s="70"/>
    </row>
    <row r="180" spans="1:72" ht="11.95" hidden="1" thickBot="1" x14ac:dyDescent="0.3">
      <c r="B180" t="str">
        <f>IF(LEFT(H180,3)="Mul", "#hiderow", "#showrow")</f>
        <v>#hiderow</v>
      </c>
      <c r="E180" s="3"/>
      <c r="F180" s="3"/>
      <c r="G180" s="3"/>
      <c r="H180" s="255" t="s">
        <v>6</v>
      </c>
      <c r="I180" s="18"/>
      <c r="J180" s="18"/>
      <c r="K180" s="18"/>
      <c r="L180" s="78"/>
      <c r="M180" s="79"/>
      <c r="N180" s="80">
        <f>IFERROR(M180/SUMIFS(M:M, $H:$H, "Net Sales"),0)</f>
        <v>0</v>
      </c>
      <c r="O180" s="79">
        <v>0</v>
      </c>
      <c r="P180" s="80">
        <f>IFERROR(O180/SUMIFS(O:O, $H:$H, "Net Sales"),0)</f>
        <v>0</v>
      </c>
      <c r="Q180" s="79">
        <v>0</v>
      </c>
      <c r="R180" s="80">
        <f>IFERROR(Q180/SUMIFS(Q:Q, $H:$H, "Net Sales"),0)</f>
        <v>0</v>
      </c>
      <c r="S180" s="79"/>
      <c r="T180" s="81">
        <f>IFERROR(S180/SUMIFS(S:S, $H:$H, "Net Sales"),0)</f>
        <v>0</v>
      </c>
      <c r="U180" s="80">
        <f t="shared" si="486"/>
        <v>0</v>
      </c>
      <c r="V180" s="70">
        <f t="shared" si="487"/>
        <v>0</v>
      </c>
      <c r="W180" s="80">
        <f t="shared" si="488"/>
        <v>0</v>
      </c>
      <c r="X180" s="70">
        <f t="shared" si="489"/>
        <v>0</v>
      </c>
      <c r="Y180" s="80">
        <f t="shared" si="490"/>
        <v>0</v>
      </c>
      <c r="Z180" s="70">
        <f t="shared" si="491"/>
        <v>0</v>
      </c>
      <c r="AA180" s="70"/>
      <c r="AC180" s="138"/>
      <c r="AD180" s="138"/>
      <c r="AE180" s="138"/>
      <c r="AF180" s="172">
        <f t="shared" ref="AF180:AF181" si="502">IFERROR(($AC180-AD180)/ABS(AD180),0)</f>
        <v>0</v>
      </c>
      <c r="AG180" s="139">
        <f>($AC180-AD180)</f>
        <v>0</v>
      </c>
      <c r="AH180" s="172">
        <f>IFERROR(($AC180-AE180)/ABS(AE180),0)</f>
        <v>0</v>
      </c>
      <c r="AI180" s="139">
        <f>($AC180-AE180)</f>
        <v>0</v>
      </c>
      <c r="AK180" s="79"/>
      <c r="AL180" s="80">
        <f>IFERROR(AK180/SUMIFS(AK:AK, $H:$H, "Net Sales"),0)</f>
        <v>0</v>
      </c>
      <c r="AM180" s="79"/>
      <c r="AN180" s="80">
        <f>IFERROR(AM180/SUMIFS(AM:AM, $H:$H, "Net Sales"),0)</f>
        <v>0</v>
      </c>
      <c r="AO180" s="79"/>
      <c r="AP180" s="80">
        <f>IFERROR(AO180/SUMIFS(AO:AO, $H:$H, "Net Sales"),0)</f>
        <v>0</v>
      </c>
      <c r="AQ180" s="79"/>
      <c r="AR180" s="81">
        <f>IFERROR(AQ180/SUMIFS(AQ:AQ, $H:$H, "Net Sales"),0)</f>
        <v>0</v>
      </c>
      <c r="AS180" s="80">
        <f t="shared" si="492"/>
        <v>0</v>
      </c>
      <c r="AT180" s="70">
        <f t="shared" si="493"/>
        <v>0</v>
      </c>
      <c r="AU180" s="80">
        <f t="shared" si="494"/>
        <v>0</v>
      </c>
      <c r="AV180" s="70">
        <f t="shared" si="495"/>
        <v>0</v>
      </c>
      <c r="AW180" s="80">
        <f t="shared" si="496"/>
        <v>0</v>
      </c>
      <c r="AX180" s="70">
        <f t="shared" si="497"/>
        <v>0</v>
      </c>
      <c r="AY180" s="70"/>
      <c r="BA180" s="79"/>
      <c r="BB180" s="80">
        <f>IFERROR(BA180/SUMIFS(BA:BA, $H:$H, "Net Sales"),0)</f>
        <v>0</v>
      </c>
      <c r="BC180" s="79"/>
      <c r="BD180" s="80">
        <f>IFERROR(BC180/SUMIFS(BC:BC, $H:$H, "Net Sales"),0)</f>
        <v>0</v>
      </c>
      <c r="BE180" s="79"/>
      <c r="BF180" s="81">
        <f>IFERROR(BE180/SUMIFS(BE:BE, $H:$H, "Net Sales"),0)</f>
        <v>0</v>
      </c>
      <c r="BG180" s="80">
        <f t="shared" si="498"/>
        <v>0</v>
      </c>
      <c r="BH180" s="70">
        <f t="shared" si="499"/>
        <v>0</v>
      </c>
      <c r="BI180" s="80">
        <f t="shared" si="500"/>
        <v>0</v>
      </c>
      <c r="BJ180" s="70">
        <f t="shared" si="501"/>
        <v>0</v>
      </c>
      <c r="BK180" s="70"/>
    </row>
    <row r="181" spans="1:72" ht="11.95" x14ac:dyDescent="0.25">
      <c r="E181" s="19"/>
      <c r="F181" s="19"/>
      <c r="G181" s="19"/>
      <c r="H181" s="19" t="s">
        <v>118</v>
      </c>
      <c r="I181" s="85"/>
      <c r="J181" s="85"/>
      <c r="K181" s="85"/>
      <c r="L181" s="144">
        <v>-1</v>
      </c>
      <c r="M181" s="85">
        <f>SUMIFS(M179:M180,$I179:$I180,"&lt;&gt;"&amp;$I$29,$E179:$E180,"&lt;&gt;*[-]*",$F179:$F180,"&lt;&gt;*[-]*",$G179:$G180,"&lt;&gt;*[-]*",$H179:$H180,"Gain/Loss on Swap MTM")</f>
        <v>0</v>
      </c>
      <c r="N181" s="86"/>
      <c r="O181" s="85">
        <f>SUMIFS(O179:O180,$I179:$I180,"&lt;&gt;"&amp;$I$29,$E179:$E180,"&lt;&gt;*[-]*",$F179:$F180,"&lt;&gt;*[-]*",$G179:$G180,"&lt;&gt;*[-]*",$H179:$H180,"Gain/Loss on Swap MTM")</f>
        <v>0</v>
      </c>
      <c r="P181" s="86"/>
      <c r="Q181" s="85">
        <f>SUMIFS(Q179:Q180,$I179:$I180,"&lt;&gt;"&amp;$I$29,$E179:$E180,"&lt;&gt;*[-]*",$F179:$F180,"&lt;&gt;*[-]*",$G179:$G180,"&lt;&gt;*[-]*",$H179:$H180,"Gain/Loss on Swap MTM")</f>
        <v>0</v>
      </c>
      <c r="R181" s="86"/>
      <c r="S181" s="85">
        <f>SUMIFS(S179:S180,$I179:$I180,"&lt;&gt;"&amp;$I$29,$E179:$E180,"&lt;&gt;*[-]*",$F179:$F180,"&lt;&gt;*[-]*",$G179:$G180,"&lt;&gt;*[-]*",$H179:$H180,"Gain/Loss on Swap MTM")</f>
        <v>0</v>
      </c>
      <c r="T181" s="86">
        <f>IFERROR(S181/SUMIFS(S:S, $H:$H, "Net Sales"),0)</f>
        <v>0</v>
      </c>
      <c r="U181" s="86">
        <f>IFERROR(($O181-M181)/ABS(M181),0)</f>
        <v>0</v>
      </c>
      <c r="V181" s="87">
        <f>IFERROR((O181-$M181), 0-$M181)</f>
        <v>0</v>
      </c>
      <c r="W181" s="86">
        <f>IFERROR((Q181-$M181)/ABS($M181),0)</f>
        <v>0</v>
      </c>
      <c r="X181" s="87">
        <f>IFERROR((Q181-$M181), 0 -$M181)</f>
        <v>0</v>
      </c>
      <c r="Y181" s="86">
        <f>IFERROR((S181-$M181)/ABS($M181),0)</f>
        <v>0</v>
      </c>
      <c r="Z181" s="87">
        <f>IFERROR((S181-$M181),0-$M181)</f>
        <v>0</v>
      </c>
      <c r="AA181" s="87"/>
      <c r="AC181" s="142">
        <f>SUMIFS(AC180:AC180,$I180:$I180,"&lt;&gt;"&amp;$I$29,$E180:$E180,"&lt;&gt;*[-]*",$F180:$F180,"&lt;&gt;*[-]*",$G180:$G180,"&lt;&gt;*[-]*",$H180:$H180,"Gain/Loss on Swap MTM")</f>
        <v>0</v>
      </c>
      <c r="AD181" s="142">
        <f>SUMIFS(AD180:AD180,$I180:$I180,"&lt;&gt;"&amp;$I$29,$E180:$E180,"&lt;&gt;*[-]*",$F180:$F180,"&lt;&gt;*[-]*",$G180:$G180,"&lt;&gt;*[-]*",$H180:$H180,"Gain/Loss on Swap MTM")</f>
        <v>0</v>
      </c>
      <c r="AE181" s="142">
        <f>SUMIFS(AE180:AE180,$I180:$I180,"&lt;&gt;"&amp;$I$29,$E180:$E180,"&lt;&gt;*[-]*",$F180:$F180,"&lt;&gt;*[-]*",$G180:$G180,"&lt;&gt;*[-]*",$H180:$H180,"Gain/Loss on Swap MTM")</f>
        <v>0</v>
      </c>
      <c r="AF181" s="173">
        <f t="shared" si="502"/>
        <v>0</v>
      </c>
      <c r="AG181" s="143">
        <f>($AC181-AD181)</f>
        <v>0</v>
      </c>
      <c r="AH181" s="173">
        <f>IFERROR(($AC181-AE181)/ABS(AE181),0)</f>
        <v>0</v>
      </c>
      <c r="AI181" s="143">
        <f>($AC181-AE181)</f>
        <v>0</v>
      </c>
      <c r="AK181" s="85">
        <f>SUMIFS(AK179:AK180,$I179:$I180,"&lt;&gt;"&amp;$I$29,$E179:$E180,"&lt;&gt;*[-]*",$F179:$F180,"&lt;&gt;*[-]*",$G179:$G180,"&lt;&gt;*[-]*",$H179:$H180,"Gain/Loss on Swap MTM")</f>
        <v>0</v>
      </c>
      <c r="AL181" s="86">
        <f>IFERROR(AK181/SUMIFS(AK:AK, $H:$H, "Net Sales"),0)</f>
        <v>0</v>
      </c>
      <c r="AM181" s="85">
        <f>SUMIFS(AM179:AM180,$I179:$I180,"&lt;&gt;"&amp;$I$29,$E179:$E180,"&lt;&gt;*[-]*",$F179:$F180,"&lt;&gt;*[-]*",$G179:$G180,"&lt;&gt;*[-]*",$H179:$H180,"Gain/Loss on Swap MTM")</f>
        <v>0</v>
      </c>
      <c r="AN181" s="86">
        <f>IFERROR(AM181/SUMIFS(AM:AM, $H:$H, "Net Sales"),0)</f>
        <v>0</v>
      </c>
      <c r="AO181" s="85">
        <f>SUMIFS(AO179:AO180,$I179:$I180,"&lt;&gt;"&amp;$I$29,$E179:$E180,"&lt;&gt;*[-]*",$F179:$F180,"&lt;&gt;*[-]*",$G179:$G180,"&lt;&gt;*[-]*",$H179:$H180,"Gain/Loss on Swap MTM")</f>
        <v>0</v>
      </c>
      <c r="AP181" s="86">
        <f>IFERROR(AO181/SUMIFS(AO:AO, $H:$H, "Net Sales"),0)</f>
        <v>0</v>
      </c>
      <c r="AQ181" s="85">
        <f>SUMIFS(AQ179:AQ180,$I179:$I180,"&lt;&gt;"&amp;$I$29,$E179:$E180,"&lt;&gt;*[-]*",$F179:$F180,"&lt;&gt;*[-]*",$G179:$G180,"&lt;&gt;*[-]*",$H179:$H180,"Gain/Loss on Swap MTM")</f>
        <v>0</v>
      </c>
      <c r="AR181" s="86">
        <f>IFERROR(AQ181/SUMIFS(AQ:AQ, $H:$H, "Net Sales"),0)</f>
        <v>0</v>
      </c>
      <c r="AS181" s="86">
        <f>IFERROR((AM181-$AK181)/ABS($AK181),0)</f>
        <v>0</v>
      </c>
      <c r="AT181" s="87">
        <f>(AM181-$AK181)</f>
        <v>0</v>
      </c>
      <c r="AU181" s="86">
        <f>IFERROR((AO181-$AK181)/ABS($AO181),0)</f>
        <v>0</v>
      </c>
      <c r="AV181" s="87">
        <f>(AO181-$AK181)</f>
        <v>0</v>
      </c>
      <c r="AW181" s="86">
        <f>IFERROR((AQ181-$AK181)/ABS($AK181),0)</f>
        <v>0</v>
      </c>
      <c r="AX181" s="87">
        <f>(AQ181-$AK181)</f>
        <v>0</v>
      </c>
      <c r="AY181" s="87"/>
      <c r="BA181" s="85">
        <f>SUMIFS(BA179:BA180,$I179:$I180,"&lt;&gt;"&amp;$I$29,$E179:$E180,"&lt;&gt;*[-]*",$F179:$F180,"&lt;&gt;*[-]*",$G179:$G180,"&lt;&gt;*[-]*",$H179:$H180,"Gain/Loss on Swap MTM")</f>
        <v>0</v>
      </c>
      <c r="BB181" s="86">
        <f>IFERROR(BA181/SUMIFS(BA:BA, $H:$H, "Net Sales"),0)</f>
        <v>0</v>
      </c>
      <c r="BC181" s="85">
        <f>SUMIFS(BC179:BC180,$I179:$I180,"&lt;&gt;"&amp;$I$29,$E179:$E180,"&lt;&gt;*[-]*",$F179:$F180,"&lt;&gt;*[-]*",$G179:$G180,"&lt;&gt;*[-]*",$H179:$H180,"Gain/Loss on Swap MTM")</f>
        <v>0</v>
      </c>
      <c r="BD181" s="86">
        <f>IFERROR(BC181/SUMIFS(BC:BC, $H:$H, "Net Sales"),0)</f>
        <v>0</v>
      </c>
      <c r="BE181" s="85">
        <f>SUMIFS(BE179:BE180,$I179:$I180,"&lt;&gt;"&amp;$I$29,$E179:$E180,"&lt;&gt;*[-]*",$F179:$F180,"&lt;&gt;*[-]*",$G179:$G180,"&lt;&gt;*[-]*",$H179:$H180,"Gain/Loss on Swap MTM")</f>
        <v>0</v>
      </c>
      <c r="BF181" s="86">
        <f>IFERROR(BE181/SUMIFS(BE:BE, $H:$H, "Net Sales"),0)</f>
        <v>0</v>
      </c>
      <c r="BG181" s="86">
        <f>IFERROR((BC181-$BA181)/ABS($BA181),0)</f>
        <v>0</v>
      </c>
      <c r="BH181" s="87">
        <f>(BC181-$BA181)</f>
        <v>0</v>
      </c>
      <c r="BI181" s="86">
        <f>IFERROR((BE181-$BA181)/ABS($BA181),0)</f>
        <v>0</v>
      </c>
      <c r="BJ181" s="87">
        <f>(BE181-$BA181)</f>
        <v>0</v>
      </c>
      <c r="BK181" s="87"/>
    </row>
    <row r="182" spans="1:72" x14ac:dyDescent="0.25">
      <c r="N182" s="145"/>
      <c r="P182" s="145"/>
      <c r="R182" s="145"/>
      <c r="T182" s="145"/>
      <c r="U182" s="145"/>
      <c r="V182" s="84"/>
      <c r="W182" s="145"/>
      <c r="X182" s="84"/>
      <c r="Y182" s="145"/>
      <c r="Z182" s="84"/>
      <c r="AA182" s="84"/>
      <c r="AF182" s="169"/>
      <c r="AG182" s="140"/>
      <c r="AH182" s="169"/>
      <c r="AI182" s="140"/>
      <c r="AL182" s="145"/>
      <c r="AN182" s="145"/>
      <c r="AP182" s="145"/>
      <c r="AR182" s="145"/>
      <c r="AS182" s="145"/>
      <c r="AT182" s="84"/>
      <c r="AU182" s="145"/>
      <c r="AV182" s="84"/>
      <c r="AW182" s="145"/>
      <c r="AX182" s="84"/>
      <c r="AY182" s="84"/>
      <c r="BB182" s="145"/>
      <c r="BD182" s="145"/>
      <c r="BF182" s="145"/>
      <c r="BG182" s="145"/>
      <c r="BH182" s="84"/>
      <c r="BI182" s="145"/>
      <c r="BJ182" s="84"/>
      <c r="BK182" s="84"/>
    </row>
    <row r="183" spans="1:72" s="47" customFormat="1" ht="12.45" hidden="1" thickBot="1" x14ac:dyDescent="0.3">
      <c r="A183"/>
      <c r="B183" s="47" t="s">
        <v>1</v>
      </c>
      <c r="E183" s="132"/>
      <c r="F183" s="132"/>
      <c r="G183" s="132"/>
      <c r="H183" s="132" t="s">
        <v>117</v>
      </c>
      <c r="I183" s="132"/>
      <c r="J183" s="133"/>
      <c r="K183" s="133"/>
      <c r="L183" s="133"/>
      <c r="M183" s="133"/>
      <c r="N183" s="154"/>
      <c r="O183" s="133"/>
      <c r="P183" s="154"/>
      <c r="Q183" s="133"/>
      <c r="R183" s="154"/>
      <c r="S183" s="133"/>
      <c r="T183" s="154"/>
      <c r="U183" s="154"/>
      <c r="V183" s="134"/>
      <c r="W183" s="154"/>
      <c r="X183" s="134"/>
      <c r="Y183" s="154"/>
      <c r="Z183" s="134"/>
      <c r="AA183" s="134"/>
      <c r="AC183" s="133"/>
      <c r="AD183" s="133"/>
      <c r="AE183" s="133"/>
      <c r="AF183" s="171"/>
      <c r="AG183" s="134"/>
      <c r="AH183" s="171"/>
      <c r="AI183" s="134"/>
      <c r="AJ183"/>
      <c r="AK183" s="133"/>
      <c r="AL183" s="154"/>
      <c r="AM183" s="133"/>
      <c r="AN183" s="154"/>
      <c r="AO183" s="133"/>
      <c r="AP183" s="154"/>
      <c r="AQ183" s="133"/>
      <c r="AR183" s="154"/>
      <c r="AS183" s="154"/>
      <c r="AT183" s="134"/>
      <c r="AU183" s="154"/>
      <c r="AV183" s="134"/>
      <c r="AW183" s="154"/>
      <c r="AX183" s="134"/>
      <c r="AY183" s="134"/>
      <c r="AZ183"/>
      <c r="BA183" s="133"/>
      <c r="BB183" s="154"/>
      <c r="BC183" s="133"/>
      <c r="BD183" s="154"/>
      <c r="BE183" s="133"/>
      <c r="BF183" s="154"/>
      <c r="BG183" s="154"/>
      <c r="BH183" s="134"/>
      <c r="BI183" s="154"/>
      <c r="BJ183" s="134"/>
      <c r="BK183" s="134"/>
      <c r="BL183"/>
      <c r="BM183"/>
      <c r="BN183"/>
      <c r="BO183"/>
      <c r="BP183"/>
      <c r="BQ183"/>
      <c r="BR183"/>
      <c r="BS183"/>
      <c r="BT183"/>
    </row>
    <row r="184" spans="1:72" s="47" customFormat="1" ht="11.95" hidden="1" thickBot="1" x14ac:dyDescent="0.3">
      <c r="A184"/>
      <c r="B184" s="47" t="s">
        <v>1</v>
      </c>
      <c r="E184" s="135"/>
      <c r="F184" s="135"/>
      <c r="G184" s="135"/>
      <c r="H184" s="135" t="s">
        <v>6</v>
      </c>
      <c r="I184" s="136"/>
      <c r="J184" s="136"/>
      <c r="K184" s="136"/>
      <c r="L184" s="137"/>
      <c r="M184" s="138"/>
      <c r="N184" s="155"/>
      <c r="O184" s="138"/>
      <c r="P184" s="155"/>
      <c r="Q184" s="138"/>
      <c r="R184" s="155"/>
      <c r="S184" s="138"/>
      <c r="T184" s="155"/>
      <c r="U184" s="155">
        <f>IFERROR(($O184-M184)/ABS(M184),0)</f>
        <v>0</v>
      </c>
      <c r="V184" s="139">
        <f>($O184-M184)</f>
        <v>0</v>
      </c>
      <c r="W184" s="155">
        <f>IFERROR(($M184-Q184)/ABS(Q184),0)</f>
        <v>0</v>
      </c>
      <c r="X184" s="139">
        <f>($M184-Q184)</f>
        <v>0</v>
      </c>
      <c r="Y184" s="155">
        <f>IFERROR(($M184-S184)/ABS(S184),0)</f>
        <v>0</v>
      </c>
      <c r="Z184" s="139">
        <f>($M184-S184)</f>
        <v>0</v>
      </c>
      <c r="AA184" s="139"/>
      <c r="AC184" s="138"/>
      <c r="AD184" s="138"/>
      <c r="AE184" s="138"/>
      <c r="AF184" s="172">
        <f t="shared" ref="AF184" si="503">IFERROR(($AC184-AD184)/ABS(AD184),0)</f>
        <v>0</v>
      </c>
      <c r="AG184" s="139">
        <f>($AC184-AD184)</f>
        <v>0</v>
      </c>
      <c r="AH184" s="172">
        <f>IFERROR(($AC184-AE184)/ABS(AE184),0)</f>
        <v>0</v>
      </c>
      <c r="AI184" s="139">
        <f>($AC184-AE184)</f>
        <v>0</v>
      </c>
      <c r="AJ184"/>
      <c r="AK184" s="138"/>
      <c r="AL184" s="155"/>
      <c r="AM184" s="138"/>
      <c r="AN184" s="155"/>
      <c r="AO184" s="138"/>
      <c r="AP184" s="155"/>
      <c r="AQ184" s="138"/>
      <c r="AR184" s="155"/>
      <c r="AS184" s="155">
        <f>IFERROR(($O184-AK184)/ABS(AK184),0)</f>
        <v>0</v>
      </c>
      <c r="AT184" s="139">
        <f>($AK184-AM184)</f>
        <v>0</v>
      </c>
      <c r="AU184" s="155">
        <f>IFERROR(($M184-AO184)/ABS(AO184),0)</f>
        <v>0</v>
      </c>
      <c r="AV184" s="139">
        <f>($AK184-AO184)</f>
        <v>0</v>
      </c>
      <c r="AW184" s="155">
        <f>IFERROR(($M184-AQ184)/ABS(AQ184),0)</f>
        <v>0</v>
      </c>
      <c r="AX184" s="139">
        <f>($AK184-AQ184)</f>
        <v>0</v>
      </c>
      <c r="AY184" s="139"/>
      <c r="AZ184"/>
      <c r="BA184" s="138"/>
      <c r="BB184" s="155"/>
      <c r="BC184" s="138"/>
      <c r="BD184" s="155"/>
      <c r="BE184" s="138"/>
      <c r="BF184" s="155"/>
      <c r="BG184" s="155">
        <f>IFERROR(($BA184-BC184)/ABS(BC184),0)</f>
        <v>0</v>
      </c>
      <c r="BH184" s="139">
        <f>($BA184-BC184)</f>
        <v>0</v>
      </c>
      <c r="BI184" s="155">
        <f>IFERROR(($BA184-BE184)/ABS(BE184),0)</f>
        <v>0</v>
      </c>
      <c r="BJ184" s="139">
        <f>($BA184-BE184)</f>
        <v>0</v>
      </c>
      <c r="BK184" s="139"/>
      <c r="BL184"/>
      <c r="BM184"/>
      <c r="BN184"/>
      <c r="BO184"/>
      <c r="BP184"/>
      <c r="BQ184"/>
      <c r="BR184"/>
      <c r="BS184"/>
      <c r="BT184"/>
    </row>
    <row r="185" spans="1:72" s="47" customFormat="1" ht="11.95" hidden="1" thickBot="1" x14ac:dyDescent="0.3">
      <c r="A185"/>
      <c r="B185" s="47" t="s">
        <v>1</v>
      </c>
      <c r="N185" s="156"/>
      <c r="P185" s="156"/>
      <c r="R185" s="156"/>
      <c r="T185" s="156"/>
      <c r="U185" s="156"/>
      <c r="V185" s="140"/>
      <c r="W185" s="156"/>
      <c r="X185" s="140"/>
      <c r="Y185" s="156"/>
      <c r="Z185" s="140"/>
      <c r="AA185" s="140"/>
      <c r="AF185" s="169"/>
      <c r="AG185" s="140"/>
      <c r="AH185" s="169"/>
      <c r="AI185" s="140"/>
      <c r="AJ185"/>
      <c r="AL185" s="156"/>
      <c r="AN185" s="156"/>
      <c r="AP185" s="156"/>
      <c r="AR185" s="156"/>
      <c r="AS185" s="156"/>
      <c r="AT185" s="140"/>
      <c r="AU185" s="156"/>
      <c r="AV185" s="140"/>
      <c r="AW185" s="156"/>
      <c r="AX185" s="140"/>
      <c r="AY185" s="140"/>
      <c r="AZ185"/>
      <c r="BB185" s="156"/>
      <c r="BD185" s="156"/>
      <c r="BF185" s="156"/>
      <c r="BG185" s="156"/>
      <c r="BH185" s="140"/>
      <c r="BI185" s="156"/>
      <c r="BJ185" s="140"/>
      <c r="BK185" s="140"/>
      <c r="BL185"/>
      <c r="BM185"/>
      <c r="BN185"/>
      <c r="BO185"/>
      <c r="BP185"/>
      <c r="BQ185"/>
      <c r="BR185"/>
      <c r="BS185"/>
      <c r="BT185"/>
    </row>
    <row r="186" spans="1:72" s="47" customFormat="1" ht="11.95" hidden="1" x14ac:dyDescent="0.25">
      <c r="A186"/>
      <c r="B186" s="47" t="s">
        <v>1</v>
      </c>
      <c r="E186" s="141"/>
      <c r="F186" s="141"/>
      <c r="G186" s="141"/>
      <c r="H186" s="141" t="s">
        <v>89</v>
      </c>
      <c r="I186" s="142"/>
      <c r="J186" s="142"/>
      <c r="K186" s="142"/>
      <c r="L186" s="142">
        <v>1</v>
      </c>
      <c r="M186" s="142">
        <f>SUMIFS(M184:M185,$I184:$I185,"&lt;&gt;"&amp;$I$29,$E184:$E185,"&lt;&gt;*[-]*",$F184:$F185,"&lt;&gt;*[-]*",$G184:$G185,"&lt;&gt;*[-]*",$H184:$H185,"*[+]*")</f>
        <v>0</v>
      </c>
      <c r="N186" s="157"/>
      <c r="O186" s="142">
        <f>SUMIFS(O184:O185,$I184:$I185,"&lt;&gt;"&amp;$I$29,$E184:$E185,"&lt;&gt;*[-]*",$F184:$F185,"&lt;&gt;*[-]*",$G184:$G185,"&lt;&gt;*[-]*",$H184:$H185,"*[+]*")</f>
        <v>0</v>
      </c>
      <c r="P186" s="157"/>
      <c r="Q186" s="142">
        <f>SUMIFS(Q184:Q185,$I184:$I185,"&lt;&gt;"&amp;$I$29,$E184:$E185,"&lt;&gt;*[-]*",$F184:$F185,"&lt;&gt;*[-]*",$G184:$G185,"&lt;&gt;*[-]*",$H184:$H185,"*[+]*")</f>
        <v>0</v>
      </c>
      <c r="R186" s="157"/>
      <c r="S186" s="142">
        <f>SUMIFS(S184:S185,$I184:$I185,"&lt;&gt;"&amp;$I$29,$E184:$E185,"&lt;&gt;*[-]*",$F184:$F185,"&lt;&gt;*[-]*",$G184:$G185,"&lt;&gt;*[-]*",$H184:$H185,"*[+]*")</f>
        <v>0</v>
      </c>
      <c r="T186" s="157"/>
      <c r="U186" s="157">
        <f>IFERROR(($O186-M186)/ABS(M186),0)</f>
        <v>0</v>
      </c>
      <c r="V186" s="143">
        <f>($O186-M186)</f>
        <v>0</v>
      </c>
      <c r="W186" s="157">
        <f>IFERROR(($M186-Q186)/ABS(Q186),0)</f>
        <v>0</v>
      </c>
      <c r="X186" s="143">
        <f>($M186-Q186)</f>
        <v>0</v>
      </c>
      <c r="Y186" s="157">
        <f>IFERROR(($M186-S186)/ABS(S186),0)</f>
        <v>0</v>
      </c>
      <c r="Z186" s="143">
        <f>($M186-S186)</f>
        <v>0</v>
      </c>
      <c r="AA186" s="143"/>
      <c r="AC186" s="142">
        <f>SUMIFS(AC184:AC185,$I184:$I185,"&lt;&gt;"&amp;$I$29,$E184:$E185,"&lt;&gt;*[-]*",$F184:$F185,"&lt;&gt;*[-]*",$G184:$G185,"&lt;&gt;*[-]*",$H184:$H185,"&lt;&gt;*[-]*")</f>
        <v>0</v>
      </c>
      <c r="AD186" s="142">
        <f>SUMIFS(AD184:AD185,$I184:$I185,"&lt;&gt;"&amp;$I$29,$E184:$E185,"&lt;&gt;*[-]*",$F184:$F185,"&lt;&gt;*[-]*",$G184:$G185,"&lt;&gt;*[-]*",$H184:$H185,"&lt;&gt;*[-]*")</f>
        <v>0</v>
      </c>
      <c r="AE186" s="142">
        <f>SUMIFS(AE184:AE185,$I184:$I185,"&lt;&gt;"&amp;$I$29,$E184:$E185,"&lt;&gt;*[-]*",$F184:$F185,"&lt;&gt;*[-]*",$G184:$G185,"&lt;&gt;*[-]*",$H184:$H185,"&lt;&gt;*[-]*")</f>
        <v>0</v>
      </c>
      <c r="AF186" s="173">
        <f t="shared" ref="AF186" si="504">IFERROR(($AC186-AD186)/ABS(AD186),0)</f>
        <v>0</v>
      </c>
      <c r="AG186" s="143">
        <f>($AC186-AD186)</f>
        <v>0</v>
      </c>
      <c r="AH186" s="173">
        <f>IFERROR(($AC186-AE186)/ABS(AE186),0)</f>
        <v>0</v>
      </c>
      <c r="AI186" s="143">
        <f>($AC186-AE186)</f>
        <v>0</v>
      </c>
      <c r="AJ186"/>
      <c r="AK186" s="142">
        <f>SUMIFS(AK184:AK185,$I184:$I185,"&lt;&gt;"&amp;$I$29,$E184:$E185,"&lt;&gt;*[-]*",$F184:$F185,"&lt;&gt;*[-]*",$G184:$G185,"&lt;&gt;*[-]*",$H184:$H185,"*[+]*")</f>
        <v>0</v>
      </c>
      <c r="AL186" s="157"/>
      <c r="AM186" s="142"/>
      <c r="AN186" s="157"/>
      <c r="AO186" s="142"/>
      <c r="AP186" s="157"/>
      <c r="AQ186" s="142">
        <f>SUMIFS(AQ184:AQ185,$I184:$I185,"&lt;&gt;"&amp;$I$29,$E184:$E185,"&lt;&gt;*[-]*",$F184:$F185,"&lt;&gt;*[-]*",$G184:$G185,"&lt;&gt;*[-]*",$H184:$H185,"*[+]*")</f>
        <v>0</v>
      </c>
      <c r="AR186" s="157"/>
      <c r="AS186" s="157">
        <f>IFERROR(($O186-AK186)/ABS(AK186),0)</f>
        <v>0</v>
      </c>
      <c r="AT186" s="143">
        <f>($AK186-AM186)</f>
        <v>0</v>
      </c>
      <c r="AU186" s="157">
        <f>IFERROR(($M186-AO186)/ABS(AO186),0)</f>
        <v>0</v>
      </c>
      <c r="AV186" s="143">
        <f>($AK186-AO186)</f>
        <v>0</v>
      </c>
      <c r="AW186" s="157">
        <f>IFERROR(($M186-AQ186)/ABS(AQ186),0)</f>
        <v>0</v>
      </c>
      <c r="AX186" s="143">
        <f>($AK186-AQ186)</f>
        <v>0</v>
      </c>
      <c r="AY186" s="143"/>
      <c r="AZ186"/>
      <c r="BA186" s="142">
        <f>SUMIFS(BA184:BA185,$I184:$I185,"&lt;&gt;"&amp;$I$29,$E184:$E185,"&lt;&gt;*[-]*",$F184:$F185,"&lt;&gt;*[-]*",$G184:$G185,"&lt;&gt;*[-]*",$H184:$H185,"*[+]*")</f>
        <v>0</v>
      </c>
      <c r="BB186" s="157"/>
      <c r="BC186" s="142">
        <f>SUMIFS(BC184:BC185,$I184:$I185,"&lt;&gt;"&amp;$I$29,$E184:$E185,"&lt;&gt;*[-]*",$F184:$F185,"&lt;&gt;*[-]*",$G184:$G185,"&lt;&gt;*[-]*",$H184:$H185,"*[+]*")</f>
        <v>0</v>
      </c>
      <c r="BD186" s="157"/>
      <c r="BE186" s="142">
        <f>SUMIFS(BE184:BE185,$I184:$I185,"&lt;&gt;"&amp;$I$29,$E184:$E185,"&lt;&gt;*[-]*",$F184:$F185,"&lt;&gt;*[-]*",$G184:$G185,"&lt;&gt;*[-]*",$H184:$H185,"*[+]*")</f>
        <v>0</v>
      </c>
      <c r="BF186" s="157"/>
      <c r="BG186" s="157">
        <f>IFERROR(($BA186-BC186)/ABS(BC186),0)</f>
        <v>0</v>
      </c>
      <c r="BH186" s="143">
        <f>($BA186-BC186)</f>
        <v>0</v>
      </c>
      <c r="BI186" s="157">
        <f>IFERROR(($BA186-BE186)/ABS(BE186),0)</f>
        <v>0</v>
      </c>
      <c r="BJ186" s="143">
        <f>($BA186-BE186)</f>
        <v>0</v>
      </c>
      <c r="BK186" s="143"/>
      <c r="BL186"/>
      <c r="BM186"/>
      <c r="BN186"/>
      <c r="BO186"/>
      <c r="BP186"/>
      <c r="BQ186"/>
      <c r="BR186"/>
      <c r="BS186"/>
      <c r="BT186"/>
    </row>
    <row r="187" spans="1:72" s="47" customFormat="1" hidden="1" x14ac:dyDescent="0.25">
      <c r="A187"/>
      <c r="B187" s="47" t="s">
        <v>1</v>
      </c>
      <c r="N187" s="156"/>
      <c r="P187" s="156"/>
      <c r="R187" s="156"/>
      <c r="T187" s="156"/>
      <c r="U187" s="156"/>
      <c r="V187" s="140"/>
      <c r="W187" s="156"/>
      <c r="X187" s="140"/>
      <c r="Y187" s="156"/>
      <c r="Z187" s="140"/>
      <c r="AA187" s="140"/>
      <c r="AF187" s="169"/>
      <c r="AG187" s="140"/>
      <c r="AH187" s="169"/>
      <c r="AI187" s="140"/>
      <c r="AJ187"/>
      <c r="AL187" s="156"/>
      <c r="AN187" s="156"/>
      <c r="AP187" s="156"/>
      <c r="AR187" s="156"/>
      <c r="AS187" s="156"/>
      <c r="AT187" s="140"/>
      <c r="AU187" s="156"/>
      <c r="AV187" s="140"/>
      <c r="AW187" s="156"/>
      <c r="AX187" s="140"/>
      <c r="AY187" s="140"/>
      <c r="AZ187"/>
      <c r="BB187" s="156"/>
      <c r="BD187" s="156"/>
      <c r="BF187" s="156"/>
      <c r="BG187" s="156"/>
      <c r="BH187" s="140"/>
      <c r="BI187" s="156"/>
      <c r="BJ187" s="140"/>
      <c r="BK187" s="140"/>
      <c r="BL187"/>
      <c r="BM187"/>
      <c r="BN187"/>
      <c r="BO187"/>
      <c r="BP187"/>
      <c r="BQ187"/>
      <c r="BR187"/>
      <c r="BS187"/>
      <c r="BT187"/>
    </row>
    <row r="188" spans="1:72" s="47" customFormat="1" ht="12.45" hidden="1" thickBot="1" x14ac:dyDescent="0.3">
      <c r="A188"/>
      <c r="B188" s="47" t="s">
        <v>1</v>
      </c>
      <c r="E188" s="132"/>
      <c r="F188" s="132"/>
      <c r="G188" s="132"/>
      <c r="H188" s="132" t="s">
        <v>117</v>
      </c>
      <c r="I188" s="132"/>
      <c r="J188" s="133"/>
      <c r="K188" s="133"/>
      <c r="L188" s="133"/>
      <c r="M188" s="133"/>
      <c r="N188" s="154"/>
      <c r="O188" s="133"/>
      <c r="P188" s="154"/>
      <c r="Q188" s="133"/>
      <c r="R188" s="154"/>
      <c r="S188" s="133"/>
      <c r="T188" s="154"/>
      <c r="U188" s="154"/>
      <c r="V188" s="134"/>
      <c r="W188" s="154"/>
      <c r="X188" s="134"/>
      <c r="Y188" s="154"/>
      <c r="Z188" s="134"/>
      <c r="AA188" s="134"/>
      <c r="AC188" s="133"/>
      <c r="AD188" s="133"/>
      <c r="AE188" s="133"/>
      <c r="AF188" s="171"/>
      <c r="AG188" s="134"/>
      <c r="AH188" s="171"/>
      <c r="AI188" s="134"/>
      <c r="AJ188"/>
      <c r="AK188" s="133"/>
      <c r="AL188" s="154"/>
      <c r="AM188" s="133"/>
      <c r="AN188" s="154"/>
      <c r="AO188" s="133"/>
      <c r="AP188" s="154"/>
      <c r="AQ188" s="133"/>
      <c r="AR188" s="154"/>
      <c r="AS188" s="154"/>
      <c r="AT188" s="134"/>
      <c r="AU188" s="154"/>
      <c r="AV188" s="134"/>
      <c r="AW188" s="154"/>
      <c r="AX188" s="134"/>
      <c r="AY188" s="134"/>
      <c r="AZ188"/>
      <c r="BA188" s="133"/>
      <c r="BB188" s="154"/>
      <c r="BC188" s="133"/>
      <c r="BD188" s="154"/>
      <c r="BE188" s="133"/>
      <c r="BF188" s="154"/>
      <c r="BG188" s="154"/>
      <c r="BH188" s="134"/>
      <c r="BI188" s="154"/>
      <c r="BJ188" s="134"/>
      <c r="BK188" s="134"/>
      <c r="BL188"/>
      <c r="BM188"/>
      <c r="BN188"/>
      <c r="BO188"/>
      <c r="BP188"/>
      <c r="BQ188"/>
      <c r="BR188"/>
      <c r="BS188"/>
      <c r="BT188"/>
    </row>
    <row r="189" spans="1:72" s="47" customFormat="1" ht="11.95" hidden="1" thickBot="1" x14ac:dyDescent="0.3">
      <c r="A189"/>
      <c r="B189" s="47" t="s">
        <v>1</v>
      </c>
      <c r="E189" s="135"/>
      <c r="F189" s="135"/>
      <c r="G189" s="135"/>
      <c r="H189" s="135" t="s">
        <v>6</v>
      </c>
      <c r="I189" s="136"/>
      <c r="J189" s="136"/>
      <c r="K189" s="136"/>
      <c r="L189" s="137"/>
      <c r="M189" s="138"/>
      <c r="N189" s="155"/>
      <c r="O189" s="138"/>
      <c r="P189" s="155"/>
      <c r="Q189" s="138"/>
      <c r="R189" s="155"/>
      <c r="S189" s="138"/>
      <c r="T189" s="155"/>
      <c r="U189" s="155">
        <f>IFERROR(($O189-M189)/ABS(M189),0)</f>
        <v>0</v>
      </c>
      <c r="V189" s="139">
        <f>($O189-M189)</f>
        <v>0</v>
      </c>
      <c r="W189" s="155">
        <f>IFERROR(($M189-Q189)/ABS(Q189),0)</f>
        <v>0</v>
      </c>
      <c r="X189" s="139">
        <f>($M189-Q189)</f>
        <v>0</v>
      </c>
      <c r="Y189" s="155">
        <f>IFERROR(($M189-S189)/ABS(S189),0)</f>
        <v>0</v>
      </c>
      <c r="Z189" s="139">
        <f>($M189-S189)</f>
        <v>0</v>
      </c>
      <c r="AA189" s="139"/>
      <c r="AC189" s="138"/>
      <c r="AD189" s="138"/>
      <c r="AE189" s="138"/>
      <c r="AF189" s="172">
        <f t="shared" ref="AF189" si="505">IFERROR(($AC189-AD189)/ABS(AD189),0)</f>
        <v>0</v>
      </c>
      <c r="AG189" s="139">
        <f>($AC189-AD189)</f>
        <v>0</v>
      </c>
      <c r="AH189" s="172">
        <f>IFERROR(($AC189-AE189)/ABS(AE189),0)</f>
        <v>0</v>
      </c>
      <c r="AI189" s="139">
        <f>($AC189-AE189)</f>
        <v>0</v>
      </c>
      <c r="AJ189"/>
      <c r="AK189" s="138"/>
      <c r="AL189" s="155"/>
      <c r="AM189" s="138"/>
      <c r="AN189" s="155"/>
      <c r="AO189" s="138"/>
      <c r="AP189" s="155"/>
      <c r="AQ189" s="138"/>
      <c r="AR189" s="155"/>
      <c r="AS189" s="155">
        <f>IFERROR(($O189-AK189)/ABS(AK189),0)</f>
        <v>0</v>
      </c>
      <c r="AT189" s="139">
        <f>($AK189-AM189)</f>
        <v>0</v>
      </c>
      <c r="AU189" s="155">
        <f>IFERROR(($M189-AO189)/ABS(AO189),0)</f>
        <v>0</v>
      </c>
      <c r="AV189" s="139">
        <f>($AK189-AO189)</f>
        <v>0</v>
      </c>
      <c r="AW189" s="155">
        <f>IFERROR(($M189-AQ189)/ABS(AQ189),0)</f>
        <v>0</v>
      </c>
      <c r="AX189" s="139">
        <f>($AK189-AQ189)</f>
        <v>0</v>
      </c>
      <c r="AY189" s="139"/>
      <c r="AZ189"/>
      <c r="BA189" s="138"/>
      <c r="BB189" s="155"/>
      <c r="BC189" s="138"/>
      <c r="BD189" s="155"/>
      <c r="BE189" s="138"/>
      <c r="BF189" s="155"/>
      <c r="BG189" s="155">
        <f>IFERROR(($BA189-BC189)/ABS(BC189),0)</f>
        <v>0</v>
      </c>
      <c r="BH189" s="139">
        <f>($BA189-BC189)</f>
        <v>0</v>
      </c>
      <c r="BI189" s="155">
        <f>IFERROR(($BA189-BE189)/ABS(BE189),0)</f>
        <v>0</v>
      </c>
      <c r="BJ189" s="139">
        <f>($BA189-BE189)</f>
        <v>0</v>
      </c>
      <c r="BK189" s="139"/>
      <c r="BL189"/>
      <c r="BM189"/>
      <c r="BN189"/>
      <c r="BO189"/>
      <c r="BP189"/>
      <c r="BQ189"/>
      <c r="BR189"/>
      <c r="BS189"/>
      <c r="BT189"/>
    </row>
    <row r="190" spans="1:72" s="47" customFormat="1" ht="11.95" hidden="1" thickBot="1" x14ac:dyDescent="0.3">
      <c r="A190"/>
      <c r="B190" s="47" t="s">
        <v>1</v>
      </c>
      <c r="N190" s="156"/>
      <c r="P190" s="156"/>
      <c r="R190" s="156"/>
      <c r="T190" s="156"/>
      <c r="U190" s="156"/>
      <c r="V190" s="140"/>
      <c r="W190" s="156"/>
      <c r="X190" s="140"/>
      <c r="Y190" s="156"/>
      <c r="Z190" s="140"/>
      <c r="AA190" s="140"/>
      <c r="AF190" s="169"/>
      <c r="AG190" s="140"/>
      <c r="AH190" s="169"/>
      <c r="AI190" s="140"/>
      <c r="AJ190"/>
      <c r="AL190" s="156"/>
      <c r="AN190" s="156"/>
      <c r="AP190" s="156"/>
      <c r="AR190" s="156"/>
      <c r="AS190" s="156"/>
      <c r="AT190" s="140"/>
      <c r="AU190" s="156"/>
      <c r="AV190" s="140"/>
      <c r="AW190" s="156"/>
      <c r="AX190" s="140"/>
      <c r="AY190" s="140"/>
      <c r="AZ190"/>
      <c r="BB190" s="156"/>
      <c r="BD190" s="156"/>
      <c r="BF190" s="156"/>
      <c r="BG190" s="156"/>
      <c r="BH190" s="140"/>
      <c r="BI190" s="156"/>
      <c r="BJ190" s="140"/>
      <c r="BK190" s="140"/>
      <c r="BL190"/>
      <c r="BM190"/>
      <c r="BN190"/>
      <c r="BO190"/>
      <c r="BP190"/>
      <c r="BQ190"/>
      <c r="BR190"/>
      <c r="BS190"/>
      <c r="BT190"/>
    </row>
    <row r="191" spans="1:72" s="47" customFormat="1" ht="11.95" hidden="1" x14ac:dyDescent="0.25">
      <c r="A191"/>
      <c r="B191" s="47" t="s">
        <v>1</v>
      </c>
      <c r="E191" s="141"/>
      <c r="F191" s="141"/>
      <c r="G191" s="141"/>
      <c r="H191" s="141" t="s">
        <v>89</v>
      </c>
      <c r="I191" s="142"/>
      <c r="J191" s="142"/>
      <c r="K191" s="142"/>
      <c r="L191" s="142">
        <v>1</v>
      </c>
      <c r="M191" s="142">
        <f>SUMIFS(M189:M190,$I189:$I190,"&lt;&gt;"&amp;$I$29,$E189:$E190,"&lt;&gt;*[-]*",$F189:$F190,"&lt;&gt;*[-]*",$G189:$G190,"&lt;&gt;*[-]*",$H189:$H190,"*[+]*")</f>
        <v>0</v>
      </c>
      <c r="N191" s="157"/>
      <c r="O191" s="142">
        <f>SUMIFS(O189:O190,$I189:$I190,"&lt;&gt;"&amp;$I$29,$E189:$E190,"&lt;&gt;*[-]*",$F189:$F190,"&lt;&gt;*[-]*",$G189:$G190,"&lt;&gt;*[-]*",$H189:$H190,"*[+]*")</f>
        <v>0</v>
      </c>
      <c r="P191" s="157"/>
      <c r="Q191" s="142">
        <f>SUMIFS(Q189:Q190,$I189:$I190,"&lt;&gt;"&amp;$I$29,$E189:$E190,"&lt;&gt;*[-]*",$F189:$F190,"&lt;&gt;*[-]*",$G189:$G190,"&lt;&gt;*[-]*",$H189:$H190,"*[+]*")</f>
        <v>0</v>
      </c>
      <c r="R191" s="157"/>
      <c r="S191" s="142">
        <f>SUMIFS(S189:S190,$I189:$I190,"&lt;&gt;"&amp;$I$29,$E189:$E190,"&lt;&gt;*[-]*",$F189:$F190,"&lt;&gt;*[-]*",$G189:$G190,"&lt;&gt;*[-]*",$H189:$H190,"*[+]*")</f>
        <v>0</v>
      </c>
      <c r="T191" s="157"/>
      <c r="U191" s="157">
        <f>IFERROR(($O191-M191)/ABS(M191),0)</f>
        <v>0</v>
      </c>
      <c r="V191" s="143">
        <f>($O191-M191)</f>
        <v>0</v>
      </c>
      <c r="W191" s="157">
        <f>IFERROR(($M191-Q191)/ABS(Q191),0)</f>
        <v>0</v>
      </c>
      <c r="X191" s="143">
        <f>($M191-Q191)</f>
        <v>0</v>
      </c>
      <c r="Y191" s="157">
        <f>IFERROR(($M191-S191)/ABS(S191),0)</f>
        <v>0</v>
      </c>
      <c r="Z191" s="143">
        <f>($M191-S191)</f>
        <v>0</v>
      </c>
      <c r="AA191" s="143"/>
      <c r="AC191" s="142">
        <f>SUMIFS(AC189:AC190,$I189:$I190,"&lt;&gt;"&amp;$I$29,$E189:$E190,"&lt;&gt;*[-]*",$F189:$F190,"&lt;&gt;*[-]*",$G189:$G190,"&lt;&gt;*[-]*",$H189:$H190,"&lt;&gt;*[-]*")</f>
        <v>0</v>
      </c>
      <c r="AD191" s="142">
        <f>SUMIFS(AD189:AD190,$I189:$I190,"&lt;&gt;"&amp;$I$29,$E189:$E190,"&lt;&gt;*[-]*",$F189:$F190,"&lt;&gt;*[-]*",$G189:$G190,"&lt;&gt;*[-]*",$H189:$H190,"&lt;&gt;*[-]*")</f>
        <v>0</v>
      </c>
      <c r="AE191" s="142">
        <f>SUMIFS(AE189:AE190,$I189:$I190,"&lt;&gt;"&amp;$I$29,$E189:$E190,"&lt;&gt;*[-]*",$F189:$F190,"&lt;&gt;*[-]*",$G189:$G190,"&lt;&gt;*[-]*",$H189:$H190,"&lt;&gt;*[-]*")</f>
        <v>0</v>
      </c>
      <c r="AF191" s="173">
        <f t="shared" ref="AF191" si="506">IFERROR(($AC191-AD191)/ABS(AD191),0)</f>
        <v>0</v>
      </c>
      <c r="AG191" s="143">
        <f>($AC191-AD191)</f>
        <v>0</v>
      </c>
      <c r="AH191" s="173">
        <f>IFERROR(($AC191-AE191)/ABS(AE191),0)</f>
        <v>0</v>
      </c>
      <c r="AI191" s="143">
        <f>($AC191-AE191)</f>
        <v>0</v>
      </c>
      <c r="AJ191"/>
      <c r="AK191" s="142">
        <f>SUMIFS(AK189:AK190,$I189:$I190,"&lt;&gt;"&amp;$I$29,$E189:$E190,"&lt;&gt;*[-]*",$F189:$F190,"&lt;&gt;*[-]*",$G189:$G190,"&lt;&gt;*[-]*",$H189:$H190,"*[+]*")</f>
        <v>0</v>
      </c>
      <c r="AL191" s="157"/>
      <c r="AM191" s="142"/>
      <c r="AN191" s="157"/>
      <c r="AO191" s="142"/>
      <c r="AP191" s="157"/>
      <c r="AQ191" s="142">
        <f>SUMIFS(AQ189:AQ190,$I189:$I190,"&lt;&gt;"&amp;$I$29,$E189:$E190,"&lt;&gt;*[-]*",$F189:$F190,"&lt;&gt;*[-]*",$G189:$G190,"&lt;&gt;*[-]*",$H189:$H190,"*[+]*")</f>
        <v>0</v>
      </c>
      <c r="AR191" s="157"/>
      <c r="AS191" s="157">
        <f>IFERROR(($O191-AK191)/ABS(AK191),0)</f>
        <v>0</v>
      </c>
      <c r="AT191" s="143">
        <f>($AK191-AM191)</f>
        <v>0</v>
      </c>
      <c r="AU191" s="157">
        <f>IFERROR(($M191-AO191)/ABS(AO191),0)</f>
        <v>0</v>
      </c>
      <c r="AV191" s="143">
        <f>($AK191-AO191)</f>
        <v>0</v>
      </c>
      <c r="AW191" s="157">
        <f>IFERROR(($M191-AQ191)/ABS(AQ191),0)</f>
        <v>0</v>
      </c>
      <c r="AX191" s="143">
        <f>($AK191-AQ191)</f>
        <v>0</v>
      </c>
      <c r="AY191" s="143"/>
      <c r="AZ191"/>
      <c r="BA191" s="142">
        <f>SUMIFS(BA189:BA190,$I189:$I190,"&lt;&gt;"&amp;$I$29,$E189:$E190,"&lt;&gt;*[-]*",$F189:$F190,"&lt;&gt;*[-]*",$G189:$G190,"&lt;&gt;*[-]*",$H189:$H190,"*[+]*")</f>
        <v>0</v>
      </c>
      <c r="BB191" s="157"/>
      <c r="BC191" s="142">
        <f>SUMIFS(BC189:BC190,$I189:$I190,"&lt;&gt;"&amp;$I$29,$E189:$E190,"&lt;&gt;*[-]*",$F189:$F190,"&lt;&gt;*[-]*",$G189:$G190,"&lt;&gt;*[-]*",$H189:$H190,"*[+]*")</f>
        <v>0</v>
      </c>
      <c r="BD191" s="157"/>
      <c r="BE191" s="142">
        <f>SUMIFS(BE189:BE190,$I189:$I190,"&lt;&gt;"&amp;$I$29,$E189:$E190,"&lt;&gt;*[-]*",$F189:$F190,"&lt;&gt;*[-]*",$G189:$G190,"&lt;&gt;*[-]*",$H189:$H190,"*[+]*")</f>
        <v>0</v>
      </c>
      <c r="BF191" s="157"/>
      <c r="BG191" s="157">
        <f>IFERROR(($BA191-BC191)/ABS(BC191),0)</f>
        <v>0</v>
      </c>
      <c r="BH191" s="143">
        <f>($BA191-BC191)</f>
        <v>0</v>
      </c>
      <c r="BI191" s="157">
        <f>IFERROR(($BA191-BE191)/ABS(BE191),0)</f>
        <v>0</v>
      </c>
      <c r="BJ191" s="143">
        <f>($BA191-BE191)</f>
        <v>0</v>
      </c>
      <c r="BK191" s="143"/>
      <c r="BL191"/>
      <c r="BM191"/>
      <c r="BN191"/>
      <c r="BO191"/>
      <c r="BP191"/>
      <c r="BQ191"/>
      <c r="BR191"/>
      <c r="BS191"/>
      <c r="BT191"/>
    </row>
    <row r="192" spans="1:72" s="47" customFormat="1" hidden="1" x14ac:dyDescent="0.25">
      <c r="A192"/>
      <c r="B192" s="47" t="s">
        <v>1</v>
      </c>
      <c r="N192" s="156"/>
      <c r="P192" s="156"/>
      <c r="R192" s="156"/>
      <c r="T192" s="156"/>
      <c r="U192" s="156"/>
      <c r="V192" s="140"/>
      <c r="W192" s="156"/>
      <c r="X192" s="140"/>
      <c r="Y192" s="156"/>
      <c r="Z192" s="140"/>
      <c r="AA192" s="140"/>
      <c r="AF192" s="169"/>
      <c r="AG192" s="140"/>
      <c r="AH192" s="169"/>
      <c r="AI192" s="140"/>
      <c r="AJ192"/>
      <c r="AL192" s="156"/>
      <c r="AN192" s="156"/>
      <c r="AP192" s="156"/>
      <c r="AR192" s="156"/>
      <c r="AS192" s="156"/>
      <c r="AT192" s="140"/>
      <c r="AU192" s="156"/>
      <c r="AV192" s="140"/>
      <c r="AW192" s="156"/>
      <c r="AX192" s="140"/>
      <c r="AY192" s="140"/>
      <c r="AZ192"/>
      <c r="BB192" s="156"/>
      <c r="BD192" s="156"/>
      <c r="BF192" s="156"/>
      <c r="BG192" s="156"/>
      <c r="BH192" s="140"/>
      <c r="BI192" s="156"/>
      <c r="BJ192" s="140"/>
      <c r="BK192" s="140"/>
      <c r="BL192"/>
      <c r="BM192"/>
      <c r="BN192"/>
      <c r="BO192"/>
      <c r="BP192"/>
      <c r="BQ192"/>
      <c r="BR192"/>
      <c r="BS192"/>
      <c r="BT192"/>
    </row>
    <row r="193" spans="1:72" s="47" customFormat="1" ht="12.45" hidden="1" thickBot="1" x14ac:dyDescent="0.3">
      <c r="A193"/>
      <c r="B193" s="47" t="s">
        <v>1</v>
      </c>
      <c r="E193" s="132"/>
      <c r="F193" s="132"/>
      <c r="G193" s="132"/>
      <c r="H193" s="132" t="s">
        <v>117</v>
      </c>
      <c r="I193" s="132"/>
      <c r="J193" s="133"/>
      <c r="K193" s="133"/>
      <c r="L193" s="133"/>
      <c r="M193" s="133"/>
      <c r="N193" s="154"/>
      <c r="O193" s="133"/>
      <c r="P193" s="154"/>
      <c r="Q193" s="133"/>
      <c r="R193" s="154"/>
      <c r="S193" s="133"/>
      <c r="T193" s="154"/>
      <c r="U193" s="154"/>
      <c r="V193" s="134"/>
      <c r="W193" s="154"/>
      <c r="X193" s="134"/>
      <c r="Y193" s="154"/>
      <c r="Z193" s="134"/>
      <c r="AA193" s="134"/>
      <c r="AC193" s="133"/>
      <c r="AD193" s="133"/>
      <c r="AE193" s="133"/>
      <c r="AF193" s="171"/>
      <c r="AG193" s="134"/>
      <c r="AH193" s="171"/>
      <c r="AI193" s="134"/>
      <c r="AJ193"/>
      <c r="AK193" s="133"/>
      <c r="AL193" s="154"/>
      <c r="AM193" s="133"/>
      <c r="AN193" s="154"/>
      <c r="AO193" s="133"/>
      <c r="AP193" s="154"/>
      <c r="AQ193" s="133"/>
      <c r="AR193" s="154"/>
      <c r="AS193" s="154"/>
      <c r="AT193" s="134"/>
      <c r="AU193" s="154"/>
      <c r="AV193" s="134"/>
      <c r="AW193" s="154"/>
      <c r="AX193" s="134"/>
      <c r="AY193" s="134"/>
      <c r="AZ193"/>
      <c r="BA193" s="133"/>
      <c r="BB193" s="154"/>
      <c r="BC193" s="133"/>
      <c r="BD193" s="154"/>
      <c r="BE193" s="133"/>
      <c r="BF193" s="154"/>
      <c r="BG193" s="154"/>
      <c r="BH193" s="134"/>
      <c r="BI193" s="154"/>
      <c r="BJ193" s="134"/>
      <c r="BK193" s="134"/>
      <c r="BL193"/>
      <c r="BM193"/>
      <c r="BN193"/>
      <c r="BO193"/>
      <c r="BP193"/>
      <c r="BQ193"/>
      <c r="BR193"/>
      <c r="BS193"/>
      <c r="BT193"/>
    </row>
    <row r="194" spans="1:72" s="47" customFormat="1" ht="11.95" hidden="1" thickBot="1" x14ac:dyDescent="0.3">
      <c r="A194"/>
      <c r="B194" s="47" t="s">
        <v>1</v>
      </c>
      <c r="E194" s="135"/>
      <c r="F194" s="135"/>
      <c r="G194" s="135"/>
      <c r="H194" s="135" t="s">
        <v>6</v>
      </c>
      <c r="I194" s="136"/>
      <c r="J194" s="136"/>
      <c r="K194" s="136"/>
      <c r="L194" s="137"/>
      <c r="M194" s="138"/>
      <c r="N194" s="155"/>
      <c r="O194" s="138"/>
      <c r="P194" s="155"/>
      <c r="Q194" s="138"/>
      <c r="R194" s="155"/>
      <c r="S194" s="138"/>
      <c r="T194" s="155"/>
      <c r="U194" s="155">
        <f>IFERROR(($O194-M194)/ABS(M194),0)</f>
        <v>0</v>
      </c>
      <c r="V194" s="139">
        <f>($O194-M194)</f>
        <v>0</v>
      </c>
      <c r="W194" s="155">
        <f>IFERROR(($M194-Q194)/ABS(Q194),0)</f>
        <v>0</v>
      </c>
      <c r="X194" s="139">
        <f>($M194-Q194)</f>
        <v>0</v>
      </c>
      <c r="Y194" s="155">
        <f>IFERROR(($M194-S194)/ABS(S194),0)</f>
        <v>0</v>
      </c>
      <c r="Z194" s="139">
        <f>($M194-S194)</f>
        <v>0</v>
      </c>
      <c r="AA194" s="139"/>
      <c r="AC194" s="138"/>
      <c r="AD194" s="138"/>
      <c r="AE194" s="138"/>
      <c r="AF194" s="172">
        <f t="shared" ref="AF194" si="507">IFERROR(($AC194-AD194)/ABS(AD194),0)</f>
        <v>0</v>
      </c>
      <c r="AG194" s="139">
        <f>($AC194-AD194)</f>
        <v>0</v>
      </c>
      <c r="AH194" s="172">
        <f>IFERROR(($AC194-AE194)/ABS(AE194),0)</f>
        <v>0</v>
      </c>
      <c r="AI194" s="139">
        <f>($AC194-AE194)</f>
        <v>0</v>
      </c>
      <c r="AJ194"/>
      <c r="AK194" s="138"/>
      <c r="AL194" s="155"/>
      <c r="AM194" s="138"/>
      <c r="AN194" s="155"/>
      <c r="AO194" s="138"/>
      <c r="AP194" s="155"/>
      <c r="AQ194" s="138"/>
      <c r="AR194" s="155"/>
      <c r="AS194" s="155">
        <f>IFERROR(($O194-AK194)/ABS(AK194),0)</f>
        <v>0</v>
      </c>
      <c r="AT194" s="139">
        <f>($AK194-AM194)</f>
        <v>0</v>
      </c>
      <c r="AU194" s="155">
        <f>IFERROR(($M194-AO194)/ABS(AO194),0)</f>
        <v>0</v>
      </c>
      <c r="AV194" s="139">
        <f>($AK194-AO194)</f>
        <v>0</v>
      </c>
      <c r="AW194" s="155">
        <f>IFERROR(($M194-AQ194)/ABS(AQ194),0)</f>
        <v>0</v>
      </c>
      <c r="AX194" s="139">
        <f>($AK194-AQ194)</f>
        <v>0</v>
      </c>
      <c r="AY194" s="139"/>
      <c r="AZ194"/>
      <c r="BA194" s="138"/>
      <c r="BB194" s="155"/>
      <c r="BC194" s="138"/>
      <c r="BD194" s="155"/>
      <c r="BE194" s="138"/>
      <c r="BF194" s="155"/>
      <c r="BG194" s="155">
        <f>IFERROR(($BA194-BC194)/ABS(BC194),0)</f>
        <v>0</v>
      </c>
      <c r="BH194" s="139">
        <f>($BA194-BC194)</f>
        <v>0</v>
      </c>
      <c r="BI194" s="155">
        <f>IFERROR(($BA194-BE194)/ABS(BE194),0)</f>
        <v>0</v>
      </c>
      <c r="BJ194" s="139">
        <f>($BA194-BE194)</f>
        <v>0</v>
      </c>
      <c r="BK194" s="139"/>
      <c r="BL194"/>
      <c r="BM194"/>
      <c r="BN194"/>
      <c r="BO194"/>
      <c r="BP194"/>
      <c r="BQ194"/>
      <c r="BR194"/>
      <c r="BS194"/>
      <c r="BT194"/>
    </row>
    <row r="195" spans="1:72" s="47" customFormat="1" ht="11.95" hidden="1" thickBot="1" x14ac:dyDescent="0.3">
      <c r="A195"/>
      <c r="B195" s="47" t="s">
        <v>1</v>
      </c>
      <c r="N195" s="156"/>
      <c r="P195" s="156"/>
      <c r="R195" s="156"/>
      <c r="T195" s="156"/>
      <c r="U195" s="156"/>
      <c r="V195" s="140"/>
      <c r="W195" s="156"/>
      <c r="X195" s="140"/>
      <c r="Y195" s="156"/>
      <c r="Z195" s="140"/>
      <c r="AA195" s="140"/>
      <c r="AF195" s="169"/>
      <c r="AG195" s="140"/>
      <c r="AH195" s="169"/>
      <c r="AI195" s="140"/>
      <c r="AJ195"/>
      <c r="AL195" s="156"/>
      <c r="AN195" s="156"/>
      <c r="AP195" s="156"/>
      <c r="AR195" s="156"/>
      <c r="AS195" s="156"/>
      <c r="AT195" s="140"/>
      <c r="AU195" s="156"/>
      <c r="AV195" s="140"/>
      <c r="AW195" s="156"/>
      <c r="AX195" s="140"/>
      <c r="AY195" s="140"/>
      <c r="AZ195"/>
      <c r="BB195" s="156"/>
      <c r="BD195" s="156"/>
      <c r="BF195" s="156"/>
      <c r="BG195" s="156"/>
      <c r="BH195" s="140"/>
      <c r="BI195" s="156"/>
      <c r="BJ195" s="140"/>
      <c r="BK195" s="140"/>
      <c r="BL195"/>
      <c r="BM195"/>
      <c r="BN195"/>
      <c r="BO195"/>
      <c r="BP195"/>
      <c r="BQ195"/>
      <c r="BR195"/>
      <c r="BS195"/>
      <c r="BT195"/>
    </row>
    <row r="196" spans="1:72" s="47" customFormat="1" ht="11.95" hidden="1" x14ac:dyDescent="0.25">
      <c r="A196"/>
      <c r="B196" s="47" t="s">
        <v>1</v>
      </c>
      <c r="E196" s="141"/>
      <c r="F196" s="141"/>
      <c r="G196" s="141"/>
      <c r="H196" s="141" t="s">
        <v>89</v>
      </c>
      <c r="I196" s="142"/>
      <c r="J196" s="142"/>
      <c r="K196" s="142"/>
      <c r="L196" s="142">
        <v>1</v>
      </c>
      <c r="M196" s="142">
        <f>SUMIFS(M194:M195,$I194:$I195,"&lt;&gt;"&amp;$I$29,$E194:$E195,"&lt;&gt;*[-]*",$F194:$F195,"&lt;&gt;*[-]*",$G194:$G195,"&lt;&gt;*[-]*",$H194:$H195,"*[+]*")</f>
        <v>0</v>
      </c>
      <c r="N196" s="157"/>
      <c r="O196" s="142">
        <f>SUMIFS(O194:O195,$I194:$I195,"&lt;&gt;"&amp;$I$29,$E194:$E195,"&lt;&gt;*[-]*",$F194:$F195,"&lt;&gt;*[-]*",$G194:$G195,"&lt;&gt;*[-]*",$H194:$H195,"*[+]*")</f>
        <v>0</v>
      </c>
      <c r="P196" s="157"/>
      <c r="Q196" s="142">
        <f>SUMIFS(Q194:Q195,$I194:$I195,"&lt;&gt;"&amp;$I$29,$E194:$E195,"&lt;&gt;*[-]*",$F194:$F195,"&lt;&gt;*[-]*",$G194:$G195,"&lt;&gt;*[-]*",$H194:$H195,"*[+]*")</f>
        <v>0</v>
      </c>
      <c r="R196" s="157"/>
      <c r="S196" s="142">
        <f>SUMIFS(S194:S195,$I194:$I195,"&lt;&gt;"&amp;$I$29,$E194:$E195,"&lt;&gt;*[-]*",$F194:$F195,"&lt;&gt;*[-]*",$G194:$G195,"&lt;&gt;*[-]*",$H194:$H195,"*[+]*")</f>
        <v>0</v>
      </c>
      <c r="T196" s="157"/>
      <c r="U196" s="157">
        <f>IFERROR(($O196-M196)/ABS(M196),0)</f>
        <v>0</v>
      </c>
      <c r="V196" s="143">
        <f>($O196-M196)</f>
        <v>0</v>
      </c>
      <c r="W196" s="157">
        <f>IFERROR(($M196-Q196)/ABS(Q196),0)</f>
        <v>0</v>
      </c>
      <c r="X196" s="143">
        <f>($M196-Q196)</f>
        <v>0</v>
      </c>
      <c r="Y196" s="157">
        <f>IFERROR(($M196-S196)/ABS(S196),0)</f>
        <v>0</v>
      </c>
      <c r="Z196" s="143">
        <f>($M196-S196)</f>
        <v>0</v>
      </c>
      <c r="AA196" s="143"/>
      <c r="AC196" s="142">
        <f>SUMIFS(AC194:AC195,$I194:$I195,"&lt;&gt;"&amp;$I$29,$E194:$E195,"&lt;&gt;*[-]*",$F194:$F195,"&lt;&gt;*[-]*",$G194:$G195,"&lt;&gt;*[-]*",$H194:$H195,"&lt;&gt;*[-]*")</f>
        <v>0</v>
      </c>
      <c r="AD196" s="142">
        <f>SUMIFS(AD194:AD195,$I194:$I195,"&lt;&gt;"&amp;$I$29,$E194:$E195,"&lt;&gt;*[-]*",$F194:$F195,"&lt;&gt;*[-]*",$G194:$G195,"&lt;&gt;*[-]*",$H194:$H195,"&lt;&gt;*[-]*")</f>
        <v>0</v>
      </c>
      <c r="AE196" s="142">
        <f>SUMIFS(AE194:AE195,$I194:$I195,"&lt;&gt;"&amp;$I$29,$E194:$E195,"&lt;&gt;*[-]*",$F194:$F195,"&lt;&gt;*[-]*",$G194:$G195,"&lt;&gt;*[-]*",$H194:$H195,"&lt;&gt;*[-]*")</f>
        <v>0</v>
      </c>
      <c r="AF196" s="173">
        <f t="shared" ref="AF196" si="508">IFERROR(($AC196-AD196)/ABS(AD196),0)</f>
        <v>0</v>
      </c>
      <c r="AG196" s="143">
        <f>($AC196-AD196)</f>
        <v>0</v>
      </c>
      <c r="AH196" s="173">
        <f>IFERROR(($AC196-AE196)/ABS(AE196),0)</f>
        <v>0</v>
      </c>
      <c r="AI196" s="143">
        <f>($AC196-AE196)</f>
        <v>0</v>
      </c>
      <c r="AJ196"/>
      <c r="AK196" s="142">
        <f>SUMIFS(AK194:AK195,$I194:$I195,"&lt;&gt;"&amp;$I$29,$E194:$E195,"&lt;&gt;*[-]*",$F194:$F195,"&lt;&gt;*[-]*",$G194:$G195,"&lt;&gt;*[-]*",$H194:$H195,"*[+]*")</f>
        <v>0</v>
      </c>
      <c r="AL196" s="157"/>
      <c r="AM196" s="142"/>
      <c r="AN196" s="157"/>
      <c r="AO196" s="142"/>
      <c r="AP196" s="157"/>
      <c r="AQ196" s="142">
        <f>SUMIFS(AQ194:AQ195,$I194:$I195,"&lt;&gt;"&amp;$I$29,$E194:$E195,"&lt;&gt;*[-]*",$F194:$F195,"&lt;&gt;*[-]*",$G194:$G195,"&lt;&gt;*[-]*",$H194:$H195,"*[+]*")</f>
        <v>0</v>
      </c>
      <c r="AR196" s="157"/>
      <c r="AS196" s="157">
        <f>IFERROR(($O196-AK196)/ABS(AK196),0)</f>
        <v>0</v>
      </c>
      <c r="AT196" s="143">
        <f>($AK196-AM196)</f>
        <v>0</v>
      </c>
      <c r="AU196" s="157">
        <f>IFERROR(($M196-AO196)/ABS(AO196),0)</f>
        <v>0</v>
      </c>
      <c r="AV196" s="143">
        <f>($AK196-AO196)</f>
        <v>0</v>
      </c>
      <c r="AW196" s="157">
        <f>IFERROR(($M196-AQ196)/ABS(AQ196),0)</f>
        <v>0</v>
      </c>
      <c r="AX196" s="143">
        <f>($AK196-AQ196)</f>
        <v>0</v>
      </c>
      <c r="AY196" s="143"/>
      <c r="AZ196"/>
      <c r="BA196" s="142">
        <f>SUMIFS(BA194:BA195,$I194:$I195,"&lt;&gt;"&amp;$I$29,$E194:$E195,"&lt;&gt;*[-]*",$F194:$F195,"&lt;&gt;*[-]*",$G194:$G195,"&lt;&gt;*[-]*",$H194:$H195,"*[+]*")</f>
        <v>0</v>
      </c>
      <c r="BB196" s="157"/>
      <c r="BC196" s="142">
        <f>SUMIFS(BC194:BC195,$I194:$I195,"&lt;&gt;"&amp;$I$29,$E194:$E195,"&lt;&gt;*[-]*",$F194:$F195,"&lt;&gt;*[-]*",$G194:$G195,"&lt;&gt;*[-]*",$H194:$H195,"*[+]*")</f>
        <v>0</v>
      </c>
      <c r="BD196" s="157"/>
      <c r="BE196" s="142">
        <f>SUMIFS(BE194:BE195,$I194:$I195,"&lt;&gt;"&amp;$I$29,$E194:$E195,"&lt;&gt;*[-]*",$F194:$F195,"&lt;&gt;*[-]*",$G194:$G195,"&lt;&gt;*[-]*",$H194:$H195,"*[+]*")</f>
        <v>0</v>
      </c>
      <c r="BF196" s="157"/>
      <c r="BG196" s="157">
        <f>IFERROR(($BA196-BC196)/ABS(BC196),0)</f>
        <v>0</v>
      </c>
      <c r="BH196" s="143">
        <f>($BA196-BC196)</f>
        <v>0</v>
      </c>
      <c r="BI196" s="157">
        <f>IFERROR(($BA196-BE196)/ABS(BE196),0)</f>
        <v>0</v>
      </c>
      <c r="BJ196" s="143">
        <f>($BA196-BE196)</f>
        <v>0</v>
      </c>
      <c r="BK196" s="143"/>
      <c r="BL196"/>
      <c r="BM196"/>
      <c r="BN196"/>
      <c r="BO196"/>
      <c r="BP196"/>
      <c r="BQ196"/>
      <c r="BR196"/>
      <c r="BS196"/>
      <c r="BT196"/>
    </row>
    <row r="197" spans="1:72" s="47" customFormat="1" hidden="1" x14ac:dyDescent="0.25">
      <c r="A197"/>
      <c r="B197" s="47" t="s">
        <v>1</v>
      </c>
      <c r="N197" s="156"/>
      <c r="P197" s="156"/>
      <c r="R197" s="156"/>
      <c r="T197" s="156"/>
      <c r="U197" s="156"/>
      <c r="V197" s="140"/>
      <c r="W197" s="156"/>
      <c r="X197" s="140"/>
      <c r="Y197" s="156"/>
      <c r="Z197" s="140"/>
      <c r="AA197" s="140"/>
      <c r="AF197" s="169"/>
      <c r="AG197" s="140"/>
      <c r="AH197" s="169"/>
      <c r="AI197" s="140"/>
      <c r="AJ197"/>
      <c r="AL197" s="156"/>
      <c r="AN197" s="156"/>
      <c r="AP197" s="156"/>
      <c r="AR197" s="156"/>
      <c r="AS197" s="156"/>
      <c r="AT197" s="140"/>
      <c r="AU197" s="156"/>
      <c r="AV197" s="140"/>
      <c r="AW197" s="156"/>
      <c r="AX197" s="140"/>
      <c r="AY197" s="140"/>
      <c r="AZ197"/>
      <c r="BB197" s="156"/>
      <c r="BD197" s="156"/>
      <c r="BF197" s="156"/>
      <c r="BG197" s="156"/>
      <c r="BH197" s="140"/>
      <c r="BI197" s="156"/>
      <c r="BJ197" s="140"/>
      <c r="BK197" s="140"/>
      <c r="BL197"/>
      <c r="BM197"/>
      <c r="BN197"/>
      <c r="BO197"/>
      <c r="BP197"/>
      <c r="BQ197"/>
      <c r="BR197"/>
      <c r="BS197"/>
      <c r="BT197"/>
    </row>
    <row r="198" spans="1:72" s="47" customFormat="1" ht="12.45" hidden="1" thickBot="1" x14ac:dyDescent="0.3">
      <c r="A198"/>
      <c r="B198" s="47" t="s">
        <v>1</v>
      </c>
      <c r="E198" s="132"/>
      <c r="F198" s="132"/>
      <c r="G198" s="132"/>
      <c r="H198" s="132" t="s">
        <v>117</v>
      </c>
      <c r="I198" s="132"/>
      <c r="J198" s="133"/>
      <c r="K198" s="133"/>
      <c r="L198" s="133"/>
      <c r="M198" s="133"/>
      <c r="N198" s="154"/>
      <c r="O198" s="133"/>
      <c r="P198" s="154"/>
      <c r="Q198" s="133"/>
      <c r="R198" s="154"/>
      <c r="S198" s="133"/>
      <c r="T198" s="154"/>
      <c r="U198" s="154"/>
      <c r="V198" s="134"/>
      <c r="W198" s="154"/>
      <c r="X198" s="134"/>
      <c r="Y198" s="154"/>
      <c r="Z198" s="134"/>
      <c r="AA198" s="134"/>
      <c r="AC198" s="133"/>
      <c r="AD198" s="133"/>
      <c r="AE198" s="133"/>
      <c r="AF198" s="171"/>
      <c r="AG198" s="134"/>
      <c r="AH198" s="171"/>
      <c r="AI198" s="134"/>
      <c r="AJ198"/>
      <c r="AK198" s="133"/>
      <c r="AL198" s="154"/>
      <c r="AM198" s="133"/>
      <c r="AN198" s="154"/>
      <c r="AO198" s="133"/>
      <c r="AP198" s="154"/>
      <c r="AQ198" s="133"/>
      <c r="AR198" s="154"/>
      <c r="AS198" s="154"/>
      <c r="AT198" s="134"/>
      <c r="AU198" s="154"/>
      <c r="AV198" s="134"/>
      <c r="AW198" s="154"/>
      <c r="AX198" s="134"/>
      <c r="AY198" s="134"/>
      <c r="AZ198"/>
      <c r="BA198" s="133"/>
      <c r="BB198" s="154"/>
      <c r="BC198" s="133"/>
      <c r="BD198" s="154"/>
      <c r="BE198" s="133"/>
      <c r="BF198" s="154"/>
      <c r="BG198" s="154"/>
      <c r="BH198" s="134"/>
      <c r="BI198" s="154"/>
      <c r="BJ198" s="134"/>
      <c r="BK198" s="134"/>
      <c r="BL198"/>
      <c r="BM198"/>
      <c r="BN198"/>
      <c r="BO198"/>
      <c r="BP198"/>
      <c r="BQ198"/>
      <c r="BR198"/>
      <c r="BS198"/>
      <c r="BT198"/>
    </row>
    <row r="199" spans="1:72" s="47" customFormat="1" ht="11.95" hidden="1" thickBot="1" x14ac:dyDescent="0.3">
      <c r="A199"/>
      <c r="B199" s="47" t="s">
        <v>1</v>
      </c>
      <c r="E199" s="135"/>
      <c r="F199" s="135"/>
      <c r="G199" s="135"/>
      <c r="H199" s="135" t="s">
        <v>6</v>
      </c>
      <c r="I199" s="136"/>
      <c r="J199" s="136"/>
      <c r="K199" s="136"/>
      <c r="L199" s="137"/>
      <c r="M199" s="138"/>
      <c r="N199" s="155"/>
      <c r="O199" s="138"/>
      <c r="P199" s="155"/>
      <c r="Q199" s="138"/>
      <c r="R199" s="155"/>
      <c r="S199" s="138"/>
      <c r="T199" s="155"/>
      <c r="U199" s="155">
        <f>IFERROR(($O199-M199)/ABS(M199),0)</f>
        <v>0</v>
      </c>
      <c r="V199" s="139">
        <f>($O199-M199)</f>
        <v>0</v>
      </c>
      <c r="W199" s="155">
        <f>IFERROR(($M199-Q199)/ABS(Q199),0)</f>
        <v>0</v>
      </c>
      <c r="X199" s="139">
        <f>($M199-Q199)</f>
        <v>0</v>
      </c>
      <c r="Y199" s="155">
        <f>IFERROR(($M199-S199)/ABS(S199),0)</f>
        <v>0</v>
      </c>
      <c r="Z199" s="139">
        <f>($M199-S199)</f>
        <v>0</v>
      </c>
      <c r="AA199" s="139"/>
      <c r="AC199" s="138"/>
      <c r="AD199" s="138"/>
      <c r="AE199" s="138"/>
      <c r="AF199" s="172">
        <f t="shared" ref="AF199" si="509">IFERROR(($AC199-AD199)/ABS(AD199),0)</f>
        <v>0</v>
      </c>
      <c r="AG199" s="139">
        <f>($AC199-AD199)</f>
        <v>0</v>
      </c>
      <c r="AH199" s="172">
        <f>IFERROR(($AC199-AE199)/ABS(AE199),0)</f>
        <v>0</v>
      </c>
      <c r="AI199" s="139">
        <f>($AC199-AE199)</f>
        <v>0</v>
      </c>
      <c r="AJ199"/>
      <c r="AK199" s="138"/>
      <c r="AL199" s="155"/>
      <c r="AM199" s="138"/>
      <c r="AN199" s="155"/>
      <c r="AO199" s="138"/>
      <c r="AP199" s="155"/>
      <c r="AQ199" s="138"/>
      <c r="AR199" s="155"/>
      <c r="AS199" s="155">
        <f>IFERROR(($O199-AK199)/ABS(AK199),0)</f>
        <v>0</v>
      </c>
      <c r="AT199" s="139">
        <f>($AK199-AM199)</f>
        <v>0</v>
      </c>
      <c r="AU199" s="155">
        <f>IFERROR(($M199-AO199)/ABS(AO199),0)</f>
        <v>0</v>
      </c>
      <c r="AV199" s="139">
        <f>($AK199-AO199)</f>
        <v>0</v>
      </c>
      <c r="AW199" s="155">
        <f>IFERROR(($M199-AQ199)/ABS(AQ199),0)</f>
        <v>0</v>
      </c>
      <c r="AX199" s="139">
        <f>($AK199-AQ199)</f>
        <v>0</v>
      </c>
      <c r="AY199" s="139"/>
      <c r="AZ199"/>
      <c r="BA199" s="138"/>
      <c r="BB199" s="155"/>
      <c r="BC199" s="138"/>
      <c r="BD199" s="155"/>
      <c r="BE199" s="138"/>
      <c r="BF199" s="155"/>
      <c r="BG199" s="155">
        <f>IFERROR(($BA199-BC199)/ABS(BC199),0)</f>
        <v>0</v>
      </c>
      <c r="BH199" s="139">
        <f>($BA199-BC199)</f>
        <v>0</v>
      </c>
      <c r="BI199" s="155">
        <f>IFERROR(($BA199-BE199)/ABS(BE199),0)</f>
        <v>0</v>
      </c>
      <c r="BJ199" s="139">
        <f>($BA199-BE199)</f>
        <v>0</v>
      </c>
      <c r="BK199" s="139"/>
      <c r="BL199"/>
      <c r="BM199"/>
      <c r="BN199"/>
      <c r="BO199"/>
      <c r="BP199"/>
      <c r="BQ199"/>
      <c r="BR199"/>
      <c r="BS199"/>
      <c r="BT199"/>
    </row>
    <row r="200" spans="1:72" s="47" customFormat="1" ht="11.95" hidden="1" thickBot="1" x14ac:dyDescent="0.3">
      <c r="A200"/>
      <c r="B200" s="47" t="s">
        <v>1</v>
      </c>
      <c r="N200" s="156"/>
      <c r="P200" s="156"/>
      <c r="R200" s="156"/>
      <c r="T200" s="156"/>
      <c r="U200" s="156"/>
      <c r="V200" s="140"/>
      <c r="W200" s="156"/>
      <c r="X200" s="140"/>
      <c r="Y200" s="156"/>
      <c r="Z200" s="140"/>
      <c r="AA200" s="140"/>
      <c r="AF200" s="169"/>
      <c r="AG200" s="140"/>
      <c r="AH200" s="169"/>
      <c r="AI200" s="140"/>
      <c r="AJ200"/>
      <c r="AL200" s="156"/>
      <c r="AN200" s="156"/>
      <c r="AP200" s="156"/>
      <c r="AR200" s="156"/>
      <c r="AS200" s="156"/>
      <c r="AT200" s="140"/>
      <c r="AU200" s="156"/>
      <c r="AV200" s="140"/>
      <c r="AW200" s="156"/>
      <c r="AX200" s="140"/>
      <c r="AY200" s="140"/>
      <c r="AZ200"/>
      <c r="BB200" s="156"/>
      <c r="BD200" s="156"/>
      <c r="BF200" s="156"/>
      <c r="BG200" s="156"/>
      <c r="BH200" s="140"/>
      <c r="BI200" s="156"/>
      <c r="BJ200" s="140"/>
      <c r="BK200" s="140"/>
      <c r="BL200"/>
      <c r="BM200"/>
      <c r="BN200"/>
      <c r="BO200"/>
      <c r="BP200"/>
      <c r="BQ200"/>
      <c r="BR200"/>
      <c r="BS200"/>
      <c r="BT200"/>
    </row>
    <row r="201" spans="1:72" s="47" customFormat="1" ht="11.95" hidden="1" x14ac:dyDescent="0.25">
      <c r="A201"/>
      <c r="B201" s="47" t="s">
        <v>1</v>
      </c>
      <c r="E201" s="141"/>
      <c r="F201" s="141"/>
      <c r="G201" s="141"/>
      <c r="H201" s="141" t="s">
        <v>89</v>
      </c>
      <c r="I201" s="142"/>
      <c r="J201" s="142"/>
      <c r="K201" s="142"/>
      <c r="L201" s="142">
        <v>1</v>
      </c>
      <c r="M201" s="142">
        <f>SUMIFS(M199:M200,$I199:$I200,"&lt;&gt;"&amp;$I$29,$E199:$E200,"&lt;&gt;*[-]*",$F199:$F200,"&lt;&gt;*[-]*",$G199:$G200,"&lt;&gt;*[-]*",$H199:$H200,"*[+]*")</f>
        <v>0</v>
      </c>
      <c r="N201" s="157"/>
      <c r="O201" s="142">
        <f>SUMIFS(O199:O200,$I199:$I200,"&lt;&gt;"&amp;$I$29,$E199:$E200,"&lt;&gt;*[-]*",$F199:$F200,"&lt;&gt;*[-]*",$G199:$G200,"&lt;&gt;*[-]*",$H199:$H200,"*[+]*")</f>
        <v>0</v>
      </c>
      <c r="P201" s="157"/>
      <c r="Q201" s="142">
        <f>SUMIFS(Q199:Q200,$I199:$I200,"&lt;&gt;"&amp;$I$29,$E199:$E200,"&lt;&gt;*[-]*",$F199:$F200,"&lt;&gt;*[-]*",$G199:$G200,"&lt;&gt;*[-]*",$H199:$H200,"*[+]*")</f>
        <v>0</v>
      </c>
      <c r="R201" s="157"/>
      <c r="S201" s="142">
        <f>SUMIFS(S199:S200,$I199:$I200,"&lt;&gt;"&amp;$I$29,$E199:$E200,"&lt;&gt;*[-]*",$F199:$F200,"&lt;&gt;*[-]*",$G199:$G200,"&lt;&gt;*[-]*",$H199:$H200,"*[+]*")</f>
        <v>0</v>
      </c>
      <c r="T201" s="157"/>
      <c r="U201" s="157">
        <f>IFERROR(($O201-M201)/ABS(M201),0)</f>
        <v>0</v>
      </c>
      <c r="V201" s="143">
        <f>($O201-M201)</f>
        <v>0</v>
      </c>
      <c r="W201" s="157">
        <f>IFERROR(($M201-Q201)/ABS(Q201),0)</f>
        <v>0</v>
      </c>
      <c r="X201" s="143">
        <f>($M201-Q201)</f>
        <v>0</v>
      </c>
      <c r="Y201" s="157">
        <f>IFERROR(($M201-S201)/ABS(S201),0)</f>
        <v>0</v>
      </c>
      <c r="Z201" s="143">
        <f>($M201-S201)</f>
        <v>0</v>
      </c>
      <c r="AA201" s="143"/>
      <c r="AC201" s="142">
        <f>SUMIFS(AC199:AC200,$I199:$I200,"&lt;&gt;"&amp;$I$29,$E199:$E200,"&lt;&gt;*[-]*",$F199:$F200,"&lt;&gt;*[-]*",$G199:$G200,"&lt;&gt;*[-]*",$H199:$H200,"&lt;&gt;*[-]*")</f>
        <v>0</v>
      </c>
      <c r="AD201" s="142">
        <f>SUMIFS(AD199:AD200,$I199:$I200,"&lt;&gt;"&amp;$I$29,$E199:$E200,"&lt;&gt;*[-]*",$F199:$F200,"&lt;&gt;*[-]*",$G199:$G200,"&lt;&gt;*[-]*",$H199:$H200,"&lt;&gt;*[-]*")</f>
        <v>0</v>
      </c>
      <c r="AE201" s="142">
        <f>SUMIFS(AE199:AE200,$I199:$I200,"&lt;&gt;"&amp;$I$29,$E199:$E200,"&lt;&gt;*[-]*",$F199:$F200,"&lt;&gt;*[-]*",$G199:$G200,"&lt;&gt;*[-]*",$H199:$H200,"&lt;&gt;*[-]*")</f>
        <v>0</v>
      </c>
      <c r="AF201" s="173">
        <f t="shared" ref="AF201" si="510">IFERROR(($AC201-AD201)/ABS(AD201),0)</f>
        <v>0</v>
      </c>
      <c r="AG201" s="143">
        <f>($AC201-AD201)</f>
        <v>0</v>
      </c>
      <c r="AH201" s="173">
        <f>IFERROR(($AC201-AE201)/ABS(AE201),0)</f>
        <v>0</v>
      </c>
      <c r="AI201" s="143">
        <f>($AC201-AE201)</f>
        <v>0</v>
      </c>
      <c r="AJ201"/>
      <c r="AK201" s="142">
        <f>SUMIFS(AK199:AK200,$I199:$I200,"&lt;&gt;"&amp;$I$29,$E199:$E200,"&lt;&gt;*[-]*",$F199:$F200,"&lt;&gt;*[-]*",$G199:$G200,"&lt;&gt;*[-]*",$H199:$H200,"*[+]*")</f>
        <v>0</v>
      </c>
      <c r="AL201" s="157"/>
      <c r="AM201" s="142"/>
      <c r="AN201" s="157"/>
      <c r="AO201" s="142"/>
      <c r="AP201" s="157"/>
      <c r="AQ201" s="142">
        <f>SUMIFS(AQ199:AQ200,$I199:$I200,"&lt;&gt;"&amp;$I$29,$E199:$E200,"&lt;&gt;*[-]*",$F199:$F200,"&lt;&gt;*[-]*",$G199:$G200,"&lt;&gt;*[-]*",$H199:$H200,"*[+]*")</f>
        <v>0</v>
      </c>
      <c r="AR201" s="157"/>
      <c r="AS201" s="157">
        <f>IFERROR(($O201-AK201)/ABS(AK201),0)</f>
        <v>0</v>
      </c>
      <c r="AT201" s="143">
        <f>($AK201-AM201)</f>
        <v>0</v>
      </c>
      <c r="AU201" s="157">
        <f>IFERROR(($M201-AO201)/ABS(AO201),0)</f>
        <v>0</v>
      </c>
      <c r="AV201" s="143">
        <f>($AK201-AO201)</f>
        <v>0</v>
      </c>
      <c r="AW201" s="157">
        <f>IFERROR(($M201-AQ201)/ABS(AQ201),0)</f>
        <v>0</v>
      </c>
      <c r="AX201" s="143">
        <f>($AK201-AQ201)</f>
        <v>0</v>
      </c>
      <c r="AY201" s="143"/>
      <c r="AZ201"/>
      <c r="BA201" s="142">
        <f>SUMIFS(BA199:BA200,$I199:$I200,"&lt;&gt;"&amp;$I$29,$E199:$E200,"&lt;&gt;*[-]*",$F199:$F200,"&lt;&gt;*[-]*",$G199:$G200,"&lt;&gt;*[-]*",$H199:$H200,"*[+]*")</f>
        <v>0</v>
      </c>
      <c r="BB201" s="157"/>
      <c r="BC201" s="142">
        <f>SUMIFS(BC199:BC200,$I199:$I200,"&lt;&gt;"&amp;$I$29,$E199:$E200,"&lt;&gt;*[-]*",$F199:$F200,"&lt;&gt;*[-]*",$G199:$G200,"&lt;&gt;*[-]*",$H199:$H200,"*[+]*")</f>
        <v>0</v>
      </c>
      <c r="BD201" s="157"/>
      <c r="BE201" s="142">
        <f>SUMIFS(BE199:BE200,$I199:$I200,"&lt;&gt;"&amp;$I$29,$E199:$E200,"&lt;&gt;*[-]*",$F199:$F200,"&lt;&gt;*[-]*",$G199:$G200,"&lt;&gt;*[-]*",$H199:$H200,"*[+]*")</f>
        <v>0</v>
      </c>
      <c r="BF201" s="157"/>
      <c r="BG201" s="157">
        <f>IFERROR(($BA201-BC201)/ABS(BC201),0)</f>
        <v>0</v>
      </c>
      <c r="BH201" s="143">
        <f>($BA201-BC201)</f>
        <v>0</v>
      </c>
      <c r="BI201" s="157">
        <f>IFERROR(($BA201-BE201)/ABS(BE201),0)</f>
        <v>0</v>
      </c>
      <c r="BJ201" s="143">
        <f>($BA201-BE201)</f>
        <v>0</v>
      </c>
      <c r="BK201" s="143"/>
      <c r="BL201"/>
      <c r="BM201"/>
      <c r="BN201"/>
      <c r="BO201"/>
      <c r="BP201"/>
      <c r="BQ201"/>
      <c r="BR201"/>
      <c r="BS201"/>
      <c r="BT201"/>
    </row>
    <row r="202" spans="1:72" s="47" customFormat="1" hidden="1" x14ac:dyDescent="0.25">
      <c r="A202"/>
      <c r="B202" s="47" t="s">
        <v>1</v>
      </c>
      <c r="N202" s="156"/>
      <c r="P202" s="156"/>
      <c r="R202" s="156"/>
      <c r="T202" s="156"/>
      <c r="U202" s="156"/>
      <c r="V202" s="140"/>
      <c r="W202" s="156"/>
      <c r="X202" s="140"/>
      <c r="Y202" s="156"/>
      <c r="Z202" s="140"/>
      <c r="AA202" s="140"/>
      <c r="AF202" s="169"/>
      <c r="AG202" s="140"/>
      <c r="AH202" s="169"/>
      <c r="AI202" s="140"/>
      <c r="AJ202"/>
      <c r="AL202" s="156"/>
      <c r="AN202" s="156"/>
      <c r="AP202" s="156"/>
      <c r="AR202" s="156"/>
      <c r="AS202" s="156"/>
      <c r="AT202" s="140"/>
      <c r="AU202" s="156"/>
      <c r="AV202" s="140"/>
      <c r="AW202" s="156"/>
      <c r="AX202" s="140"/>
      <c r="AY202" s="140"/>
      <c r="AZ202"/>
      <c r="BB202" s="156"/>
      <c r="BD202" s="156"/>
      <c r="BF202" s="156"/>
      <c r="BG202" s="156"/>
      <c r="BH202" s="140"/>
      <c r="BI202" s="156"/>
      <c r="BJ202" s="140"/>
      <c r="BK202" s="140"/>
      <c r="BL202"/>
      <c r="BM202"/>
      <c r="BN202"/>
      <c r="BO202"/>
      <c r="BP202"/>
      <c r="BQ202"/>
      <c r="BR202"/>
      <c r="BS202"/>
      <c r="BT202"/>
    </row>
    <row r="203" spans="1:72" s="47" customFormat="1" ht="12.45" hidden="1" thickBot="1" x14ac:dyDescent="0.3">
      <c r="A203"/>
      <c r="B203" s="47" t="s">
        <v>1</v>
      </c>
      <c r="E203" s="132"/>
      <c r="F203" s="132"/>
      <c r="G203" s="132"/>
      <c r="H203" s="132" t="s">
        <v>117</v>
      </c>
      <c r="I203" s="132"/>
      <c r="J203" s="133"/>
      <c r="K203" s="133"/>
      <c r="L203" s="133"/>
      <c r="M203" s="133"/>
      <c r="N203" s="154"/>
      <c r="O203" s="133"/>
      <c r="P203" s="154"/>
      <c r="Q203" s="133"/>
      <c r="R203" s="154"/>
      <c r="S203" s="133"/>
      <c r="T203" s="154"/>
      <c r="U203" s="154"/>
      <c r="V203" s="134"/>
      <c r="W203" s="154"/>
      <c r="X203" s="134"/>
      <c r="Y203" s="154"/>
      <c r="Z203" s="134"/>
      <c r="AA203" s="134"/>
      <c r="AC203" s="133"/>
      <c r="AD203" s="133"/>
      <c r="AE203" s="133"/>
      <c r="AF203" s="171"/>
      <c r="AG203" s="134"/>
      <c r="AH203" s="171"/>
      <c r="AI203" s="134"/>
      <c r="AJ203"/>
      <c r="AK203" s="133"/>
      <c r="AL203" s="154"/>
      <c r="AM203" s="133"/>
      <c r="AN203" s="154"/>
      <c r="AO203" s="133"/>
      <c r="AP203" s="154"/>
      <c r="AQ203" s="133"/>
      <c r="AR203" s="154"/>
      <c r="AS203" s="154"/>
      <c r="AT203" s="134"/>
      <c r="AU203" s="154"/>
      <c r="AV203" s="134"/>
      <c r="AW203" s="154"/>
      <c r="AX203" s="134"/>
      <c r="AY203" s="134"/>
      <c r="AZ203"/>
      <c r="BA203" s="133"/>
      <c r="BB203" s="154"/>
      <c r="BC203" s="133"/>
      <c r="BD203" s="154"/>
      <c r="BE203" s="133"/>
      <c r="BF203" s="154"/>
      <c r="BG203" s="154"/>
      <c r="BH203" s="134"/>
      <c r="BI203" s="154"/>
      <c r="BJ203" s="134"/>
      <c r="BK203" s="134"/>
      <c r="BL203"/>
      <c r="BM203"/>
      <c r="BN203"/>
      <c r="BO203"/>
      <c r="BP203"/>
      <c r="BQ203"/>
      <c r="BR203"/>
      <c r="BS203"/>
      <c r="BT203"/>
    </row>
    <row r="204" spans="1:72" s="47" customFormat="1" ht="11.95" hidden="1" thickBot="1" x14ac:dyDescent="0.3">
      <c r="A204"/>
      <c r="B204" s="47" t="s">
        <v>1</v>
      </c>
      <c r="E204" s="135"/>
      <c r="F204" s="135"/>
      <c r="G204" s="135"/>
      <c r="H204" s="135" t="s">
        <v>6</v>
      </c>
      <c r="I204" s="136"/>
      <c r="J204" s="136"/>
      <c r="K204" s="136"/>
      <c r="L204" s="137"/>
      <c r="M204" s="138"/>
      <c r="N204" s="155"/>
      <c r="O204" s="138"/>
      <c r="P204" s="155"/>
      <c r="Q204" s="138"/>
      <c r="R204" s="155"/>
      <c r="S204" s="138"/>
      <c r="T204" s="155"/>
      <c r="U204" s="155">
        <f>IFERROR(($O204-M204)/ABS(M204),0)</f>
        <v>0</v>
      </c>
      <c r="V204" s="139">
        <f>($O204-M204)</f>
        <v>0</v>
      </c>
      <c r="W204" s="155">
        <f>IFERROR(($M204-Q204)/ABS(Q204),0)</f>
        <v>0</v>
      </c>
      <c r="X204" s="139">
        <f>($M204-Q204)</f>
        <v>0</v>
      </c>
      <c r="Y204" s="155">
        <f>IFERROR(($M204-S204)/ABS(S204),0)</f>
        <v>0</v>
      </c>
      <c r="Z204" s="139">
        <f>($M204-S204)</f>
        <v>0</v>
      </c>
      <c r="AA204" s="139"/>
      <c r="AC204" s="138"/>
      <c r="AD204" s="138"/>
      <c r="AE204" s="138"/>
      <c r="AF204" s="172">
        <f t="shared" ref="AF204" si="511">IFERROR(($AC204-AD204)/ABS(AD204),0)</f>
        <v>0</v>
      </c>
      <c r="AG204" s="139">
        <f>($AC204-AD204)</f>
        <v>0</v>
      </c>
      <c r="AH204" s="172">
        <f>IFERROR(($AC204-AE204)/ABS(AE204),0)</f>
        <v>0</v>
      </c>
      <c r="AI204" s="139">
        <f>($AC204-AE204)</f>
        <v>0</v>
      </c>
      <c r="AJ204"/>
      <c r="AK204" s="138"/>
      <c r="AL204" s="155"/>
      <c r="AM204" s="138"/>
      <c r="AN204" s="155"/>
      <c r="AO204" s="138"/>
      <c r="AP204" s="155"/>
      <c r="AQ204" s="138"/>
      <c r="AR204" s="155"/>
      <c r="AS204" s="155">
        <f>IFERROR(($O204-AK204)/ABS(AK204),0)</f>
        <v>0</v>
      </c>
      <c r="AT204" s="139">
        <f>($AK204-AM204)</f>
        <v>0</v>
      </c>
      <c r="AU204" s="155">
        <f>IFERROR(($M204-AO204)/ABS(AO204),0)</f>
        <v>0</v>
      </c>
      <c r="AV204" s="139">
        <f>($AK204-AO204)</f>
        <v>0</v>
      </c>
      <c r="AW204" s="155">
        <f>IFERROR(($M204-AQ204)/ABS(AQ204),0)</f>
        <v>0</v>
      </c>
      <c r="AX204" s="139">
        <f>($AK204-AQ204)</f>
        <v>0</v>
      </c>
      <c r="AY204" s="139"/>
      <c r="AZ204"/>
      <c r="BA204" s="138"/>
      <c r="BB204" s="155"/>
      <c r="BC204" s="138"/>
      <c r="BD204" s="155"/>
      <c r="BE204" s="138"/>
      <c r="BF204" s="155"/>
      <c r="BG204" s="155">
        <f>IFERROR(($BA204-BC204)/ABS(BC204),0)</f>
        <v>0</v>
      </c>
      <c r="BH204" s="139">
        <f>($BA204-BC204)</f>
        <v>0</v>
      </c>
      <c r="BI204" s="155">
        <f>IFERROR(($BA204-BE204)/ABS(BE204),0)</f>
        <v>0</v>
      </c>
      <c r="BJ204" s="139">
        <f>($BA204-BE204)</f>
        <v>0</v>
      </c>
      <c r="BK204" s="139"/>
      <c r="BL204"/>
      <c r="BM204"/>
      <c r="BN204"/>
      <c r="BO204"/>
      <c r="BP204"/>
      <c r="BQ204"/>
      <c r="BR204"/>
      <c r="BS204"/>
      <c r="BT204"/>
    </row>
    <row r="205" spans="1:72" s="47" customFormat="1" ht="11.95" hidden="1" thickBot="1" x14ac:dyDescent="0.3">
      <c r="A205"/>
      <c r="B205" s="47" t="s">
        <v>1</v>
      </c>
      <c r="N205" s="156"/>
      <c r="P205" s="156"/>
      <c r="R205" s="156"/>
      <c r="T205" s="156"/>
      <c r="U205" s="156"/>
      <c r="V205" s="140"/>
      <c r="W205" s="156"/>
      <c r="X205" s="140"/>
      <c r="Y205" s="156"/>
      <c r="Z205" s="140"/>
      <c r="AA205" s="140"/>
      <c r="AF205" s="169"/>
      <c r="AG205" s="140"/>
      <c r="AH205" s="169"/>
      <c r="AI205" s="140"/>
      <c r="AJ205"/>
      <c r="AL205" s="156"/>
      <c r="AN205" s="156"/>
      <c r="AP205" s="156"/>
      <c r="AR205" s="156"/>
      <c r="AS205" s="156"/>
      <c r="AT205" s="140"/>
      <c r="AU205" s="156"/>
      <c r="AV205" s="140"/>
      <c r="AW205" s="156"/>
      <c r="AX205" s="140"/>
      <c r="AY205" s="140"/>
      <c r="AZ205"/>
      <c r="BB205" s="156"/>
      <c r="BD205" s="156"/>
      <c r="BF205" s="156"/>
      <c r="BG205" s="156"/>
      <c r="BH205" s="140"/>
      <c r="BI205" s="156"/>
      <c r="BJ205" s="140"/>
      <c r="BK205" s="140"/>
      <c r="BL205"/>
      <c r="BM205"/>
      <c r="BN205"/>
      <c r="BO205"/>
      <c r="BP205"/>
      <c r="BQ205"/>
      <c r="BR205"/>
      <c r="BS205"/>
      <c r="BT205"/>
    </row>
    <row r="206" spans="1:72" s="47" customFormat="1" ht="11.95" hidden="1" x14ac:dyDescent="0.25">
      <c r="A206"/>
      <c r="B206" s="47" t="s">
        <v>1</v>
      </c>
      <c r="E206" s="141"/>
      <c r="F206" s="141"/>
      <c r="G206" s="141"/>
      <c r="H206" s="141" t="s">
        <v>89</v>
      </c>
      <c r="I206" s="142"/>
      <c r="J206" s="142"/>
      <c r="K206" s="142"/>
      <c r="L206" s="142">
        <v>1</v>
      </c>
      <c r="M206" s="142">
        <f>SUMIFS(M204:M205,$I204:$I205,"&lt;&gt;"&amp;$I$29,$E204:$E205,"&lt;&gt;*[-]*",$F204:$F205,"&lt;&gt;*[-]*",$G204:$G205,"&lt;&gt;*[-]*",$H204:$H205,"*[+]*")</f>
        <v>0</v>
      </c>
      <c r="N206" s="157"/>
      <c r="O206" s="142">
        <f>SUMIFS(O204:O205,$I204:$I205,"&lt;&gt;"&amp;$I$29,$E204:$E205,"&lt;&gt;*[-]*",$F204:$F205,"&lt;&gt;*[-]*",$G204:$G205,"&lt;&gt;*[-]*",$H204:$H205,"*[+]*")</f>
        <v>0</v>
      </c>
      <c r="P206" s="157"/>
      <c r="Q206" s="142">
        <f>SUMIFS(Q204:Q205,$I204:$I205,"&lt;&gt;"&amp;$I$29,$E204:$E205,"&lt;&gt;*[-]*",$F204:$F205,"&lt;&gt;*[-]*",$G204:$G205,"&lt;&gt;*[-]*",$H204:$H205,"*[+]*")</f>
        <v>0</v>
      </c>
      <c r="R206" s="157"/>
      <c r="S206" s="142">
        <f>SUMIFS(S204:S205,$I204:$I205,"&lt;&gt;"&amp;$I$29,$E204:$E205,"&lt;&gt;*[-]*",$F204:$F205,"&lt;&gt;*[-]*",$G204:$G205,"&lt;&gt;*[-]*",$H204:$H205,"*[+]*")</f>
        <v>0</v>
      </c>
      <c r="T206" s="157"/>
      <c r="U206" s="157">
        <f>IFERROR(($O206-M206)/ABS(M206),0)</f>
        <v>0</v>
      </c>
      <c r="V206" s="143">
        <f>($O206-M206)</f>
        <v>0</v>
      </c>
      <c r="W206" s="157">
        <f>IFERROR(($M206-Q206)/ABS(Q206),0)</f>
        <v>0</v>
      </c>
      <c r="X206" s="143">
        <f>($M206-Q206)</f>
        <v>0</v>
      </c>
      <c r="Y206" s="157">
        <f>IFERROR(($M206-S206)/ABS(S206),0)</f>
        <v>0</v>
      </c>
      <c r="Z206" s="143">
        <f>($M206-S206)</f>
        <v>0</v>
      </c>
      <c r="AA206" s="143"/>
      <c r="AC206" s="142">
        <f>SUMIFS(AC204:AC205,$I204:$I205,"&lt;&gt;"&amp;$I$29,$E204:$E205,"&lt;&gt;*[-]*",$F204:$F205,"&lt;&gt;*[-]*",$G204:$G205,"&lt;&gt;*[-]*",$H204:$H205,"&lt;&gt;*[-]*")</f>
        <v>0</v>
      </c>
      <c r="AD206" s="142">
        <f>SUMIFS(AD204:AD205,$I204:$I205,"&lt;&gt;"&amp;$I$29,$E204:$E205,"&lt;&gt;*[-]*",$F204:$F205,"&lt;&gt;*[-]*",$G204:$G205,"&lt;&gt;*[-]*",$H204:$H205,"&lt;&gt;*[-]*")</f>
        <v>0</v>
      </c>
      <c r="AE206" s="142">
        <f>SUMIFS(AE204:AE205,$I204:$I205,"&lt;&gt;"&amp;$I$29,$E204:$E205,"&lt;&gt;*[-]*",$F204:$F205,"&lt;&gt;*[-]*",$G204:$G205,"&lt;&gt;*[-]*",$H204:$H205,"&lt;&gt;*[-]*")</f>
        <v>0</v>
      </c>
      <c r="AF206" s="173">
        <f t="shared" ref="AF206" si="512">IFERROR(($AC206-AD206)/ABS(AD206),0)</f>
        <v>0</v>
      </c>
      <c r="AG206" s="143">
        <f>($AC206-AD206)</f>
        <v>0</v>
      </c>
      <c r="AH206" s="173">
        <f>IFERROR(($AC206-AE206)/ABS(AE206),0)</f>
        <v>0</v>
      </c>
      <c r="AI206" s="143">
        <f>($AC206-AE206)</f>
        <v>0</v>
      </c>
      <c r="AJ206"/>
      <c r="AK206" s="142">
        <f>SUMIFS(AK204:AK205,$I204:$I205,"&lt;&gt;"&amp;$I$29,$E204:$E205,"&lt;&gt;*[-]*",$F204:$F205,"&lt;&gt;*[-]*",$G204:$G205,"&lt;&gt;*[-]*",$H204:$H205,"*[+]*")</f>
        <v>0</v>
      </c>
      <c r="AL206" s="157"/>
      <c r="AM206" s="142"/>
      <c r="AN206" s="157"/>
      <c r="AO206" s="142"/>
      <c r="AP206" s="157"/>
      <c r="AQ206" s="142">
        <f>SUMIFS(AQ204:AQ205,$I204:$I205,"&lt;&gt;"&amp;$I$29,$E204:$E205,"&lt;&gt;*[-]*",$F204:$F205,"&lt;&gt;*[-]*",$G204:$G205,"&lt;&gt;*[-]*",$H204:$H205,"*[+]*")</f>
        <v>0</v>
      </c>
      <c r="AR206" s="157"/>
      <c r="AS206" s="157">
        <f>IFERROR(($O206-AK206)/ABS(AK206),0)</f>
        <v>0</v>
      </c>
      <c r="AT206" s="143">
        <f>($AK206-AM206)</f>
        <v>0</v>
      </c>
      <c r="AU206" s="157">
        <f>IFERROR(($M206-AO206)/ABS(AO206),0)</f>
        <v>0</v>
      </c>
      <c r="AV206" s="143">
        <f>($AK206-AO206)</f>
        <v>0</v>
      </c>
      <c r="AW206" s="157">
        <f>IFERROR(($M206-AQ206)/ABS(AQ206),0)</f>
        <v>0</v>
      </c>
      <c r="AX206" s="143">
        <f>($AK206-AQ206)</f>
        <v>0</v>
      </c>
      <c r="AY206" s="143"/>
      <c r="AZ206"/>
      <c r="BA206" s="142">
        <f>SUMIFS(BA204:BA205,$I204:$I205,"&lt;&gt;"&amp;$I$29,$E204:$E205,"&lt;&gt;*[-]*",$F204:$F205,"&lt;&gt;*[-]*",$G204:$G205,"&lt;&gt;*[-]*",$H204:$H205,"*[+]*")</f>
        <v>0</v>
      </c>
      <c r="BB206" s="157"/>
      <c r="BC206" s="142">
        <f>SUMIFS(BC204:BC205,$I204:$I205,"&lt;&gt;"&amp;$I$29,$E204:$E205,"&lt;&gt;*[-]*",$F204:$F205,"&lt;&gt;*[-]*",$G204:$G205,"&lt;&gt;*[-]*",$H204:$H205,"*[+]*")</f>
        <v>0</v>
      </c>
      <c r="BD206" s="157"/>
      <c r="BE206" s="142">
        <f>SUMIFS(BE204:BE205,$I204:$I205,"&lt;&gt;"&amp;$I$29,$E204:$E205,"&lt;&gt;*[-]*",$F204:$F205,"&lt;&gt;*[-]*",$G204:$G205,"&lt;&gt;*[-]*",$H204:$H205,"*[+]*")</f>
        <v>0</v>
      </c>
      <c r="BF206" s="157"/>
      <c r="BG206" s="157">
        <f>IFERROR(($BA206-BC206)/ABS(BC206),0)</f>
        <v>0</v>
      </c>
      <c r="BH206" s="143">
        <f>($BA206-BC206)</f>
        <v>0</v>
      </c>
      <c r="BI206" s="157">
        <f>IFERROR(($BA206-BE206)/ABS(BE206),0)</f>
        <v>0</v>
      </c>
      <c r="BJ206" s="143">
        <f>($BA206-BE206)</f>
        <v>0</v>
      </c>
      <c r="BK206" s="143"/>
      <c r="BL206"/>
      <c r="BM206"/>
      <c r="BN206"/>
      <c r="BO206"/>
      <c r="BP206"/>
      <c r="BQ206"/>
      <c r="BR206"/>
      <c r="BS206"/>
      <c r="BT206"/>
    </row>
    <row r="207" spans="1:72" s="47" customFormat="1" hidden="1" x14ac:dyDescent="0.25">
      <c r="A207"/>
      <c r="B207" s="47" t="s">
        <v>1</v>
      </c>
      <c r="N207" s="156"/>
      <c r="P207" s="156"/>
      <c r="R207" s="156"/>
      <c r="T207" s="156"/>
      <c r="U207" s="156"/>
      <c r="V207" s="140"/>
      <c r="W207" s="156"/>
      <c r="X207" s="140"/>
      <c r="Y207" s="156"/>
      <c r="Z207" s="140"/>
      <c r="AA207" s="140"/>
      <c r="AF207" s="169"/>
      <c r="AG207" s="140"/>
      <c r="AH207" s="169"/>
      <c r="AI207" s="140"/>
      <c r="AJ207"/>
      <c r="AL207" s="156"/>
      <c r="AN207" s="156"/>
      <c r="AP207" s="156"/>
      <c r="AR207" s="156"/>
      <c r="AS207" s="156"/>
      <c r="AT207" s="140"/>
      <c r="AU207" s="156"/>
      <c r="AV207" s="140"/>
      <c r="AW207" s="156"/>
      <c r="AX207" s="140"/>
      <c r="AY207" s="140"/>
      <c r="AZ207"/>
      <c r="BB207" s="156"/>
      <c r="BD207" s="156"/>
      <c r="BF207" s="156"/>
      <c r="BG207" s="156"/>
      <c r="BH207" s="140"/>
      <c r="BI207" s="156"/>
      <c r="BJ207" s="140"/>
      <c r="BK207" s="140"/>
      <c r="BL207"/>
      <c r="BM207"/>
      <c r="BN207"/>
      <c r="BO207"/>
      <c r="BP207"/>
      <c r="BQ207"/>
      <c r="BR207"/>
      <c r="BS207"/>
      <c r="BT207"/>
    </row>
    <row r="208" spans="1:72" s="47" customFormat="1" ht="12.45" hidden="1" thickBot="1" x14ac:dyDescent="0.3">
      <c r="A208"/>
      <c r="B208" s="47" t="s">
        <v>1</v>
      </c>
      <c r="E208" s="132"/>
      <c r="F208" s="132"/>
      <c r="G208" s="132"/>
      <c r="H208" s="132" t="s">
        <v>117</v>
      </c>
      <c r="I208" s="132"/>
      <c r="J208" s="133"/>
      <c r="K208" s="133"/>
      <c r="L208" s="133"/>
      <c r="M208" s="133"/>
      <c r="N208" s="154"/>
      <c r="O208" s="133"/>
      <c r="P208" s="154"/>
      <c r="Q208" s="133"/>
      <c r="R208" s="154"/>
      <c r="S208" s="133"/>
      <c r="T208" s="154"/>
      <c r="U208" s="154"/>
      <c r="V208" s="134"/>
      <c r="W208" s="154"/>
      <c r="X208" s="134"/>
      <c r="Y208" s="154"/>
      <c r="Z208" s="134"/>
      <c r="AA208" s="134"/>
      <c r="AC208" s="133"/>
      <c r="AD208" s="133"/>
      <c r="AE208" s="133"/>
      <c r="AF208" s="171"/>
      <c r="AG208" s="134"/>
      <c r="AH208" s="171"/>
      <c r="AI208" s="134"/>
      <c r="AJ208"/>
      <c r="AK208" s="133"/>
      <c r="AL208" s="154"/>
      <c r="AM208" s="133"/>
      <c r="AN208" s="154"/>
      <c r="AO208" s="133"/>
      <c r="AP208" s="154"/>
      <c r="AQ208" s="133"/>
      <c r="AR208" s="154"/>
      <c r="AS208" s="154"/>
      <c r="AT208" s="134"/>
      <c r="AU208" s="154"/>
      <c r="AV208" s="134"/>
      <c r="AW208" s="154"/>
      <c r="AX208" s="134"/>
      <c r="AY208" s="134"/>
      <c r="AZ208"/>
      <c r="BA208" s="133"/>
      <c r="BB208" s="154"/>
      <c r="BC208" s="133"/>
      <c r="BD208" s="154"/>
      <c r="BE208" s="133"/>
      <c r="BF208" s="154"/>
      <c r="BG208" s="154"/>
      <c r="BH208" s="134"/>
      <c r="BI208" s="154"/>
      <c r="BJ208" s="134"/>
      <c r="BK208" s="134"/>
      <c r="BL208"/>
      <c r="BM208"/>
      <c r="BN208"/>
      <c r="BO208"/>
      <c r="BP208"/>
      <c r="BQ208"/>
      <c r="BR208"/>
      <c r="BS208"/>
      <c r="BT208"/>
    </row>
    <row r="209" spans="1:72" s="47" customFormat="1" ht="11.95" hidden="1" thickBot="1" x14ac:dyDescent="0.3">
      <c r="A209"/>
      <c r="B209" s="47" t="s">
        <v>1</v>
      </c>
      <c r="E209" s="135"/>
      <c r="F209" s="135"/>
      <c r="G209" s="135"/>
      <c r="H209" s="135" t="s">
        <v>6</v>
      </c>
      <c r="I209" s="136"/>
      <c r="J209" s="136"/>
      <c r="K209" s="136"/>
      <c r="L209" s="137"/>
      <c r="M209" s="138"/>
      <c r="N209" s="155"/>
      <c r="O209" s="138"/>
      <c r="P209" s="155"/>
      <c r="Q209" s="138"/>
      <c r="R209" s="155"/>
      <c r="S209" s="138"/>
      <c r="T209" s="155"/>
      <c r="U209" s="155">
        <f>IFERROR(($O209-M209)/ABS(M209),0)</f>
        <v>0</v>
      </c>
      <c r="V209" s="139">
        <f>($O209-M209)</f>
        <v>0</v>
      </c>
      <c r="W209" s="155">
        <f>IFERROR(($M209-Q209)/ABS(Q209),0)</f>
        <v>0</v>
      </c>
      <c r="X209" s="139">
        <f>($M209-Q209)</f>
        <v>0</v>
      </c>
      <c r="Y209" s="155">
        <f>IFERROR(($M209-S209)/ABS(S209),0)</f>
        <v>0</v>
      </c>
      <c r="Z209" s="139">
        <f>($M209-S209)</f>
        <v>0</v>
      </c>
      <c r="AA209" s="139"/>
      <c r="AC209" s="138"/>
      <c r="AD209" s="138"/>
      <c r="AE209" s="138"/>
      <c r="AF209" s="172">
        <f t="shared" ref="AF209" si="513">IFERROR(($AC209-AD209)/ABS(AD209),0)</f>
        <v>0</v>
      </c>
      <c r="AG209" s="139">
        <f>($AC209-AD209)</f>
        <v>0</v>
      </c>
      <c r="AH209" s="172">
        <f>IFERROR(($AC209-AE209)/ABS(AE209),0)</f>
        <v>0</v>
      </c>
      <c r="AI209" s="139">
        <f>($AC209-AE209)</f>
        <v>0</v>
      </c>
      <c r="AJ209"/>
      <c r="AK209" s="138"/>
      <c r="AL209" s="155"/>
      <c r="AM209" s="138"/>
      <c r="AN209" s="155"/>
      <c r="AO209" s="138"/>
      <c r="AP209" s="155"/>
      <c r="AQ209" s="138"/>
      <c r="AR209" s="155"/>
      <c r="AS209" s="155">
        <f>IFERROR(($O209-AK209)/ABS(AK209),0)</f>
        <v>0</v>
      </c>
      <c r="AT209" s="139">
        <f>($AK209-AM209)</f>
        <v>0</v>
      </c>
      <c r="AU209" s="155">
        <f>IFERROR(($M209-AO209)/ABS(AO209),0)</f>
        <v>0</v>
      </c>
      <c r="AV209" s="139">
        <f>($AK209-AO209)</f>
        <v>0</v>
      </c>
      <c r="AW209" s="155">
        <f>IFERROR(($M209-AQ209)/ABS(AQ209),0)</f>
        <v>0</v>
      </c>
      <c r="AX209" s="139">
        <f>($AK209-AQ209)</f>
        <v>0</v>
      </c>
      <c r="AY209" s="139"/>
      <c r="AZ209"/>
      <c r="BA209" s="138"/>
      <c r="BB209" s="155"/>
      <c r="BC209" s="138"/>
      <c r="BD209" s="155"/>
      <c r="BE209" s="138"/>
      <c r="BF209" s="155"/>
      <c r="BG209" s="155">
        <f>IFERROR(($BA209-BC209)/ABS(BC209),0)</f>
        <v>0</v>
      </c>
      <c r="BH209" s="139">
        <f>($BA209-BC209)</f>
        <v>0</v>
      </c>
      <c r="BI209" s="155">
        <f>IFERROR(($BA209-BE209)/ABS(BE209),0)</f>
        <v>0</v>
      </c>
      <c r="BJ209" s="139">
        <f>($BA209-BE209)</f>
        <v>0</v>
      </c>
      <c r="BK209" s="139"/>
      <c r="BL209"/>
      <c r="BM209"/>
      <c r="BN209"/>
      <c r="BO209"/>
      <c r="BP209"/>
      <c r="BQ209"/>
      <c r="BR209"/>
      <c r="BS209"/>
      <c r="BT209"/>
    </row>
    <row r="210" spans="1:72" s="47" customFormat="1" ht="11.95" hidden="1" thickBot="1" x14ac:dyDescent="0.3">
      <c r="A210"/>
      <c r="B210" s="47" t="s">
        <v>1</v>
      </c>
      <c r="N210" s="156"/>
      <c r="P210" s="156"/>
      <c r="R210" s="156"/>
      <c r="T210" s="156"/>
      <c r="U210" s="156"/>
      <c r="V210" s="140"/>
      <c r="W210" s="156"/>
      <c r="X210" s="140"/>
      <c r="Y210" s="156"/>
      <c r="Z210" s="140"/>
      <c r="AA210" s="140"/>
      <c r="AF210" s="169"/>
      <c r="AG210" s="140"/>
      <c r="AH210" s="169"/>
      <c r="AI210" s="140"/>
      <c r="AJ210"/>
      <c r="AL210" s="156"/>
      <c r="AN210" s="156"/>
      <c r="AP210" s="156"/>
      <c r="AR210" s="156"/>
      <c r="AS210" s="156"/>
      <c r="AT210" s="140"/>
      <c r="AU210" s="156"/>
      <c r="AV210" s="140"/>
      <c r="AW210" s="156"/>
      <c r="AX210" s="140"/>
      <c r="AY210" s="140"/>
      <c r="AZ210"/>
      <c r="BB210" s="156"/>
      <c r="BD210" s="156"/>
      <c r="BF210" s="156"/>
      <c r="BG210" s="156"/>
      <c r="BH210" s="140"/>
      <c r="BI210" s="156"/>
      <c r="BJ210" s="140"/>
      <c r="BK210" s="140"/>
      <c r="BL210"/>
      <c r="BM210"/>
      <c r="BN210"/>
      <c r="BO210"/>
      <c r="BP210"/>
      <c r="BQ210"/>
      <c r="BR210"/>
      <c r="BS210"/>
      <c r="BT210"/>
    </row>
    <row r="211" spans="1:72" s="47" customFormat="1" ht="11.95" hidden="1" x14ac:dyDescent="0.25">
      <c r="A211"/>
      <c r="B211" s="47" t="s">
        <v>1</v>
      </c>
      <c r="E211" s="141"/>
      <c r="F211" s="141"/>
      <c r="G211" s="141"/>
      <c r="H211" s="141" t="s">
        <v>89</v>
      </c>
      <c r="I211" s="142"/>
      <c r="J211" s="142"/>
      <c r="K211" s="142"/>
      <c r="L211" s="142">
        <v>1</v>
      </c>
      <c r="M211" s="142">
        <f>SUMIFS(M209:M210,$I209:$I210,"&lt;&gt;"&amp;$I$29,$E209:$E210,"&lt;&gt;*[-]*",$F209:$F210,"&lt;&gt;*[-]*",$G209:$G210,"&lt;&gt;*[-]*",$H209:$H210,"*[+]*")</f>
        <v>0</v>
      </c>
      <c r="N211" s="157"/>
      <c r="O211" s="142">
        <f>SUMIFS(O209:O210,$I209:$I210,"&lt;&gt;"&amp;$I$29,$E209:$E210,"&lt;&gt;*[-]*",$F209:$F210,"&lt;&gt;*[-]*",$G209:$G210,"&lt;&gt;*[-]*",$H209:$H210,"*[+]*")</f>
        <v>0</v>
      </c>
      <c r="P211" s="157"/>
      <c r="Q211" s="142">
        <f>SUMIFS(Q209:Q210,$I209:$I210,"&lt;&gt;"&amp;$I$29,$E209:$E210,"&lt;&gt;*[-]*",$F209:$F210,"&lt;&gt;*[-]*",$G209:$G210,"&lt;&gt;*[-]*",$H209:$H210,"*[+]*")</f>
        <v>0</v>
      </c>
      <c r="R211" s="157"/>
      <c r="S211" s="142">
        <f>SUMIFS(S209:S210,$I209:$I210,"&lt;&gt;"&amp;$I$29,$E209:$E210,"&lt;&gt;*[-]*",$F209:$F210,"&lt;&gt;*[-]*",$G209:$G210,"&lt;&gt;*[-]*",$H209:$H210,"*[+]*")</f>
        <v>0</v>
      </c>
      <c r="T211" s="157"/>
      <c r="U211" s="157">
        <f>IFERROR(($O211-M211)/ABS(M211),0)</f>
        <v>0</v>
      </c>
      <c r="V211" s="143">
        <f>($O211-M211)</f>
        <v>0</v>
      </c>
      <c r="W211" s="157">
        <f>IFERROR(($M211-Q211)/ABS(Q211),0)</f>
        <v>0</v>
      </c>
      <c r="X211" s="143">
        <f>($M211-Q211)</f>
        <v>0</v>
      </c>
      <c r="Y211" s="157">
        <f>IFERROR(($M211-S211)/ABS(S211),0)</f>
        <v>0</v>
      </c>
      <c r="Z211" s="143">
        <f>($M211-S211)</f>
        <v>0</v>
      </c>
      <c r="AA211" s="143"/>
      <c r="AC211" s="142">
        <f>SUMIFS(AC209:AC210,$I209:$I210,"&lt;&gt;"&amp;$I$29,$E209:$E210,"&lt;&gt;*[-]*",$F209:$F210,"&lt;&gt;*[-]*",$G209:$G210,"&lt;&gt;*[-]*",$H209:$H210,"&lt;&gt;*[-]*")</f>
        <v>0</v>
      </c>
      <c r="AD211" s="142">
        <f>SUMIFS(AD209:AD210,$I209:$I210,"&lt;&gt;"&amp;$I$29,$E209:$E210,"&lt;&gt;*[-]*",$F209:$F210,"&lt;&gt;*[-]*",$G209:$G210,"&lt;&gt;*[-]*",$H209:$H210,"&lt;&gt;*[-]*")</f>
        <v>0</v>
      </c>
      <c r="AE211" s="142">
        <f>SUMIFS(AE209:AE210,$I209:$I210,"&lt;&gt;"&amp;$I$29,$E209:$E210,"&lt;&gt;*[-]*",$F209:$F210,"&lt;&gt;*[-]*",$G209:$G210,"&lt;&gt;*[-]*",$H209:$H210,"&lt;&gt;*[-]*")</f>
        <v>0</v>
      </c>
      <c r="AF211" s="173">
        <f t="shared" ref="AF211" si="514">IFERROR(($AC211-AD211)/ABS(AD211),0)</f>
        <v>0</v>
      </c>
      <c r="AG211" s="143">
        <f>($AC211-AD211)</f>
        <v>0</v>
      </c>
      <c r="AH211" s="173">
        <f>IFERROR(($AC211-AE211)/ABS(AE211),0)</f>
        <v>0</v>
      </c>
      <c r="AI211" s="143">
        <f>($AC211-AE211)</f>
        <v>0</v>
      </c>
      <c r="AJ211"/>
      <c r="AK211" s="142">
        <f>SUMIFS(AK209:AK210,$I209:$I210,"&lt;&gt;"&amp;$I$29,$E209:$E210,"&lt;&gt;*[-]*",$F209:$F210,"&lt;&gt;*[-]*",$G209:$G210,"&lt;&gt;*[-]*",$H209:$H210,"*[+]*")</f>
        <v>0</v>
      </c>
      <c r="AL211" s="157"/>
      <c r="AM211" s="142"/>
      <c r="AN211" s="157"/>
      <c r="AO211" s="142"/>
      <c r="AP211" s="157"/>
      <c r="AQ211" s="142">
        <f>SUMIFS(AQ209:AQ210,$I209:$I210,"&lt;&gt;"&amp;$I$29,$E209:$E210,"&lt;&gt;*[-]*",$F209:$F210,"&lt;&gt;*[-]*",$G209:$G210,"&lt;&gt;*[-]*",$H209:$H210,"*[+]*")</f>
        <v>0</v>
      </c>
      <c r="AR211" s="157"/>
      <c r="AS211" s="157">
        <f>IFERROR(($O211-AK211)/ABS(AK211),0)</f>
        <v>0</v>
      </c>
      <c r="AT211" s="143">
        <f>($AK211-AM211)</f>
        <v>0</v>
      </c>
      <c r="AU211" s="157">
        <f>IFERROR(($M211-AO211)/ABS(AO211),0)</f>
        <v>0</v>
      </c>
      <c r="AV211" s="143">
        <f>($AK211-AO211)</f>
        <v>0</v>
      </c>
      <c r="AW211" s="157">
        <f>IFERROR(($M211-AQ211)/ABS(AQ211),0)</f>
        <v>0</v>
      </c>
      <c r="AX211" s="143">
        <f>($AK211-AQ211)</f>
        <v>0</v>
      </c>
      <c r="AY211" s="143"/>
      <c r="AZ211"/>
      <c r="BA211" s="142">
        <f>SUMIFS(BA209:BA210,$I209:$I210,"&lt;&gt;"&amp;$I$29,$E209:$E210,"&lt;&gt;*[-]*",$F209:$F210,"&lt;&gt;*[-]*",$G209:$G210,"&lt;&gt;*[-]*",$H209:$H210,"*[+]*")</f>
        <v>0</v>
      </c>
      <c r="BB211" s="157"/>
      <c r="BC211" s="142">
        <f>SUMIFS(BC209:BC210,$I209:$I210,"&lt;&gt;"&amp;$I$29,$E209:$E210,"&lt;&gt;*[-]*",$F209:$F210,"&lt;&gt;*[-]*",$G209:$G210,"&lt;&gt;*[-]*",$H209:$H210,"*[+]*")</f>
        <v>0</v>
      </c>
      <c r="BD211" s="157"/>
      <c r="BE211" s="142">
        <f>SUMIFS(BE209:BE210,$I209:$I210,"&lt;&gt;"&amp;$I$29,$E209:$E210,"&lt;&gt;*[-]*",$F209:$F210,"&lt;&gt;*[-]*",$G209:$G210,"&lt;&gt;*[-]*",$H209:$H210,"*[+]*")</f>
        <v>0</v>
      </c>
      <c r="BF211" s="157"/>
      <c r="BG211" s="157">
        <f>IFERROR(($BA211-BC211)/ABS(BC211),0)</f>
        <v>0</v>
      </c>
      <c r="BH211" s="143">
        <f>($BA211-BC211)</f>
        <v>0</v>
      </c>
      <c r="BI211" s="157">
        <f>IFERROR(($BA211-BE211)/ABS(BE211),0)</f>
        <v>0</v>
      </c>
      <c r="BJ211" s="143">
        <f>($BA211-BE211)</f>
        <v>0</v>
      </c>
      <c r="BK211" s="143"/>
      <c r="BL211"/>
      <c r="BM211"/>
      <c r="BN211"/>
      <c r="BO211"/>
      <c r="BP211"/>
      <c r="BQ211"/>
      <c r="BR211"/>
      <c r="BS211"/>
      <c r="BT211"/>
    </row>
    <row r="212" spans="1:72" x14ac:dyDescent="0.25">
      <c r="N212" s="145"/>
      <c r="P212" s="145"/>
      <c r="R212" s="145"/>
      <c r="T212" s="145"/>
      <c r="U212" s="145"/>
      <c r="V212" s="84"/>
      <c r="W212" s="145"/>
      <c r="X212" s="84"/>
      <c r="Y212" s="145"/>
      <c r="Z212" s="84"/>
      <c r="AA212" s="84"/>
      <c r="AF212" s="169"/>
      <c r="AG212" s="140"/>
      <c r="AH212" s="169"/>
      <c r="AI212" s="140"/>
      <c r="AL212" s="145"/>
      <c r="AN212" s="145"/>
      <c r="AP212" s="145"/>
      <c r="AR212" s="145"/>
      <c r="AS212" s="145"/>
      <c r="AT212" s="84"/>
      <c r="AU212" s="145"/>
      <c r="AV212" s="84"/>
      <c r="AW212" s="145"/>
      <c r="AX212" s="84"/>
      <c r="AY212" s="84"/>
      <c r="BB212" s="145"/>
      <c r="BD212" s="145"/>
      <c r="BF212" s="145"/>
      <c r="BG212" s="145"/>
      <c r="BH212" s="84"/>
      <c r="BI212" s="145"/>
      <c r="BJ212" s="84"/>
      <c r="BK212" s="84"/>
    </row>
    <row r="213" spans="1:72" ht="11.95" thickBot="1" x14ac:dyDescent="0.3">
      <c r="N213" s="145"/>
      <c r="P213" s="145"/>
      <c r="R213" s="145"/>
      <c r="T213" s="145"/>
      <c r="U213" s="145"/>
      <c r="V213" s="84"/>
      <c r="W213" s="145"/>
      <c r="X213" s="84"/>
      <c r="Y213" s="145"/>
      <c r="Z213" s="84"/>
      <c r="AA213" s="84"/>
      <c r="AF213" s="169"/>
      <c r="AG213" s="140"/>
      <c r="AH213" s="169"/>
      <c r="AI213" s="140"/>
      <c r="AL213" s="145"/>
      <c r="AN213" s="145"/>
      <c r="AP213" s="145"/>
      <c r="AR213" s="145"/>
      <c r="AS213" s="145"/>
      <c r="AT213" s="84"/>
      <c r="AU213" s="145"/>
      <c r="AV213" s="84"/>
      <c r="AW213" s="145"/>
      <c r="AX213" s="84"/>
      <c r="AY213" s="84"/>
      <c r="BB213" s="145"/>
      <c r="BD213" s="145"/>
      <c r="BF213" s="145"/>
      <c r="BG213" s="145"/>
      <c r="BH213" s="84"/>
      <c r="BI213" s="145"/>
      <c r="BJ213" s="84"/>
      <c r="BK213" s="84"/>
    </row>
    <row r="214" spans="1:72" ht="11.95" hidden="1" thickBot="1" x14ac:dyDescent="0.3">
      <c r="B214" t="s">
        <v>1</v>
      </c>
      <c r="N214" s="145"/>
      <c r="P214" s="145"/>
      <c r="R214" s="145"/>
      <c r="T214" s="145"/>
      <c r="U214" s="145"/>
      <c r="V214" s="84"/>
      <c r="W214" s="145"/>
      <c r="X214" s="84"/>
      <c r="Y214" s="145"/>
      <c r="Z214" s="84"/>
      <c r="AA214" s="84"/>
      <c r="AF214" s="169"/>
      <c r="AG214" s="140"/>
      <c r="AH214" s="169"/>
      <c r="AI214" s="140"/>
      <c r="AL214" s="145"/>
      <c r="AN214" s="145"/>
      <c r="AP214" s="145"/>
      <c r="AR214" s="145"/>
      <c r="AS214" s="145"/>
      <c r="AT214" s="84"/>
      <c r="AU214" s="145"/>
      <c r="AV214" s="84"/>
      <c r="AW214" s="145"/>
      <c r="AX214" s="84"/>
      <c r="AY214" s="84"/>
      <c r="BB214" s="145"/>
      <c r="BD214" s="145"/>
      <c r="BF214" s="145"/>
      <c r="BG214" s="145"/>
      <c r="BH214" s="84"/>
      <c r="BI214" s="145"/>
      <c r="BJ214" s="84"/>
      <c r="BK214" s="84"/>
    </row>
    <row r="215" spans="1:72" ht="11.95" x14ac:dyDescent="0.25">
      <c r="B215" t="s">
        <v>90</v>
      </c>
      <c r="E215" s="19"/>
      <c r="F215" s="19"/>
      <c r="G215" s="19"/>
      <c r="H215" s="19" t="s">
        <v>91</v>
      </c>
      <c r="I215" s="85"/>
      <c r="J215" s="85"/>
      <c r="K215" s="85"/>
      <c r="L215" s="85"/>
      <c r="M215" s="85">
        <f>SUMPRODUCT($L$30:$L$214,M$30:M$214)</f>
        <v>221715.19</v>
      </c>
      <c r="N215" s="86">
        <f>IFERROR(M215/SUMIFS(M:M, $H:$H, "Net Sales"),0)</f>
        <v>0.41893639242894543</v>
      </c>
      <c r="O215" s="85">
        <f>SUMPRODUCT($L$30:$L$214,O$30:O$214)</f>
        <v>212509.85095674926</v>
      </c>
      <c r="P215" s="86">
        <f>IFERROR(O215/SUMIFS(O:O, $H:$H, "Net Sales"),0)</f>
        <v>0.39975573439711848</v>
      </c>
      <c r="Q215" s="85">
        <f>SUMPRODUCT($L$30:$L$214,Q$30:Q$214)</f>
        <v>212509.85095674926</v>
      </c>
      <c r="R215" s="86">
        <f>IFERROR(Q215/SUMIFS(Q:Q, $H:$H, "Net Sales"),0)</f>
        <v>0.39975573439711848</v>
      </c>
      <c r="S215" s="85">
        <f>SUMPRODUCT($L$30:$L$214,S$30:S$214)</f>
        <v>12983.360000000011</v>
      </c>
      <c r="T215" s="86">
        <f>IFERROR(S215/SUMIFS(S:S, $H:$H, "Net Sales"),0)</f>
        <v>7.1169874100842731E-2</v>
      </c>
      <c r="U215" s="86">
        <f>IFERROR((M215-$O215)/ABS($O215),0)</f>
        <v>4.3317234480222976E-2</v>
      </c>
      <c r="V215" s="87">
        <f>M215-O215</f>
        <v>9205.339043250744</v>
      </c>
      <c r="W215" s="86">
        <f>IFERROR(($M215-Q215)/ABS(Q215),0)</f>
        <v>4.3317234480222976E-2</v>
      </c>
      <c r="X215" s="87">
        <f>($M215-Q215)</f>
        <v>9205.339043250744</v>
      </c>
      <c r="Y215" s="86">
        <f>IFERROR(($M215-S215)/ABS(S215),0)</f>
        <v>16.076873012841038</v>
      </c>
      <c r="Z215" s="87">
        <f>($M215-S215)</f>
        <v>208731.83</v>
      </c>
      <c r="AA215" s="87"/>
      <c r="AC215" s="142">
        <f>SUMPRODUCT($L$30:$L$214,AC$30:AC$214)</f>
        <v>221715.19</v>
      </c>
      <c r="AD215" s="142">
        <f>SUMPRODUCT($L$30:$L$214,AD$30:AD$214)</f>
        <v>12983.360000000011</v>
      </c>
      <c r="AE215" s="142">
        <f>SUMPRODUCT($L$30:$L$214,AE$30:AE$214)</f>
        <v>212509.85095674926</v>
      </c>
      <c r="AF215" s="173">
        <f t="shared" ref="AF215" si="515">IFERROR(($AC215-AD215)/ABS(AD215),0)</f>
        <v>16.076873012841038</v>
      </c>
      <c r="AG215" s="143">
        <f>($AC215-AD215)</f>
        <v>208731.83</v>
      </c>
      <c r="AH215" s="173">
        <f>IFERROR(($AC215-AE215)/ABS(AE215),0)</f>
        <v>4.3317234480222976E-2</v>
      </c>
      <c r="AI215" s="143">
        <f>($AC215-AE215)</f>
        <v>9205.339043250744</v>
      </c>
      <c r="AK215" s="85">
        <f>SUMPRODUCT($L$30:$L$214,AK$30:AK$214)</f>
        <v>221715.19</v>
      </c>
      <c r="AL215" s="86">
        <f>IFERROR(AK215/SUMIFS(AK:AK, $H:$H, "Net Sales"),0)</f>
        <v>0.41893639242894543</v>
      </c>
      <c r="AM215" s="85">
        <f>SUMPRODUCT($L$30:$L$214,AM$30:AM$214)</f>
        <v>212509.85095674926</v>
      </c>
      <c r="AN215" s="86">
        <f>IFERROR(AM215/SUMIFS(AM:AM, $H:$H, "Net Sales"),0)</f>
        <v>0.39975573439711848</v>
      </c>
      <c r="AO215" s="85">
        <f>SUMPRODUCT($L$30:$L$214,AO$30:AO$214)</f>
        <v>212509.85095674926</v>
      </c>
      <c r="AP215" s="86">
        <f>IFERROR(AO215/SUMIFS(AO:AO, $H:$H, "Net Sales"),0)</f>
        <v>0.39975573439711848</v>
      </c>
      <c r="AQ215" s="85">
        <f>SUMPRODUCT($L$30:$L$214,AQ$30:AQ$214)</f>
        <v>12983.360000000011</v>
      </c>
      <c r="AR215" s="86">
        <f>IFERROR(AQ215/SUMIFS(AQ:AQ, $H:$H, "Net Sales"),0)</f>
        <v>7.1169874100842731E-2</v>
      </c>
      <c r="AS215" s="86">
        <f>IFERROR((AK215-$AM215)/ABS($AM215),0)</f>
        <v>4.3317234480222976E-2</v>
      </c>
      <c r="AT215" s="87">
        <f>($AK215-AM215)</f>
        <v>9205.339043250744</v>
      </c>
      <c r="AU215" s="86">
        <f>IFERROR(($AK215-AO215)/ABS(AO215),0)</f>
        <v>4.3317234480222976E-2</v>
      </c>
      <c r="AV215" s="87">
        <f>($AK215-AO215)</f>
        <v>9205.339043250744</v>
      </c>
      <c r="AW215" s="86">
        <f>IFERROR(($AK215-AQ215)/ABS(AQ215),0)</f>
        <v>16.076873012841038</v>
      </c>
      <c r="AX215" s="87">
        <f>($AK215-AQ215)</f>
        <v>208731.83</v>
      </c>
      <c r="AY215" s="87"/>
      <c r="BA215" s="85">
        <f>SUMPRODUCT($L$30:$L$214,BA$30:BA$214)</f>
        <v>2817749.0624377429</v>
      </c>
      <c r="BB215" s="86">
        <f>IFERROR(BA215/SUMIFS(BA:BA, $H:$H, "Net Sales"),0)</f>
        <v>0.40773181200789194</v>
      </c>
      <c r="BC215" s="85">
        <f>SUMPRODUCT($L$30:$L$214,BC$30:BC$214)</f>
        <v>2817749.0624377429</v>
      </c>
      <c r="BD215" s="86">
        <f>IFERROR(BC215/SUMIFS(BC:BC, $H:$H, "Net Sales"),0)</f>
        <v>0.40773181200789194</v>
      </c>
      <c r="BE215" s="85">
        <f>SUMPRODUCT($L$30:$L$214,BE$30:BE$214)</f>
        <v>1112575.2300000004</v>
      </c>
      <c r="BF215" s="86">
        <f>IFERROR(BE215/SUMIFS(BE:BE, $H:$H, "Net Sales"),0)</f>
        <v>0.23309389054748689</v>
      </c>
      <c r="BG215" s="86">
        <f>IFERROR(($BA215-BC215)/ABS(BC215),0)</f>
        <v>0</v>
      </c>
      <c r="BH215" s="87">
        <f>($BA215-BC215)</f>
        <v>0</v>
      </c>
      <c r="BI215" s="86">
        <f>IFERROR(($BA215-BE215)/ABS(BE215),0)</f>
        <v>1.5326368828449846</v>
      </c>
      <c r="BJ215" s="87">
        <f>($BA215-BE215)</f>
        <v>1705173.8324377425</v>
      </c>
      <c r="BK215" s="87"/>
    </row>
    <row r="216" spans="1:72" x14ac:dyDescent="0.25">
      <c r="B216" t="str">
        <f>B215</f>
        <v>#showrow</v>
      </c>
      <c r="E216" s="3"/>
      <c r="F216" s="3"/>
      <c r="G216" s="3"/>
      <c r="H216" s="3"/>
      <c r="I216" s="21"/>
      <c r="J216" s="21"/>
      <c r="K216" s="18"/>
      <c r="L216" s="78"/>
      <c r="M216" s="78"/>
      <c r="N216" s="159"/>
      <c r="O216" s="78"/>
      <c r="P216" s="159"/>
      <c r="Q216" s="78"/>
      <c r="R216" s="159"/>
      <c r="S216" s="78"/>
      <c r="T216" s="159"/>
      <c r="U216" s="159"/>
      <c r="V216" s="71"/>
      <c r="W216" s="159"/>
      <c r="X216" s="71"/>
      <c r="Y216" s="159"/>
      <c r="Z216" s="71"/>
      <c r="AA216" s="71"/>
      <c r="AC216" s="240"/>
      <c r="AD216" s="240"/>
      <c r="AE216" s="240"/>
      <c r="AF216" s="241"/>
      <c r="AG216" s="232"/>
      <c r="AH216" s="241"/>
      <c r="AI216" s="232"/>
      <c r="AK216" s="115"/>
      <c r="AL216" s="159"/>
      <c r="AM216" s="115"/>
      <c r="AN216" s="159"/>
      <c r="AO216" s="115"/>
      <c r="AP216" s="159"/>
      <c r="AQ216" s="115"/>
      <c r="AR216" s="159"/>
      <c r="AS216" s="159"/>
      <c r="AT216" s="71"/>
      <c r="AU216" s="159"/>
      <c r="AV216" s="71"/>
      <c r="AW216" s="159"/>
      <c r="AX216" s="71"/>
      <c r="AY216" s="71"/>
      <c r="BA216" s="115"/>
      <c r="BB216" s="159"/>
      <c r="BC216" s="115"/>
      <c r="BD216" s="159"/>
      <c r="BE216" s="115"/>
      <c r="BF216" s="159"/>
      <c r="BG216" s="159"/>
      <c r="BH216" s="71"/>
      <c r="BI216" s="159"/>
      <c r="BJ216" s="71"/>
      <c r="BK216" s="71"/>
    </row>
    <row r="217" spans="1:72" ht="23.35" hidden="1" thickBot="1" x14ac:dyDescent="0.5">
      <c r="B217" t="s">
        <v>1</v>
      </c>
      <c r="E217" s="2"/>
      <c r="F217" s="2"/>
      <c r="G217" s="2" t="s">
        <v>16</v>
      </c>
      <c r="H217" s="2"/>
      <c r="I217" s="2"/>
      <c r="J217" s="2"/>
      <c r="K217" s="2"/>
      <c r="L217" s="2"/>
      <c r="M217" s="2"/>
      <c r="N217" s="158"/>
      <c r="O217" s="2"/>
      <c r="P217" s="158"/>
      <c r="Q217" s="2"/>
      <c r="R217" s="158"/>
      <c r="S217" s="2"/>
      <c r="T217" s="158"/>
      <c r="U217" s="158"/>
      <c r="V217" s="112"/>
      <c r="W217" s="158"/>
      <c r="X217" s="112"/>
      <c r="Y217" s="158"/>
      <c r="Z217" s="112"/>
      <c r="AA217" s="112"/>
      <c r="AC217" s="216"/>
      <c r="AD217" s="216"/>
      <c r="AE217" s="216"/>
      <c r="AF217" s="242"/>
      <c r="AG217" s="243"/>
      <c r="AH217" s="242"/>
      <c r="AI217" s="243"/>
      <c r="AK217" s="2"/>
      <c r="AL217" s="158"/>
      <c r="AM217" s="2"/>
      <c r="AN217" s="158"/>
      <c r="AO217" s="2"/>
      <c r="AP217" s="158"/>
      <c r="AQ217" s="2"/>
      <c r="AR217" s="158"/>
      <c r="AS217" s="158"/>
      <c r="AT217" s="112"/>
      <c r="AU217" s="158"/>
      <c r="AV217" s="112"/>
      <c r="AW217" s="158"/>
      <c r="AX217" s="112"/>
      <c r="AY217" s="112"/>
      <c r="BA217" s="2"/>
      <c r="BB217" s="158"/>
      <c r="BC217" s="2"/>
      <c r="BD217" s="158"/>
      <c r="BE217" s="2"/>
      <c r="BF217" s="158"/>
      <c r="BG217" s="158"/>
      <c r="BH217" s="112"/>
      <c r="BI217" s="158"/>
      <c r="BJ217" s="112"/>
      <c r="BK217" s="112"/>
    </row>
    <row r="218" spans="1:72" ht="11.95" hidden="1" thickTop="1" x14ac:dyDescent="0.25">
      <c r="B218" t="s">
        <v>1</v>
      </c>
      <c r="N218" s="145"/>
      <c r="P218" s="145"/>
      <c r="R218" s="145"/>
      <c r="T218" s="145"/>
      <c r="U218" s="145"/>
      <c r="V218" s="84"/>
      <c r="W218" s="145"/>
      <c r="X218" s="84"/>
      <c r="Y218" s="145"/>
      <c r="Z218" s="84"/>
      <c r="AA218" s="84"/>
      <c r="AF218" s="169"/>
      <c r="AG218" s="140"/>
      <c r="AH218" s="169"/>
      <c r="AI218" s="140"/>
      <c r="AL218" s="145"/>
      <c r="AN218" s="145"/>
      <c r="AP218" s="145"/>
      <c r="AR218" s="145"/>
      <c r="AS218" s="145"/>
      <c r="AT218" s="84"/>
      <c r="AU218" s="145"/>
      <c r="AV218" s="84"/>
      <c r="AW218" s="145"/>
      <c r="AX218" s="84"/>
      <c r="AY218" s="84"/>
      <c r="BB218" s="145"/>
      <c r="BD218" s="145"/>
      <c r="BF218" s="145"/>
      <c r="BG218" s="145"/>
      <c r="BH218" s="84"/>
      <c r="BI218" s="145"/>
      <c r="BJ218" s="84"/>
      <c r="BK218" s="84"/>
    </row>
    <row r="219" spans="1:72" x14ac:dyDescent="0.25">
      <c r="B219" t="s">
        <v>90</v>
      </c>
      <c r="E219" s="3">
        <f t="shared" ref="E219:E228" si="516">$E$5</f>
        <v>0</v>
      </c>
      <c r="F219" s="3">
        <f>$F$5</f>
        <v>0</v>
      </c>
      <c r="G219" s="3">
        <f t="shared" ref="G219:G228" si="517">$G$5</f>
        <v>0</v>
      </c>
      <c r="H219" s="3" t="s">
        <v>32</v>
      </c>
      <c r="I219" s="21"/>
      <c r="J219" s="21"/>
      <c r="K219" s="18"/>
      <c r="L219" s="78"/>
      <c r="M219" s="78">
        <v>253993.33</v>
      </c>
      <c r="N219" s="159"/>
      <c r="O219" s="78">
        <v>212509.850956749</v>
      </c>
      <c r="P219" s="159"/>
      <c r="Q219" s="78">
        <v>212509.850956749</v>
      </c>
      <c r="R219" s="159"/>
      <c r="S219" s="78">
        <v>43794.73</v>
      </c>
      <c r="T219" s="159"/>
      <c r="U219" s="159">
        <f>IFERROR((M219-$O219)/ABS($O219),0)</f>
        <v>0.19520732265580434</v>
      </c>
      <c r="V219" s="71">
        <f>M219-O219</f>
        <v>41483.479043250991</v>
      </c>
      <c r="W219" s="159">
        <f>IFERROR(($M219-Q219)/ABS(Q219),0)</f>
        <v>0.19520732265580434</v>
      </c>
      <c r="X219" s="71">
        <f>M219-Q219</f>
        <v>41483.479043250991</v>
      </c>
      <c r="Y219" s="159">
        <f t="shared" ref="Y219:Y228" si="518">IFERROR(($M219-S219)/ABS(S219),0)</f>
        <v>4.7996322845237307</v>
      </c>
      <c r="Z219" s="71">
        <f>($M219-S219)</f>
        <v>210198.59999999998</v>
      </c>
      <c r="AA219" s="71"/>
      <c r="AC219" s="240">
        <v>253993.33</v>
      </c>
      <c r="AD219" s="240">
        <v>43794.73</v>
      </c>
      <c r="AE219" s="240">
        <v>212509.850956749</v>
      </c>
      <c r="AF219" s="241">
        <f t="shared" ref="AF219:AF228" si="519">IFERROR(($AC219-AD219)/ABS(AD219),0)</f>
        <v>4.7996322845237307</v>
      </c>
      <c r="AG219" s="232">
        <f t="shared" ref="AG219:AG228" si="520">($AC219-AD219)</f>
        <v>210198.59999999998</v>
      </c>
      <c r="AH219" s="241">
        <f t="shared" ref="AH219:AH228" si="521">IFERROR(($AC219-AE219)/ABS(AE219),0)</f>
        <v>0.19520732265580434</v>
      </c>
      <c r="AI219" s="232">
        <f>($AC219-AE219)</f>
        <v>41483.479043250991</v>
      </c>
      <c r="AK219" s="115">
        <v>253993.33</v>
      </c>
      <c r="AL219" s="159"/>
      <c r="AM219" s="115">
        <v>212509.850956749</v>
      </c>
      <c r="AN219" s="159"/>
      <c r="AO219" s="115">
        <v>212509.850956749</v>
      </c>
      <c r="AP219" s="159"/>
      <c r="AQ219" s="115">
        <v>43794.73</v>
      </c>
      <c r="AR219" s="159"/>
      <c r="AS219" s="159">
        <f>IFERROR((AK219-$AM219)/ABS($AM219),0)</f>
        <v>0.19520732265580434</v>
      </c>
      <c r="AT219" s="71">
        <f>AK219-AM219</f>
        <v>41483.479043250991</v>
      </c>
      <c r="AU219" s="159">
        <f>IFERROR(($AK219-AO219)/ABS(AO219),0)</f>
        <v>0.19520732265580434</v>
      </c>
      <c r="AV219" s="71">
        <f>AK219-AO219</f>
        <v>41483.479043250991</v>
      </c>
      <c r="AW219" s="159">
        <f>IFERROR(($AK219-AQ219)/ABS(AQ219),0)</f>
        <v>4.7996322845237307</v>
      </c>
      <c r="AX219" s="71">
        <f>($AK219-AQ219)</f>
        <v>210198.59999999998</v>
      </c>
      <c r="AY219" s="71"/>
      <c r="BA219" s="115">
        <v>2817749.0624377402</v>
      </c>
      <c r="BB219" s="159"/>
      <c r="BC219" s="115">
        <v>2817749.0624377402</v>
      </c>
      <c r="BD219" s="159"/>
      <c r="BE219" s="115">
        <v>1482701.46</v>
      </c>
      <c r="BF219" s="159"/>
      <c r="BG219" s="159">
        <f>IFERROR(($BA219-BC219)/ABS(BC219),0)</f>
        <v>0</v>
      </c>
      <c r="BH219" s="71">
        <f>BA219-BC219</f>
        <v>0</v>
      </c>
      <c r="BI219" s="159">
        <f>IFERROR(($BA219-BE219)/ABS(BE219),0)</f>
        <v>0.9004156524117406</v>
      </c>
      <c r="BJ219" s="71">
        <f>BA219-BE219</f>
        <v>1335047.6024377402</v>
      </c>
      <c r="BK219" s="71"/>
    </row>
    <row r="220" spans="1:72" hidden="1" x14ac:dyDescent="0.25">
      <c r="B220" t="s">
        <v>1</v>
      </c>
      <c r="E220" s="3">
        <f t="shared" si="516"/>
        <v>0</v>
      </c>
      <c r="F220" s="3">
        <f t="shared" ref="F220:F228" si="522">$F$5</f>
        <v>0</v>
      </c>
      <c r="G220" s="3">
        <f t="shared" si="517"/>
        <v>0</v>
      </c>
      <c r="H220" s="3"/>
      <c r="I220" s="21"/>
      <c r="J220" s="21"/>
      <c r="K220" s="18"/>
      <c r="L220" s="78"/>
      <c r="M220" s="78">
        <v>0</v>
      </c>
      <c r="N220" s="159"/>
      <c r="O220" s="78">
        <v>0</v>
      </c>
      <c r="P220" s="159"/>
      <c r="Q220" s="78">
        <v>0</v>
      </c>
      <c r="R220" s="159"/>
      <c r="S220" s="78">
        <v>0</v>
      </c>
      <c r="T220" s="159"/>
      <c r="U220" s="159"/>
      <c r="V220" s="71"/>
      <c r="W220" s="159">
        <f>IFERROR(($M220-#REF!)/ABS(#REF!),0)</f>
        <v>0</v>
      </c>
      <c r="X220" s="71" t="e">
        <f>($M220-#REF!)</f>
        <v>#REF!</v>
      </c>
      <c r="Y220" s="159">
        <f t="shared" si="518"/>
        <v>0</v>
      </c>
      <c r="Z220" s="71">
        <f>($M220-S220)</f>
        <v>0</v>
      </c>
      <c r="AA220" s="71"/>
      <c r="AC220" s="240">
        <v>0</v>
      </c>
      <c r="AD220" s="240">
        <v>0</v>
      </c>
      <c r="AE220" s="240">
        <v>0</v>
      </c>
      <c r="AF220" s="241">
        <f t="shared" si="519"/>
        <v>0</v>
      </c>
      <c r="AG220" s="232">
        <f t="shared" si="520"/>
        <v>0</v>
      </c>
      <c r="AH220" s="241">
        <f t="shared" si="521"/>
        <v>0</v>
      </c>
      <c r="AI220" s="232">
        <f>($AC220-AE220)</f>
        <v>0</v>
      </c>
      <c r="AK220" s="115">
        <v>0</v>
      </c>
      <c r="AL220" s="159"/>
      <c r="AM220" s="115">
        <v>0</v>
      </c>
      <c r="AN220" s="159"/>
      <c r="AO220" s="115">
        <v>0</v>
      </c>
      <c r="AP220" s="159"/>
      <c r="AQ220" s="115">
        <v>0</v>
      </c>
      <c r="AR220" s="159"/>
      <c r="AS220" s="159"/>
      <c r="AT220" s="71"/>
      <c r="AU220" s="159">
        <f>IFERROR(($M220-#REF!)/ABS(#REF!),0)</f>
        <v>0</v>
      </c>
      <c r="AV220" s="71" t="e">
        <f>($M220-#REF!)</f>
        <v>#REF!</v>
      </c>
      <c r="AW220" s="159">
        <f t="shared" ref="AW220:AW228" si="523">IFERROR(($M220-AQ220)/ABS(AQ220),0)</f>
        <v>0</v>
      </c>
      <c r="AX220" s="71">
        <f>($M220-AQ220)</f>
        <v>0</v>
      </c>
      <c r="AY220" s="71"/>
      <c r="BA220" s="115">
        <v>0</v>
      </c>
      <c r="BB220" s="159"/>
      <c r="BC220" s="115">
        <v>0</v>
      </c>
      <c r="BD220" s="159"/>
      <c r="BE220" s="115">
        <v>0</v>
      </c>
      <c r="BF220" s="159"/>
      <c r="BG220" s="159"/>
      <c r="BH220" s="71"/>
      <c r="BI220" s="159"/>
      <c r="BJ220" s="71"/>
      <c r="BK220" s="71"/>
    </row>
    <row r="221" spans="1:72" hidden="1" x14ac:dyDescent="0.25">
      <c r="B221" t="s">
        <v>1</v>
      </c>
      <c r="E221" s="3">
        <f t="shared" si="516"/>
        <v>0</v>
      </c>
      <c r="F221" s="3">
        <f t="shared" si="522"/>
        <v>0</v>
      </c>
      <c r="G221" s="3">
        <f t="shared" si="517"/>
        <v>0</v>
      </c>
      <c r="H221" s="3"/>
      <c r="I221" s="21"/>
      <c r="J221" s="21"/>
      <c r="K221" s="18"/>
      <c r="L221" s="78"/>
      <c r="M221" s="117">
        <f>(M220/M40)</f>
        <v>0</v>
      </c>
      <c r="N221" s="159"/>
      <c r="O221" s="117">
        <v>0</v>
      </c>
      <c r="P221" s="159"/>
      <c r="Q221" s="117">
        <v>6536590.5470275404</v>
      </c>
      <c r="R221" s="159"/>
      <c r="S221" s="117">
        <f>($S220/S40)</f>
        <v>0</v>
      </c>
      <c r="T221" s="159"/>
      <c r="U221" s="159"/>
      <c r="V221" s="119"/>
      <c r="W221" s="159">
        <f>IFERROR(($M221-#REF!)/ABS(#REF!),0)</f>
        <v>0</v>
      </c>
      <c r="X221" s="119" t="e">
        <f>($M221-#REF!)*10000</f>
        <v>#REF!</v>
      </c>
      <c r="Y221" s="159">
        <f t="shared" si="518"/>
        <v>0</v>
      </c>
      <c r="Z221" s="119">
        <f>($M221-S221)*10000</f>
        <v>0</v>
      </c>
      <c r="AA221" s="119"/>
      <c r="AC221" s="244">
        <f>(AC220/AC40)</f>
        <v>0</v>
      </c>
      <c r="AD221" s="244">
        <f>(AD220/AD40)</f>
        <v>0</v>
      </c>
      <c r="AE221" s="244">
        <f>(AE220/AE40)</f>
        <v>0</v>
      </c>
      <c r="AF221" s="241">
        <f t="shared" si="519"/>
        <v>0</v>
      </c>
      <c r="AG221" s="245">
        <f>($M221-AD221)*10000</f>
        <v>0</v>
      </c>
      <c r="AH221" s="241">
        <f t="shared" si="521"/>
        <v>0</v>
      </c>
      <c r="AI221" s="245">
        <f>($M221-AE221)*10000</f>
        <v>0</v>
      </c>
      <c r="AK221" s="117">
        <f>(AK220/AK40)</f>
        <v>0</v>
      </c>
      <c r="AL221" s="159"/>
      <c r="AM221" s="117">
        <v>0</v>
      </c>
      <c r="AN221" s="159"/>
      <c r="AO221" s="117">
        <v>3787251.7157980902</v>
      </c>
      <c r="AP221" s="159"/>
      <c r="AQ221" s="117">
        <f>(AQ220/AQ40)</f>
        <v>0</v>
      </c>
      <c r="AR221" s="159"/>
      <c r="AS221" s="159"/>
      <c r="AT221" s="119"/>
      <c r="AU221" s="159">
        <f>IFERROR(($M221-#REF!)/ABS(#REF!),0)</f>
        <v>0</v>
      </c>
      <c r="AV221" s="119" t="e">
        <f>($M221-#REF!)*10000</f>
        <v>#REF!</v>
      </c>
      <c r="AW221" s="159">
        <f t="shared" si="523"/>
        <v>0</v>
      </c>
      <c r="AX221" s="119">
        <f>($M221-AQ221)*10000</f>
        <v>0</v>
      </c>
      <c r="AY221" s="119"/>
      <c r="BA221" s="117">
        <v>0</v>
      </c>
      <c r="BB221" s="159"/>
      <c r="BC221" s="117">
        <v>3787251.7157980902</v>
      </c>
      <c r="BD221" s="159"/>
      <c r="BE221" s="117">
        <v>19414959.440960001</v>
      </c>
      <c r="BF221" s="159"/>
      <c r="BG221" s="159"/>
      <c r="BH221" s="119"/>
      <c r="BI221" s="159"/>
      <c r="BJ221" s="119"/>
      <c r="BK221" s="119"/>
    </row>
    <row r="222" spans="1:72" hidden="1" x14ac:dyDescent="0.25">
      <c r="B222" t="s">
        <v>1</v>
      </c>
      <c r="E222" s="3">
        <f t="shared" si="516"/>
        <v>0</v>
      </c>
      <c r="F222" s="3">
        <f t="shared" si="522"/>
        <v>0</v>
      </c>
      <c r="G222" s="3">
        <f t="shared" si="517"/>
        <v>0</v>
      </c>
      <c r="H222" s="3"/>
      <c r="I222" s="21"/>
      <c r="J222" s="21"/>
      <c r="K222" s="18"/>
      <c r="L222" s="78"/>
      <c r="M222" s="117">
        <f>(M134/M40)</f>
        <v>0</v>
      </c>
      <c r="N222" s="159"/>
      <c r="O222" s="117">
        <v>0</v>
      </c>
      <c r="P222" s="159"/>
      <c r="Q222" s="117">
        <v>0</v>
      </c>
      <c r="R222" s="159"/>
      <c r="S222" s="117">
        <f>(S134/S40)</f>
        <v>0</v>
      </c>
      <c r="T222" s="159"/>
      <c r="U222" s="159"/>
      <c r="V222" s="119"/>
      <c r="W222" s="159">
        <f>IFERROR(($M222-#REF!)/ABS(#REF!),0)</f>
        <v>0</v>
      </c>
      <c r="X222" s="119" t="e">
        <f>($M222-#REF!)*10000</f>
        <v>#REF!</v>
      </c>
      <c r="Y222" s="159">
        <f t="shared" si="518"/>
        <v>0</v>
      </c>
      <c r="Z222" s="119">
        <f>($M222-S222)*10000</f>
        <v>0</v>
      </c>
      <c r="AA222" s="119"/>
      <c r="AC222" s="244">
        <f>(AC134/AC40)</f>
        <v>0</v>
      </c>
      <c r="AD222" s="244">
        <f>(AD134/AD40)</f>
        <v>0</v>
      </c>
      <c r="AE222" s="244">
        <f>(AE134/AE40)</f>
        <v>-4.0820222673738435E-16</v>
      </c>
      <c r="AF222" s="241">
        <f t="shared" si="519"/>
        <v>0</v>
      </c>
      <c r="AG222" s="245">
        <f>($M222-AD222)*10000</f>
        <v>0</v>
      </c>
      <c r="AH222" s="241">
        <f t="shared" si="521"/>
        <v>1</v>
      </c>
      <c r="AI222" s="245">
        <f>($M222-AE222)*10000</f>
        <v>4.0820222673738436E-12</v>
      </c>
      <c r="AK222" s="117">
        <f>(AK134/AK40)</f>
        <v>0</v>
      </c>
      <c r="AL222" s="159"/>
      <c r="AM222" s="117">
        <v>0</v>
      </c>
      <c r="AN222" s="159"/>
      <c r="AO222" s="117">
        <v>0</v>
      </c>
      <c r="AP222" s="159"/>
      <c r="AQ222" s="117">
        <f>(AQ134/AQ40)</f>
        <v>0</v>
      </c>
      <c r="AR222" s="159"/>
      <c r="AS222" s="159"/>
      <c r="AT222" s="119"/>
      <c r="AU222" s="159">
        <f>IFERROR(($M222-#REF!)/ABS(#REF!),0)</f>
        <v>0</v>
      </c>
      <c r="AV222" s="119" t="e">
        <f>($M222-#REF!)*10000</f>
        <v>#REF!</v>
      </c>
      <c r="AW222" s="159">
        <f t="shared" si="523"/>
        <v>0</v>
      </c>
      <c r="AX222" s="119">
        <f>($M222-AQ222)*10000</f>
        <v>0</v>
      </c>
      <c r="AY222" s="119"/>
      <c r="BA222" s="117">
        <v>0</v>
      </c>
      <c r="BB222" s="159"/>
      <c r="BC222" s="117">
        <v>0</v>
      </c>
      <c r="BD222" s="159"/>
      <c r="BE222" s="117">
        <v>0</v>
      </c>
      <c r="BF222" s="159"/>
      <c r="BG222" s="159"/>
      <c r="BH222" s="119"/>
      <c r="BI222" s="159"/>
      <c r="BJ222" s="119"/>
      <c r="BK222" s="119"/>
    </row>
    <row r="223" spans="1:72" hidden="1" x14ac:dyDescent="0.25">
      <c r="B223" t="s">
        <v>1</v>
      </c>
      <c r="E223" s="3">
        <f t="shared" si="516"/>
        <v>0</v>
      </c>
      <c r="F223" s="3">
        <f t="shared" si="522"/>
        <v>0</v>
      </c>
      <c r="G223" s="3">
        <f t="shared" si="517"/>
        <v>0</v>
      </c>
      <c r="H223" s="3"/>
      <c r="I223" s="21"/>
      <c r="J223" s="21"/>
      <c r="K223" s="18"/>
      <c r="L223" s="78"/>
      <c r="M223" s="78">
        <v>0</v>
      </c>
      <c r="N223" s="159"/>
      <c r="O223" s="78">
        <v>0</v>
      </c>
      <c r="P223" s="159"/>
      <c r="Q223" s="78">
        <v>0</v>
      </c>
      <c r="R223" s="159"/>
      <c r="S223" s="78">
        <v>0</v>
      </c>
      <c r="T223" s="159"/>
      <c r="U223" s="159"/>
      <c r="V223" s="71"/>
      <c r="W223" s="159">
        <f>IFERROR(($M223-#REF!)/ABS(#REF!),0)</f>
        <v>0</v>
      </c>
      <c r="X223" s="71" t="e">
        <f>($M223-#REF!)</f>
        <v>#REF!</v>
      </c>
      <c r="Y223" s="159">
        <f t="shared" si="518"/>
        <v>0</v>
      </c>
      <c r="Z223" s="71">
        <f t="shared" ref="Z223:Z228" si="524">($M223-S223)</f>
        <v>0</v>
      </c>
      <c r="AA223" s="71"/>
      <c r="AC223" s="240">
        <v>0</v>
      </c>
      <c r="AD223" s="240">
        <v>0</v>
      </c>
      <c r="AE223" s="240">
        <v>0</v>
      </c>
      <c r="AF223" s="241">
        <f t="shared" si="519"/>
        <v>0</v>
      </c>
      <c r="AG223" s="232">
        <f t="shared" si="520"/>
        <v>0</v>
      </c>
      <c r="AH223" s="241">
        <f t="shared" si="521"/>
        <v>0</v>
      </c>
      <c r="AI223" s="232">
        <f t="shared" ref="AI223:AI228" si="525">($AC223-AE223)</f>
        <v>0</v>
      </c>
      <c r="AK223" s="115">
        <v>0</v>
      </c>
      <c r="AL223" s="159"/>
      <c r="AM223" s="115">
        <v>0</v>
      </c>
      <c r="AN223" s="159"/>
      <c r="AO223" s="115">
        <v>0</v>
      </c>
      <c r="AP223" s="159"/>
      <c r="AQ223" s="115">
        <v>0</v>
      </c>
      <c r="AR223" s="159"/>
      <c r="AS223" s="159"/>
      <c r="AT223" s="71"/>
      <c r="AU223" s="159">
        <f>IFERROR(($M223-#REF!)/ABS(#REF!),0)</f>
        <v>0</v>
      </c>
      <c r="AV223" s="71" t="e">
        <f>($M223-#REF!)</f>
        <v>#REF!</v>
      </c>
      <c r="AW223" s="159">
        <f t="shared" si="523"/>
        <v>0</v>
      </c>
      <c r="AX223" s="71">
        <f t="shared" ref="AX223:AX228" si="526">($M223-AQ223)</f>
        <v>0</v>
      </c>
      <c r="AY223" s="71"/>
      <c r="BA223" s="115">
        <v>0</v>
      </c>
      <c r="BB223" s="159"/>
      <c r="BC223" s="115">
        <v>0</v>
      </c>
      <c r="BD223" s="159"/>
      <c r="BE223" s="115">
        <v>0</v>
      </c>
      <c r="BF223" s="159"/>
      <c r="BG223" s="159"/>
      <c r="BH223" s="71"/>
      <c r="BI223" s="159"/>
      <c r="BJ223" s="71"/>
      <c r="BK223" s="71"/>
    </row>
    <row r="224" spans="1:72" hidden="1" x14ac:dyDescent="0.25">
      <c r="B224" t="s">
        <v>1</v>
      </c>
      <c r="E224" s="3">
        <f t="shared" si="516"/>
        <v>0</v>
      </c>
      <c r="F224" s="3">
        <f t="shared" si="522"/>
        <v>0</v>
      </c>
      <c r="G224" s="3">
        <f t="shared" si="517"/>
        <v>0</v>
      </c>
      <c r="H224" s="3"/>
      <c r="I224" s="21"/>
      <c r="J224" s="21"/>
      <c r="K224" s="18"/>
      <c r="L224" s="78"/>
      <c r="M224" s="78"/>
      <c r="N224" s="159"/>
      <c r="O224" s="78"/>
      <c r="P224" s="159"/>
      <c r="Q224" s="78"/>
      <c r="R224" s="159"/>
      <c r="S224" s="78"/>
      <c r="T224" s="159"/>
      <c r="U224" s="159"/>
      <c r="V224" s="71"/>
      <c r="W224" s="159">
        <f>IFERROR(($M224-#REF!)/ABS(#REF!),0)</f>
        <v>0</v>
      </c>
      <c r="X224" s="71" t="e">
        <f>($M224-#REF!)</f>
        <v>#REF!</v>
      </c>
      <c r="Y224" s="159">
        <f t="shared" si="518"/>
        <v>0</v>
      </c>
      <c r="Z224" s="71">
        <f t="shared" si="524"/>
        <v>0</v>
      </c>
      <c r="AA224" s="71"/>
      <c r="AC224" s="240"/>
      <c r="AD224" s="240"/>
      <c r="AE224" s="240"/>
      <c r="AF224" s="241">
        <f t="shared" si="519"/>
        <v>0</v>
      </c>
      <c r="AG224" s="232">
        <f t="shared" si="520"/>
        <v>0</v>
      </c>
      <c r="AH224" s="241">
        <f t="shared" si="521"/>
        <v>0</v>
      </c>
      <c r="AI224" s="232">
        <f t="shared" si="525"/>
        <v>0</v>
      </c>
      <c r="AK224" s="115"/>
      <c r="AL224" s="159"/>
      <c r="AM224" s="115"/>
      <c r="AN224" s="159"/>
      <c r="AO224" s="115"/>
      <c r="AP224" s="159"/>
      <c r="AQ224" s="115"/>
      <c r="AR224" s="159"/>
      <c r="AS224" s="159"/>
      <c r="AT224" s="71"/>
      <c r="AU224" s="159">
        <f>IFERROR(($M224-#REF!)/ABS(#REF!),0)</f>
        <v>0</v>
      </c>
      <c r="AV224" s="71" t="e">
        <f>($M224-#REF!)</f>
        <v>#REF!</v>
      </c>
      <c r="AW224" s="159">
        <f t="shared" si="523"/>
        <v>0</v>
      </c>
      <c r="AX224" s="71">
        <f t="shared" si="526"/>
        <v>0</v>
      </c>
      <c r="AY224" s="71"/>
      <c r="BA224" s="115"/>
      <c r="BB224" s="159"/>
      <c r="BC224" s="115"/>
      <c r="BD224" s="159"/>
      <c r="BE224" s="115"/>
      <c r="BF224" s="159"/>
      <c r="BG224" s="159"/>
      <c r="BH224" s="71"/>
      <c r="BI224" s="159"/>
      <c r="BJ224" s="71"/>
      <c r="BK224" s="71"/>
    </row>
    <row r="225" spans="2:63" hidden="1" x14ac:dyDescent="0.25">
      <c r="B225" t="s">
        <v>1</v>
      </c>
      <c r="E225" s="3">
        <f t="shared" si="516"/>
        <v>0</v>
      </c>
      <c r="F225" s="3">
        <f t="shared" si="522"/>
        <v>0</v>
      </c>
      <c r="G225" s="3">
        <f t="shared" si="517"/>
        <v>0</v>
      </c>
      <c r="H225" s="3"/>
      <c r="I225" s="21"/>
      <c r="J225" s="21"/>
      <c r="K225" s="18"/>
      <c r="L225" s="78"/>
      <c r="M225" s="78">
        <v>0</v>
      </c>
      <c r="N225" s="159"/>
      <c r="O225" s="78">
        <v>0</v>
      </c>
      <c r="P225" s="159"/>
      <c r="Q225" s="78">
        <v>0</v>
      </c>
      <c r="R225" s="159"/>
      <c r="S225" s="78">
        <v>0</v>
      </c>
      <c r="T225" s="159"/>
      <c r="U225" s="159"/>
      <c r="V225" s="71"/>
      <c r="W225" s="159">
        <f>IFERROR(($M225-#REF!)/ABS(#REF!),0)</f>
        <v>0</v>
      </c>
      <c r="X225" s="71" t="e">
        <f>($M225-#REF!)</f>
        <v>#REF!</v>
      </c>
      <c r="Y225" s="159">
        <f t="shared" si="518"/>
        <v>0</v>
      </c>
      <c r="Z225" s="71">
        <f t="shared" si="524"/>
        <v>0</v>
      </c>
      <c r="AA225" s="71"/>
      <c r="AC225" s="240">
        <v>0</v>
      </c>
      <c r="AD225" s="240">
        <v>0</v>
      </c>
      <c r="AE225" s="240">
        <v>0</v>
      </c>
      <c r="AF225" s="241">
        <f t="shared" si="519"/>
        <v>0</v>
      </c>
      <c r="AG225" s="232">
        <f t="shared" si="520"/>
        <v>0</v>
      </c>
      <c r="AH225" s="241">
        <f t="shared" si="521"/>
        <v>0</v>
      </c>
      <c r="AI225" s="232">
        <f t="shared" si="525"/>
        <v>0</v>
      </c>
      <c r="AK225" s="115">
        <v>0</v>
      </c>
      <c r="AL225" s="159"/>
      <c r="AM225" s="115">
        <v>0</v>
      </c>
      <c r="AN225" s="159"/>
      <c r="AO225" s="115">
        <v>0</v>
      </c>
      <c r="AP225" s="159"/>
      <c r="AQ225" s="115">
        <v>0</v>
      </c>
      <c r="AR225" s="159"/>
      <c r="AS225" s="159"/>
      <c r="AT225" s="71"/>
      <c r="AU225" s="159">
        <f>IFERROR(($M225-#REF!)/ABS(#REF!),0)</f>
        <v>0</v>
      </c>
      <c r="AV225" s="71" t="e">
        <f>($M225-#REF!)</f>
        <v>#REF!</v>
      </c>
      <c r="AW225" s="159">
        <f t="shared" si="523"/>
        <v>0</v>
      </c>
      <c r="AX225" s="71">
        <f t="shared" si="526"/>
        <v>0</v>
      </c>
      <c r="AY225" s="71"/>
      <c r="BA225" s="115">
        <v>0</v>
      </c>
      <c r="BB225" s="159"/>
      <c r="BC225" s="115">
        <v>0</v>
      </c>
      <c r="BD225" s="159"/>
      <c r="BE225" s="115">
        <v>0</v>
      </c>
      <c r="BF225" s="159"/>
      <c r="BG225" s="159"/>
      <c r="BH225" s="71"/>
      <c r="BI225" s="159"/>
      <c r="BJ225" s="71"/>
      <c r="BK225" s="71"/>
    </row>
    <row r="226" spans="2:63" hidden="1" x14ac:dyDescent="0.25">
      <c r="B226" t="s">
        <v>1</v>
      </c>
      <c r="E226" s="3">
        <f t="shared" si="516"/>
        <v>0</v>
      </c>
      <c r="F226" s="3">
        <f t="shared" si="522"/>
        <v>0</v>
      </c>
      <c r="G226" s="3">
        <f t="shared" si="517"/>
        <v>0</v>
      </c>
      <c r="H226" s="3"/>
      <c r="I226" s="21"/>
      <c r="J226" s="21"/>
      <c r="K226" s="18"/>
      <c r="L226" s="78"/>
      <c r="M226" s="78">
        <v>0</v>
      </c>
      <c r="N226" s="159"/>
      <c r="O226" s="78">
        <v>0</v>
      </c>
      <c r="P226" s="159"/>
      <c r="Q226" s="78">
        <v>0</v>
      </c>
      <c r="R226" s="159"/>
      <c r="S226" s="78">
        <v>0</v>
      </c>
      <c r="T226" s="159"/>
      <c r="U226" s="159"/>
      <c r="V226" s="71"/>
      <c r="W226" s="159">
        <f>IFERROR(($M226-#REF!)/ABS(#REF!),0)</f>
        <v>0</v>
      </c>
      <c r="X226" s="71" t="e">
        <f>($M226-#REF!)</f>
        <v>#REF!</v>
      </c>
      <c r="Y226" s="159">
        <f t="shared" si="518"/>
        <v>0</v>
      </c>
      <c r="Z226" s="71">
        <f t="shared" si="524"/>
        <v>0</v>
      </c>
      <c r="AA226" s="71"/>
      <c r="AC226" s="240">
        <v>0</v>
      </c>
      <c r="AD226" s="240">
        <v>0</v>
      </c>
      <c r="AE226" s="240">
        <v>0</v>
      </c>
      <c r="AF226" s="241">
        <f t="shared" si="519"/>
        <v>0</v>
      </c>
      <c r="AG226" s="232">
        <f t="shared" si="520"/>
        <v>0</v>
      </c>
      <c r="AH226" s="241">
        <f t="shared" si="521"/>
        <v>0</v>
      </c>
      <c r="AI226" s="232">
        <f t="shared" si="525"/>
        <v>0</v>
      </c>
      <c r="AK226" s="115">
        <v>0</v>
      </c>
      <c r="AL226" s="159"/>
      <c r="AM226" s="115">
        <v>0</v>
      </c>
      <c r="AN226" s="159"/>
      <c r="AO226" s="115">
        <v>0</v>
      </c>
      <c r="AP226" s="159"/>
      <c r="AQ226" s="115">
        <v>0</v>
      </c>
      <c r="AR226" s="159"/>
      <c r="AS226" s="159"/>
      <c r="AT226" s="71"/>
      <c r="AU226" s="159">
        <f>IFERROR(($M226-#REF!)/ABS(#REF!),0)</f>
        <v>0</v>
      </c>
      <c r="AV226" s="71" t="e">
        <f>($M226-#REF!)</f>
        <v>#REF!</v>
      </c>
      <c r="AW226" s="159">
        <f t="shared" si="523"/>
        <v>0</v>
      </c>
      <c r="AX226" s="71">
        <f t="shared" si="526"/>
        <v>0</v>
      </c>
      <c r="AY226" s="71"/>
      <c r="BA226" s="115">
        <v>0</v>
      </c>
      <c r="BB226" s="159"/>
      <c r="BC226" s="115">
        <v>0</v>
      </c>
      <c r="BD226" s="159"/>
      <c r="BE226" s="115">
        <v>0</v>
      </c>
      <c r="BF226" s="159"/>
      <c r="BG226" s="159"/>
      <c r="BH226" s="71"/>
      <c r="BI226" s="159"/>
      <c r="BJ226" s="71"/>
      <c r="BK226" s="71"/>
    </row>
    <row r="227" spans="2:63" hidden="1" x14ac:dyDescent="0.25">
      <c r="B227" t="s">
        <v>1</v>
      </c>
      <c r="E227" s="3">
        <f t="shared" si="516"/>
        <v>0</v>
      </c>
      <c r="F227" s="3">
        <f t="shared" si="522"/>
        <v>0</v>
      </c>
      <c r="G227" s="3">
        <f t="shared" si="517"/>
        <v>0</v>
      </c>
      <c r="H227" s="3"/>
      <c r="I227" s="21"/>
      <c r="J227" s="21"/>
      <c r="K227" s="18"/>
      <c r="L227" s="78"/>
      <c r="M227" s="78">
        <v>0</v>
      </c>
      <c r="N227" s="159"/>
      <c r="O227" s="78">
        <v>0</v>
      </c>
      <c r="P227" s="159"/>
      <c r="Q227" s="78">
        <v>0</v>
      </c>
      <c r="R227" s="159"/>
      <c r="S227" s="78">
        <v>0</v>
      </c>
      <c r="T227" s="159"/>
      <c r="U227" s="159"/>
      <c r="V227" s="71"/>
      <c r="W227" s="159">
        <f>IFERROR(($M227-#REF!)/ABS(#REF!),0)</f>
        <v>0</v>
      </c>
      <c r="X227" s="71" t="e">
        <f>($M227-#REF!)</f>
        <v>#REF!</v>
      </c>
      <c r="Y227" s="159">
        <f t="shared" si="518"/>
        <v>0</v>
      </c>
      <c r="Z227" s="71">
        <f t="shared" si="524"/>
        <v>0</v>
      </c>
      <c r="AA227" s="71"/>
      <c r="AC227" s="240">
        <v>0</v>
      </c>
      <c r="AD227" s="240">
        <v>0</v>
      </c>
      <c r="AE227" s="240">
        <v>0</v>
      </c>
      <c r="AF227" s="241">
        <f t="shared" si="519"/>
        <v>0</v>
      </c>
      <c r="AG227" s="232">
        <f t="shared" si="520"/>
        <v>0</v>
      </c>
      <c r="AH227" s="241">
        <f t="shared" si="521"/>
        <v>0</v>
      </c>
      <c r="AI227" s="232">
        <f t="shared" si="525"/>
        <v>0</v>
      </c>
      <c r="AK227" s="115">
        <v>0</v>
      </c>
      <c r="AL227" s="159"/>
      <c r="AM227" s="115">
        <v>0</v>
      </c>
      <c r="AN227" s="159"/>
      <c r="AO227" s="115">
        <v>0</v>
      </c>
      <c r="AP227" s="159"/>
      <c r="AQ227" s="115">
        <v>0</v>
      </c>
      <c r="AR227" s="159"/>
      <c r="AS227" s="159"/>
      <c r="AT227" s="71"/>
      <c r="AU227" s="159">
        <f>IFERROR(($M227-#REF!)/ABS(#REF!),0)</f>
        <v>0</v>
      </c>
      <c r="AV227" s="71" t="e">
        <f>($M227-#REF!)</f>
        <v>#REF!</v>
      </c>
      <c r="AW227" s="159">
        <f t="shared" si="523"/>
        <v>0</v>
      </c>
      <c r="AX227" s="71">
        <f t="shared" si="526"/>
        <v>0</v>
      </c>
      <c r="AY227" s="71"/>
      <c r="BA227" s="115">
        <v>0</v>
      </c>
      <c r="BB227" s="159"/>
      <c r="BC227" s="115">
        <v>0</v>
      </c>
      <c r="BD227" s="159"/>
      <c r="BE227" s="115">
        <v>0</v>
      </c>
      <c r="BF227" s="159"/>
      <c r="BG227" s="159"/>
      <c r="BH227" s="71"/>
      <c r="BI227" s="159"/>
      <c r="BJ227" s="71"/>
      <c r="BK227" s="71"/>
    </row>
    <row r="228" spans="2:63" hidden="1" x14ac:dyDescent="0.25">
      <c r="B228" t="s">
        <v>1</v>
      </c>
      <c r="E228" s="3">
        <f t="shared" si="516"/>
        <v>0</v>
      </c>
      <c r="F228" s="3">
        <f t="shared" si="522"/>
        <v>0</v>
      </c>
      <c r="G228" s="3">
        <f t="shared" si="517"/>
        <v>0</v>
      </c>
      <c r="H228" s="3"/>
      <c r="I228" s="21"/>
      <c r="J228" s="21"/>
      <c r="K228" s="18"/>
      <c r="L228" s="78"/>
      <c r="M228" s="78">
        <v>0</v>
      </c>
      <c r="N228" s="159"/>
      <c r="O228" s="78">
        <v>0</v>
      </c>
      <c r="P228" s="159"/>
      <c r="Q228" s="78">
        <v>0</v>
      </c>
      <c r="R228" s="159"/>
      <c r="S228" s="78">
        <v>0</v>
      </c>
      <c r="T228" s="159"/>
      <c r="U228" s="159"/>
      <c r="V228" s="71"/>
      <c r="W228" s="159">
        <f>IFERROR(($M228-#REF!)/ABS(#REF!),0)</f>
        <v>0</v>
      </c>
      <c r="X228" s="71" t="e">
        <f>($M228-#REF!)</f>
        <v>#REF!</v>
      </c>
      <c r="Y228" s="159">
        <f t="shared" si="518"/>
        <v>0</v>
      </c>
      <c r="Z228" s="71">
        <f t="shared" si="524"/>
        <v>0</v>
      </c>
      <c r="AA228" s="71"/>
      <c r="AC228" s="240">
        <v>0</v>
      </c>
      <c r="AD228" s="240">
        <v>0</v>
      </c>
      <c r="AE228" s="240">
        <v>0</v>
      </c>
      <c r="AF228" s="241">
        <f t="shared" si="519"/>
        <v>0</v>
      </c>
      <c r="AG228" s="232">
        <f t="shared" si="520"/>
        <v>0</v>
      </c>
      <c r="AH228" s="241">
        <f t="shared" si="521"/>
        <v>0</v>
      </c>
      <c r="AI228" s="232">
        <f t="shared" si="525"/>
        <v>0</v>
      </c>
      <c r="AK228" s="115">
        <v>0</v>
      </c>
      <c r="AL228" s="159"/>
      <c r="AM228" s="115">
        <v>0</v>
      </c>
      <c r="AN228" s="159"/>
      <c r="AO228" s="115">
        <v>0</v>
      </c>
      <c r="AP228" s="159"/>
      <c r="AQ228" s="115">
        <v>0</v>
      </c>
      <c r="AR228" s="159"/>
      <c r="AS228" s="159"/>
      <c r="AT228" s="71"/>
      <c r="AU228" s="159">
        <f>IFERROR(($M228-#REF!)/ABS(#REF!),0)</f>
        <v>0</v>
      </c>
      <c r="AV228" s="71" t="e">
        <f>($M228-#REF!)</f>
        <v>#REF!</v>
      </c>
      <c r="AW228" s="159">
        <f t="shared" si="523"/>
        <v>0</v>
      </c>
      <c r="AX228" s="71">
        <f t="shared" si="526"/>
        <v>0</v>
      </c>
      <c r="AY228" s="71"/>
      <c r="BA228" s="115">
        <v>0</v>
      </c>
      <c r="BB228" s="159"/>
      <c r="BC228" s="115">
        <v>0</v>
      </c>
      <c r="BD228" s="159"/>
      <c r="BE228" s="115">
        <v>0</v>
      </c>
      <c r="BF228" s="159"/>
      <c r="BG228" s="159"/>
      <c r="BH228" s="71"/>
      <c r="BI228" s="159"/>
      <c r="BJ228" s="71"/>
      <c r="BK228" s="71"/>
    </row>
    <row r="229" spans="2:63" hidden="1" x14ac:dyDescent="0.25">
      <c r="B229" t="s">
        <v>1</v>
      </c>
      <c r="N229" s="145"/>
      <c r="P229" s="145"/>
      <c r="R229" s="145"/>
      <c r="T229" s="145"/>
      <c r="U229" s="145"/>
      <c r="V229" s="84"/>
      <c r="W229" s="145"/>
      <c r="X229" s="84"/>
      <c r="Y229" s="145"/>
      <c r="Z229" s="84"/>
      <c r="AA229" s="84"/>
      <c r="AF229" s="169"/>
      <c r="AG229" s="140"/>
      <c r="AH229" s="169"/>
      <c r="AI229" s="140"/>
      <c r="AL229" s="145"/>
      <c r="AN229" s="145"/>
      <c r="AP229" s="145"/>
      <c r="AR229" s="145"/>
      <c r="AS229" s="145"/>
      <c r="AT229" s="84"/>
      <c r="AU229" s="145"/>
      <c r="AV229" s="84"/>
      <c r="AW229" s="145"/>
      <c r="AX229" s="84"/>
      <c r="AY229" s="84"/>
      <c r="BB229" s="145"/>
      <c r="BD229" s="145"/>
      <c r="BF229" s="145"/>
      <c r="BG229" s="145"/>
      <c r="BH229" s="84"/>
      <c r="BI229" s="145"/>
      <c r="BJ229" s="84"/>
      <c r="BK229" s="84"/>
    </row>
    <row r="230" spans="2:63" hidden="1" x14ac:dyDescent="0.25">
      <c r="B230" t="s">
        <v>1</v>
      </c>
      <c r="N230" s="145"/>
      <c r="P230" s="145"/>
      <c r="R230" s="145"/>
      <c r="T230" s="145"/>
      <c r="U230" s="145"/>
      <c r="V230" s="84"/>
      <c r="W230" s="145"/>
      <c r="X230" s="84"/>
      <c r="Y230" s="145"/>
      <c r="Z230" s="84"/>
      <c r="AA230" s="84"/>
      <c r="AF230" s="169"/>
      <c r="AG230" s="140"/>
      <c r="AH230" s="169"/>
      <c r="AI230" s="140"/>
      <c r="AL230" s="145"/>
      <c r="AN230" s="145"/>
      <c r="AP230" s="145"/>
      <c r="AR230" s="145"/>
      <c r="AS230" s="145"/>
      <c r="AT230" s="84"/>
      <c r="AU230" s="145"/>
      <c r="AV230" s="84"/>
      <c r="AW230" s="145"/>
      <c r="AX230" s="84"/>
      <c r="AY230" s="84"/>
      <c r="BB230" s="145"/>
      <c r="BD230" s="145"/>
      <c r="BF230" s="145"/>
      <c r="BG230" s="145"/>
      <c r="BH230" s="84"/>
      <c r="BI230" s="145"/>
      <c r="BJ230" s="84"/>
      <c r="BK230" s="84"/>
    </row>
    <row r="231" spans="2:63" ht="12.45" thickBot="1" x14ac:dyDescent="0.3">
      <c r="B231" t="s">
        <v>90</v>
      </c>
      <c r="E231" s="4">
        <f>$E$5</f>
        <v>0</v>
      </c>
      <c r="F231" s="4">
        <f t="shared" ref="F231" si="527">$F$5</f>
        <v>0</v>
      </c>
      <c r="G231" s="4">
        <f>$G$5</f>
        <v>0</v>
      </c>
      <c r="H231" s="4" t="s">
        <v>20</v>
      </c>
      <c r="I231" s="5"/>
      <c r="J231" s="5"/>
      <c r="K231" s="5"/>
      <c r="L231" s="5"/>
      <c r="M231" s="120">
        <v>221715.19</v>
      </c>
      <c r="N231" s="160"/>
      <c r="O231" s="120">
        <v>212509.850956749</v>
      </c>
      <c r="P231" s="160"/>
      <c r="Q231" s="120">
        <v>212509.850956749</v>
      </c>
      <c r="R231" s="160"/>
      <c r="S231" s="120">
        <v>12983.36</v>
      </c>
      <c r="T231" s="160"/>
      <c r="U231" s="160"/>
      <c r="V231" s="122"/>
      <c r="W231" s="160"/>
      <c r="X231" s="122"/>
      <c r="Y231" s="160"/>
      <c r="Z231" s="122"/>
      <c r="AA231" s="122"/>
      <c r="AC231" s="246">
        <v>221715.19</v>
      </c>
      <c r="AD231" s="246">
        <v>12983.36</v>
      </c>
      <c r="AE231" s="246">
        <v>212509.850956749</v>
      </c>
      <c r="AF231" s="247"/>
      <c r="AG231" s="248"/>
      <c r="AH231" s="247"/>
      <c r="AI231" s="248"/>
      <c r="AK231" s="120">
        <v>221715.19</v>
      </c>
      <c r="AL231" s="160"/>
      <c r="AM231" s="120">
        <v>212509.850956749</v>
      </c>
      <c r="AN231" s="160"/>
      <c r="AO231" s="120">
        <v>212509.850956749</v>
      </c>
      <c r="AP231" s="160"/>
      <c r="AQ231" s="120">
        <v>12983.36</v>
      </c>
      <c r="AR231" s="160"/>
      <c r="AS231" s="160"/>
      <c r="AT231" s="122"/>
      <c r="AU231" s="160"/>
      <c r="AV231" s="122"/>
      <c r="AW231" s="160"/>
      <c r="AX231" s="122"/>
      <c r="AY231" s="122"/>
      <c r="BA231" s="120">
        <v>2817749.0624377402</v>
      </c>
      <c r="BB231" s="160"/>
      <c r="BC231" s="120">
        <v>2817749.0624377402</v>
      </c>
      <c r="BD231" s="160"/>
      <c r="BE231" s="120">
        <v>1112575.23</v>
      </c>
      <c r="BF231" s="160"/>
      <c r="BG231" s="160"/>
      <c r="BH231" s="122"/>
      <c r="BI231" s="160"/>
      <c r="BJ231" s="122"/>
      <c r="BK231" s="122"/>
    </row>
    <row r="232" spans="2:63" hidden="1" x14ac:dyDescent="0.25">
      <c r="B232" t="s">
        <v>1</v>
      </c>
      <c r="M232" s="124">
        <f>_xlfn.IFNA(ROUND(M231-M215,0),0)</f>
        <v>0</v>
      </c>
      <c r="N232" s="161"/>
      <c r="O232" s="124"/>
      <c r="P232" s="161"/>
      <c r="Q232" s="124"/>
      <c r="R232" s="161"/>
      <c r="S232" s="124">
        <f>_xlfn.IFNA(ROUND(S231-S215,0),0)</f>
        <v>0</v>
      </c>
      <c r="T232" s="161"/>
      <c r="U232" s="161"/>
      <c r="V232" s="126"/>
      <c r="W232" s="161"/>
      <c r="X232" s="126"/>
      <c r="Y232" s="161"/>
      <c r="Z232" s="126"/>
      <c r="AA232" s="126"/>
      <c r="AC232" s="249">
        <f>_xlfn.IFNA(ROUND(AC231-AC215,0),0)</f>
        <v>0</v>
      </c>
      <c r="AD232" s="249">
        <f>_xlfn.IFNA(ROUND(AD231-AD215,0),0)</f>
        <v>0</v>
      </c>
      <c r="AE232" s="249">
        <f>_xlfn.IFNA(ROUND(AE231-AE215,0),0)</f>
        <v>0</v>
      </c>
      <c r="AF232" s="250"/>
      <c r="AG232" s="251"/>
      <c r="AH232" s="250"/>
      <c r="AI232" s="251"/>
      <c r="AK232" s="124">
        <f>_xlfn.IFNA(ROUND(AK231-AK215,0),0)</f>
        <v>0</v>
      </c>
      <c r="AL232" s="161"/>
      <c r="AM232" s="124"/>
      <c r="AN232" s="161"/>
      <c r="AO232" s="124"/>
      <c r="AP232" s="161"/>
      <c r="AQ232" s="124">
        <f>_xlfn.IFNA(ROUND(AQ231-AQ215,0),0)</f>
        <v>0</v>
      </c>
      <c r="AR232" s="161"/>
      <c r="AS232" s="161"/>
      <c r="AT232" s="126"/>
      <c r="AU232" s="161"/>
      <c r="AV232" s="126"/>
      <c r="AW232" s="161"/>
      <c r="AX232" s="126"/>
      <c r="AY232" s="126"/>
      <c r="BA232" s="124"/>
      <c r="BB232" s="161"/>
      <c r="BC232" s="124"/>
      <c r="BD232" s="161"/>
      <c r="BE232" s="124"/>
      <c r="BF232" s="161"/>
      <c r="BG232" s="161"/>
      <c r="BH232" s="126"/>
      <c r="BI232" s="161"/>
      <c r="BJ232" s="126"/>
      <c r="BK232" s="126"/>
    </row>
    <row r="233" spans="2:63" x14ac:dyDescent="0.25">
      <c r="N233" s="145"/>
      <c r="P233" s="145"/>
      <c r="R233" s="145"/>
      <c r="T233" s="145"/>
      <c r="U233" s="145"/>
      <c r="V233" s="84"/>
      <c r="W233" s="145"/>
      <c r="X233" s="84"/>
      <c r="Y233" s="145"/>
      <c r="Z233" s="84"/>
      <c r="AA233" s="84"/>
      <c r="AF233" s="169"/>
      <c r="AG233" s="140"/>
      <c r="AH233" s="169"/>
      <c r="AI233" s="140"/>
      <c r="AL233" s="145"/>
      <c r="AN233" s="145"/>
      <c r="AP233" s="145"/>
      <c r="AR233" s="145"/>
      <c r="AS233" s="145"/>
      <c r="AT233" s="84"/>
      <c r="AU233" s="145"/>
      <c r="AV233" s="84"/>
      <c r="AW233" s="145"/>
      <c r="AX233" s="84"/>
      <c r="AY233" s="84"/>
      <c r="BB233" s="145"/>
      <c r="BD233" s="145"/>
      <c r="BF233" s="145"/>
      <c r="BG233" s="145"/>
      <c r="BH233" s="84"/>
      <c r="BI233" s="145"/>
      <c r="BJ233" s="84"/>
      <c r="BK233" s="84"/>
    </row>
    <row r="234" spans="2:63" x14ac:dyDescent="0.25">
      <c r="M234" s="22">
        <f>M40-M61-M134-M146-M151-M166-M171-M161</f>
        <v>221715.19</v>
      </c>
      <c r="N234" s="145"/>
      <c r="O234" s="22">
        <f>O40-O61-O134-O146-O151-O166-O171-O161</f>
        <v>212509.85095674926</v>
      </c>
      <c r="P234" s="145"/>
      <c r="Q234" s="22">
        <f>Q40-Q61-Q134-Q146-Q151-Q166-Q171-Q161</f>
        <v>212509.85095674926</v>
      </c>
      <c r="R234" s="145"/>
      <c r="S234" s="22">
        <f>S40-S61-S134-S146-S151-S166-S171-S161</f>
        <v>12983.360000000011</v>
      </c>
      <c r="T234" s="145"/>
      <c r="U234" s="145">
        <f t="shared" ref="U234:Z234" si="528">U40-U61-U134-U146-U151-U166-U171-U161</f>
        <v>0.8362373532515508</v>
      </c>
      <c r="V234" s="129">
        <f t="shared" si="528"/>
        <v>-13936.770890694781</v>
      </c>
      <c r="W234" s="145">
        <f t="shared" si="528"/>
        <v>0.8362373532515508</v>
      </c>
      <c r="X234" s="129">
        <f t="shared" si="528"/>
        <v>-13936.770890694781</v>
      </c>
      <c r="Y234" s="145">
        <f t="shared" si="528"/>
        <v>2.4428197865387351</v>
      </c>
      <c r="Z234" s="129">
        <f t="shared" si="528"/>
        <v>484879.75000000012</v>
      </c>
      <c r="AA234" s="129"/>
      <c r="AC234" s="218">
        <f t="shared" ref="AC234:AK234" si="529">AC40-AC61-AC134-AC146-AC151-AC166-AC171-AC161</f>
        <v>221715.19</v>
      </c>
      <c r="AD234" s="218">
        <f t="shared" si="529"/>
        <v>12983.360000000011</v>
      </c>
      <c r="AE234" s="218">
        <f t="shared" si="529"/>
        <v>212509.85095674926</v>
      </c>
      <c r="AF234" s="169">
        <f t="shared" si="529"/>
        <v>2.3497733676612129</v>
      </c>
      <c r="AG234" s="252">
        <f t="shared" si="529"/>
        <v>481946.21000000008</v>
      </c>
      <c r="AH234" s="169">
        <f t="shared" si="529"/>
        <v>-0.16376264674844918</v>
      </c>
      <c r="AI234" s="252">
        <f t="shared" si="529"/>
        <v>-78493.05089069478</v>
      </c>
      <c r="AJ234">
        <f t="shared" si="529"/>
        <v>0</v>
      </c>
      <c r="AK234" s="22">
        <f t="shared" si="529"/>
        <v>221715.19</v>
      </c>
      <c r="AL234" s="145"/>
      <c r="AM234" s="22">
        <f>AM40-AM61-AM134-AM146-AM151-AM166-AM171-AM161</f>
        <v>212509.85095674926</v>
      </c>
      <c r="AN234" s="145"/>
      <c r="AO234" s="22">
        <f>AO40-AO61-AO134-AO146-AO151-AO166-AO171-AO161</f>
        <v>212509.85095674926</v>
      </c>
      <c r="AP234" s="145"/>
      <c r="AQ234" s="22">
        <f>AQ40-AQ61-AQ134-AQ146-AQ151-AQ166-AQ171-AQ161</f>
        <v>12983.360000000011</v>
      </c>
      <c r="AR234" s="145"/>
      <c r="AS234" s="145">
        <f t="shared" ref="AS234:AX234" si="530">AS40-AS61-AS134-AS146-AS151-AS166-AS171-AS161</f>
        <v>0.8362373532515508</v>
      </c>
      <c r="AT234" s="129">
        <f t="shared" si="530"/>
        <v>-13936.770890694781</v>
      </c>
      <c r="AU234" s="145">
        <f t="shared" si="530"/>
        <v>0.85813003603514171</v>
      </c>
      <c r="AV234" s="129">
        <f t="shared" si="530"/>
        <v>-13936.770890694781</v>
      </c>
      <c r="AW234" s="145">
        <f t="shared" si="530"/>
        <v>2.4428197865387351</v>
      </c>
      <c r="AX234" s="129">
        <f t="shared" si="530"/>
        <v>484879.75000000012</v>
      </c>
      <c r="AY234" s="129"/>
      <c r="BA234" s="22">
        <f>BA40-BA61-BA134-BA146-BA151-BA166-BA171-BA161</f>
        <v>2817749.0624377429</v>
      </c>
      <c r="BB234" s="145"/>
      <c r="BC234" s="22">
        <f>BC40-BC61-BC134-BC146-BC151-BC166-BC171-BC161</f>
        <v>2817749.0624377429</v>
      </c>
      <c r="BD234" s="145"/>
      <c r="BE234" s="22">
        <f>BE40-BE61-BE134-BE146-BE151-BE166-BE171-BE161</f>
        <v>1112575.2300000004</v>
      </c>
      <c r="BF234" s="145"/>
      <c r="BG234" s="145">
        <f>BG40-BG61-BG134-BG146-BG151-BG166-BG171-BG161</f>
        <v>0</v>
      </c>
      <c r="BH234" s="129">
        <f>BH40-BH61-BH134-BH146-BH151-BH166-BH171-BH161</f>
        <v>0</v>
      </c>
      <c r="BI234" s="145">
        <f>BI40-BI61-BI134-BI146-BI151-BI166-BI171-BI161</f>
        <v>-11154336735.049896</v>
      </c>
      <c r="BJ234" s="129">
        <f>BJ40-BJ61-BJ134-BJ146-BJ151-BJ166-BJ171-BJ161</f>
        <v>2570251.6015790366</v>
      </c>
      <c r="BK234" s="129"/>
    </row>
    <row r="235" spans="2:63" x14ac:dyDescent="0.25">
      <c r="N235" s="145"/>
      <c r="P235" s="145"/>
      <c r="R235" s="145"/>
      <c r="T235" s="145"/>
      <c r="U235" s="145"/>
      <c r="V235" s="15"/>
      <c r="W235" s="145"/>
      <c r="X235" s="15"/>
      <c r="Y235" s="145"/>
      <c r="Z235" s="15"/>
      <c r="AA235" s="15"/>
      <c r="AF235" s="169"/>
      <c r="AG235" s="49"/>
      <c r="AH235" s="169"/>
      <c r="AI235" s="49"/>
      <c r="AL235" s="145"/>
      <c r="AN235" s="145"/>
      <c r="AP235" s="145"/>
      <c r="AR235" s="145"/>
      <c r="AS235" s="145"/>
      <c r="AT235" s="15"/>
      <c r="AU235" s="145"/>
      <c r="AV235" s="15"/>
      <c r="AW235" s="145"/>
      <c r="AX235" s="15"/>
      <c r="AY235" s="15"/>
      <c r="BB235" s="145"/>
      <c r="BD235" s="145"/>
      <c r="BF235" s="145"/>
      <c r="BG235" s="145"/>
      <c r="BH235" s="15"/>
      <c r="BI235" s="145"/>
      <c r="BJ235" s="15"/>
      <c r="BK235" s="15"/>
    </row>
    <row r="236" spans="2:63" x14ac:dyDescent="0.25">
      <c r="N236" s="145"/>
      <c r="P236" s="145"/>
      <c r="R236" s="145"/>
      <c r="S236" s="22">
        <f>S215-S234</f>
        <v>0</v>
      </c>
      <c r="T236" s="145"/>
      <c r="U236" s="145"/>
      <c r="V236" s="15"/>
      <c r="W236" s="145"/>
      <c r="X236" s="15"/>
      <c r="Y236" s="145"/>
      <c r="Z236" s="15"/>
      <c r="AA236" s="15"/>
      <c r="AF236" s="169"/>
      <c r="AG236" s="49"/>
      <c r="AH236" s="169"/>
      <c r="AI236" s="49"/>
      <c r="AS236" s="99"/>
      <c r="AT236" s="15"/>
      <c r="AU236" s="99"/>
      <c r="AV236" s="15"/>
      <c r="AW236" s="99"/>
      <c r="AX236" s="15"/>
      <c r="AY236" s="15"/>
      <c r="BG236" s="99"/>
      <c r="BH236" s="15"/>
      <c r="BI236" s="99"/>
      <c r="BJ236" s="15"/>
    </row>
  </sheetData>
  <conditionalFormatting sqref="AF43 AH43">
    <cfRule type="dataBar" priority="4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{826CBBBB-ADE8-4795-ACA3-B825FB1A2B86}</x14:id>
        </ext>
      </extLst>
    </cfRule>
  </conditionalFormatting>
  <conditionalFormatting sqref="AF61 AH61">
    <cfRule type="dataBar" priority="53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{D0153ABD-6CD9-4504-8465-FFE51F36F64D}</x14:id>
        </ext>
      </extLst>
    </cfRule>
  </conditionalFormatting>
  <conditionalFormatting sqref="AF150:AF151 AH150:AH151">
    <cfRule type="dataBar" priority="17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{22477D6C-CC88-4D3D-8D60-FF172263504E}</x14:id>
        </ext>
      </extLst>
    </cfRule>
  </conditionalFormatting>
  <conditionalFormatting sqref="AF161 AH161">
    <cfRule type="dataBar" priority="2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{0190295E-CD6A-402A-8AA1-1C1E2665CF0A}</x14:id>
        </ext>
      </extLst>
    </cfRule>
  </conditionalFormatting>
  <conditionalFormatting sqref="AF179 AH179">
    <cfRule type="dataBar" priority="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{E6A8984A-181A-47C8-8DBB-C4BA313364BF}</x14:id>
        </ext>
      </extLst>
    </cfRule>
  </conditionalFormatting>
  <conditionalFormatting sqref="AF180:AF181 AH180:AH181 AF175:AF176 AH175:AH176 AF170:AF171 AH170:AH171 AF165:AF166 AH165:AH166 AF141:AF145 AH141:AH145">
    <cfRule type="dataBar" priority="1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{EC930E4C-A3B8-4055-B93F-4629A3A57827}</x14:id>
        </ext>
      </extLst>
    </cfRule>
  </conditionalFormatting>
  <conditionalFormatting sqref="AF215 AH215">
    <cfRule type="dataBar" priority="2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{5AD80860-D006-4CBD-9F96-7D8867A62393}</x14:id>
        </ext>
      </extLst>
    </cfRule>
  </conditionalFormatting>
  <conditionalFormatting sqref="AF216">
    <cfRule type="dataBar" priority="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{04A7A36F-3B7B-4A59-BEFA-1452F7A02B63}</x14:id>
        </ext>
      </extLst>
    </cfRule>
  </conditionalFormatting>
  <conditionalFormatting sqref="AF219:AF220">
    <cfRule type="dataBar" priority="1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{329C3FFE-8B47-4507-ABF2-E72AA4DFDE85}</x14:id>
        </ext>
      </extLst>
    </cfRule>
  </conditionalFormatting>
  <conditionalFormatting sqref="AF221 AH221">
    <cfRule type="dataBar" priority="2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{968F3F8F-52A4-44F8-8A6D-E1C5A3ED2AD3}</x14:id>
        </ext>
      </extLst>
    </cfRule>
  </conditionalFormatting>
  <conditionalFormatting sqref="AF222 AH222">
    <cfRule type="dataBar" priority="2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{978835B7-C284-4AB1-B04D-F0D4CD3C37B9}</x14:id>
        </ext>
      </extLst>
    </cfRule>
    <cfRule type="dataBar" priority="2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{99E74EFA-5821-4453-B84C-0FAD973016A8}</x14:id>
        </ext>
      </extLst>
    </cfRule>
  </conditionalFormatting>
  <conditionalFormatting sqref="AH29 AF29">
    <cfRule type="dataBar" priority="5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{A4DD8328-8C50-4FAE-85AC-C86ACF13FAAB}</x14:id>
        </ext>
      </extLst>
    </cfRule>
  </conditionalFormatting>
  <conditionalFormatting sqref="AH40 AF40 AH66:AH134 AF66:AF134 AH44:AH60 AF44:AF60">
    <cfRule type="dataBar" priority="50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{1BED3497-514E-4107-ACF6-83E3FCFD81C8}</x14:id>
        </ext>
      </extLst>
    </cfRule>
  </conditionalFormatting>
  <conditionalFormatting sqref="AH136">
    <cfRule type="dataBar" priority="5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{632C69EB-9482-4ECE-92A9-4C63185BD485}</x14:id>
        </ext>
      </extLst>
    </cfRule>
  </conditionalFormatting>
  <conditionalFormatting sqref="AH140 AF140">
    <cfRule type="dataBar" priority="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{90C889BF-CC26-4873-B435-5618E3054292}</x14:id>
        </ext>
      </extLst>
    </cfRule>
  </conditionalFormatting>
  <conditionalFormatting sqref="AH146 AF146">
    <cfRule type="dataBar" priority="2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{E58141A8-3067-47EC-8752-050634EC82C6}</x14:id>
        </ext>
      </extLst>
    </cfRule>
  </conditionalFormatting>
  <conditionalFormatting sqref="AH149 AF149">
    <cfRule type="dataBar" priority="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{966FFA36-A692-4973-BEA6-8F82D1FC44CF}</x14:id>
        </ext>
      </extLst>
    </cfRule>
  </conditionalFormatting>
  <conditionalFormatting sqref="AH154 AF154">
    <cfRule type="dataBar" priority="7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{E697A8B2-8B49-4B05-9BE3-AB1983CFF06B}</x14:id>
        </ext>
      </extLst>
    </cfRule>
  </conditionalFormatting>
  <conditionalFormatting sqref="AH155:AH160 AF155:AF160 AH31:AH39 AF31:AF39">
    <cfRule type="dataBar" priority="2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{0A74CB63-3B14-4FFB-AD1B-C9BE311891E7}</x14:id>
        </ext>
      </extLst>
    </cfRule>
  </conditionalFormatting>
  <conditionalFormatting sqref="AH164 AF164">
    <cfRule type="dataBar" priority="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{06DD8539-9AC4-44D6-8501-D3B43C99E992}</x14:id>
        </ext>
      </extLst>
    </cfRule>
  </conditionalFormatting>
  <conditionalFormatting sqref="AH169 AF169">
    <cfRule type="dataBar" priority="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{24987A7E-BD4A-4C92-972D-13D494338106}</x14:id>
        </ext>
      </extLst>
    </cfRule>
  </conditionalFormatting>
  <conditionalFormatting sqref="AH174 AF174">
    <cfRule type="dataBar" priority="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{2F38B8D2-00EB-4231-BBD5-671C31885377}</x14:id>
        </ext>
      </extLst>
    </cfRule>
  </conditionalFormatting>
  <conditionalFormatting sqref="AH184 AF184 AF186 AH186">
    <cfRule type="dataBar" priority="1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{7279D7E7-1027-42E4-B0EE-A7D3CBEEEA91}</x14:id>
        </ext>
      </extLst>
    </cfRule>
  </conditionalFormatting>
  <conditionalFormatting sqref="AH189 AF189 AF191 AH191">
    <cfRule type="dataBar" priority="1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{5B67BD66-1D43-4821-B399-CA6775609E7C}</x14:id>
        </ext>
      </extLst>
    </cfRule>
  </conditionalFormatting>
  <conditionalFormatting sqref="AH194 AF194 AF196 AH196">
    <cfRule type="dataBar" priority="1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{8F8C66ED-7371-482A-9C1B-CC67A776305C}</x14:id>
        </ext>
      </extLst>
    </cfRule>
  </conditionalFormatting>
  <conditionalFormatting sqref="AH199 AF199 AF201 AH201">
    <cfRule type="dataBar" priority="1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{CE65ACCC-BA8F-44C4-9196-700B648F81C4}</x14:id>
        </ext>
      </extLst>
    </cfRule>
  </conditionalFormatting>
  <conditionalFormatting sqref="AH204 AF204 AF206 AH206">
    <cfRule type="dataBar" priority="1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{CBC6E59D-6BF6-42D9-83FA-A11DBB541EB0}</x14:id>
        </ext>
      </extLst>
    </cfRule>
  </conditionalFormatting>
  <conditionalFormatting sqref="AH209 AF209 AF211 AH211">
    <cfRule type="dataBar" priority="1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{B5583B52-525C-4C72-B8FB-13C6CF4A37B6}</x14:id>
        </ext>
      </extLst>
    </cfRule>
  </conditionalFormatting>
  <conditionalFormatting sqref="AH216">
    <cfRule type="dataBar" priority="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{8FA04B78-8E87-4B19-933D-7FF60D6FFC91}</x14:id>
        </ext>
      </extLst>
    </cfRule>
  </conditionalFormatting>
  <conditionalFormatting sqref="AH219:AH220">
    <cfRule type="dataBar" priority="1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{33DF4282-7638-451A-A5B8-0FEB3088D572}</x14:id>
        </ext>
      </extLst>
    </cfRule>
  </conditionalFormatting>
  <conditionalFormatting sqref="AH223 AF223">
    <cfRule type="dataBar" priority="27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{D293BBDF-6594-4F76-89B1-0EAA5DF58F50}</x14:id>
        </ext>
      </extLst>
    </cfRule>
  </conditionalFormatting>
  <conditionalFormatting sqref="AH224 AF224">
    <cfRule type="dataBar" priority="2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{47898498-93ED-4392-A148-494CD44600B4}</x14:id>
        </ext>
      </extLst>
    </cfRule>
  </conditionalFormatting>
  <conditionalFormatting sqref="AH225 AF225">
    <cfRule type="dataBar" priority="2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{9C187D7A-68E2-4764-BC7D-F661AD48E4A2}</x14:id>
        </ext>
      </extLst>
    </cfRule>
  </conditionalFormatting>
  <conditionalFormatting sqref="AH226 AF226">
    <cfRule type="dataBar" priority="3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{4AFDD9E0-8213-4F71-BBFE-C89A5EC708D8}</x14:id>
        </ext>
      </extLst>
    </cfRule>
  </conditionalFormatting>
  <conditionalFormatting sqref="AH227 AF227">
    <cfRule type="dataBar" priority="3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{76A7D223-9ED1-4D72-AE96-DB877292A0AD}</x14:id>
        </ext>
      </extLst>
    </cfRule>
  </conditionalFormatting>
  <conditionalFormatting sqref="AH228 AF228">
    <cfRule type="dataBar" priority="3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{8E04EF49-DF08-45BE-B1B2-F6CB9CE5CEEE}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6CBBBB-ADE8-4795-ACA3-B825FB1A2B86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AF43 AH43</xm:sqref>
        </x14:conditionalFormatting>
        <x14:conditionalFormatting xmlns:xm="http://schemas.microsoft.com/office/excel/2006/main">
          <x14:cfRule type="dataBar" id="{D0153ABD-6CD9-4504-8465-FFE51F36F64D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AF61 AH61</xm:sqref>
        </x14:conditionalFormatting>
        <x14:conditionalFormatting xmlns:xm="http://schemas.microsoft.com/office/excel/2006/main">
          <x14:cfRule type="dataBar" id="{22477D6C-CC88-4D3D-8D60-FF172263504E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AF150:AF151 AH150:AH151</xm:sqref>
        </x14:conditionalFormatting>
        <x14:conditionalFormatting xmlns:xm="http://schemas.microsoft.com/office/excel/2006/main">
          <x14:cfRule type="dataBar" id="{0190295E-CD6A-402A-8AA1-1C1E2665CF0A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AF161 AH161</xm:sqref>
        </x14:conditionalFormatting>
        <x14:conditionalFormatting xmlns:xm="http://schemas.microsoft.com/office/excel/2006/main">
          <x14:cfRule type="dataBar" id="{E6A8984A-181A-47C8-8DBB-C4BA313364BF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AF179 AH179</xm:sqref>
        </x14:conditionalFormatting>
        <x14:conditionalFormatting xmlns:xm="http://schemas.microsoft.com/office/excel/2006/main">
          <x14:cfRule type="dataBar" id="{EC930E4C-A3B8-4055-B93F-4629A3A57827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AF180:AF181 AH180:AH181 AF175:AF176 AH175:AH176 AF170:AF171 AH170:AH171 AF165:AF166 AH165:AH166 AF141:AF145 AH141:AH145</xm:sqref>
        </x14:conditionalFormatting>
        <x14:conditionalFormatting xmlns:xm="http://schemas.microsoft.com/office/excel/2006/main">
          <x14:cfRule type="dataBar" id="{5AD80860-D006-4CBD-9F96-7D8867A6239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AF215 AH215</xm:sqref>
        </x14:conditionalFormatting>
        <x14:conditionalFormatting xmlns:xm="http://schemas.microsoft.com/office/excel/2006/main">
          <x14:cfRule type="dataBar" id="{04A7A36F-3B7B-4A59-BEFA-1452F7A02B6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AF216</xm:sqref>
        </x14:conditionalFormatting>
        <x14:conditionalFormatting xmlns:xm="http://schemas.microsoft.com/office/excel/2006/main">
          <x14:cfRule type="dataBar" id="{329C3FFE-8B47-4507-ABF2-E72AA4DFDE8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AF219:AF220</xm:sqref>
        </x14:conditionalFormatting>
        <x14:conditionalFormatting xmlns:xm="http://schemas.microsoft.com/office/excel/2006/main">
          <x14:cfRule type="dataBar" id="{968F3F8F-52A4-44F8-8A6D-E1C5A3ED2AD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AF221 AH221</xm:sqref>
        </x14:conditionalFormatting>
        <x14:conditionalFormatting xmlns:xm="http://schemas.microsoft.com/office/excel/2006/main">
          <x14:cfRule type="dataBar" id="{978835B7-C284-4AB1-B04D-F0D4CD3C37B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14:cfRule type="dataBar" id="{99E74EFA-5821-4453-B84C-0FAD973016A8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AF222 AH222</xm:sqref>
        </x14:conditionalFormatting>
        <x14:conditionalFormatting xmlns:xm="http://schemas.microsoft.com/office/excel/2006/main">
          <x14:cfRule type="dataBar" id="{A4DD8328-8C50-4FAE-85AC-C86ACF13FAAB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AH29 AF29</xm:sqref>
        </x14:conditionalFormatting>
        <x14:conditionalFormatting xmlns:xm="http://schemas.microsoft.com/office/excel/2006/main">
          <x14:cfRule type="dataBar" id="{1BED3497-514E-4107-ACF6-83E3FCFD81C8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AH40 AF40 AH66:AH134 AF66:AF134 AH44:AH60 AF44:AF60</xm:sqref>
        </x14:conditionalFormatting>
        <x14:conditionalFormatting xmlns:xm="http://schemas.microsoft.com/office/excel/2006/main">
          <x14:cfRule type="dataBar" id="{632C69EB-9482-4ECE-92A9-4C63185BD48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AH136</xm:sqref>
        </x14:conditionalFormatting>
        <x14:conditionalFormatting xmlns:xm="http://schemas.microsoft.com/office/excel/2006/main">
          <x14:cfRule type="dataBar" id="{90C889BF-CC26-4873-B435-5618E305429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AH140 AF140</xm:sqref>
        </x14:conditionalFormatting>
        <x14:conditionalFormatting xmlns:xm="http://schemas.microsoft.com/office/excel/2006/main">
          <x14:cfRule type="dataBar" id="{E58141A8-3067-47EC-8752-050634EC82C6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AH146 AF146</xm:sqref>
        </x14:conditionalFormatting>
        <x14:conditionalFormatting xmlns:xm="http://schemas.microsoft.com/office/excel/2006/main">
          <x14:cfRule type="dataBar" id="{966FFA36-A692-4973-BEA6-8F82D1FC44CF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AH149 AF149</xm:sqref>
        </x14:conditionalFormatting>
        <x14:conditionalFormatting xmlns:xm="http://schemas.microsoft.com/office/excel/2006/main">
          <x14:cfRule type="dataBar" id="{E697A8B2-8B49-4B05-9BE3-AB1983CFF06B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AH154 AF154</xm:sqref>
        </x14:conditionalFormatting>
        <x14:conditionalFormatting xmlns:xm="http://schemas.microsoft.com/office/excel/2006/main">
          <x14:cfRule type="dataBar" id="{0A74CB63-3B14-4FFB-AD1B-C9BE311891E7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AH155:AH160 AF155:AF160 AH31:AH39 AF31:AF39</xm:sqref>
        </x14:conditionalFormatting>
        <x14:conditionalFormatting xmlns:xm="http://schemas.microsoft.com/office/excel/2006/main">
          <x14:cfRule type="dataBar" id="{06DD8539-9AC4-44D6-8501-D3B43C99E99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AH164 AF164</xm:sqref>
        </x14:conditionalFormatting>
        <x14:conditionalFormatting xmlns:xm="http://schemas.microsoft.com/office/excel/2006/main">
          <x14:cfRule type="dataBar" id="{24987A7E-BD4A-4C92-972D-13D494338106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AH169 AF169</xm:sqref>
        </x14:conditionalFormatting>
        <x14:conditionalFormatting xmlns:xm="http://schemas.microsoft.com/office/excel/2006/main">
          <x14:cfRule type="dataBar" id="{2F38B8D2-00EB-4231-BBD5-671C31885377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AH174 AF174</xm:sqref>
        </x14:conditionalFormatting>
        <x14:conditionalFormatting xmlns:xm="http://schemas.microsoft.com/office/excel/2006/main">
          <x14:cfRule type="dataBar" id="{7279D7E7-1027-42E4-B0EE-A7D3CBEEEA9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AH184 AF184 AF186 AH186</xm:sqref>
        </x14:conditionalFormatting>
        <x14:conditionalFormatting xmlns:xm="http://schemas.microsoft.com/office/excel/2006/main">
          <x14:cfRule type="dataBar" id="{5B67BD66-1D43-4821-B399-CA6775609E7C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AH189 AF189 AF191 AH191</xm:sqref>
        </x14:conditionalFormatting>
        <x14:conditionalFormatting xmlns:xm="http://schemas.microsoft.com/office/excel/2006/main">
          <x14:cfRule type="dataBar" id="{8F8C66ED-7371-482A-9C1B-CC67A776305C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AH194 AF194 AF196 AH196</xm:sqref>
        </x14:conditionalFormatting>
        <x14:conditionalFormatting xmlns:xm="http://schemas.microsoft.com/office/excel/2006/main">
          <x14:cfRule type="dataBar" id="{CE65ACCC-BA8F-44C4-9196-700B648F81C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AH199 AF199 AF201 AH201</xm:sqref>
        </x14:conditionalFormatting>
        <x14:conditionalFormatting xmlns:xm="http://schemas.microsoft.com/office/excel/2006/main">
          <x14:cfRule type="dataBar" id="{CBC6E59D-6BF6-42D9-83FA-A11DBB541EB0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AH204 AF204 AF206 AH206</xm:sqref>
        </x14:conditionalFormatting>
        <x14:conditionalFormatting xmlns:xm="http://schemas.microsoft.com/office/excel/2006/main">
          <x14:cfRule type="dataBar" id="{B5583B52-525C-4C72-B8FB-13C6CF4A37B6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AH209 AF209 AF211 AH211</xm:sqref>
        </x14:conditionalFormatting>
        <x14:conditionalFormatting xmlns:xm="http://schemas.microsoft.com/office/excel/2006/main">
          <x14:cfRule type="dataBar" id="{8FA04B78-8E87-4B19-933D-7FF60D6FFC9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AH216</xm:sqref>
        </x14:conditionalFormatting>
        <x14:conditionalFormatting xmlns:xm="http://schemas.microsoft.com/office/excel/2006/main">
          <x14:cfRule type="dataBar" id="{33DF4282-7638-451A-A5B8-0FEB3088D57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AH219:AH220</xm:sqref>
        </x14:conditionalFormatting>
        <x14:conditionalFormatting xmlns:xm="http://schemas.microsoft.com/office/excel/2006/main">
          <x14:cfRule type="dataBar" id="{D293BBDF-6594-4F76-89B1-0EAA5DF58F50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AH223 AF223</xm:sqref>
        </x14:conditionalFormatting>
        <x14:conditionalFormatting xmlns:xm="http://schemas.microsoft.com/office/excel/2006/main">
          <x14:cfRule type="dataBar" id="{47898498-93ED-4392-A148-494CD44600B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AH224 AF224</xm:sqref>
        </x14:conditionalFormatting>
        <x14:conditionalFormatting xmlns:xm="http://schemas.microsoft.com/office/excel/2006/main">
          <x14:cfRule type="dataBar" id="{9C187D7A-68E2-4764-BC7D-F661AD48E4A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AH225 AF225</xm:sqref>
        </x14:conditionalFormatting>
        <x14:conditionalFormatting xmlns:xm="http://schemas.microsoft.com/office/excel/2006/main">
          <x14:cfRule type="dataBar" id="{4AFDD9E0-8213-4F71-BBFE-C89A5EC708D8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AH226 AF226</xm:sqref>
        </x14:conditionalFormatting>
        <x14:conditionalFormatting xmlns:xm="http://schemas.microsoft.com/office/excel/2006/main">
          <x14:cfRule type="dataBar" id="{76A7D223-9ED1-4D72-AE96-DB877292A0AD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AH227 AF227</xm:sqref>
        </x14:conditionalFormatting>
        <x14:conditionalFormatting xmlns:xm="http://schemas.microsoft.com/office/excel/2006/main">
          <x14:cfRule type="dataBar" id="{8E04EF49-DF08-45BE-B1B2-F6CB9CE5CEEE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AH228 AF228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28A1-9D3E-4308-968F-7A6E44328100}">
  <sheetPr codeName="Sheet4">
    <tabColor theme="2"/>
    <outlinePr summaryBelow="0"/>
  </sheetPr>
  <dimension ref="A1:CB211"/>
  <sheetViews>
    <sheetView tabSelected="1" topLeftCell="C12" zoomScaleNormal="100" workbookViewId="0">
      <selection activeCell="G13" sqref="G13"/>
    </sheetView>
  </sheetViews>
  <sheetFormatPr defaultRowHeight="11.4" outlineLevelRow="2" outlineLevelCol="1" x14ac:dyDescent="0.25"/>
  <cols>
    <col min="1" max="1" width="8.6640625" hidden="1" customWidth="1"/>
    <col min="2" max="2" width="0" hidden="1" customWidth="1"/>
    <col min="4" max="4" width="8.6640625" hidden="1" customWidth="1"/>
    <col min="5" max="5" width="39.21875" hidden="1" customWidth="1"/>
    <col min="6" max="6" width="8.6640625" hidden="1" customWidth="1"/>
    <col min="7" max="7" width="36.5546875" customWidth="1"/>
    <col min="8" max="10" width="0" hidden="1" customWidth="1"/>
    <col min="11" max="11" width="8.6640625" hidden="1" customWidth="1"/>
    <col min="12" max="23" width="12.5546875" hidden="1" customWidth="1" outlineLevel="1"/>
    <col min="24" max="24" width="15.6640625" bestFit="1" customWidth="1" collapsed="1"/>
    <col min="25" max="25" width="3.109375" customWidth="1"/>
    <col min="26" max="37" width="11.88671875" bestFit="1" customWidth="1" outlineLevel="1"/>
    <col min="38" max="38" width="15.6640625" bestFit="1" customWidth="1"/>
    <col min="39" max="39" width="3.109375" customWidth="1"/>
    <col min="40" max="51" width="15.6640625" hidden="1" customWidth="1" outlineLevel="1"/>
    <col min="52" max="52" width="15.6640625" hidden="1" customWidth="1" collapsed="1"/>
    <col min="53" max="53" width="3.109375" hidden="1" customWidth="1"/>
    <col min="54" max="65" width="11.88671875" bestFit="1" customWidth="1" outlineLevel="1"/>
    <col min="66" max="66" width="15.6640625" bestFit="1" customWidth="1"/>
    <col min="67" max="67" width="3.109375" customWidth="1"/>
    <col min="68" max="79" width="8.6640625" style="47" hidden="1" customWidth="1"/>
    <col min="80" max="80" width="11.88671875" style="47" hidden="1" customWidth="1"/>
  </cols>
  <sheetData>
    <row r="1" spans="1:80" hidden="1" x14ac:dyDescent="0.25">
      <c r="A1" t="s">
        <v>0</v>
      </c>
      <c r="C1" t="s">
        <v>1</v>
      </c>
      <c r="D1" t="str">
        <f>IF(D5,"#showcolumn","#hidecolumn")</f>
        <v>#hidecolumn</v>
      </c>
      <c r="E1" t="str">
        <f>IF(E5,"#showcolumn","#hidecolumn")</f>
        <v>#hidecolumn</v>
      </c>
      <c r="F1" t="str">
        <f>IF(F5,"#showcolumn","#hidecolumn")</f>
        <v>#hidecolumn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130</v>
      </c>
      <c r="Z1" t="str">
        <f t="shared" ref="Z1:AL1" si="0">IF(Z5="Empty","#hidecolumn","#showcolumn")</f>
        <v>#showcolumn</v>
      </c>
      <c r="AA1" t="str">
        <f t="shared" si="0"/>
        <v>#showcolumn</v>
      </c>
      <c r="AB1" t="str">
        <f t="shared" si="0"/>
        <v>#showcolumn</v>
      </c>
      <c r="AC1" t="str">
        <f t="shared" si="0"/>
        <v>#showcolumn</v>
      </c>
      <c r="AD1" t="str">
        <f t="shared" si="0"/>
        <v>#showcolumn</v>
      </c>
      <c r="AE1" t="str">
        <f t="shared" si="0"/>
        <v>#showcolumn</v>
      </c>
      <c r="AF1" t="str">
        <f t="shared" si="0"/>
        <v>#showcolumn</v>
      </c>
      <c r="AG1" t="str">
        <f t="shared" si="0"/>
        <v>#showcolumn</v>
      </c>
      <c r="AH1" t="str">
        <f t="shared" si="0"/>
        <v>#showcolumn</v>
      </c>
      <c r="AI1" t="str">
        <f t="shared" si="0"/>
        <v>#showcolumn</v>
      </c>
      <c r="AJ1" t="str">
        <f t="shared" si="0"/>
        <v>#showcolumn</v>
      </c>
      <c r="AK1" t="str">
        <f t="shared" si="0"/>
        <v>#showcolumn</v>
      </c>
      <c r="AL1" t="str">
        <f t="shared" si="0"/>
        <v>#showcolumn</v>
      </c>
      <c r="AN1" s="47" t="str">
        <f>IF(VALUE(TRIM(LEFT(Scenario!$A$4,2)))&lt;4, "#hidecolumn", "#showcolumn")</f>
        <v>#hidecolumn</v>
      </c>
      <c r="AO1" s="47" t="str">
        <f>IF(VALUE(TRIM(LEFT(Scenario!$A$4,2)))&lt;4, "#hidecolumn", "#showcolumn")</f>
        <v>#hidecolumn</v>
      </c>
      <c r="AP1" s="47" t="str">
        <f>IF(VALUE(TRIM(LEFT(Scenario!$A$4,2)))&lt;4, "#hidecolumn", "#showcolumn")</f>
        <v>#hidecolumn</v>
      </c>
      <c r="AQ1" s="47" t="str">
        <f>IF(VALUE(TRIM(LEFT(Scenario!$A$4,2)))&lt;4, "#hidecolumn", "#showcolumn")</f>
        <v>#hidecolumn</v>
      </c>
      <c r="AR1" s="47" t="str">
        <f>IF(VALUE(TRIM(LEFT(Scenario!$A$4,2)))&lt;4, "#hidecolumn", "#showcolumn")</f>
        <v>#hidecolumn</v>
      </c>
      <c r="AS1" s="47" t="str">
        <f>IF(VALUE(TRIM(LEFT(Scenario!$A$4,2)))&lt;4, "#hidecolumn", "#showcolumn")</f>
        <v>#hidecolumn</v>
      </c>
      <c r="AT1" s="47" t="str">
        <f>IF(VALUE(TRIM(LEFT(Scenario!$A$4,2)))&lt;4, "#hidecolumn", "#showcolumn")</f>
        <v>#hidecolumn</v>
      </c>
      <c r="AU1" s="47" t="str">
        <f>IF(VALUE(TRIM(LEFT(Scenario!$A$4,2)))&lt;4, "#hidecolumn", "#showcolumn")</f>
        <v>#hidecolumn</v>
      </c>
      <c r="AV1" s="47" t="str">
        <f>IF(VALUE(TRIM(LEFT(Scenario!$A$4,2)))&lt;4, "#hidecolumn", "#showcolumn")</f>
        <v>#hidecolumn</v>
      </c>
      <c r="AW1" s="47" t="str">
        <f>IF(VALUE(TRIM(LEFT(Scenario!$A$4,2)))&lt;4, "#hidecolumn", "#showcolumn")</f>
        <v>#hidecolumn</v>
      </c>
      <c r="AX1" s="47" t="str">
        <f>IF(VALUE(TRIM(LEFT(Scenario!$A$4,2)))&lt;4, "#hidecolumn", "#showcolumn")</f>
        <v>#hidecolumn</v>
      </c>
      <c r="AY1" s="47" t="str">
        <f>IF(VALUE(TRIM(LEFT(Scenario!$A$4,2)))&lt;4, "#hidecolumn", "#showcolumn")</f>
        <v>#hidecolumn</v>
      </c>
      <c r="AZ1" s="47" t="str">
        <f>IF(VALUE(TRIM(LEFT(Scenario!$A$4,2)))&lt;4, "#hidecolumn", "#showcolumn")</f>
        <v>#hidecolumn</v>
      </c>
      <c r="BA1" t="str">
        <f>IF(VALUE(TRIM(LEFT(Scenario!$A$4,2)))&lt;4, "#hidecolumn", "#showcolumn")</f>
        <v>#hidecolumn</v>
      </c>
      <c r="BB1" t="str">
        <f t="shared" ref="BB1:BM1" si="1">IF(BB5="Empty","#hidecolumn","#showcolumn")</f>
        <v>#showcolumn</v>
      </c>
      <c r="BC1" t="str">
        <f t="shared" si="1"/>
        <v>#showcolumn</v>
      </c>
      <c r="BD1" t="str">
        <f t="shared" si="1"/>
        <v>#showcolumn</v>
      </c>
      <c r="BE1" t="str">
        <f t="shared" si="1"/>
        <v>#showcolumn</v>
      </c>
      <c r="BF1" t="str">
        <f t="shared" si="1"/>
        <v>#showcolumn</v>
      </c>
      <c r="BG1" t="str">
        <f t="shared" si="1"/>
        <v>#showcolumn</v>
      </c>
      <c r="BH1" t="str">
        <f t="shared" si="1"/>
        <v>#showcolumn</v>
      </c>
      <c r="BI1" t="str">
        <f t="shared" si="1"/>
        <v>#showcolumn</v>
      </c>
      <c r="BJ1" t="str">
        <f t="shared" si="1"/>
        <v>#showcolumn</v>
      </c>
      <c r="BK1" t="str">
        <f t="shared" si="1"/>
        <v>#showcolumn</v>
      </c>
      <c r="BL1" t="str">
        <f t="shared" si="1"/>
        <v>#showcolumn</v>
      </c>
      <c r="BM1" t="str">
        <f t="shared" si="1"/>
        <v>#showcolumn</v>
      </c>
      <c r="BN1" t="str">
        <f>BB1</f>
        <v>#showcolumn</v>
      </c>
      <c r="BP1" s="47" t="s">
        <v>0</v>
      </c>
      <c r="BQ1" s="47" t="s">
        <v>0</v>
      </c>
      <c r="BR1" s="47" t="s">
        <v>0</v>
      </c>
      <c r="BS1" s="47" t="s">
        <v>0</v>
      </c>
      <c r="BT1" s="47" t="s">
        <v>0</v>
      </c>
      <c r="BU1" s="47" t="s">
        <v>0</v>
      </c>
      <c r="BV1" s="47" t="s">
        <v>0</v>
      </c>
      <c r="BW1" s="47" t="s">
        <v>0</v>
      </c>
      <c r="BX1" s="47" t="s">
        <v>0</v>
      </c>
      <c r="BY1" s="47" t="s">
        <v>0</v>
      </c>
      <c r="BZ1" s="47" t="s">
        <v>0</v>
      </c>
      <c r="CA1" s="47" t="s">
        <v>0</v>
      </c>
      <c r="CB1" s="47" t="s">
        <v>0</v>
      </c>
    </row>
    <row r="2" spans="1:80" ht="12.45" hidden="1" thickBot="1" x14ac:dyDescent="0.3">
      <c r="A2" t="s">
        <v>1</v>
      </c>
      <c r="B2" s="174"/>
      <c r="D2" s="4" t="s">
        <v>121</v>
      </c>
      <c r="E2" s="5"/>
      <c r="F2" s="5"/>
    </row>
    <row r="3" spans="1:80" hidden="1" x14ac:dyDescent="0.25">
      <c r="A3" t="s">
        <v>1</v>
      </c>
      <c r="D3" s="3" t="s">
        <v>122</v>
      </c>
      <c r="E3" s="3" t="s">
        <v>10</v>
      </c>
      <c r="F3" s="3" t="s">
        <v>11</v>
      </c>
      <c r="L3" s="175">
        <f t="shared" ref="L3:W3" si="2">Z3-1</f>
        <v>2025</v>
      </c>
      <c r="M3" s="175">
        <f t="shared" si="2"/>
        <v>2025</v>
      </c>
      <c r="N3" s="175">
        <f t="shared" si="2"/>
        <v>2025</v>
      </c>
      <c r="O3" s="175">
        <f t="shared" si="2"/>
        <v>2025</v>
      </c>
      <c r="P3" s="175">
        <f t="shared" si="2"/>
        <v>2025</v>
      </c>
      <c r="Q3" s="175">
        <f t="shared" si="2"/>
        <v>2025</v>
      </c>
      <c r="R3" s="175">
        <f t="shared" si="2"/>
        <v>2025</v>
      </c>
      <c r="S3" s="175">
        <f t="shared" si="2"/>
        <v>2025</v>
      </c>
      <c r="T3" s="175">
        <f t="shared" si="2"/>
        <v>2025</v>
      </c>
      <c r="U3" s="175">
        <f t="shared" si="2"/>
        <v>2025</v>
      </c>
      <c r="V3" s="175">
        <f t="shared" si="2"/>
        <v>2025</v>
      </c>
      <c r="W3" s="175">
        <f t="shared" si="2"/>
        <v>2025</v>
      </c>
      <c r="X3" s="176"/>
      <c r="Z3" s="175">
        <f>Scenario!$A$1</f>
        <v>2026</v>
      </c>
      <c r="AA3" s="175">
        <f>Scenario!$A$1</f>
        <v>2026</v>
      </c>
      <c r="AB3" s="175">
        <f>Scenario!$A$1</f>
        <v>2026</v>
      </c>
      <c r="AC3" s="175">
        <f>Scenario!$A$1</f>
        <v>2026</v>
      </c>
      <c r="AD3" s="175">
        <f>Scenario!$A$1</f>
        <v>2026</v>
      </c>
      <c r="AE3" s="175">
        <f>Scenario!$A$1</f>
        <v>2026</v>
      </c>
      <c r="AF3" s="175">
        <f>Scenario!$A$1</f>
        <v>2026</v>
      </c>
      <c r="AG3" s="175">
        <f>Scenario!$A$1</f>
        <v>2026</v>
      </c>
      <c r="AH3" s="175">
        <f>Scenario!$A$1</f>
        <v>2026</v>
      </c>
      <c r="AI3" s="175">
        <f>Scenario!$A$1</f>
        <v>2026</v>
      </c>
      <c r="AJ3" s="175">
        <f>Scenario!$A$1</f>
        <v>2026</v>
      </c>
      <c r="AK3" s="175">
        <f>Scenario!$A$1</f>
        <v>2026</v>
      </c>
      <c r="AL3" s="176"/>
      <c r="AN3" s="175">
        <f>Scenario!$A$1</f>
        <v>2026</v>
      </c>
      <c r="AO3" s="175">
        <f>Scenario!$A$1</f>
        <v>2026</v>
      </c>
      <c r="AP3" s="175">
        <f>Scenario!$A$1</f>
        <v>2026</v>
      </c>
      <c r="AQ3" s="175">
        <f>Scenario!$A$1</f>
        <v>2026</v>
      </c>
      <c r="AR3" s="175">
        <f>Scenario!$A$1</f>
        <v>2026</v>
      </c>
      <c r="AS3" s="175">
        <f>Scenario!$A$1</f>
        <v>2026</v>
      </c>
      <c r="AT3" s="175">
        <f>Scenario!$A$1</f>
        <v>2026</v>
      </c>
      <c r="AU3" s="175">
        <f>Scenario!$A$1</f>
        <v>2026</v>
      </c>
      <c r="AV3" s="175">
        <f>Scenario!$A$1</f>
        <v>2026</v>
      </c>
      <c r="AW3" s="175">
        <f>Scenario!$A$1</f>
        <v>2026</v>
      </c>
      <c r="AX3" s="175">
        <f>Scenario!$A$1</f>
        <v>2026</v>
      </c>
      <c r="AY3" s="175">
        <f>Scenario!$A$1</f>
        <v>2026</v>
      </c>
      <c r="AZ3" s="176"/>
      <c r="BB3" s="175">
        <f>Scenario!$A$1</f>
        <v>2026</v>
      </c>
      <c r="BC3" s="175">
        <f>Scenario!$A$1</f>
        <v>2026</v>
      </c>
      <c r="BD3" s="175">
        <f>Scenario!$A$1</f>
        <v>2026</v>
      </c>
      <c r="BE3" s="175">
        <f>Scenario!$A$1</f>
        <v>2026</v>
      </c>
      <c r="BF3" s="175">
        <f>Scenario!$A$1</f>
        <v>2026</v>
      </c>
      <c r="BG3" s="175">
        <f>Scenario!$A$1</f>
        <v>2026</v>
      </c>
      <c r="BH3" s="175">
        <f>Scenario!$A$1</f>
        <v>2026</v>
      </c>
      <c r="BI3" s="175">
        <f>Scenario!$A$1</f>
        <v>2026</v>
      </c>
      <c r="BJ3" s="175">
        <f>Scenario!$A$1</f>
        <v>2026</v>
      </c>
      <c r="BK3" s="175">
        <f>Scenario!$A$1</f>
        <v>2026</v>
      </c>
      <c r="BL3" s="175">
        <f>Scenario!$A$1</f>
        <v>2026</v>
      </c>
      <c r="BM3" s="175">
        <f>Scenario!$A$1</f>
        <v>2026</v>
      </c>
      <c r="BN3" s="176"/>
      <c r="BP3" s="57">
        <v>2024</v>
      </c>
      <c r="BQ3" s="57">
        <v>2024</v>
      </c>
      <c r="BR3" s="57">
        <v>2024</v>
      </c>
      <c r="BS3" s="57">
        <v>2024</v>
      </c>
      <c r="BT3" s="57">
        <v>2024</v>
      </c>
      <c r="BU3" s="57">
        <v>2024</v>
      </c>
      <c r="BV3" s="57">
        <v>2024</v>
      </c>
      <c r="BW3" s="57">
        <v>2024</v>
      </c>
      <c r="BX3" s="57">
        <v>2024</v>
      </c>
      <c r="BY3" s="57">
        <v>2024</v>
      </c>
      <c r="BZ3" s="57">
        <v>2024</v>
      </c>
      <c r="CA3" s="57">
        <v>2024</v>
      </c>
      <c r="CB3" s="207"/>
    </row>
    <row r="4" spans="1:80" hidden="1" x14ac:dyDescent="0.25">
      <c r="A4" t="s">
        <v>1</v>
      </c>
      <c r="D4" s="205" t="s">
        <v>92</v>
      </c>
      <c r="E4" s="28" t="s">
        <v>131</v>
      </c>
      <c r="F4" s="205" t="s">
        <v>12</v>
      </c>
      <c r="L4" s="175">
        <f>Z4</f>
        <v>1</v>
      </c>
      <c r="M4" s="175">
        <f t="shared" ref="M4:W4" si="3">AA4</f>
        <v>2</v>
      </c>
      <c r="N4" s="175">
        <f t="shared" si="3"/>
        <v>3</v>
      </c>
      <c r="O4" s="175">
        <f t="shared" si="3"/>
        <v>4</v>
      </c>
      <c r="P4" s="175">
        <f t="shared" si="3"/>
        <v>5</v>
      </c>
      <c r="Q4" s="175">
        <f t="shared" si="3"/>
        <v>6</v>
      </c>
      <c r="R4" s="175">
        <f t="shared" si="3"/>
        <v>7</v>
      </c>
      <c r="S4" s="175">
        <f t="shared" si="3"/>
        <v>8</v>
      </c>
      <c r="T4" s="175">
        <f t="shared" si="3"/>
        <v>9</v>
      </c>
      <c r="U4" s="175">
        <f t="shared" si="3"/>
        <v>10</v>
      </c>
      <c r="V4" s="175">
        <f t="shared" si="3"/>
        <v>11</v>
      </c>
      <c r="W4" s="175">
        <f t="shared" si="3"/>
        <v>12</v>
      </c>
      <c r="Z4" s="175">
        <f>1</f>
        <v>1</v>
      </c>
      <c r="AA4" s="175">
        <f>Z4+1</f>
        <v>2</v>
      </c>
      <c r="AB4" s="175">
        <f t="shared" ref="AB4:AK4" si="4">AA4+1</f>
        <v>3</v>
      </c>
      <c r="AC4" s="175">
        <f t="shared" si="4"/>
        <v>4</v>
      </c>
      <c r="AD4" s="175">
        <f t="shared" si="4"/>
        <v>5</v>
      </c>
      <c r="AE4" s="175">
        <f t="shared" si="4"/>
        <v>6</v>
      </c>
      <c r="AF4" s="175">
        <f t="shared" si="4"/>
        <v>7</v>
      </c>
      <c r="AG4" s="175">
        <f t="shared" si="4"/>
        <v>8</v>
      </c>
      <c r="AH4" s="175">
        <f t="shared" si="4"/>
        <v>9</v>
      </c>
      <c r="AI4" s="175">
        <f t="shared" si="4"/>
        <v>10</v>
      </c>
      <c r="AJ4" s="175">
        <f t="shared" si="4"/>
        <v>11</v>
      </c>
      <c r="AK4" s="175">
        <f t="shared" si="4"/>
        <v>12</v>
      </c>
      <c r="AN4" s="175">
        <f t="shared" ref="AN4:AY4" si="5">Z4</f>
        <v>1</v>
      </c>
      <c r="AO4" s="175">
        <f t="shared" si="5"/>
        <v>2</v>
      </c>
      <c r="AP4" s="175">
        <f t="shared" si="5"/>
        <v>3</v>
      </c>
      <c r="AQ4" s="175">
        <f t="shared" si="5"/>
        <v>4</v>
      </c>
      <c r="AR4" s="175">
        <f t="shared" si="5"/>
        <v>5</v>
      </c>
      <c r="AS4" s="175">
        <f t="shared" si="5"/>
        <v>6</v>
      </c>
      <c r="AT4" s="175">
        <f t="shared" si="5"/>
        <v>7</v>
      </c>
      <c r="AU4" s="175">
        <f t="shared" si="5"/>
        <v>8</v>
      </c>
      <c r="AV4" s="175">
        <f t="shared" si="5"/>
        <v>9</v>
      </c>
      <c r="AW4" s="175">
        <f t="shared" si="5"/>
        <v>10</v>
      </c>
      <c r="AX4" s="175">
        <f t="shared" si="5"/>
        <v>11</v>
      </c>
      <c r="AY4" s="175">
        <f t="shared" si="5"/>
        <v>12</v>
      </c>
      <c r="BB4" s="175">
        <f t="shared" ref="BB4:BM4" si="6">Z4</f>
        <v>1</v>
      </c>
      <c r="BC4" s="175">
        <f t="shared" si="6"/>
        <v>2</v>
      </c>
      <c r="BD4" s="175">
        <f t="shared" si="6"/>
        <v>3</v>
      </c>
      <c r="BE4" s="175">
        <f t="shared" si="6"/>
        <v>4</v>
      </c>
      <c r="BF4" s="175">
        <f t="shared" si="6"/>
        <v>5</v>
      </c>
      <c r="BG4" s="175">
        <f t="shared" si="6"/>
        <v>6</v>
      </c>
      <c r="BH4" s="175">
        <f t="shared" si="6"/>
        <v>7</v>
      </c>
      <c r="BI4" s="175">
        <f t="shared" si="6"/>
        <v>8</v>
      </c>
      <c r="BJ4" s="175">
        <f t="shared" si="6"/>
        <v>9</v>
      </c>
      <c r="BK4" s="175">
        <f t="shared" si="6"/>
        <v>10</v>
      </c>
      <c r="BL4" s="175">
        <f t="shared" si="6"/>
        <v>11</v>
      </c>
      <c r="BM4" s="175">
        <f t="shared" si="6"/>
        <v>12</v>
      </c>
      <c r="BP4" s="57" t="e">
        <f>#REF!</f>
        <v>#REF!</v>
      </c>
      <c r="BQ4" s="57" t="e">
        <f>#REF!</f>
        <v>#REF!</v>
      </c>
      <c r="BR4" s="57" t="e">
        <f>#REF!</f>
        <v>#REF!</v>
      </c>
      <c r="BS4" s="57" t="e">
        <f>#REF!</f>
        <v>#REF!</v>
      </c>
      <c r="BT4" s="57" t="e">
        <f>#REF!</f>
        <v>#REF!</v>
      </c>
      <c r="BU4" s="57" t="e">
        <f>#REF!</f>
        <v>#REF!</v>
      </c>
      <c r="BV4" s="57" t="e">
        <f>#REF!</f>
        <v>#REF!</v>
      </c>
      <c r="BW4" s="57" t="e">
        <f>#REF!</f>
        <v>#REF!</v>
      </c>
      <c r="BX4" s="57" t="e">
        <f>#REF!</f>
        <v>#REF!</v>
      </c>
      <c r="BY4" s="57">
        <f>AL4</f>
        <v>0</v>
      </c>
      <c r="BZ4" s="57" t="e">
        <f>#REF!</f>
        <v>#REF!</v>
      </c>
      <c r="CA4" s="57">
        <f>AM4</f>
        <v>0</v>
      </c>
    </row>
    <row r="5" spans="1:80" hidden="1" x14ac:dyDescent="0.25">
      <c r="A5" t="s">
        <v>1</v>
      </c>
      <c r="L5" s="175" t="str">
        <f>"Actual"</f>
        <v>Actual</v>
      </c>
      <c r="M5" s="175" t="str">
        <f t="shared" ref="M5:W5" si="7">"Actual"</f>
        <v>Actual</v>
      </c>
      <c r="N5" s="175" t="str">
        <f t="shared" si="7"/>
        <v>Actual</v>
      </c>
      <c r="O5" s="175" t="str">
        <f t="shared" si="7"/>
        <v>Actual</v>
      </c>
      <c r="P5" s="175" t="str">
        <f t="shared" si="7"/>
        <v>Actual</v>
      </c>
      <c r="Q5" s="175" t="str">
        <f t="shared" si="7"/>
        <v>Actual</v>
      </c>
      <c r="R5" s="175" t="str">
        <f t="shared" si="7"/>
        <v>Actual</v>
      </c>
      <c r="S5" s="175" t="str">
        <f t="shared" si="7"/>
        <v>Actual</v>
      </c>
      <c r="T5" s="175" t="str">
        <f t="shared" si="7"/>
        <v>Actual</v>
      </c>
      <c r="U5" s="175" t="str">
        <f t="shared" si="7"/>
        <v>Actual</v>
      </c>
      <c r="V5" s="175" t="str">
        <f t="shared" si="7"/>
        <v>Actual</v>
      </c>
      <c r="W5" s="175" t="str">
        <f t="shared" si="7"/>
        <v>Actual</v>
      </c>
      <c r="Z5" s="177" t="str">
        <f>IF(VALUE(TRIM(LEFT(Scenario!$A$4,2)))&gt;=Z4,"Actual",Scenario!$A$2)</f>
        <v>Actual</v>
      </c>
      <c r="AA5" s="177" t="str">
        <f>IF(VALUE(TRIM(LEFT(Scenario!$A$4,2)))&gt;=AA4,"Actual",Scenario!$A$2)</f>
        <v>Plan</v>
      </c>
      <c r="AB5" s="177" t="str">
        <f>IF(VALUE(TRIM(LEFT(Scenario!$A$4,2)))&gt;=AB4,"Actual",Scenario!$A$2)</f>
        <v>Plan</v>
      </c>
      <c r="AC5" s="177" t="str">
        <f>IF(VALUE(TRIM(LEFT(Scenario!$A$4,2)))&gt;=AC4,"Actual",Scenario!$A$2)</f>
        <v>Plan</v>
      </c>
      <c r="AD5" s="177" t="str">
        <f>IF(VALUE(TRIM(LEFT(Scenario!$A$4,2)))&gt;=AD4,"Actual",Scenario!$A$2)</f>
        <v>Plan</v>
      </c>
      <c r="AE5" s="177" t="str">
        <f>IF(VALUE(TRIM(LEFT(Scenario!$A$4,2)))&gt;=AE4,"Actual",Scenario!$A$2)</f>
        <v>Plan</v>
      </c>
      <c r="AF5" s="177" t="str">
        <f>IF(VALUE(TRIM(LEFT(Scenario!$A$4,2)))&gt;=AF4,"Actual",Scenario!$A$2)</f>
        <v>Plan</v>
      </c>
      <c r="AG5" s="177" t="str">
        <f>IF(VALUE(TRIM(LEFT(Scenario!$A$4,2)))&gt;=AG4,"Actual",Scenario!$A$2)</f>
        <v>Plan</v>
      </c>
      <c r="AH5" s="177" t="str">
        <f>IF(VALUE(TRIM(LEFT(Scenario!$A$4,2)))&gt;=AH4,"Actual",Scenario!$A$2)</f>
        <v>Plan</v>
      </c>
      <c r="AI5" s="177" t="str">
        <f>IF(VALUE(TRIM(LEFT(Scenario!$A$4,2)))&gt;=AI4,"Actual",Scenario!$A$2)</f>
        <v>Plan</v>
      </c>
      <c r="AJ5" s="177" t="str">
        <f>IF(VALUE(TRIM(LEFT(Scenario!$A$4,2)))&gt;=AJ4,"Actual",Scenario!$A$2)</f>
        <v>Plan</v>
      </c>
      <c r="AK5" s="177" t="str">
        <f>IF(VALUE(TRIM(LEFT(Scenario!$A$4,2)))&gt;=AK4,"Actual",Scenario!$A$2)</f>
        <v>Plan</v>
      </c>
      <c r="AN5" s="177" t="str">
        <f>Scenario!$A$2</f>
        <v>Plan</v>
      </c>
      <c r="AO5" s="177" t="str">
        <f>Scenario!$A$2</f>
        <v>Plan</v>
      </c>
      <c r="AP5" s="177" t="str">
        <f>Scenario!$A$2</f>
        <v>Plan</v>
      </c>
      <c r="AQ5" s="177" t="str">
        <f>Scenario!$A$2</f>
        <v>Plan</v>
      </c>
      <c r="AR5" s="177" t="str">
        <f>Scenario!$A$2</f>
        <v>Plan</v>
      </c>
      <c r="AS5" s="177" t="str">
        <f>Scenario!$A$2</f>
        <v>Plan</v>
      </c>
      <c r="AT5" s="177" t="str">
        <f>Scenario!$A$2</f>
        <v>Plan</v>
      </c>
      <c r="AU5" s="177" t="str">
        <f>Scenario!$A$2</f>
        <v>Plan</v>
      </c>
      <c r="AV5" s="177" t="str">
        <f>Scenario!$A$2</f>
        <v>Plan</v>
      </c>
      <c r="AW5" s="177" t="str">
        <f>Scenario!$A$2</f>
        <v>Plan</v>
      </c>
      <c r="AX5" s="177" t="str">
        <f>Scenario!$A$2</f>
        <v>Plan</v>
      </c>
      <c r="AY5" s="177" t="str">
        <f>Scenario!$A$2</f>
        <v>Plan</v>
      </c>
      <c r="BB5" s="175" t="s">
        <v>8</v>
      </c>
      <c r="BC5" s="175" t="s">
        <v>8</v>
      </c>
      <c r="BD5" s="175" t="s">
        <v>8</v>
      </c>
      <c r="BE5" s="175" t="s">
        <v>8</v>
      </c>
      <c r="BF5" s="175" t="s">
        <v>8</v>
      </c>
      <c r="BG5" s="175" t="s">
        <v>8</v>
      </c>
      <c r="BH5" s="175" t="s">
        <v>8</v>
      </c>
      <c r="BI5" s="175" t="s">
        <v>8</v>
      </c>
      <c r="BJ5" s="175" t="s">
        <v>8</v>
      </c>
      <c r="BK5" s="175" t="s">
        <v>8</v>
      </c>
      <c r="BL5" s="175" t="s">
        <v>8</v>
      </c>
      <c r="BM5" s="175" t="s">
        <v>8</v>
      </c>
      <c r="BP5" s="57" t="s">
        <v>8</v>
      </c>
      <c r="BQ5" s="57" t="s">
        <v>8</v>
      </c>
      <c r="BR5" s="57" t="s">
        <v>8</v>
      </c>
      <c r="BS5" s="57" t="s">
        <v>8</v>
      </c>
      <c r="BT5" s="57" t="s">
        <v>8</v>
      </c>
      <c r="BU5" s="57" t="s">
        <v>8</v>
      </c>
      <c r="BV5" s="57" t="s">
        <v>8</v>
      </c>
      <c r="BW5" s="57" t="s">
        <v>8</v>
      </c>
      <c r="BX5" s="57" t="s">
        <v>8</v>
      </c>
      <c r="BY5" s="57" t="s">
        <v>8</v>
      </c>
      <c r="BZ5" s="57" t="s">
        <v>8</v>
      </c>
      <c r="CA5" s="57" t="s">
        <v>8</v>
      </c>
    </row>
    <row r="6" spans="1:80" hidden="1" x14ac:dyDescent="0.25">
      <c r="A6" t="s">
        <v>1</v>
      </c>
      <c r="D6" s="206" t="s">
        <v>35</v>
      </c>
    </row>
    <row r="7" spans="1:80" hidden="1" x14ac:dyDescent="0.25">
      <c r="A7" t="s">
        <v>1</v>
      </c>
      <c r="D7" s="206" t="s">
        <v>93</v>
      </c>
    </row>
    <row r="8" spans="1:80" hidden="1" x14ac:dyDescent="0.25">
      <c r="A8" t="s">
        <v>1</v>
      </c>
      <c r="D8" s="206" t="s">
        <v>94</v>
      </c>
    </row>
    <row r="9" spans="1:80" hidden="1" x14ac:dyDescent="0.25">
      <c r="A9" t="s">
        <v>1</v>
      </c>
      <c r="D9" s="206" t="s">
        <v>95</v>
      </c>
    </row>
    <row r="10" spans="1:80" hidden="1" x14ac:dyDescent="0.25">
      <c r="A10" t="s">
        <v>1</v>
      </c>
      <c r="D10" s="206" t="s">
        <v>96</v>
      </c>
    </row>
    <row r="11" spans="1:80" hidden="1" x14ac:dyDescent="0.25">
      <c r="A11" t="s">
        <v>1</v>
      </c>
    </row>
    <row r="12" spans="1:80" ht="29.55" thickBot="1" x14ac:dyDescent="0.55000000000000004">
      <c r="C12" s="9" t="s">
        <v>123</v>
      </c>
      <c r="D12" s="9"/>
      <c r="E12" s="9"/>
      <c r="F12" s="9"/>
      <c r="G12" s="9"/>
    </row>
    <row r="13" spans="1:80" ht="18.649999999999999" x14ac:dyDescent="0.25">
      <c r="C13" s="10" t="str">
        <f>$D$4&amp;", "&amp;$E$4</f>
        <v>Undefined (Not Entity Specific), 609 (Brooklyn Navy Yard)</v>
      </c>
      <c r="E13" s="10"/>
      <c r="F13" s="10"/>
      <c r="G13" s="10"/>
      <c r="L13" s="178" t="s">
        <v>36</v>
      </c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Z13" s="178" t="s">
        <v>37</v>
      </c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 t="s">
        <v>37</v>
      </c>
      <c r="AN13" s="178" t="str">
        <f ca="1">AN14</f>
        <v>Plan</v>
      </c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 t="str">
        <f ca="1">AN13</f>
        <v>Plan</v>
      </c>
      <c r="BB13" s="178" t="s">
        <v>40</v>
      </c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 t="s">
        <v>40</v>
      </c>
      <c r="BP13" s="208" t="s">
        <v>124</v>
      </c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</row>
    <row r="14" spans="1:80" ht="14.5" x14ac:dyDescent="0.25">
      <c r="C14" s="11"/>
      <c r="D14" s="11"/>
      <c r="E14" s="11"/>
      <c r="F14" s="11"/>
      <c r="G14" s="11"/>
      <c r="H14" s="179"/>
      <c r="I14" s="179"/>
      <c r="J14" s="12"/>
      <c r="K14" s="12"/>
      <c r="L14" s="12" t="str">
        <f t="shared" ref="L14:W14" ca="1" si="8">IF(OFFSET(L5,0,-1)&lt;&gt;L5,L5,"")</f>
        <v>Actual</v>
      </c>
      <c r="M14" s="12" t="str">
        <f t="shared" ca="1" si="8"/>
        <v/>
      </c>
      <c r="N14" s="12" t="str">
        <f t="shared" ca="1" si="8"/>
        <v/>
      </c>
      <c r="O14" s="12" t="str">
        <f t="shared" ca="1" si="8"/>
        <v/>
      </c>
      <c r="P14" s="12" t="str">
        <f t="shared" ca="1" si="8"/>
        <v/>
      </c>
      <c r="Q14" s="12" t="str">
        <f t="shared" ca="1" si="8"/>
        <v/>
      </c>
      <c r="R14" s="12" t="str">
        <f t="shared" ca="1" si="8"/>
        <v/>
      </c>
      <c r="S14" s="12" t="str">
        <f t="shared" ca="1" si="8"/>
        <v/>
      </c>
      <c r="T14" s="12" t="str">
        <f t="shared" ca="1" si="8"/>
        <v/>
      </c>
      <c r="U14" s="12" t="str">
        <f t="shared" ca="1" si="8"/>
        <v/>
      </c>
      <c r="V14" s="12" t="str">
        <f t="shared" ca="1" si="8"/>
        <v/>
      </c>
      <c r="W14" s="12" t="str">
        <f t="shared" ca="1" si="8"/>
        <v/>
      </c>
      <c r="X14" s="179">
        <f>M3</f>
        <v>2025</v>
      </c>
      <c r="Z14" s="12" t="str">
        <f t="shared" ref="Z14:AK14" ca="1" si="9">IF(OFFSET(Z5,0,-1)&lt;&gt;Z5,Z5,"")</f>
        <v>Actual</v>
      </c>
      <c r="AA14" s="12" t="str">
        <f t="shared" ca="1" si="9"/>
        <v>Plan</v>
      </c>
      <c r="AB14" s="12" t="str">
        <f t="shared" ca="1" si="9"/>
        <v/>
      </c>
      <c r="AC14" s="12" t="str">
        <f t="shared" ca="1" si="9"/>
        <v/>
      </c>
      <c r="AD14" s="12" t="str">
        <f t="shared" ca="1" si="9"/>
        <v/>
      </c>
      <c r="AE14" s="12" t="str">
        <f t="shared" ca="1" si="9"/>
        <v/>
      </c>
      <c r="AF14" s="12" t="str">
        <f t="shared" ca="1" si="9"/>
        <v/>
      </c>
      <c r="AG14" s="12" t="str">
        <f t="shared" ca="1" si="9"/>
        <v/>
      </c>
      <c r="AH14" s="180" t="str">
        <f t="shared" ca="1" si="9"/>
        <v/>
      </c>
      <c r="AI14" s="12" t="str">
        <f t="shared" ca="1" si="9"/>
        <v/>
      </c>
      <c r="AJ14" s="12" t="str">
        <f t="shared" ca="1" si="9"/>
        <v/>
      </c>
      <c r="AK14" s="12" t="str">
        <f t="shared" ca="1" si="9"/>
        <v/>
      </c>
      <c r="AL14" s="179" t="s">
        <v>125</v>
      </c>
      <c r="AN14" s="12" t="str">
        <f t="shared" ref="AN14:AY14" ca="1" si="10">IF(OFFSET(AN5,0,-1)&lt;&gt;AN5,AN5,"")</f>
        <v>Plan</v>
      </c>
      <c r="AO14" s="12" t="str">
        <f t="shared" ca="1" si="10"/>
        <v/>
      </c>
      <c r="AP14" s="12" t="str">
        <f t="shared" ca="1" si="10"/>
        <v/>
      </c>
      <c r="AQ14" s="12" t="str">
        <f t="shared" ca="1" si="10"/>
        <v/>
      </c>
      <c r="AR14" s="12" t="str">
        <f t="shared" ca="1" si="10"/>
        <v/>
      </c>
      <c r="AS14" s="12" t="str">
        <f t="shared" ca="1" si="10"/>
        <v/>
      </c>
      <c r="AT14" s="12" t="str">
        <f t="shared" ca="1" si="10"/>
        <v/>
      </c>
      <c r="AU14" s="12" t="str">
        <f t="shared" ca="1" si="10"/>
        <v/>
      </c>
      <c r="AV14" s="12" t="str">
        <f t="shared" ca="1" si="10"/>
        <v/>
      </c>
      <c r="AW14" s="12" t="str">
        <f t="shared" ca="1" si="10"/>
        <v/>
      </c>
      <c r="AX14" s="12" t="str">
        <f t="shared" ca="1" si="10"/>
        <v/>
      </c>
      <c r="AY14" s="12" t="str">
        <f t="shared" ca="1" si="10"/>
        <v/>
      </c>
      <c r="AZ14" s="179">
        <f>AN3</f>
        <v>2026</v>
      </c>
      <c r="BB14" s="12" t="s">
        <v>40</v>
      </c>
      <c r="BC14" s="12" t="str">
        <f t="shared" ref="BC14:BM14" ca="1" si="11">IF(OFFSET(BC5,0,-1)&lt;&gt;BC5,BC5,"")</f>
        <v/>
      </c>
      <c r="BD14" s="12" t="str">
        <f t="shared" ca="1" si="11"/>
        <v/>
      </c>
      <c r="BE14" s="12" t="str">
        <f t="shared" ca="1" si="11"/>
        <v/>
      </c>
      <c r="BF14" s="12" t="str">
        <f t="shared" ca="1" si="11"/>
        <v/>
      </c>
      <c r="BG14" s="12" t="str">
        <f t="shared" ca="1" si="11"/>
        <v/>
      </c>
      <c r="BH14" s="12" t="str">
        <f t="shared" ca="1" si="11"/>
        <v/>
      </c>
      <c r="BI14" s="12" t="str">
        <f t="shared" ca="1" si="11"/>
        <v/>
      </c>
      <c r="BJ14" s="12" t="str">
        <f t="shared" ca="1" si="11"/>
        <v/>
      </c>
      <c r="BK14" s="12" t="str">
        <f t="shared" ca="1" si="11"/>
        <v/>
      </c>
      <c r="BL14" s="12" t="str">
        <f t="shared" ca="1" si="11"/>
        <v/>
      </c>
      <c r="BM14" s="12" t="str">
        <f t="shared" ca="1" si="11"/>
        <v/>
      </c>
      <c r="BN14" s="179" t="s">
        <v>40</v>
      </c>
      <c r="BP14" s="209" t="str">
        <f t="shared" ref="BP14:CA14" ca="1" si="12">IF(OFFSET(BP5,0,-1)&lt;&gt;BP5,BP5,"")</f>
        <v>Plan</v>
      </c>
      <c r="BQ14" s="209" t="str">
        <f t="shared" ca="1" si="12"/>
        <v/>
      </c>
      <c r="BR14" s="209" t="str">
        <f t="shared" ca="1" si="12"/>
        <v/>
      </c>
      <c r="BS14" s="209" t="str">
        <f t="shared" ca="1" si="12"/>
        <v/>
      </c>
      <c r="BT14" s="209" t="str">
        <f t="shared" ca="1" si="12"/>
        <v/>
      </c>
      <c r="BU14" s="209" t="str">
        <f t="shared" ca="1" si="12"/>
        <v/>
      </c>
      <c r="BV14" s="209" t="str">
        <f t="shared" ca="1" si="12"/>
        <v/>
      </c>
      <c r="BW14" s="209" t="str">
        <f t="shared" ca="1" si="12"/>
        <v/>
      </c>
      <c r="BX14" s="209" t="str">
        <f t="shared" ca="1" si="12"/>
        <v/>
      </c>
      <c r="BY14" s="209" t="str">
        <f t="shared" ca="1" si="12"/>
        <v/>
      </c>
      <c r="BZ14" s="209" t="str">
        <f t="shared" ca="1" si="12"/>
        <v/>
      </c>
      <c r="CA14" s="209" t="str">
        <f t="shared" ca="1" si="12"/>
        <v/>
      </c>
      <c r="CB14" s="210" t="s">
        <v>126</v>
      </c>
    </row>
    <row r="15" spans="1:80" ht="14.5" x14ac:dyDescent="0.25">
      <c r="C15" s="13"/>
      <c r="D15" s="13"/>
      <c r="E15" s="13"/>
      <c r="F15" s="13"/>
      <c r="G15" s="13" t="str">
        <f>"in "&amp;$F$4&amp;" currency"</f>
        <v>in Local currency</v>
      </c>
      <c r="H15" s="179"/>
      <c r="I15" s="179"/>
      <c r="J15" s="181"/>
      <c r="K15" s="181"/>
      <c r="L15" s="45" t="str">
        <f>_xlfn.XLOOKUP(L$4,'Month Name'!$D:$D, 'Month Name'!$C:$C)&amp;" "&amp;RIGHT(L3,2)</f>
        <v>Jan 25</v>
      </c>
      <c r="M15" s="45" t="str">
        <f>_xlfn.XLOOKUP(M$4,'Month Name'!$D:$D, 'Month Name'!$C:$C)&amp;" "&amp;RIGHT(M3,2)</f>
        <v>Feb 25</v>
      </c>
      <c r="N15" s="45" t="str">
        <f>_xlfn.XLOOKUP(N$4,'Month Name'!$D:$D, 'Month Name'!$C:$C)&amp;" "&amp;RIGHT(N3,2)</f>
        <v>Mar 25</v>
      </c>
      <c r="O15" s="45" t="str">
        <f>_xlfn.XLOOKUP(O$4,'Month Name'!$D:$D, 'Month Name'!$C:$C)&amp;" "&amp;RIGHT(O3,2)</f>
        <v>Apr 25</v>
      </c>
      <c r="P15" s="45" t="str">
        <f>_xlfn.XLOOKUP(P$4,'Month Name'!$D:$D, 'Month Name'!$C:$C)&amp;" "&amp;RIGHT(P3,2)</f>
        <v>May 25</v>
      </c>
      <c r="Q15" s="45" t="str">
        <f>_xlfn.XLOOKUP(Q$4,'Month Name'!$D:$D, 'Month Name'!$C:$C)&amp;" "&amp;RIGHT(Q3,2)</f>
        <v>Jun 25</v>
      </c>
      <c r="R15" s="45" t="str">
        <f>_xlfn.XLOOKUP(R$4,'Month Name'!$D:$D, 'Month Name'!$C:$C)&amp;" "&amp;RIGHT(R3,2)</f>
        <v>Jul 25</v>
      </c>
      <c r="S15" s="45" t="str">
        <f>_xlfn.XLOOKUP(S$4,'Month Name'!$D:$D, 'Month Name'!$C:$C)&amp;" "&amp;RIGHT(S3,2)</f>
        <v>Aug 25</v>
      </c>
      <c r="T15" s="45" t="str">
        <f>_xlfn.XLOOKUP(T$4,'Month Name'!$D:$D, 'Month Name'!$C:$C)&amp;" "&amp;RIGHT(T3,2)</f>
        <v>Sep 25</v>
      </c>
      <c r="U15" s="45" t="str">
        <f>_xlfn.XLOOKUP(U$4,'Month Name'!$D:$D, 'Month Name'!$C:$C)&amp;" "&amp;RIGHT(U3,2)</f>
        <v>Oct 25</v>
      </c>
      <c r="V15" s="45" t="str">
        <f>_xlfn.XLOOKUP(V$4,'Month Name'!$D:$D, 'Month Name'!$C:$C)&amp;" "&amp;RIGHT(V3,2)</f>
        <v>Nov 25</v>
      </c>
      <c r="W15" s="45" t="str">
        <f>_xlfn.XLOOKUP(W$4,'Month Name'!$D:$D, 'Month Name'!$C:$C)&amp;" "&amp;RIGHT(W3,2)</f>
        <v>Dec 25</v>
      </c>
      <c r="X15" s="179" t="s">
        <v>127</v>
      </c>
      <c r="Z15" s="45" t="str">
        <f>_xlfn.XLOOKUP(Z$4,'Month Name'!$D:$D, 'Month Name'!$C:$C)&amp;" "&amp;RIGHT(Z3,2)</f>
        <v>Jan 26</v>
      </c>
      <c r="AA15" s="45" t="str">
        <f>_xlfn.XLOOKUP(AA$4,'Month Name'!$D:$D, 'Month Name'!$C:$C)&amp;" "&amp;RIGHT(AA3,2)</f>
        <v>Feb 26</v>
      </c>
      <c r="AB15" s="45" t="str">
        <f>_xlfn.XLOOKUP(AB$4,'Month Name'!$D:$D, 'Month Name'!$C:$C)&amp;" "&amp;RIGHT(AB3,2)</f>
        <v>Mar 26</v>
      </c>
      <c r="AC15" s="45" t="str">
        <f>_xlfn.XLOOKUP(AC$4,'Month Name'!$D:$D, 'Month Name'!$C:$C)&amp;" "&amp;RIGHT(AC3,2)</f>
        <v>Apr 26</v>
      </c>
      <c r="AD15" s="45" t="str">
        <f>_xlfn.XLOOKUP(AD$4,'Month Name'!$D:$D, 'Month Name'!$C:$C)&amp;" "&amp;RIGHT(AD3,2)</f>
        <v>May 26</v>
      </c>
      <c r="AE15" s="45" t="str">
        <f>_xlfn.XLOOKUP(AE$4,'Month Name'!$D:$D, 'Month Name'!$C:$C)&amp;" "&amp;RIGHT(AE3,2)</f>
        <v>Jun 26</v>
      </c>
      <c r="AF15" s="45" t="str">
        <f>_xlfn.XLOOKUP(AF$4,'Month Name'!$D:$D, 'Month Name'!$C:$C)&amp;" "&amp;RIGHT(AF3,2)</f>
        <v>Jul 26</v>
      </c>
      <c r="AG15" s="45" t="str">
        <f>_xlfn.XLOOKUP(AG$4,'Month Name'!$D:$D, 'Month Name'!$C:$C)&amp;" "&amp;RIGHT(AG3,2)</f>
        <v>Aug 26</v>
      </c>
      <c r="AH15" s="45" t="str">
        <f>_xlfn.XLOOKUP(AH$4,'Month Name'!$D:$D, 'Month Name'!$C:$C)&amp;" "&amp;RIGHT(AH3,2)</f>
        <v>Sep 26</v>
      </c>
      <c r="AI15" s="45" t="str">
        <f>_xlfn.XLOOKUP(AI$4,'Month Name'!$D:$D, 'Month Name'!$C:$C)&amp;" "&amp;RIGHT(AI3,2)</f>
        <v>Oct 26</v>
      </c>
      <c r="AJ15" s="45" t="str">
        <f>_xlfn.XLOOKUP(AJ$4,'Month Name'!$D:$D, 'Month Name'!$C:$C)&amp;" "&amp;RIGHT(AJ3,2)</f>
        <v>Nov 26</v>
      </c>
      <c r="AK15" s="45" t="str">
        <f>_xlfn.XLOOKUP(AK$4,'Month Name'!$D:$D, 'Month Name'!$C:$C)&amp;" "&amp;RIGHT(AK3,2)</f>
        <v>Dec 26</v>
      </c>
      <c r="AL15" s="179" t="s">
        <v>127</v>
      </c>
      <c r="AN15" s="45" t="str">
        <f>_xlfn.XLOOKUP(AN$4,'Month Name'!$D:$D, 'Month Name'!$C:$C)&amp;" "&amp;RIGHT(AN3,2)</f>
        <v>Jan 26</v>
      </c>
      <c r="AO15" s="45" t="str">
        <f>_xlfn.XLOOKUP(AO$4,'Month Name'!$D:$D, 'Month Name'!$C:$C)&amp;" "&amp;RIGHT(AO3,2)</f>
        <v>Feb 26</v>
      </c>
      <c r="AP15" s="45" t="str">
        <f>_xlfn.XLOOKUP(AP$4,'Month Name'!$D:$D, 'Month Name'!$C:$C)&amp;" "&amp;RIGHT(AP3,2)</f>
        <v>Mar 26</v>
      </c>
      <c r="AQ15" s="45" t="str">
        <f>_xlfn.XLOOKUP(AQ$4,'Month Name'!$D:$D, 'Month Name'!$C:$C)&amp;" "&amp;RIGHT(AQ3,2)</f>
        <v>Apr 26</v>
      </c>
      <c r="AR15" s="45" t="str">
        <f>_xlfn.XLOOKUP(AR$4,'Month Name'!$D:$D, 'Month Name'!$C:$C)&amp;" "&amp;RIGHT(AR3,2)</f>
        <v>May 26</v>
      </c>
      <c r="AS15" s="45" t="str">
        <f>_xlfn.XLOOKUP(AS$4,'Month Name'!$D:$D, 'Month Name'!$C:$C)&amp;" "&amp;RIGHT(AS3,2)</f>
        <v>Jun 26</v>
      </c>
      <c r="AT15" s="45" t="str">
        <f>_xlfn.XLOOKUP(AT$4,'Month Name'!$D:$D, 'Month Name'!$C:$C)&amp;" "&amp;RIGHT(AT3,2)</f>
        <v>Jul 26</v>
      </c>
      <c r="AU15" s="45" t="str">
        <f>_xlfn.XLOOKUP(AU$4,'Month Name'!$D:$D, 'Month Name'!$C:$C)&amp;" "&amp;RIGHT(AU3,2)</f>
        <v>Aug 26</v>
      </c>
      <c r="AV15" s="45" t="str">
        <f>_xlfn.XLOOKUP(AV$4,'Month Name'!$D:$D, 'Month Name'!$C:$C)&amp;" "&amp;RIGHT(AV3,2)</f>
        <v>Sep 26</v>
      </c>
      <c r="AW15" s="45" t="str">
        <f>_xlfn.XLOOKUP(AW$4,'Month Name'!$D:$D, 'Month Name'!$C:$C)&amp;" "&amp;RIGHT(AW3,2)</f>
        <v>Oct 26</v>
      </c>
      <c r="AX15" s="45" t="str">
        <f>_xlfn.XLOOKUP(AX$4,'Month Name'!$D:$D, 'Month Name'!$C:$C)&amp;" "&amp;RIGHT(AX3,2)</f>
        <v>Nov 26</v>
      </c>
      <c r="AY15" s="45" t="str">
        <f>_xlfn.XLOOKUP(AY$4,'Month Name'!$D:$D, 'Month Name'!$C:$C)&amp;" "&amp;RIGHT(AY3,2)</f>
        <v>Dec 26</v>
      </c>
      <c r="AZ15" s="179" t="s">
        <v>127</v>
      </c>
      <c r="BB15" s="45" t="str">
        <f>_xlfn.XLOOKUP(BB$4,'Month Name'!$D:$D, 'Month Name'!$C:$C)&amp;" "&amp;RIGHT(BB3,2)</f>
        <v>Jan 26</v>
      </c>
      <c r="BC15" s="45" t="str">
        <f>_xlfn.XLOOKUP(BC$4,'Month Name'!$D:$D, 'Month Name'!$C:$C)&amp;" "&amp;RIGHT(BC3,2)</f>
        <v>Feb 26</v>
      </c>
      <c r="BD15" s="45" t="str">
        <f>_xlfn.XLOOKUP(BD$4,'Month Name'!$D:$D, 'Month Name'!$C:$C)&amp;" "&amp;RIGHT(BD3,2)</f>
        <v>Mar 26</v>
      </c>
      <c r="BE15" s="45" t="str">
        <f>_xlfn.XLOOKUP(BE$4,'Month Name'!$D:$D, 'Month Name'!$C:$C)&amp;" "&amp;RIGHT(BE3,2)</f>
        <v>Apr 26</v>
      </c>
      <c r="BF15" s="45" t="str">
        <f>_xlfn.XLOOKUP(BF$4,'Month Name'!$D:$D, 'Month Name'!$C:$C)&amp;" "&amp;RIGHT(BF3,2)</f>
        <v>May 26</v>
      </c>
      <c r="BG15" s="45" t="str">
        <f>_xlfn.XLOOKUP(BG$4,'Month Name'!$D:$D, 'Month Name'!$C:$C)&amp;" "&amp;RIGHT(BG3,2)</f>
        <v>Jun 26</v>
      </c>
      <c r="BH15" s="45" t="str">
        <f>_xlfn.XLOOKUP(BH$4,'Month Name'!$D:$D, 'Month Name'!$C:$C)&amp;" "&amp;RIGHT(BH3,2)</f>
        <v>Jul 26</v>
      </c>
      <c r="BI15" s="45" t="str">
        <f>_xlfn.XLOOKUP(BI$4,'Month Name'!$D:$D, 'Month Name'!$C:$C)&amp;" "&amp;RIGHT(BI3,2)</f>
        <v>Aug 26</v>
      </c>
      <c r="BJ15" s="45" t="str">
        <f>_xlfn.XLOOKUP(BJ$4,'Month Name'!$D:$D, 'Month Name'!$C:$C)&amp;" "&amp;RIGHT(BJ3,2)</f>
        <v>Sep 26</v>
      </c>
      <c r="BK15" s="45" t="str">
        <f>_xlfn.XLOOKUP(BK$4,'Month Name'!$D:$D, 'Month Name'!$C:$C)&amp;" "&amp;RIGHT(BK3,2)</f>
        <v>Oct 26</v>
      </c>
      <c r="BL15" s="45" t="str">
        <f>_xlfn.XLOOKUP(BL$4,'Month Name'!$D:$D, 'Month Name'!$C:$C)&amp;" "&amp;RIGHT(BL3,2)</f>
        <v>Nov 26</v>
      </c>
      <c r="BM15" s="45" t="str">
        <f>_xlfn.XLOOKUP(BM$4,'Month Name'!$D:$D, 'Month Name'!$C:$C)&amp;" "&amp;RIGHT(BM3,2)</f>
        <v>Dec 26</v>
      </c>
      <c r="BN15" s="179" t="s">
        <v>127</v>
      </c>
      <c r="BP15" s="211">
        <v>45292</v>
      </c>
      <c r="BQ15" s="211">
        <v>45323</v>
      </c>
      <c r="BR15" s="211">
        <v>45352</v>
      </c>
      <c r="BS15" s="211">
        <v>45383</v>
      </c>
      <c r="BT15" s="211">
        <v>45413</v>
      </c>
      <c r="BU15" s="211">
        <v>45444</v>
      </c>
      <c r="BV15" s="211">
        <v>45474</v>
      </c>
      <c r="BW15" s="211">
        <v>45505</v>
      </c>
      <c r="BX15" s="211">
        <v>45536</v>
      </c>
      <c r="BY15" s="211">
        <v>45566</v>
      </c>
      <c r="BZ15" s="211">
        <v>45597</v>
      </c>
      <c r="CA15" s="211">
        <v>45627</v>
      </c>
      <c r="CB15" s="210" t="s">
        <v>127</v>
      </c>
    </row>
    <row r="18" spans="1:80" ht="14.5" hidden="1" thickBot="1" x14ac:dyDescent="0.3">
      <c r="A18" s="14" t="s">
        <v>1</v>
      </c>
      <c r="B18" s="15"/>
      <c r="G18" s="182" t="s">
        <v>22</v>
      </c>
      <c r="H18" s="16" t="s">
        <v>23</v>
      </c>
      <c r="I18" s="16"/>
      <c r="J18" s="183"/>
      <c r="K18" s="17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4">
        <f>SUM(L18:W18)</f>
        <v>0</v>
      </c>
      <c r="Y18" s="15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4">
        <f>SUM(Z18:AK18)</f>
        <v>0</v>
      </c>
      <c r="AM18" s="15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4">
        <f>SUM(AN18:AY18)</f>
        <v>0</v>
      </c>
      <c r="BA18" s="15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4">
        <f>SUM(BB18:BM18)</f>
        <v>0</v>
      </c>
      <c r="BO18" s="15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3">
        <f>SUM(BP18:CA18)</f>
        <v>0</v>
      </c>
    </row>
    <row r="19" spans="1:80" ht="12.45" thickBot="1" x14ac:dyDescent="0.3">
      <c r="C19" s="4" t="s">
        <v>7</v>
      </c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</row>
    <row r="20" spans="1:80" ht="11.95" hidden="1" thickBot="1" x14ac:dyDescent="0.3">
      <c r="A20" t="s">
        <v>1</v>
      </c>
      <c r="E20" s="3"/>
      <c r="F20" s="3"/>
      <c r="G20" s="3" t="s">
        <v>7</v>
      </c>
      <c r="H20" s="3"/>
      <c r="I20" s="18"/>
      <c r="J20" s="18"/>
      <c r="K20" s="18"/>
      <c r="L20" s="185">
        <v>182427.75</v>
      </c>
      <c r="M20" s="185">
        <v>476821.5</v>
      </c>
      <c r="N20" s="185">
        <v>355325.35</v>
      </c>
      <c r="O20" s="185">
        <v>348680.4</v>
      </c>
      <c r="P20" s="185">
        <v>289942.27</v>
      </c>
      <c r="Q20" s="185">
        <v>407473</v>
      </c>
      <c r="R20" s="185">
        <v>359685.76</v>
      </c>
      <c r="S20" s="185">
        <v>391949.27</v>
      </c>
      <c r="T20" s="185">
        <v>494501.86</v>
      </c>
      <c r="U20" s="185">
        <v>420192.73</v>
      </c>
      <c r="V20" s="185">
        <v>469862.72</v>
      </c>
      <c r="W20" s="185">
        <v>576215</v>
      </c>
      <c r="X20" s="186">
        <f>SUM(L20:W20)</f>
        <v>4773077.6100000003</v>
      </c>
      <c r="Y20" s="219"/>
      <c r="Z20" s="185">
        <v>529233.54</v>
      </c>
      <c r="AA20" s="185">
        <v>531599.25592372206</v>
      </c>
      <c r="AB20" s="185">
        <v>664499.06990465301</v>
      </c>
      <c r="AC20" s="185">
        <v>531599.25592372206</v>
      </c>
      <c r="AD20" s="185">
        <v>531599.25592372206</v>
      </c>
      <c r="AE20" s="185">
        <v>664499.06990465301</v>
      </c>
      <c r="AF20" s="185">
        <v>531599.25592372206</v>
      </c>
      <c r="AG20" s="185">
        <v>531599.25592372206</v>
      </c>
      <c r="AH20" s="185">
        <v>664499.06990465301</v>
      </c>
      <c r="AI20" s="185">
        <v>531599.25592372206</v>
      </c>
      <c r="AJ20" s="185">
        <v>531599.25592372206</v>
      </c>
      <c r="AK20" s="185">
        <v>664499.06990465301</v>
      </c>
      <c r="AL20" s="186">
        <f>SUM(Z20:AK20)</f>
        <v>6908424.6110846661</v>
      </c>
      <c r="AM20" s="221"/>
      <c r="AN20" s="187">
        <v>531599.25592372206</v>
      </c>
      <c r="AO20" s="187">
        <v>531599.25592372206</v>
      </c>
      <c r="AP20" s="187">
        <v>664499.06990465301</v>
      </c>
      <c r="AQ20" s="187">
        <v>531599.25592372206</v>
      </c>
      <c r="AR20" s="187">
        <v>531599.25592372206</v>
      </c>
      <c r="AS20" s="187">
        <v>664499.06990465301</v>
      </c>
      <c r="AT20" s="187">
        <v>531599.25592372206</v>
      </c>
      <c r="AU20" s="187">
        <v>531599.25592372206</v>
      </c>
      <c r="AV20" s="187">
        <v>664499.06990465301</v>
      </c>
      <c r="AW20" s="187">
        <v>531599.25592372206</v>
      </c>
      <c r="AX20" s="187">
        <v>531599.25592372206</v>
      </c>
      <c r="AY20" s="187">
        <v>664499.06990465301</v>
      </c>
      <c r="AZ20" s="186">
        <f>SUM(AN20:AY20)</f>
        <v>6910790.3270083889</v>
      </c>
      <c r="BA20" s="221"/>
      <c r="BB20" s="187">
        <v>531599.25592372206</v>
      </c>
      <c r="BC20" s="187">
        <v>531599.25592372206</v>
      </c>
      <c r="BD20" s="187">
        <v>664499.06990465301</v>
      </c>
      <c r="BE20" s="187">
        <v>531599.25592372206</v>
      </c>
      <c r="BF20" s="187">
        <v>531599.25592372206</v>
      </c>
      <c r="BG20" s="187">
        <v>664499.06990465301</v>
      </c>
      <c r="BH20" s="187">
        <v>531599.25592372206</v>
      </c>
      <c r="BI20" s="187">
        <v>531599.25592372206</v>
      </c>
      <c r="BJ20" s="187">
        <v>664499.06990465301</v>
      </c>
      <c r="BK20" s="187">
        <v>531599.25592372206</v>
      </c>
      <c r="BL20" s="187">
        <v>531599.25592372206</v>
      </c>
      <c r="BM20" s="187">
        <v>664499.06990465301</v>
      </c>
      <c r="BN20" s="186">
        <f>SUM(BB20:BM20)</f>
        <v>6910790.3270083889</v>
      </c>
      <c r="BP20"/>
      <c r="BQ20"/>
      <c r="BR20"/>
      <c r="BS20"/>
      <c r="BT20"/>
      <c r="BU20"/>
      <c r="BV20"/>
      <c r="BW20"/>
      <c r="BX20"/>
      <c r="BY20"/>
      <c r="BZ20"/>
      <c r="CA20"/>
      <c r="CB20">
        <f>SUM(BP20:CA20)</f>
        <v>0</v>
      </c>
    </row>
    <row r="21" spans="1:80" ht="11.95" thickBot="1" x14ac:dyDescent="0.3">
      <c r="A21" t="str">
        <f t="shared" ref="A21:A28" si="13">IF(LEFT(G21,3)="Mul", "#hiderow", "#showrow")</f>
        <v>#showrow</v>
      </c>
      <c r="E21" s="3"/>
      <c r="F21" s="3"/>
      <c r="G21" s="253" t="s">
        <v>74</v>
      </c>
      <c r="H21" s="3"/>
      <c r="I21" s="18"/>
      <c r="J21" s="18"/>
      <c r="K21" s="18"/>
      <c r="L21" s="185">
        <v>182427.75</v>
      </c>
      <c r="M21" s="185">
        <v>476821.5</v>
      </c>
      <c r="N21" s="185">
        <v>355325.35</v>
      </c>
      <c r="O21" s="185">
        <v>348680.4</v>
      </c>
      <c r="P21" s="185">
        <v>289942.27</v>
      </c>
      <c r="Q21" s="185">
        <v>407473</v>
      </c>
      <c r="R21" s="185">
        <v>359685.76</v>
      </c>
      <c r="S21" s="185">
        <v>391949.27</v>
      </c>
      <c r="T21" s="185">
        <v>494501.86</v>
      </c>
      <c r="U21" s="185">
        <v>420192.73</v>
      </c>
      <c r="V21" s="185">
        <v>469862.72</v>
      </c>
      <c r="W21" s="185">
        <v>576215</v>
      </c>
      <c r="X21" s="186">
        <f t="shared" ref="X21:X28" si="14">SUM(L21:W21)</f>
        <v>4773077.6100000003</v>
      </c>
      <c r="Y21" s="219"/>
      <c r="Z21" s="185">
        <v>529233.54</v>
      </c>
      <c r="AA21" s="185">
        <v>531599.25592372206</v>
      </c>
      <c r="AB21" s="185">
        <v>664499.06990465301</v>
      </c>
      <c r="AC21" s="185">
        <v>531599.25592372206</v>
      </c>
      <c r="AD21" s="185">
        <v>531599.25592372206</v>
      </c>
      <c r="AE21" s="185">
        <v>664499.06990465301</v>
      </c>
      <c r="AF21" s="185">
        <v>531599.25592372206</v>
      </c>
      <c r="AG21" s="185">
        <v>531599.25592372206</v>
      </c>
      <c r="AH21" s="185">
        <v>664499.06990465301</v>
      </c>
      <c r="AI21" s="185">
        <v>531599.25592372206</v>
      </c>
      <c r="AJ21" s="185">
        <v>531599.25592372206</v>
      </c>
      <c r="AK21" s="185">
        <v>664499.06990465301</v>
      </c>
      <c r="AL21" s="186">
        <f t="shared" ref="AL21:AL28" si="15">SUM(Z21:AK21)</f>
        <v>6908424.6110846661</v>
      </c>
      <c r="AM21" s="221"/>
      <c r="AN21" s="187">
        <v>531599.25592372206</v>
      </c>
      <c r="AO21" s="187">
        <v>531599.25592372206</v>
      </c>
      <c r="AP21" s="187">
        <v>664499.06990465301</v>
      </c>
      <c r="AQ21" s="187">
        <v>531599.25592372206</v>
      </c>
      <c r="AR21" s="187">
        <v>531599.25592372206</v>
      </c>
      <c r="AS21" s="187">
        <v>664499.06990465301</v>
      </c>
      <c r="AT21" s="187">
        <v>531599.25592372206</v>
      </c>
      <c r="AU21" s="187">
        <v>531599.25592372206</v>
      </c>
      <c r="AV21" s="187">
        <v>664499.06990465301</v>
      </c>
      <c r="AW21" s="187">
        <v>531599.25592372206</v>
      </c>
      <c r="AX21" s="187">
        <v>531599.25592372206</v>
      </c>
      <c r="AY21" s="187">
        <v>664499.06990465301</v>
      </c>
      <c r="AZ21" s="186">
        <f t="shared" ref="AZ21:AZ28" si="16">SUM(AN21:AY21)</f>
        <v>6910790.3270083889</v>
      </c>
      <c r="BA21" s="221"/>
      <c r="BB21" s="187">
        <v>531599.25592372206</v>
      </c>
      <c r="BC21" s="187">
        <v>531599.25592372206</v>
      </c>
      <c r="BD21" s="187">
        <v>664499.06990465301</v>
      </c>
      <c r="BE21" s="187">
        <v>531599.25592372206</v>
      </c>
      <c r="BF21" s="187">
        <v>531599.25592372206</v>
      </c>
      <c r="BG21" s="187">
        <v>664499.06990465301</v>
      </c>
      <c r="BH21" s="187">
        <v>531599.25592372206</v>
      </c>
      <c r="BI21" s="187">
        <v>531599.25592372206</v>
      </c>
      <c r="BJ21" s="187">
        <v>664499.06990465301</v>
      </c>
      <c r="BK21" s="187">
        <v>531599.25592372206</v>
      </c>
      <c r="BL21" s="187">
        <v>531599.25592372206</v>
      </c>
      <c r="BM21" s="187">
        <v>664499.06990465301</v>
      </c>
      <c r="BN21" s="186">
        <f t="shared" ref="BN21:BN28" si="17">SUM(BB21:BM21)</f>
        <v>6910790.3270083889</v>
      </c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 spans="1:80" ht="11.95" hidden="1" outlineLevel="1" thickBot="1" x14ac:dyDescent="0.3">
      <c r="A22" t="str">
        <f t="shared" si="13"/>
        <v>#hiderow</v>
      </c>
      <c r="E22" s="3"/>
      <c r="F22" s="3"/>
      <c r="G22" s="257" t="s">
        <v>6</v>
      </c>
      <c r="H22" s="131"/>
      <c r="I22" s="18"/>
      <c r="J22" s="18"/>
      <c r="K22" s="18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6">
        <f t="shared" si="14"/>
        <v>0</v>
      </c>
      <c r="Y22" s="219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6">
        <f t="shared" si="15"/>
        <v>0</v>
      </c>
      <c r="AM22" s="221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6">
        <f t="shared" si="16"/>
        <v>0</v>
      </c>
      <c r="BA22" s="221"/>
      <c r="BB22" s="187"/>
      <c r="BC22" s="187"/>
      <c r="BD22" s="187"/>
      <c r="BE22" s="187"/>
      <c r="BF22" s="187"/>
      <c r="BG22" s="187"/>
      <c r="BH22" s="187"/>
      <c r="BI22" s="187"/>
      <c r="BJ22" s="187"/>
      <c r="BK22" s="187"/>
      <c r="BL22" s="187"/>
      <c r="BM22" s="187"/>
      <c r="BN22" s="186">
        <f t="shared" si="17"/>
        <v>0</v>
      </c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 spans="1:80" ht="11.95" outlineLevel="1" thickBot="1" x14ac:dyDescent="0.3">
      <c r="A23" t="str">
        <f t="shared" ref="A23:A24" si="18">IF(LEFT(G23,3)="Mul", "#hiderow", "#showrow")</f>
        <v>#showrow</v>
      </c>
      <c r="E23" s="3"/>
      <c r="F23" s="3"/>
      <c r="G23" s="257" t="s">
        <v>163</v>
      </c>
      <c r="H23" s="131"/>
      <c r="I23" s="18"/>
      <c r="J23" s="18"/>
      <c r="K23" s="18"/>
      <c r="L23" s="185">
        <v>-13713</v>
      </c>
      <c r="M23" s="185">
        <v>52707</v>
      </c>
      <c r="N23" s="185">
        <v>43972.05</v>
      </c>
      <c r="O23" s="185">
        <v>34176</v>
      </c>
      <c r="P23" s="185">
        <v>80984.5</v>
      </c>
      <c r="Q23" s="185">
        <v>7616</v>
      </c>
      <c r="R23" s="185">
        <v>34307</v>
      </c>
      <c r="S23" s="185">
        <v>21944</v>
      </c>
      <c r="T23" s="185">
        <v>86673.5</v>
      </c>
      <c r="U23" s="185"/>
      <c r="V23" s="185">
        <v>65716</v>
      </c>
      <c r="W23" s="185">
        <v>73860</v>
      </c>
      <c r="X23" s="186">
        <f t="shared" ref="X23:X24" si="19">SUM(L23:W23)</f>
        <v>488243.05</v>
      </c>
      <c r="Y23" s="219"/>
      <c r="Z23" s="185">
        <v>19365.5</v>
      </c>
      <c r="AA23" s="185">
        <v>37431.298006393401</v>
      </c>
      <c r="AB23" s="185">
        <v>46789.1225079918</v>
      </c>
      <c r="AC23" s="185">
        <v>37431.298006393401</v>
      </c>
      <c r="AD23" s="185">
        <v>37431.298006393401</v>
      </c>
      <c r="AE23" s="185">
        <v>46789.1225079918</v>
      </c>
      <c r="AF23" s="185">
        <v>37431.298006393401</v>
      </c>
      <c r="AG23" s="185">
        <v>37431.298006393401</v>
      </c>
      <c r="AH23" s="185">
        <v>46789.1225079918</v>
      </c>
      <c r="AI23" s="185">
        <v>37431.298006393401</v>
      </c>
      <c r="AJ23" s="185">
        <v>37431.298006393401</v>
      </c>
      <c r="AK23" s="185">
        <v>46789.1225079918</v>
      </c>
      <c r="AL23" s="186">
        <f t="shared" ref="AL23:AL24" si="20">SUM(Z23:AK23)</f>
        <v>468541.07607672107</v>
      </c>
      <c r="AM23" s="221"/>
      <c r="AN23" s="187">
        <v>37431.298006393401</v>
      </c>
      <c r="AO23" s="187">
        <v>37431.298006393401</v>
      </c>
      <c r="AP23" s="187">
        <v>46789.1225079918</v>
      </c>
      <c r="AQ23" s="187">
        <v>37431.298006393401</v>
      </c>
      <c r="AR23" s="187">
        <v>37431.298006393401</v>
      </c>
      <c r="AS23" s="187">
        <v>46789.1225079918</v>
      </c>
      <c r="AT23" s="187">
        <v>37431.298006393401</v>
      </c>
      <c r="AU23" s="187">
        <v>37431.298006393401</v>
      </c>
      <c r="AV23" s="187">
        <v>46789.1225079918</v>
      </c>
      <c r="AW23" s="187">
        <v>37431.298006393401</v>
      </c>
      <c r="AX23" s="187">
        <v>37431.298006393401</v>
      </c>
      <c r="AY23" s="187">
        <v>46789.1225079918</v>
      </c>
      <c r="AZ23" s="186">
        <f t="shared" ref="AZ23:AZ24" si="21">SUM(AN23:AY23)</f>
        <v>486606.87408311444</v>
      </c>
      <c r="BA23" s="221"/>
      <c r="BB23" s="187">
        <v>37431.298006393401</v>
      </c>
      <c r="BC23" s="187">
        <v>37431.298006393401</v>
      </c>
      <c r="BD23" s="187">
        <v>46789.1225079918</v>
      </c>
      <c r="BE23" s="187">
        <v>37431.298006393401</v>
      </c>
      <c r="BF23" s="187">
        <v>37431.298006393401</v>
      </c>
      <c r="BG23" s="187">
        <v>46789.1225079918</v>
      </c>
      <c r="BH23" s="187">
        <v>37431.298006393401</v>
      </c>
      <c r="BI23" s="187">
        <v>37431.298006393401</v>
      </c>
      <c r="BJ23" s="187">
        <v>46789.1225079918</v>
      </c>
      <c r="BK23" s="187">
        <v>37431.298006393401</v>
      </c>
      <c r="BL23" s="187">
        <v>37431.298006393401</v>
      </c>
      <c r="BM23" s="187">
        <v>46789.1225079918</v>
      </c>
      <c r="BN23" s="186">
        <f t="shared" ref="BN23:BN24" si="22">SUM(BB23:BM23)</f>
        <v>486606.87408311444</v>
      </c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 spans="1:80" ht="11.95" outlineLevel="1" thickBot="1" x14ac:dyDescent="0.3">
      <c r="A24" t="str">
        <f t="shared" si="18"/>
        <v>#showrow</v>
      </c>
      <c r="E24" s="3"/>
      <c r="F24" s="3"/>
      <c r="G24" s="257" t="s">
        <v>134</v>
      </c>
      <c r="H24" s="131"/>
      <c r="I24" s="18"/>
      <c r="J24" s="18"/>
      <c r="K24" s="18"/>
      <c r="L24" s="185">
        <v>196140.75</v>
      </c>
      <c r="M24" s="185">
        <v>424114.5</v>
      </c>
      <c r="N24" s="185">
        <v>311353.3</v>
      </c>
      <c r="O24" s="185">
        <v>314504.40000000002</v>
      </c>
      <c r="P24" s="185">
        <v>208957.77</v>
      </c>
      <c r="Q24" s="185">
        <v>399857</v>
      </c>
      <c r="R24" s="185">
        <v>325378.76</v>
      </c>
      <c r="S24" s="185">
        <v>370005.27</v>
      </c>
      <c r="T24" s="185">
        <v>407828.36</v>
      </c>
      <c r="U24" s="185">
        <v>420192.73</v>
      </c>
      <c r="V24" s="185">
        <v>404146.72</v>
      </c>
      <c r="W24" s="185">
        <v>502355</v>
      </c>
      <c r="X24" s="186">
        <f t="shared" si="19"/>
        <v>4284834.5600000005</v>
      </c>
      <c r="Y24" s="219"/>
      <c r="Z24" s="185">
        <v>509868.04</v>
      </c>
      <c r="AA24" s="185">
        <v>494167.95791732898</v>
      </c>
      <c r="AB24" s="185">
        <v>617709.94739666197</v>
      </c>
      <c r="AC24" s="185">
        <v>494167.95791732898</v>
      </c>
      <c r="AD24" s="185">
        <v>494167.95791732898</v>
      </c>
      <c r="AE24" s="185">
        <v>617709.94739666197</v>
      </c>
      <c r="AF24" s="185">
        <v>494167.95791732898</v>
      </c>
      <c r="AG24" s="185">
        <v>494167.95791732898</v>
      </c>
      <c r="AH24" s="185">
        <v>617709.94739666197</v>
      </c>
      <c r="AI24" s="185">
        <v>494167.95791732898</v>
      </c>
      <c r="AJ24" s="185">
        <v>494167.95791732898</v>
      </c>
      <c r="AK24" s="185">
        <v>617709.94739666197</v>
      </c>
      <c r="AL24" s="186">
        <f t="shared" si="20"/>
        <v>6439883.5350079508</v>
      </c>
      <c r="AM24" s="221"/>
      <c r="AN24" s="187">
        <v>494167.95791732898</v>
      </c>
      <c r="AO24" s="187">
        <v>494167.95791732898</v>
      </c>
      <c r="AP24" s="187">
        <v>617709.94739666197</v>
      </c>
      <c r="AQ24" s="187">
        <v>494167.95791732898</v>
      </c>
      <c r="AR24" s="187">
        <v>494167.95791732898</v>
      </c>
      <c r="AS24" s="187">
        <v>617709.94739666197</v>
      </c>
      <c r="AT24" s="187">
        <v>494167.95791732898</v>
      </c>
      <c r="AU24" s="187">
        <v>494167.95791732898</v>
      </c>
      <c r="AV24" s="187">
        <v>617709.94739666197</v>
      </c>
      <c r="AW24" s="187">
        <v>494167.95791732898</v>
      </c>
      <c r="AX24" s="187">
        <v>494167.95791732898</v>
      </c>
      <c r="AY24" s="187">
        <v>617709.94739666197</v>
      </c>
      <c r="AZ24" s="186">
        <f t="shared" si="21"/>
        <v>6424183.4529252797</v>
      </c>
      <c r="BA24" s="221"/>
      <c r="BB24" s="187">
        <v>494167.95791732898</v>
      </c>
      <c r="BC24" s="187">
        <v>494167.95791732898</v>
      </c>
      <c r="BD24" s="187">
        <v>617709.94739666197</v>
      </c>
      <c r="BE24" s="187">
        <v>494167.95791732898</v>
      </c>
      <c r="BF24" s="187">
        <v>494167.95791732898</v>
      </c>
      <c r="BG24" s="187">
        <v>617709.94739666197</v>
      </c>
      <c r="BH24" s="187">
        <v>494167.95791732898</v>
      </c>
      <c r="BI24" s="187">
        <v>494167.95791732898</v>
      </c>
      <c r="BJ24" s="187">
        <v>617709.94739666197</v>
      </c>
      <c r="BK24" s="187">
        <v>494167.95791732898</v>
      </c>
      <c r="BL24" s="187">
        <v>494167.95791732898</v>
      </c>
      <c r="BM24" s="187">
        <v>617709.94739666197</v>
      </c>
      <c r="BN24" s="186">
        <f t="shared" si="22"/>
        <v>6424183.4529252797</v>
      </c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spans="1:80" ht="11.95" collapsed="1" thickBot="1" x14ac:dyDescent="0.3">
      <c r="A25" t="str">
        <f t="shared" si="13"/>
        <v>#showrow</v>
      </c>
      <c r="E25" s="3"/>
      <c r="F25" s="3"/>
      <c r="G25" s="253" t="s">
        <v>97</v>
      </c>
      <c r="H25" s="3"/>
      <c r="I25" s="18"/>
      <c r="J25" s="18"/>
      <c r="K25" s="18"/>
      <c r="L25" s="185">
        <v>0</v>
      </c>
      <c r="M25" s="185">
        <v>0</v>
      </c>
      <c r="N25" s="185">
        <v>0</v>
      </c>
      <c r="O25" s="185">
        <v>0</v>
      </c>
      <c r="P25" s="185">
        <v>0</v>
      </c>
      <c r="Q25" s="185">
        <v>0</v>
      </c>
      <c r="R25" s="185">
        <v>0</v>
      </c>
      <c r="S25" s="185">
        <v>0</v>
      </c>
      <c r="T25" s="185">
        <v>0</v>
      </c>
      <c r="U25" s="185">
        <v>0</v>
      </c>
      <c r="V25" s="185">
        <v>0</v>
      </c>
      <c r="W25" s="185">
        <v>0</v>
      </c>
      <c r="X25" s="186">
        <f t="shared" si="14"/>
        <v>0</v>
      </c>
      <c r="Y25" s="219"/>
      <c r="Z25" s="185">
        <v>0</v>
      </c>
      <c r="AA25" s="185">
        <v>0</v>
      </c>
      <c r="AB25" s="185">
        <v>0</v>
      </c>
      <c r="AC25" s="185">
        <v>0</v>
      </c>
      <c r="AD25" s="185">
        <v>0</v>
      </c>
      <c r="AE25" s="185">
        <v>0</v>
      </c>
      <c r="AF25" s="185">
        <v>0</v>
      </c>
      <c r="AG25" s="185">
        <v>0</v>
      </c>
      <c r="AH25" s="185">
        <v>0</v>
      </c>
      <c r="AI25" s="185">
        <v>0</v>
      </c>
      <c r="AJ25" s="185">
        <v>0</v>
      </c>
      <c r="AK25" s="185">
        <v>0</v>
      </c>
      <c r="AL25" s="186">
        <f t="shared" si="15"/>
        <v>0</v>
      </c>
      <c r="AM25" s="221"/>
      <c r="AN25" s="187">
        <v>0</v>
      </c>
      <c r="AO25" s="187">
        <v>0</v>
      </c>
      <c r="AP25" s="187">
        <v>0</v>
      </c>
      <c r="AQ25" s="187">
        <v>0</v>
      </c>
      <c r="AR25" s="187">
        <v>0</v>
      </c>
      <c r="AS25" s="187">
        <v>0</v>
      </c>
      <c r="AT25" s="187">
        <v>0</v>
      </c>
      <c r="AU25" s="187">
        <v>0</v>
      </c>
      <c r="AV25" s="187">
        <v>0</v>
      </c>
      <c r="AW25" s="187">
        <v>0</v>
      </c>
      <c r="AX25" s="187">
        <v>0</v>
      </c>
      <c r="AY25" s="187">
        <v>0</v>
      </c>
      <c r="AZ25" s="186">
        <f t="shared" si="16"/>
        <v>0</v>
      </c>
      <c r="BA25" s="221"/>
      <c r="BB25" s="187">
        <v>0</v>
      </c>
      <c r="BC25" s="187">
        <v>0</v>
      </c>
      <c r="BD25" s="187">
        <v>0</v>
      </c>
      <c r="BE25" s="187">
        <v>0</v>
      </c>
      <c r="BF25" s="187">
        <v>0</v>
      </c>
      <c r="BG25" s="187">
        <v>0</v>
      </c>
      <c r="BH25" s="187">
        <v>0</v>
      </c>
      <c r="BI25" s="187">
        <v>0</v>
      </c>
      <c r="BJ25" s="187">
        <v>0</v>
      </c>
      <c r="BK25" s="187">
        <v>0</v>
      </c>
      <c r="BL25" s="187">
        <v>0</v>
      </c>
      <c r="BM25" s="187">
        <v>0</v>
      </c>
      <c r="BN25" s="186">
        <f t="shared" si="17"/>
        <v>0</v>
      </c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 spans="1:80" ht="11.95" hidden="1" outlineLevel="1" thickBot="1" x14ac:dyDescent="0.3">
      <c r="A26" t="str">
        <f t="shared" si="13"/>
        <v>#hiderow</v>
      </c>
      <c r="E26" s="3"/>
      <c r="F26" s="3"/>
      <c r="G26" s="257" t="s">
        <v>6</v>
      </c>
      <c r="H26" s="131"/>
      <c r="I26" s="18"/>
      <c r="J26" s="18"/>
      <c r="K26" s="18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6">
        <f t="shared" si="14"/>
        <v>0</v>
      </c>
      <c r="Y26" s="219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6">
        <f t="shared" si="15"/>
        <v>0</v>
      </c>
      <c r="AM26" s="221"/>
      <c r="AN26" s="187"/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6">
        <f t="shared" si="16"/>
        <v>0</v>
      </c>
      <c r="BA26" s="221"/>
      <c r="BB26" s="187"/>
      <c r="BC26" s="187"/>
      <c r="BD26" s="187"/>
      <c r="BE26" s="187"/>
      <c r="BF26" s="187"/>
      <c r="BG26" s="187"/>
      <c r="BH26" s="187"/>
      <c r="BI26" s="187"/>
      <c r="BJ26" s="187"/>
      <c r="BK26" s="187"/>
      <c r="BL26" s="187"/>
      <c r="BM26" s="187"/>
      <c r="BN26" s="186">
        <f t="shared" si="17"/>
        <v>0</v>
      </c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 spans="1:80" ht="11.95" collapsed="1" thickBot="1" x14ac:dyDescent="0.3">
      <c r="A27" t="str">
        <f t="shared" si="13"/>
        <v>#showrow</v>
      </c>
      <c r="E27" s="3"/>
      <c r="F27" s="3"/>
      <c r="G27" s="253" t="s">
        <v>98</v>
      </c>
      <c r="H27" s="3"/>
      <c r="I27" s="18"/>
      <c r="J27" s="18"/>
      <c r="K27" s="18"/>
      <c r="L27" s="185">
        <v>0</v>
      </c>
      <c r="M27" s="185">
        <v>0</v>
      </c>
      <c r="N27" s="185">
        <v>0</v>
      </c>
      <c r="O27" s="185">
        <v>0</v>
      </c>
      <c r="P27" s="185">
        <v>0</v>
      </c>
      <c r="Q27" s="185">
        <v>0</v>
      </c>
      <c r="R27" s="185">
        <v>0</v>
      </c>
      <c r="S27" s="185">
        <v>0</v>
      </c>
      <c r="T27" s="185">
        <v>0</v>
      </c>
      <c r="U27" s="185">
        <v>0</v>
      </c>
      <c r="V27" s="185">
        <v>0</v>
      </c>
      <c r="W27" s="185">
        <v>0</v>
      </c>
      <c r="X27" s="186">
        <f t="shared" si="14"/>
        <v>0</v>
      </c>
      <c r="Y27" s="219"/>
      <c r="Z27" s="185">
        <v>0</v>
      </c>
      <c r="AA27" s="185">
        <v>0</v>
      </c>
      <c r="AB27" s="185">
        <v>0</v>
      </c>
      <c r="AC27" s="185">
        <v>0</v>
      </c>
      <c r="AD27" s="185">
        <v>0</v>
      </c>
      <c r="AE27" s="185">
        <v>0</v>
      </c>
      <c r="AF27" s="185">
        <v>0</v>
      </c>
      <c r="AG27" s="185">
        <v>0</v>
      </c>
      <c r="AH27" s="185">
        <v>0</v>
      </c>
      <c r="AI27" s="185">
        <v>0</v>
      </c>
      <c r="AJ27" s="185">
        <v>0</v>
      </c>
      <c r="AK27" s="185">
        <v>0</v>
      </c>
      <c r="AL27" s="186">
        <f t="shared" si="15"/>
        <v>0</v>
      </c>
      <c r="AM27" s="221"/>
      <c r="AN27" s="187">
        <v>0</v>
      </c>
      <c r="AO27" s="187">
        <v>0</v>
      </c>
      <c r="AP27" s="187">
        <v>0</v>
      </c>
      <c r="AQ27" s="187">
        <v>0</v>
      </c>
      <c r="AR27" s="187">
        <v>0</v>
      </c>
      <c r="AS27" s="187">
        <v>0</v>
      </c>
      <c r="AT27" s="187">
        <v>0</v>
      </c>
      <c r="AU27" s="187">
        <v>0</v>
      </c>
      <c r="AV27" s="187">
        <v>0</v>
      </c>
      <c r="AW27" s="187">
        <v>0</v>
      </c>
      <c r="AX27" s="187">
        <v>0</v>
      </c>
      <c r="AY27" s="187">
        <v>0</v>
      </c>
      <c r="AZ27" s="186">
        <f t="shared" si="16"/>
        <v>0</v>
      </c>
      <c r="BA27" s="221"/>
      <c r="BB27" s="187">
        <v>0</v>
      </c>
      <c r="BC27" s="187">
        <v>0</v>
      </c>
      <c r="BD27" s="187">
        <v>0</v>
      </c>
      <c r="BE27" s="187">
        <v>0</v>
      </c>
      <c r="BF27" s="187">
        <v>0</v>
      </c>
      <c r="BG27" s="187">
        <v>0</v>
      </c>
      <c r="BH27" s="187">
        <v>0</v>
      </c>
      <c r="BI27" s="187">
        <v>0</v>
      </c>
      <c r="BJ27" s="187">
        <v>0</v>
      </c>
      <c r="BK27" s="187">
        <v>0</v>
      </c>
      <c r="BL27" s="187">
        <v>0</v>
      </c>
      <c r="BM27" s="187">
        <v>0</v>
      </c>
      <c r="BN27" s="186">
        <f t="shared" si="17"/>
        <v>0</v>
      </c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 spans="1:80" ht="11.95" hidden="1" outlineLevel="1" thickBot="1" x14ac:dyDescent="0.3">
      <c r="A28" t="str">
        <f t="shared" si="13"/>
        <v>#hiderow</v>
      </c>
      <c r="E28" s="3"/>
      <c r="F28" s="3"/>
      <c r="G28" s="257" t="s">
        <v>6</v>
      </c>
      <c r="H28" s="131"/>
      <c r="I28" s="18"/>
      <c r="J28" s="18"/>
      <c r="K28" s="18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6">
        <f t="shared" si="14"/>
        <v>0</v>
      </c>
      <c r="Y28" s="219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6">
        <f t="shared" si="15"/>
        <v>0</v>
      </c>
      <c r="AM28" s="221"/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6">
        <f t="shared" si="16"/>
        <v>0</v>
      </c>
      <c r="BA28" s="221"/>
      <c r="BB28" s="187"/>
      <c r="BC28" s="187"/>
      <c r="BD28" s="187"/>
      <c r="BE28" s="187"/>
      <c r="BF28" s="187"/>
      <c r="BG28" s="187"/>
      <c r="BH28" s="187"/>
      <c r="BI28" s="187"/>
      <c r="BJ28" s="187"/>
      <c r="BK28" s="187"/>
      <c r="BL28" s="187"/>
      <c r="BM28" s="187"/>
      <c r="BN28" s="186">
        <f t="shared" si="17"/>
        <v>0</v>
      </c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 spans="1:80" ht="11.95" x14ac:dyDescent="0.25">
      <c r="C29" s="19" t="str">
        <f>"Total "&amp;C19</f>
        <v>Total Revenue</v>
      </c>
      <c r="D29" s="19"/>
      <c r="E29" s="19"/>
      <c r="F29" s="19"/>
      <c r="G29" s="19"/>
      <c r="H29" s="188"/>
      <c r="I29" s="188"/>
      <c r="J29" s="188"/>
      <c r="K29" s="188">
        <v>1</v>
      </c>
      <c r="L29" s="188">
        <f t="shared" ref="L29:X29" si="23">SUMIFS(L20:L28,$H20:$H28,"&lt;&gt;"&amp;$H$18,$D20:$D28,"&lt;&gt;*[-]*",$E20:$E28,"&lt;&gt;*[-]*",$F20:$F28,"&lt;&gt;*[-]*",$G20:$G28,"Revenue")</f>
        <v>182427.75</v>
      </c>
      <c r="M29" s="188">
        <f t="shared" si="23"/>
        <v>476821.5</v>
      </c>
      <c r="N29" s="188">
        <f t="shared" si="23"/>
        <v>355325.35</v>
      </c>
      <c r="O29" s="188">
        <f t="shared" si="23"/>
        <v>348680.4</v>
      </c>
      <c r="P29" s="188">
        <f t="shared" si="23"/>
        <v>289942.27</v>
      </c>
      <c r="Q29" s="188">
        <f t="shared" si="23"/>
        <v>407473</v>
      </c>
      <c r="R29" s="188">
        <f t="shared" si="23"/>
        <v>359685.76</v>
      </c>
      <c r="S29" s="188">
        <f t="shared" si="23"/>
        <v>391949.27</v>
      </c>
      <c r="T29" s="188">
        <f t="shared" si="23"/>
        <v>494501.86</v>
      </c>
      <c r="U29" s="188">
        <f t="shared" si="23"/>
        <v>420192.73</v>
      </c>
      <c r="V29" s="188">
        <f t="shared" si="23"/>
        <v>469862.72</v>
      </c>
      <c r="W29" s="188">
        <f t="shared" si="23"/>
        <v>576215</v>
      </c>
      <c r="X29" s="189">
        <f t="shared" si="23"/>
        <v>4773077.6100000003</v>
      </c>
      <c r="Z29" s="188">
        <f t="shared" ref="Z29:AL29" si="24">SUMIFS(Z20:Z28,$H20:$H28,"&lt;&gt;"&amp;$H$18,$D20:$D28,"&lt;&gt;*[-]*",$E20:$E28,"&lt;&gt;*[-]*",$F20:$F28,"&lt;&gt;*[-]*",$G20:$G28,"Revenue")</f>
        <v>529233.54</v>
      </c>
      <c r="AA29" s="188">
        <f t="shared" si="24"/>
        <v>531599.25592372206</v>
      </c>
      <c r="AB29" s="188">
        <f t="shared" si="24"/>
        <v>664499.06990465301</v>
      </c>
      <c r="AC29" s="188">
        <f t="shared" si="24"/>
        <v>531599.25592372206</v>
      </c>
      <c r="AD29" s="188">
        <f t="shared" si="24"/>
        <v>531599.25592372206</v>
      </c>
      <c r="AE29" s="188">
        <f t="shared" si="24"/>
        <v>664499.06990465301</v>
      </c>
      <c r="AF29" s="188">
        <f t="shared" si="24"/>
        <v>531599.25592372206</v>
      </c>
      <c r="AG29" s="188">
        <f t="shared" si="24"/>
        <v>531599.25592372206</v>
      </c>
      <c r="AH29" s="188">
        <f t="shared" si="24"/>
        <v>664499.06990465301</v>
      </c>
      <c r="AI29" s="188">
        <f t="shared" si="24"/>
        <v>531599.25592372206</v>
      </c>
      <c r="AJ29" s="188">
        <f t="shared" si="24"/>
        <v>531599.25592372206</v>
      </c>
      <c r="AK29" s="188">
        <f t="shared" si="24"/>
        <v>664499.06990465301</v>
      </c>
      <c r="AL29" s="189">
        <f t="shared" si="24"/>
        <v>6908424.6110846661</v>
      </c>
      <c r="AN29" s="188">
        <f t="shared" ref="AN29:AZ29" si="25">SUMIFS(AN20:AN28,$H20:$H28,"&lt;&gt;"&amp;$H$18,$D20:$D28,"&lt;&gt;*[-]*",$E20:$E28,"&lt;&gt;*[-]*",$F20:$F28,"&lt;&gt;*[-]*",$G20:$G28,"Revenue")</f>
        <v>531599.25592372206</v>
      </c>
      <c r="AO29" s="188">
        <f t="shared" si="25"/>
        <v>531599.25592372206</v>
      </c>
      <c r="AP29" s="188">
        <f t="shared" si="25"/>
        <v>664499.06990465301</v>
      </c>
      <c r="AQ29" s="188">
        <f t="shared" si="25"/>
        <v>531599.25592372206</v>
      </c>
      <c r="AR29" s="188">
        <f t="shared" si="25"/>
        <v>531599.25592372206</v>
      </c>
      <c r="AS29" s="188">
        <f t="shared" si="25"/>
        <v>664499.06990465301</v>
      </c>
      <c r="AT29" s="188">
        <f t="shared" si="25"/>
        <v>531599.25592372206</v>
      </c>
      <c r="AU29" s="188">
        <f t="shared" si="25"/>
        <v>531599.25592372206</v>
      </c>
      <c r="AV29" s="188">
        <f t="shared" si="25"/>
        <v>664499.06990465301</v>
      </c>
      <c r="AW29" s="188">
        <f t="shared" si="25"/>
        <v>531599.25592372206</v>
      </c>
      <c r="AX29" s="188">
        <f t="shared" si="25"/>
        <v>531599.25592372206</v>
      </c>
      <c r="AY29" s="188">
        <f t="shared" si="25"/>
        <v>664499.06990465301</v>
      </c>
      <c r="AZ29" s="189">
        <f t="shared" si="25"/>
        <v>6910790.3270083889</v>
      </c>
      <c r="BB29" s="188">
        <f t="shared" ref="BB29:BN29" si="26">SUMIFS(BB20:BB28,$H20:$H28,"&lt;&gt;"&amp;$H$18,$D20:$D28,"&lt;&gt;*[-]*",$E20:$E28,"&lt;&gt;*[-]*",$F20:$F28,"&lt;&gt;*[-]*",$G20:$G28,"Revenue")</f>
        <v>531599.25592372206</v>
      </c>
      <c r="BC29" s="188">
        <f t="shared" si="26"/>
        <v>531599.25592372206</v>
      </c>
      <c r="BD29" s="188">
        <f t="shared" si="26"/>
        <v>664499.06990465301</v>
      </c>
      <c r="BE29" s="188">
        <f t="shared" si="26"/>
        <v>531599.25592372206</v>
      </c>
      <c r="BF29" s="188">
        <f t="shared" si="26"/>
        <v>531599.25592372206</v>
      </c>
      <c r="BG29" s="188">
        <f t="shared" si="26"/>
        <v>664499.06990465301</v>
      </c>
      <c r="BH29" s="188">
        <f t="shared" si="26"/>
        <v>531599.25592372206</v>
      </c>
      <c r="BI29" s="188">
        <f t="shared" si="26"/>
        <v>531599.25592372206</v>
      </c>
      <c r="BJ29" s="188">
        <f t="shared" si="26"/>
        <v>664499.06990465301</v>
      </c>
      <c r="BK29" s="188">
        <f t="shared" si="26"/>
        <v>531599.25592372206</v>
      </c>
      <c r="BL29" s="188">
        <f t="shared" si="26"/>
        <v>531599.25592372206</v>
      </c>
      <c r="BM29" s="188">
        <f t="shared" si="26"/>
        <v>664499.06990465301</v>
      </c>
      <c r="BN29" s="189">
        <f t="shared" si="26"/>
        <v>6910790.3270083889</v>
      </c>
      <c r="BP29" s="203">
        <f t="shared" ref="BP29:CB29" si="27">SUMIFS(BP20:BP28,$H20:$H28,"&lt;&gt;"&amp;$H$18,$D20:$D28,"&lt;&gt;*[-]*",$E20:$E28,"&lt;&gt;*[-]*",$F20:$F28,"&lt;&gt;*[-]*",$G20:$G28,"&lt;&gt;*[-]*")</f>
        <v>0</v>
      </c>
      <c r="BQ29" s="203">
        <f t="shared" si="27"/>
        <v>0</v>
      </c>
      <c r="BR29" s="203">
        <f t="shared" si="27"/>
        <v>0</v>
      </c>
      <c r="BS29" s="203">
        <f t="shared" si="27"/>
        <v>0</v>
      </c>
      <c r="BT29" s="203">
        <f t="shared" si="27"/>
        <v>0</v>
      </c>
      <c r="BU29" s="203">
        <f t="shared" si="27"/>
        <v>0</v>
      </c>
      <c r="BV29" s="203">
        <f t="shared" si="27"/>
        <v>0</v>
      </c>
      <c r="BW29" s="203">
        <f t="shared" si="27"/>
        <v>0</v>
      </c>
      <c r="BX29" s="203">
        <f t="shared" si="27"/>
        <v>0</v>
      </c>
      <c r="BY29" s="203">
        <f t="shared" si="27"/>
        <v>0</v>
      </c>
      <c r="BZ29" s="203">
        <f t="shared" si="27"/>
        <v>0</v>
      </c>
      <c r="CA29" s="203">
        <f t="shared" si="27"/>
        <v>0</v>
      </c>
      <c r="CB29" s="204">
        <f t="shared" si="27"/>
        <v>0</v>
      </c>
    </row>
    <row r="31" spans="1:80" ht="12.45" thickBot="1" x14ac:dyDescent="0.3">
      <c r="C31" s="4" t="s">
        <v>17</v>
      </c>
      <c r="D31" s="4"/>
      <c r="E31" s="4"/>
      <c r="F31" s="4"/>
      <c r="G31" s="4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</row>
    <row r="32" spans="1:80" ht="11.95" hidden="1" thickBot="1" x14ac:dyDescent="0.3">
      <c r="A32" t="s">
        <v>1</v>
      </c>
      <c r="E32" s="3"/>
      <c r="F32" s="3"/>
      <c r="G32" s="3" t="s">
        <v>17</v>
      </c>
      <c r="H32" s="3"/>
      <c r="I32" s="18"/>
      <c r="J32" s="18"/>
      <c r="K32" s="18"/>
      <c r="L32" s="185">
        <v>138633.01999999999</v>
      </c>
      <c r="M32" s="185">
        <v>302764.37</v>
      </c>
      <c r="N32" s="185">
        <v>334059.55</v>
      </c>
      <c r="O32" s="185">
        <v>284040.83</v>
      </c>
      <c r="P32" s="185">
        <v>334669.87</v>
      </c>
      <c r="Q32" s="185">
        <v>261079.4</v>
      </c>
      <c r="R32" s="185">
        <v>256583.57</v>
      </c>
      <c r="S32" s="185">
        <v>233870.01</v>
      </c>
      <c r="T32" s="185">
        <v>294157.28999999998</v>
      </c>
      <c r="U32" s="185">
        <v>275706.77</v>
      </c>
      <c r="V32" s="185">
        <v>262167.32</v>
      </c>
      <c r="W32" s="185">
        <v>312609.17</v>
      </c>
      <c r="X32" s="186">
        <f>SUM(L32:W32)</f>
        <v>3290341.17</v>
      </c>
      <c r="Y32" s="219"/>
      <c r="Z32" s="185">
        <v>275240.21000000002</v>
      </c>
      <c r="AA32" s="185">
        <v>319089.404966973</v>
      </c>
      <c r="AB32" s="185">
        <v>385081.50620871602</v>
      </c>
      <c r="AC32" s="185">
        <v>319089.404966973</v>
      </c>
      <c r="AD32" s="185">
        <v>319089.404966973</v>
      </c>
      <c r="AE32" s="185">
        <v>385081.50620871602</v>
      </c>
      <c r="AF32" s="185">
        <v>319089.404966973</v>
      </c>
      <c r="AG32" s="185">
        <v>319089.404966973</v>
      </c>
      <c r="AH32" s="185">
        <v>385081.50620871602</v>
      </c>
      <c r="AI32" s="185">
        <v>319089.404966973</v>
      </c>
      <c r="AJ32" s="185">
        <v>319089.404966973</v>
      </c>
      <c r="AK32" s="185">
        <v>385081.50620871602</v>
      </c>
      <c r="AL32" s="186">
        <f>SUM(Z32:AK32)</f>
        <v>4049192.0696036741</v>
      </c>
      <c r="AM32" s="221"/>
      <c r="AN32" s="187">
        <v>319089.404966973</v>
      </c>
      <c r="AO32" s="187">
        <v>319089.404966973</v>
      </c>
      <c r="AP32" s="187">
        <v>385081.50620871602</v>
      </c>
      <c r="AQ32" s="187">
        <v>319089.404966973</v>
      </c>
      <c r="AR32" s="187">
        <v>319089.404966973</v>
      </c>
      <c r="AS32" s="187">
        <v>385081.50620871602</v>
      </c>
      <c r="AT32" s="187">
        <v>319089.404966973</v>
      </c>
      <c r="AU32" s="187">
        <v>319089.404966973</v>
      </c>
      <c r="AV32" s="187">
        <v>385081.50620871602</v>
      </c>
      <c r="AW32" s="187">
        <v>319089.404966973</v>
      </c>
      <c r="AX32" s="187">
        <v>319089.404966973</v>
      </c>
      <c r="AY32" s="187">
        <v>385081.50620871602</v>
      </c>
      <c r="AZ32" s="186">
        <f>SUM(AN32:AY32)</f>
        <v>4093041.2645706469</v>
      </c>
      <c r="BA32" s="221"/>
      <c r="BB32" s="187">
        <v>319089.404966973</v>
      </c>
      <c r="BC32" s="187">
        <v>319089.404966973</v>
      </c>
      <c r="BD32" s="187">
        <v>385081.50620871602</v>
      </c>
      <c r="BE32" s="187">
        <v>319089.404966973</v>
      </c>
      <c r="BF32" s="187">
        <v>319089.404966973</v>
      </c>
      <c r="BG32" s="187">
        <v>385081.50620871602</v>
      </c>
      <c r="BH32" s="187">
        <v>319089.404966973</v>
      </c>
      <c r="BI32" s="187">
        <v>319089.404966973</v>
      </c>
      <c r="BJ32" s="187">
        <v>385081.50620871602</v>
      </c>
      <c r="BK32" s="187">
        <v>319089.404966973</v>
      </c>
      <c r="BL32" s="187">
        <v>319089.404966973</v>
      </c>
      <c r="BM32" s="187">
        <v>385081.50620871602</v>
      </c>
      <c r="BN32" s="186">
        <f>SUM(BB32:BM32)</f>
        <v>4093041.2645706469</v>
      </c>
      <c r="BP32"/>
      <c r="BQ32"/>
      <c r="BR32"/>
      <c r="BS32"/>
      <c r="BT32"/>
      <c r="BU32"/>
      <c r="BV32"/>
      <c r="BW32"/>
      <c r="BX32"/>
      <c r="BY32"/>
      <c r="BZ32"/>
      <c r="CA32"/>
      <c r="CB32">
        <f>SUM(BP32:CA32)</f>
        <v>0</v>
      </c>
    </row>
    <row r="33" spans="1:80" ht="11.95" thickBot="1" x14ac:dyDescent="0.3">
      <c r="E33" s="3"/>
      <c r="F33" s="3"/>
      <c r="G33" s="253" t="s">
        <v>99</v>
      </c>
      <c r="H33" s="3"/>
      <c r="I33" s="18"/>
      <c r="J33" s="18"/>
      <c r="K33" s="18"/>
      <c r="L33" s="185">
        <v>138633.01999999999</v>
      </c>
      <c r="M33" s="185">
        <v>302764.37</v>
      </c>
      <c r="N33" s="185">
        <v>334059.55</v>
      </c>
      <c r="O33" s="185">
        <v>284040.83</v>
      </c>
      <c r="P33" s="185">
        <v>334669.87</v>
      </c>
      <c r="Q33" s="185">
        <v>261079.4</v>
      </c>
      <c r="R33" s="185">
        <v>256583.57</v>
      </c>
      <c r="S33" s="185">
        <v>233870.01</v>
      </c>
      <c r="T33" s="185">
        <v>294157.28999999998</v>
      </c>
      <c r="U33" s="185">
        <v>275706.77</v>
      </c>
      <c r="V33" s="185">
        <v>262167.32</v>
      </c>
      <c r="W33" s="185">
        <v>312609.17</v>
      </c>
      <c r="X33" s="186">
        <f t="shared" ref="X33:X49" si="28">SUM(L33:W33)</f>
        <v>3290341.17</v>
      </c>
      <c r="Y33" s="219"/>
      <c r="Z33" s="185">
        <v>275240.21000000002</v>
      </c>
      <c r="AA33" s="185">
        <v>319089.404966973</v>
      </c>
      <c r="AB33" s="185">
        <v>385081.50620871602</v>
      </c>
      <c r="AC33" s="185">
        <v>319089.404966973</v>
      </c>
      <c r="AD33" s="185">
        <v>319089.404966973</v>
      </c>
      <c r="AE33" s="185">
        <v>385081.50620871602</v>
      </c>
      <c r="AF33" s="185">
        <v>319089.404966973</v>
      </c>
      <c r="AG33" s="185">
        <v>319089.404966973</v>
      </c>
      <c r="AH33" s="185">
        <v>385081.50620871602</v>
      </c>
      <c r="AI33" s="185">
        <v>319089.404966973</v>
      </c>
      <c r="AJ33" s="185">
        <v>319089.404966973</v>
      </c>
      <c r="AK33" s="185">
        <v>385081.50620871602</v>
      </c>
      <c r="AL33" s="186">
        <f t="shared" ref="AL33:AL49" si="29">SUM(Z33:AK33)</f>
        <v>4049192.0696036741</v>
      </c>
      <c r="AM33" s="221"/>
      <c r="AN33" s="187">
        <v>319089.404966973</v>
      </c>
      <c r="AO33" s="187">
        <v>319089.404966973</v>
      </c>
      <c r="AP33" s="187">
        <v>385081.50620871602</v>
      </c>
      <c r="AQ33" s="187">
        <v>319089.404966973</v>
      </c>
      <c r="AR33" s="187">
        <v>319089.404966973</v>
      </c>
      <c r="AS33" s="187">
        <v>385081.50620871602</v>
      </c>
      <c r="AT33" s="187">
        <v>319089.404966973</v>
      </c>
      <c r="AU33" s="187">
        <v>319089.404966973</v>
      </c>
      <c r="AV33" s="187">
        <v>385081.50620871602</v>
      </c>
      <c r="AW33" s="187">
        <v>319089.404966973</v>
      </c>
      <c r="AX33" s="187">
        <v>319089.404966973</v>
      </c>
      <c r="AY33" s="187">
        <v>385081.50620871602</v>
      </c>
      <c r="AZ33" s="186">
        <f t="shared" ref="AZ33:AZ49" si="30">SUM(AN33:AY33)</f>
        <v>4093041.2645706469</v>
      </c>
      <c r="BA33" s="221"/>
      <c r="BB33" s="187">
        <v>319089.404966973</v>
      </c>
      <c r="BC33" s="187">
        <v>319089.404966973</v>
      </c>
      <c r="BD33" s="187">
        <v>385081.50620871602</v>
      </c>
      <c r="BE33" s="187">
        <v>319089.404966973</v>
      </c>
      <c r="BF33" s="187">
        <v>319089.404966973</v>
      </c>
      <c r="BG33" s="187">
        <v>385081.50620871602</v>
      </c>
      <c r="BH33" s="187">
        <v>319089.404966973</v>
      </c>
      <c r="BI33" s="187">
        <v>319089.404966973</v>
      </c>
      <c r="BJ33" s="187">
        <v>385081.50620871602</v>
      </c>
      <c r="BK33" s="187">
        <v>319089.404966973</v>
      </c>
      <c r="BL33" s="187">
        <v>319089.404966973</v>
      </c>
      <c r="BM33" s="187">
        <v>385081.50620871602</v>
      </c>
      <c r="BN33" s="186">
        <f t="shared" ref="BN33:BN49" si="31">SUM(BB33:BM33)</f>
        <v>4093041.2645706469</v>
      </c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 spans="1:80" ht="11.95" hidden="1" outlineLevel="1" thickBot="1" x14ac:dyDescent="0.3">
      <c r="A34" t="str">
        <f t="shared" ref="A34" si="32">IF(LEFT(G34,3)="Mul", "#hiderow", "#showrow")</f>
        <v>#hiderow</v>
      </c>
      <c r="E34" s="3"/>
      <c r="F34" s="3"/>
      <c r="G34" s="257" t="s">
        <v>6</v>
      </c>
      <c r="H34" s="3"/>
      <c r="I34" s="18"/>
      <c r="J34" s="18"/>
      <c r="K34" s="18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6">
        <f t="shared" si="28"/>
        <v>0</v>
      </c>
      <c r="Y34" s="219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6">
        <f t="shared" si="29"/>
        <v>0</v>
      </c>
      <c r="AM34" s="221"/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6">
        <f t="shared" si="30"/>
        <v>0</v>
      </c>
      <c r="BA34" s="221"/>
      <c r="BB34" s="187"/>
      <c r="BC34" s="187"/>
      <c r="BD34" s="187"/>
      <c r="BE34" s="187"/>
      <c r="BF34" s="187"/>
      <c r="BG34" s="187"/>
      <c r="BH34" s="187"/>
      <c r="BI34" s="187"/>
      <c r="BJ34" s="187"/>
      <c r="BK34" s="187"/>
      <c r="BL34" s="187"/>
      <c r="BM34" s="187"/>
      <c r="BN34" s="186">
        <f t="shared" si="31"/>
        <v>0</v>
      </c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 spans="1:80" ht="11.95" outlineLevel="1" thickBot="1" x14ac:dyDescent="0.3">
      <c r="A35" t="str">
        <f t="shared" ref="A35:A42" si="33">IF(LEFT(G35,3)="Mul", "#hiderow", "#showrow")</f>
        <v>#showrow</v>
      </c>
      <c r="E35" s="3"/>
      <c r="F35" s="3"/>
      <c r="G35" s="257" t="s">
        <v>149</v>
      </c>
      <c r="H35" s="3"/>
      <c r="I35" s="18"/>
      <c r="J35" s="18"/>
      <c r="K35" s="18"/>
      <c r="L35" s="185"/>
      <c r="M35" s="185">
        <v>35549.589999999997</v>
      </c>
      <c r="N35" s="185">
        <v>41253.949999999997</v>
      </c>
      <c r="O35" s="185">
        <v>30469.33</v>
      </c>
      <c r="P35" s="185">
        <v>60630.3</v>
      </c>
      <c r="Q35" s="185">
        <v>1738.89</v>
      </c>
      <c r="R35" s="185">
        <v>9042.58</v>
      </c>
      <c r="S35" s="185">
        <v>3377.7</v>
      </c>
      <c r="T35" s="185">
        <v>29761.75</v>
      </c>
      <c r="U35" s="185"/>
      <c r="V35" s="185">
        <v>43651.3</v>
      </c>
      <c r="W35" s="185">
        <v>29963.3</v>
      </c>
      <c r="X35" s="186">
        <f t="shared" ref="X35:X42" si="34">SUM(L35:W35)</f>
        <v>285438.69</v>
      </c>
      <c r="Y35" s="219"/>
      <c r="Z35" s="185">
        <v>3219.01</v>
      </c>
      <c r="AA35" s="185">
        <v>13358.069632537799</v>
      </c>
      <c r="AB35" s="185">
        <v>16697.587040672301</v>
      </c>
      <c r="AC35" s="185">
        <v>13358.069632537799</v>
      </c>
      <c r="AD35" s="185">
        <v>13358.069632537799</v>
      </c>
      <c r="AE35" s="185">
        <v>16697.587040672301</v>
      </c>
      <c r="AF35" s="185">
        <v>13358.069632537799</v>
      </c>
      <c r="AG35" s="185">
        <v>13358.069632537799</v>
      </c>
      <c r="AH35" s="185">
        <v>16697.587040672301</v>
      </c>
      <c r="AI35" s="185">
        <v>13358.069632537799</v>
      </c>
      <c r="AJ35" s="185">
        <v>13358.069632537799</v>
      </c>
      <c r="AK35" s="185">
        <v>16697.587040672301</v>
      </c>
      <c r="AL35" s="186">
        <f t="shared" ref="AL35:AL42" si="35">SUM(Z35:AK35)</f>
        <v>163515.8455904538</v>
      </c>
      <c r="AM35" s="221"/>
      <c r="AN35" s="187">
        <v>13358.069632537799</v>
      </c>
      <c r="AO35" s="187">
        <v>13358.069632537799</v>
      </c>
      <c r="AP35" s="187">
        <v>16697.587040672301</v>
      </c>
      <c r="AQ35" s="187">
        <v>13358.069632537799</v>
      </c>
      <c r="AR35" s="187">
        <v>13358.069632537799</v>
      </c>
      <c r="AS35" s="187">
        <v>16697.587040672301</v>
      </c>
      <c r="AT35" s="187">
        <v>13358.069632537799</v>
      </c>
      <c r="AU35" s="187">
        <v>13358.069632537799</v>
      </c>
      <c r="AV35" s="187">
        <v>16697.587040672301</v>
      </c>
      <c r="AW35" s="187">
        <v>13358.069632537799</v>
      </c>
      <c r="AX35" s="187">
        <v>13358.069632537799</v>
      </c>
      <c r="AY35" s="187">
        <v>16697.587040672301</v>
      </c>
      <c r="AZ35" s="186">
        <f t="shared" ref="AZ35:AZ42" si="36">SUM(AN35:AY35)</f>
        <v>173654.9052229916</v>
      </c>
      <c r="BA35" s="221"/>
      <c r="BB35" s="187">
        <v>13358.069632537799</v>
      </c>
      <c r="BC35" s="187">
        <v>13358.069632537799</v>
      </c>
      <c r="BD35" s="187">
        <v>16697.587040672301</v>
      </c>
      <c r="BE35" s="187">
        <v>13358.069632537799</v>
      </c>
      <c r="BF35" s="187">
        <v>13358.069632537799</v>
      </c>
      <c r="BG35" s="187">
        <v>16697.587040672301</v>
      </c>
      <c r="BH35" s="187">
        <v>13358.069632537799</v>
      </c>
      <c r="BI35" s="187">
        <v>13358.069632537799</v>
      </c>
      <c r="BJ35" s="187">
        <v>16697.587040672301</v>
      </c>
      <c r="BK35" s="187">
        <v>13358.069632537799</v>
      </c>
      <c r="BL35" s="187">
        <v>13358.069632537799</v>
      </c>
      <c r="BM35" s="187">
        <v>16697.587040672301</v>
      </c>
      <c r="BN35" s="186">
        <f t="shared" ref="BN35:BN42" si="37">SUM(BB35:BM35)</f>
        <v>173654.9052229916</v>
      </c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 spans="1:80" ht="11.95" outlineLevel="1" thickBot="1" x14ac:dyDescent="0.3">
      <c r="A36" t="str">
        <f t="shared" si="33"/>
        <v>#showrow</v>
      </c>
      <c r="E36" s="3"/>
      <c r="F36" s="3"/>
      <c r="G36" s="257" t="s">
        <v>135</v>
      </c>
      <c r="H36" s="3"/>
      <c r="I36" s="18"/>
      <c r="J36" s="18"/>
      <c r="K36" s="18"/>
      <c r="L36" s="185">
        <v>138633.01999999999</v>
      </c>
      <c r="M36" s="185">
        <v>267214.78000000003</v>
      </c>
      <c r="N36" s="185">
        <v>292805.59999999998</v>
      </c>
      <c r="O36" s="185">
        <v>253571.5</v>
      </c>
      <c r="P36" s="185">
        <v>274039.57</v>
      </c>
      <c r="Q36" s="185">
        <v>67996.08</v>
      </c>
      <c r="R36" s="185">
        <v>64230.48</v>
      </c>
      <c r="S36" s="185">
        <v>60992.94</v>
      </c>
      <c r="T36" s="185">
        <v>63545.73</v>
      </c>
      <c r="U36" s="185">
        <v>112881.17</v>
      </c>
      <c r="V36" s="185">
        <v>63210.18</v>
      </c>
      <c r="W36" s="185">
        <v>108168.06</v>
      </c>
      <c r="X36" s="186">
        <f t="shared" si="34"/>
        <v>1767289.1099999999</v>
      </c>
      <c r="Y36" s="219"/>
      <c r="Z36" s="185">
        <v>42386.22</v>
      </c>
      <c r="AA36" s="185">
        <v>176353.22159817201</v>
      </c>
      <c r="AB36" s="185">
        <v>220441.526997715</v>
      </c>
      <c r="AC36" s="185">
        <v>176353.22159817201</v>
      </c>
      <c r="AD36" s="185">
        <v>176353.22159817201</v>
      </c>
      <c r="AE36" s="185">
        <v>220441.526997715</v>
      </c>
      <c r="AF36" s="185">
        <v>176353.22159817201</v>
      </c>
      <c r="AG36" s="185">
        <v>176353.22159817201</v>
      </c>
      <c r="AH36" s="185">
        <v>220441.526997715</v>
      </c>
      <c r="AI36" s="185">
        <v>176353.22159817201</v>
      </c>
      <c r="AJ36" s="185">
        <v>176353.22159817201</v>
      </c>
      <c r="AK36" s="185">
        <v>220441.526997715</v>
      </c>
      <c r="AL36" s="186">
        <f t="shared" si="35"/>
        <v>2158624.8791780644</v>
      </c>
      <c r="AM36" s="221"/>
      <c r="AN36" s="187">
        <v>176353.22159817201</v>
      </c>
      <c r="AO36" s="187">
        <v>176353.22159817201</v>
      </c>
      <c r="AP36" s="187">
        <v>220441.526997715</v>
      </c>
      <c r="AQ36" s="187">
        <v>176353.22159817201</v>
      </c>
      <c r="AR36" s="187">
        <v>176353.22159817201</v>
      </c>
      <c r="AS36" s="187">
        <v>220441.526997715</v>
      </c>
      <c r="AT36" s="187">
        <v>176353.22159817201</v>
      </c>
      <c r="AU36" s="187">
        <v>176353.22159817201</v>
      </c>
      <c r="AV36" s="187">
        <v>220441.526997715</v>
      </c>
      <c r="AW36" s="187">
        <v>176353.22159817201</v>
      </c>
      <c r="AX36" s="187">
        <v>176353.22159817201</v>
      </c>
      <c r="AY36" s="187">
        <v>220441.526997715</v>
      </c>
      <c r="AZ36" s="186">
        <f t="shared" si="36"/>
        <v>2292591.8807762363</v>
      </c>
      <c r="BA36" s="221"/>
      <c r="BB36" s="187">
        <v>176353.22159817201</v>
      </c>
      <c r="BC36" s="187">
        <v>176353.22159817201</v>
      </c>
      <c r="BD36" s="187">
        <v>220441.526997715</v>
      </c>
      <c r="BE36" s="187">
        <v>176353.22159817201</v>
      </c>
      <c r="BF36" s="187">
        <v>176353.22159817201</v>
      </c>
      <c r="BG36" s="187">
        <v>220441.526997715</v>
      </c>
      <c r="BH36" s="187">
        <v>176353.22159817201</v>
      </c>
      <c r="BI36" s="187">
        <v>176353.22159817201</v>
      </c>
      <c r="BJ36" s="187">
        <v>220441.526997715</v>
      </c>
      <c r="BK36" s="187">
        <v>176353.22159817201</v>
      </c>
      <c r="BL36" s="187">
        <v>176353.22159817201</v>
      </c>
      <c r="BM36" s="187">
        <v>220441.526997715</v>
      </c>
      <c r="BN36" s="186">
        <f t="shared" si="37"/>
        <v>2292591.8807762363</v>
      </c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 spans="1:80" ht="11.95" outlineLevel="1" thickBot="1" x14ac:dyDescent="0.3">
      <c r="A37" t="str">
        <f t="shared" si="33"/>
        <v>#showrow</v>
      </c>
      <c r="E37" s="3"/>
      <c r="F37" s="3"/>
      <c r="G37" s="257" t="s">
        <v>150</v>
      </c>
      <c r="H37" s="3"/>
      <c r="I37" s="18"/>
      <c r="J37" s="18"/>
      <c r="K37" s="18"/>
      <c r="L37" s="185"/>
      <c r="M37" s="185"/>
      <c r="N37" s="185"/>
      <c r="O37" s="185"/>
      <c r="P37" s="185"/>
      <c r="Q37" s="185">
        <v>2004.79</v>
      </c>
      <c r="R37" s="185">
        <v>6647.16</v>
      </c>
      <c r="S37" s="185">
        <v>3652.55</v>
      </c>
      <c r="T37" s="185">
        <v>12013.12</v>
      </c>
      <c r="U37" s="185"/>
      <c r="V37" s="185">
        <v>3938.51</v>
      </c>
      <c r="W37" s="185">
        <v>10084.290000000001</v>
      </c>
      <c r="X37" s="186">
        <f t="shared" si="34"/>
        <v>38340.420000000006</v>
      </c>
      <c r="Y37" s="219"/>
      <c r="Z37" s="185">
        <v>2368.0100000000002</v>
      </c>
      <c r="AA37" s="185">
        <v>5228.6381562497199</v>
      </c>
      <c r="AB37" s="185">
        <v>6535.7976953121597</v>
      </c>
      <c r="AC37" s="185">
        <v>5228.6381562497199</v>
      </c>
      <c r="AD37" s="185">
        <v>5228.6381562497199</v>
      </c>
      <c r="AE37" s="185">
        <v>6535.7976953121597</v>
      </c>
      <c r="AF37" s="185">
        <v>5228.6381562497199</v>
      </c>
      <c r="AG37" s="185">
        <v>5228.6381562497199</v>
      </c>
      <c r="AH37" s="185">
        <v>6535.7976953121597</v>
      </c>
      <c r="AI37" s="185">
        <v>5228.6381562497199</v>
      </c>
      <c r="AJ37" s="185">
        <v>5228.6381562497199</v>
      </c>
      <c r="AK37" s="185">
        <v>6535.7976953121597</v>
      </c>
      <c r="AL37" s="186">
        <f t="shared" si="35"/>
        <v>65111.667874996674</v>
      </c>
      <c r="AM37" s="221"/>
      <c r="AN37" s="187">
        <v>5228.6381562497199</v>
      </c>
      <c r="AO37" s="187">
        <v>5228.6381562497199</v>
      </c>
      <c r="AP37" s="187">
        <v>6535.7976953121597</v>
      </c>
      <c r="AQ37" s="187">
        <v>5228.6381562497199</v>
      </c>
      <c r="AR37" s="187">
        <v>5228.6381562497199</v>
      </c>
      <c r="AS37" s="187">
        <v>6535.7976953121597</v>
      </c>
      <c r="AT37" s="187">
        <v>5228.6381562497199</v>
      </c>
      <c r="AU37" s="187">
        <v>5228.6381562497199</v>
      </c>
      <c r="AV37" s="187">
        <v>6535.7976953121597</v>
      </c>
      <c r="AW37" s="187">
        <v>5228.6381562497199</v>
      </c>
      <c r="AX37" s="187">
        <v>5228.6381562497199</v>
      </c>
      <c r="AY37" s="187">
        <v>6535.7976953121597</v>
      </c>
      <c r="AZ37" s="186">
        <f t="shared" si="36"/>
        <v>67972.296031246398</v>
      </c>
      <c r="BA37" s="221"/>
      <c r="BB37" s="187">
        <v>5228.6381562497199</v>
      </c>
      <c r="BC37" s="187">
        <v>5228.6381562497199</v>
      </c>
      <c r="BD37" s="187">
        <v>6535.7976953121597</v>
      </c>
      <c r="BE37" s="187">
        <v>5228.6381562497199</v>
      </c>
      <c r="BF37" s="187">
        <v>5228.6381562497199</v>
      </c>
      <c r="BG37" s="187">
        <v>6535.7976953121597</v>
      </c>
      <c r="BH37" s="187">
        <v>5228.6381562497199</v>
      </c>
      <c r="BI37" s="187">
        <v>5228.6381562497199</v>
      </c>
      <c r="BJ37" s="187">
        <v>6535.7976953121597</v>
      </c>
      <c r="BK37" s="187">
        <v>5228.6381562497199</v>
      </c>
      <c r="BL37" s="187">
        <v>5228.6381562497199</v>
      </c>
      <c r="BM37" s="187">
        <v>6535.7976953121597</v>
      </c>
      <c r="BN37" s="186">
        <f t="shared" si="37"/>
        <v>67972.296031246398</v>
      </c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spans="1:80" ht="11.95" outlineLevel="1" thickBot="1" x14ac:dyDescent="0.3">
      <c r="A38" t="str">
        <f t="shared" si="33"/>
        <v>#showrow</v>
      </c>
      <c r="E38" s="3"/>
      <c r="F38" s="3"/>
      <c r="G38" s="257" t="s">
        <v>136</v>
      </c>
      <c r="H38" s="3"/>
      <c r="I38" s="18"/>
      <c r="J38" s="18"/>
      <c r="K38" s="18"/>
      <c r="L38" s="185"/>
      <c r="M38" s="185"/>
      <c r="N38" s="185"/>
      <c r="O38" s="185"/>
      <c r="P38" s="185"/>
      <c r="Q38" s="185">
        <v>78393.740000000005</v>
      </c>
      <c r="R38" s="185">
        <v>47215.53</v>
      </c>
      <c r="S38" s="185">
        <v>57601.599999999999</v>
      </c>
      <c r="T38" s="185">
        <v>67340.86</v>
      </c>
      <c r="U38" s="185">
        <v>62685.47</v>
      </c>
      <c r="V38" s="185">
        <v>64942.18</v>
      </c>
      <c r="W38" s="185">
        <v>96957.16</v>
      </c>
      <c r="X38" s="186">
        <f t="shared" si="34"/>
        <v>475136.53999999992</v>
      </c>
      <c r="Y38" s="219"/>
      <c r="Z38" s="185">
        <v>62458.1</v>
      </c>
      <c r="AA38" s="185">
        <v>69028.475580013997</v>
      </c>
      <c r="AB38" s="185">
        <v>86285.594475017497</v>
      </c>
      <c r="AC38" s="185">
        <v>69028.475580013997</v>
      </c>
      <c r="AD38" s="185">
        <v>69028.475580013997</v>
      </c>
      <c r="AE38" s="185">
        <v>86285.594475017497</v>
      </c>
      <c r="AF38" s="185">
        <v>69028.475580013997</v>
      </c>
      <c r="AG38" s="185">
        <v>69028.475580013997</v>
      </c>
      <c r="AH38" s="185">
        <v>86285.594475017497</v>
      </c>
      <c r="AI38" s="185">
        <v>69028.475580013997</v>
      </c>
      <c r="AJ38" s="185">
        <v>69028.475580013997</v>
      </c>
      <c r="AK38" s="185">
        <v>86285.594475017497</v>
      </c>
      <c r="AL38" s="186">
        <f t="shared" si="35"/>
        <v>890799.80696016795</v>
      </c>
      <c r="AM38" s="221"/>
      <c r="AN38" s="187">
        <v>69028.475580013997</v>
      </c>
      <c r="AO38" s="187">
        <v>69028.475580013997</v>
      </c>
      <c r="AP38" s="187">
        <v>86285.594475017497</v>
      </c>
      <c r="AQ38" s="187">
        <v>69028.475580013997</v>
      </c>
      <c r="AR38" s="187">
        <v>69028.475580013997</v>
      </c>
      <c r="AS38" s="187">
        <v>86285.594475017497</v>
      </c>
      <c r="AT38" s="187">
        <v>69028.475580013997</v>
      </c>
      <c r="AU38" s="187">
        <v>69028.475580013997</v>
      </c>
      <c r="AV38" s="187">
        <v>86285.594475017497</v>
      </c>
      <c r="AW38" s="187">
        <v>69028.475580013997</v>
      </c>
      <c r="AX38" s="187">
        <v>69028.475580013997</v>
      </c>
      <c r="AY38" s="187">
        <v>86285.594475017497</v>
      </c>
      <c r="AZ38" s="186">
        <f t="shared" si="36"/>
        <v>897370.18254018214</v>
      </c>
      <c r="BA38" s="221"/>
      <c r="BB38" s="187">
        <v>69028.475580013997</v>
      </c>
      <c r="BC38" s="187">
        <v>69028.475580013997</v>
      </c>
      <c r="BD38" s="187">
        <v>86285.594475017497</v>
      </c>
      <c r="BE38" s="187">
        <v>69028.475580013997</v>
      </c>
      <c r="BF38" s="187">
        <v>69028.475580013997</v>
      </c>
      <c r="BG38" s="187">
        <v>86285.594475017497</v>
      </c>
      <c r="BH38" s="187">
        <v>69028.475580013997</v>
      </c>
      <c r="BI38" s="187">
        <v>69028.475580013997</v>
      </c>
      <c r="BJ38" s="187">
        <v>86285.594475017497</v>
      </c>
      <c r="BK38" s="187">
        <v>69028.475580013997</v>
      </c>
      <c r="BL38" s="187">
        <v>69028.475580013997</v>
      </c>
      <c r="BM38" s="187">
        <v>86285.594475017497</v>
      </c>
      <c r="BN38" s="186">
        <f t="shared" si="37"/>
        <v>897370.18254018214</v>
      </c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spans="1:80" ht="11.95" outlineLevel="1" thickBot="1" x14ac:dyDescent="0.3">
      <c r="A39" t="str">
        <f t="shared" si="33"/>
        <v>#showrow</v>
      </c>
      <c r="E39" s="3"/>
      <c r="F39" s="3"/>
      <c r="G39" s="257" t="s">
        <v>137</v>
      </c>
      <c r="H39" s="3"/>
      <c r="I39" s="18"/>
      <c r="J39" s="18"/>
      <c r="K39" s="18"/>
      <c r="L39" s="185"/>
      <c r="M39" s="185"/>
      <c r="N39" s="185"/>
      <c r="O39" s="185"/>
      <c r="P39" s="185"/>
      <c r="Q39" s="185">
        <v>7140.19</v>
      </c>
      <c r="R39" s="185">
        <v>18252.669999999998</v>
      </c>
      <c r="S39" s="185">
        <v>-3767.53</v>
      </c>
      <c r="T39" s="185">
        <v>1603.12</v>
      </c>
      <c r="U39" s="185">
        <v>-12739.35</v>
      </c>
      <c r="V39" s="185">
        <v>-863.89</v>
      </c>
      <c r="W39" s="185">
        <v>-66858.350000000006</v>
      </c>
      <c r="X39" s="186">
        <f t="shared" si="34"/>
        <v>-57233.140000000007</v>
      </c>
      <c r="Y39" s="219"/>
      <c r="Z39" s="185">
        <v>63782.77</v>
      </c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6">
        <f t="shared" si="35"/>
        <v>63782.77</v>
      </c>
      <c r="AM39" s="221"/>
      <c r="AN39" s="187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6">
        <f t="shared" si="36"/>
        <v>0</v>
      </c>
      <c r="BA39" s="221"/>
      <c r="BB39" s="187"/>
      <c r="BC39" s="187"/>
      <c r="BD39" s="187"/>
      <c r="BE39" s="187"/>
      <c r="BF39" s="187"/>
      <c r="BG39" s="187"/>
      <c r="BH39" s="187"/>
      <c r="BI39" s="187"/>
      <c r="BJ39" s="187"/>
      <c r="BK39" s="187"/>
      <c r="BL39" s="187"/>
      <c r="BM39" s="187"/>
      <c r="BN39" s="186">
        <f t="shared" si="37"/>
        <v>0</v>
      </c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spans="1:80" ht="11.95" outlineLevel="1" thickBot="1" x14ac:dyDescent="0.3">
      <c r="A40" t="str">
        <f t="shared" si="33"/>
        <v>#showrow</v>
      </c>
      <c r="E40" s="3"/>
      <c r="F40" s="3"/>
      <c r="G40" s="257" t="s">
        <v>151</v>
      </c>
      <c r="H40" s="3"/>
      <c r="I40" s="18"/>
      <c r="J40" s="18"/>
      <c r="K40" s="18"/>
      <c r="L40" s="185"/>
      <c r="M40" s="185"/>
      <c r="N40" s="185"/>
      <c r="O40" s="185"/>
      <c r="P40" s="185"/>
      <c r="Q40" s="185">
        <v>182.6</v>
      </c>
      <c r="R40" s="185">
        <v>2569.67</v>
      </c>
      <c r="S40" s="185">
        <v>-238.9</v>
      </c>
      <c r="T40" s="185">
        <v>285.99</v>
      </c>
      <c r="U40" s="185"/>
      <c r="V40" s="185">
        <v>-52.39</v>
      </c>
      <c r="W40" s="185">
        <v>-6953.78</v>
      </c>
      <c r="X40" s="186">
        <f t="shared" si="34"/>
        <v>-4206.8099999999995</v>
      </c>
      <c r="Y40" s="219"/>
      <c r="Z40" s="185">
        <v>2418.23</v>
      </c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6">
        <f t="shared" si="35"/>
        <v>2418.23</v>
      </c>
      <c r="AM40" s="221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6">
        <f t="shared" si="36"/>
        <v>0</v>
      </c>
      <c r="BA40" s="221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6">
        <f t="shared" si="37"/>
        <v>0</v>
      </c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spans="1:80" ht="11.95" outlineLevel="1" thickBot="1" x14ac:dyDescent="0.3">
      <c r="A41" t="str">
        <f t="shared" si="33"/>
        <v>#showrow</v>
      </c>
      <c r="E41" s="3"/>
      <c r="F41" s="3"/>
      <c r="G41" s="257" t="s">
        <v>138</v>
      </c>
      <c r="H41" s="3"/>
      <c r="I41" s="18"/>
      <c r="J41" s="18"/>
      <c r="K41" s="18"/>
      <c r="L41" s="185"/>
      <c r="M41" s="185"/>
      <c r="N41" s="185"/>
      <c r="O41" s="185"/>
      <c r="P41" s="185"/>
      <c r="Q41" s="185">
        <v>101039.2</v>
      </c>
      <c r="R41" s="185">
        <v>95220.08</v>
      </c>
      <c r="S41" s="185">
        <v>105558.16</v>
      </c>
      <c r="T41" s="185">
        <v>101499.88</v>
      </c>
      <c r="U41" s="185">
        <v>112879.48</v>
      </c>
      <c r="V41" s="185">
        <v>82347.360000000001</v>
      </c>
      <c r="W41" s="185">
        <v>127941.58</v>
      </c>
      <c r="X41" s="186">
        <f t="shared" si="34"/>
        <v>726485.74</v>
      </c>
      <c r="Y41" s="219"/>
      <c r="Z41" s="185">
        <v>95005.86</v>
      </c>
      <c r="AA41" s="185">
        <v>51239.785806377302</v>
      </c>
      <c r="AB41" s="185">
        <v>51239.785806377302</v>
      </c>
      <c r="AC41" s="185">
        <v>51239.785806377302</v>
      </c>
      <c r="AD41" s="185">
        <v>51239.785806377302</v>
      </c>
      <c r="AE41" s="185">
        <v>51239.785806377302</v>
      </c>
      <c r="AF41" s="185">
        <v>51239.785806377302</v>
      </c>
      <c r="AG41" s="185">
        <v>51239.785806377302</v>
      </c>
      <c r="AH41" s="185">
        <v>51239.785806377302</v>
      </c>
      <c r="AI41" s="185">
        <v>51239.785806377302</v>
      </c>
      <c r="AJ41" s="185">
        <v>51239.785806377302</v>
      </c>
      <c r="AK41" s="185">
        <v>51239.785806377302</v>
      </c>
      <c r="AL41" s="186">
        <f t="shared" si="35"/>
        <v>658643.50387015031</v>
      </c>
      <c r="AM41" s="221"/>
      <c r="AN41" s="187">
        <v>51239.785806377302</v>
      </c>
      <c r="AO41" s="187">
        <v>51239.785806377302</v>
      </c>
      <c r="AP41" s="187">
        <v>51239.785806377302</v>
      </c>
      <c r="AQ41" s="187">
        <v>51239.785806377302</v>
      </c>
      <c r="AR41" s="187">
        <v>51239.785806377302</v>
      </c>
      <c r="AS41" s="187">
        <v>51239.785806377302</v>
      </c>
      <c r="AT41" s="187">
        <v>51239.785806377302</v>
      </c>
      <c r="AU41" s="187">
        <v>51239.785806377302</v>
      </c>
      <c r="AV41" s="187">
        <v>51239.785806377302</v>
      </c>
      <c r="AW41" s="187">
        <v>51239.785806377302</v>
      </c>
      <c r="AX41" s="187">
        <v>51239.785806377302</v>
      </c>
      <c r="AY41" s="187">
        <v>51239.785806377302</v>
      </c>
      <c r="AZ41" s="186">
        <f t="shared" si="36"/>
        <v>614877.42967652762</v>
      </c>
      <c r="BA41" s="221"/>
      <c r="BB41" s="187">
        <v>51239.785806377302</v>
      </c>
      <c r="BC41" s="187">
        <v>51239.785806377302</v>
      </c>
      <c r="BD41" s="187">
        <v>51239.785806377302</v>
      </c>
      <c r="BE41" s="187">
        <v>51239.785806377302</v>
      </c>
      <c r="BF41" s="187">
        <v>51239.785806377302</v>
      </c>
      <c r="BG41" s="187">
        <v>51239.785806377302</v>
      </c>
      <c r="BH41" s="187">
        <v>51239.785806377302</v>
      </c>
      <c r="BI41" s="187">
        <v>51239.785806377302</v>
      </c>
      <c r="BJ41" s="187">
        <v>51239.785806377302</v>
      </c>
      <c r="BK41" s="187">
        <v>51239.785806377302</v>
      </c>
      <c r="BL41" s="187">
        <v>51239.785806377302</v>
      </c>
      <c r="BM41" s="187">
        <v>51239.785806377302</v>
      </c>
      <c r="BN41" s="186">
        <f t="shared" si="37"/>
        <v>614877.42967652762</v>
      </c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spans="1:80" ht="11.95" outlineLevel="1" thickBot="1" x14ac:dyDescent="0.3">
      <c r="A42" t="str">
        <f t="shared" si="33"/>
        <v>#showrow</v>
      </c>
      <c r="E42" s="3"/>
      <c r="F42" s="3"/>
      <c r="G42" s="257" t="s">
        <v>139</v>
      </c>
      <c r="H42" s="3"/>
      <c r="I42" s="18"/>
      <c r="J42" s="18"/>
      <c r="K42" s="18"/>
      <c r="L42" s="185"/>
      <c r="M42" s="185"/>
      <c r="N42" s="185"/>
      <c r="O42" s="185"/>
      <c r="P42" s="185"/>
      <c r="Q42" s="185">
        <v>2583.91</v>
      </c>
      <c r="R42" s="185">
        <v>13405.4</v>
      </c>
      <c r="S42" s="185">
        <v>6693.49</v>
      </c>
      <c r="T42" s="185">
        <v>18106.84</v>
      </c>
      <c r="U42" s="185"/>
      <c r="V42" s="185">
        <v>4994.07</v>
      </c>
      <c r="W42" s="185">
        <v>13306.91</v>
      </c>
      <c r="X42" s="186">
        <f t="shared" si="34"/>
        <v>59090.619999999995</v>
      </c>
      <c r="Y42" s="219"/>
      <c r="Z42" s="185">
        <v>3602.01</v>
      </c>
      <c r="AA42" s="185">
        <v>3881.2141936226899</v>
      </c>
      <c r="AB42" s="185">
        <v>3881.2141936226899</v>
      </c>
      <c r="AC42" s="185">
        <v>3881.2141936226899</v>
      </c>
      <c r="AD42" s="185">
        <v>3881.2141936226899</v>
      </c>
      <c r="AE42" s="185">
        <v>3881.2141936226899</v>
      </c>
      <c r="AF42" s="185">
        <v>3881.2141936226899</v>
      </c>
      <c r="AG42" s="185">
        <v>3881.2141936226899</v>
      </c>
      <c r="AH42" s="185">
        <v>3881.2141936226899</v>
      </c>
      <c r="AI42" s="185">
        <v>3881.2141936226899</v>
      </c>
      <c r="AJ42" s="185">
        <v>3881.2141936226899</v>
      </c>
      <c r="AK42" s="185">
        <v>3881.2141936226899</v>
      </c>
      <c r="AL42" s="186">
        <f t="shared" si="35"/>
        <v>46295.366129849594</v>
      </c>
      <c r="AM42" s="221"/>
      <c r="AN42" s="187">
        <v>3881.2141936226899</v>
      </c>
      <c r="AO42" s="187">
        <v>3881.2141936226899</v>
      </c>
      <c r="AP42" s="187">
        <v>3881.2141936226899</v>
      </c>
      <c r="AQ42" s="187">
        <v>3881.2141936226899</v>
      </c>
      <c r="AR42" s="187">
        <v>3881.2141936226899</v>
      </c>
      <c r="AS42" s="187">
        <v>3881.2141936226899</v>
      </c>
      <c r="AT42" s="187">
        <v>3881.2141936226899</v>
      </c>
      <c r="AU42" s="187">
        <v>3881.2141936226899</v>
      </c>
      <c r="AV42" s="187">
        <v>3881.2141936226899</v>
      </c>
      <c r="AW42" s="187">
        <v>3881.2141936226899</v>
      </c>
      <c r="AX42" s="187">
        <v>3881.2141936226899</v>
      </c>
      <c r="AY42" s="187">
        <v>3881.2141936226899</v>
      </c>
      <c r="AZ42" s="186">
        <f t="shared" si="36"/>
        <v>46574.570323472282</v>
      </c>
      <c r="BA42" s="221"/>
      <c r="BB42" s="187">
        <v>3881.2141936226899</v>
      </c>
      <c r="BC42" s="187">
        <v>3881.2141936226899</v>
      </c>
      <c r="BD42" s="187">
        <v>3881.2141936226899</v>
      </c>
      <c r="BE42" s="187">
        <v>3881.2141936226899</v>
      </c>
      <c r="BF42" s="187">
        <v>3881.2141936226899</v>
      </c>
      <c r="BG42" s="187">
        <v>3881.2141936226899</v>
      </c>
      <c r="BH42" s="187">
        <v>3881.2141936226899</v>
      </c>
      <c r="BI42" s="187">
        <v>3881.2141936226899</v>
      </c>
      <c r="BJ42" s="187">
        <v>3881.2141936226899</v>
      </c>
      <c r="BK42" s="187">
        <v>3881.2141936226899</v>
      </c>
      <c r="BL42" s="187">
        <v>3881.2141936226899</v>
      </c>
      <c r="BM42" s="187">
        <v>3881.2141936226899</v>
      </c>
      <c r="BN42" s="186">
        <f t="shared" si="37"/>
        <v>46574.570323472282</v>
      </c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 spans="1:80" ht="11.95" thickBot="1" x14ac:dyDescent="0.3">
      <c r="E43" s="3"/>
      <c r="F43" s="3"/>
      <c r="G43" s="253" t="s">
        <v>100</v>
      </c>
      <c r="H43" s="3"/>
      <c r="I43" s="18"/>
      <c r="J43" s="18"/>
      <c r="K43" s="18"/>
      <c r="L43" s="185">
        <v>0</v>
      </c>
      <c r="M43" s="185">
        <v>0</v>
      </c>
      <c r="N43" s="185">
        <v>0</v>
      </c>
      <c r="O43" s="185">
        <v>0</v>
      </c>
      <c r="P43" s="185">
        <v>0</v>
      </c>
      <c r="Q43" s="185">
        <v>0</v>
      </c>
      <c r="R43" s="185">
        <v>0</v>
      </c>
      <c r="S43" s="185">
        <v>0</v>
      </c>
      <c r="T43" s="185">
        <v>0</v>
      </c>
      <c r="U43" s="185">
        <v>0</v>
      </c>
      <c r="V43" s="185">
        <v>0</v>
      </c>
      <c r="W43" s="185">
        <v>0</v>
      </c>
      <c r="X43" s="186">
        <f t="shared" si="28"/>
        <v>0</v>
      </c>
      <c r="Y43" s="219"/>
      <c r="Z43" s="185">
        <v>0</v>
      </c>
      <c r="AA43" s="185">
        <v>0</v>
      </c>
      <c r="AB43" s="185">
        <v>0</v>
      </c>
      <c r="AC43" s="185">
        <v>0</v>
      </c>
      <c r="AD43" s="185">
        <v>0</v>
      </c>
      <c r="AE43" s="185">
        <v>0</v>
      </c>
      <c r="AF43" s="185">
        <v>0</v>
      </c>
      <c r="AG43" s="185">
        <v>0</v>
      </c>
      <c r="AH43" s="185">
        <v>0</v>
      </c>
      <c r="AI43" s="185">
        <v>0</v>
      </c>
      <c r="AJ43" s="185">
        <v>0</v>
      </c>
      <c r="AK43" s="185">
        <v>0</v>
      </c>
      <c r="AL43" s="186">
        <f t="shared" si="29"/>
        <v>0</v>
      </c>
      <c r="AM43" s="221"/>
      <c r="AN43" s="187">
        <v>0</v>
      </c>
      <c r="AO43" s="187">
        <v>0</v>
      </c>
      <c r="AP43" s="187">
        <v>0</v>
      </c>
      <c r="AQ43" s="187">
        <v>0</v>
      </c>
      <c r="AR43" s="187">
        <v>0</v>
      </c>
      <c r="AS43" s="187">
        <v>0</v>
      </c>
      <c r="AT43" s="187">
        <v>0</v>
      </c>
      <c r="AU43" s="187">
        <v>0</v>
      </c>
      <c r="AV43" s="187">
        <v>0</v>
      </c>
      <c r="AW43" s="187">
        <v>0</v>
      </c>
      <c r="AX43" s="187">
        <v>0</v>
      </c>
      <c r="AY43" s="187">
        <v>0</v>
      </c>
      <c r="AZ43" s="186">
        <f t="shared" si="30"/>
        <v>0</v>
      </c>
      <c r="BA43" s="221"/>
      <c r="BB43" s="187">
        <v>0</v>
      </c>
      <c r="BC43" s="187">
        <v>0</v>
      </c>
      <c r="BD43" s="187">
        <v>0</v>
      </c>
      <c r="BE43" s="187">
        <v>0</v>
      </c>
      <c r="BF43" s="187">
        <v>0</v>
      </c>
      <c r="BG43" s="187">
        <v>0</v>
      </c>
      <c r="BH43" s="187">
        <v>0</v>
      </c>
      <c r="BI43" s="187">
        <v>0</v>
      </c>
      <c r="BJ43" s="187">
        <v>0</v>
      </c>
      <c r="BK43" s="187">
        <v>0</v>
      </c>
      <c r="BL43" s="187">
        <v>0</v>
      </c>
      <c r="BM43" s="187">
        <v>0</v>
      </c>
      <c r="BN43" s="186">
        <f t="shared" si="31"/>
        <v>0</v>
      </c>
      <c r="BP43"/>
      <c r="BQ43"/>
      <c r="BR43"/>
      <c r="BS43"/>
      <c r="BT43"/>
      <c r="BU43"/>
      <c r="BV43"/>
      <c r="BW43"/>
      <c r="BX43"/>
      <c r="BY43"/>
      <c r="BZ43"/>
      <c r="CA43"/>
      <c r="CB43"/>
    </row>
    <row r="44" spans="1:80" ht="11.95" outlineLevel="1" collapsed="1" thickBot="1" x14ac:dyDescent="0.3">
      <c r="E44" s="3"/>
      <c r="F44" s="3"/>
      <c r="G44" s="256" t="s">
        <v>101</v>
      </c>
      <c r="H44" s="3"/>
      <c r="I44" s="18"/>
      <c r="J44" s="18"/>
      <c r="K44" s="18"/>
      <c r="L44" s="185">
        <v>0</v>
      </c>
      <c r="M44" s="185">
        <v>0</v>
      </c>
      <c r="N44" s="185">
        <v>0</v>
      </c>
      <c r="O44" s="185">
        <v>0</v>
      </c>
      <c r="P44" s="185">
        <v>0</v>
      </c>
      <c r="Q44" s="185">
        <v>0</v>
      </c>
      <c r="R44" s="185">
        <v>0</v>
      </c>
      <c r="S44" s="185">
        <v>0</v>
      </c>
      <c r="T44" s="185">
        <v>0</v>
      </c>
      <c r="U44" s="185">
        <v>0</v>
      </c>
      <c r="V44" s="185">
        <v>0</v>
      </c>
      <c r="W44" s="185">
        <v>0</v>
      </c>
      <c r="X44" s="186">
        <f t="shared" si="28"/>
        <v>0</v>
      </c>
      <c r="Y44" s="219"/>
      <c r="Z44" s="185">
        <v>0</v>
      </c>
      <c r="AA44" s="185">
        <v>0</v>
      </c>
      <c r="AB44" s="185">
        <v>0</v>
      </c>
      <c r="AC44" s="185">
        <v>0</v>
      </c>
      <c r="AD44" s="185">
        <v>0</v>
      </c>
      <c r="AE44" s="185">
        <v>0</v>
      </c>
      <c r="AF44" s="185">
        <v>0</v>
      </c>
      <c r="AG44" s="185">
        <v>0</v>
      </c>
      <c r="AH44" s="185">
        <v>0</v>
      </c>
      <c r="AI44" s="185">
        <v>0</v>
      </c>
      <c r="AJ44" s="185">
        <v>0</v>
      </c>
      <c r="AK44" s="185">
        <v>0</v>
      </c>
      <c r="AL44" s="186">
        <f t="shared" si="29"/>
        <v>0</v>
      </c>
      <c r="AM44" s="221"/>
      <c r="AN44" s="187">
        <v>0</v>
      </c>
      <c r="AO44" s="187">
        <v>0</v>
      </c>
      <c r="AP44" s="187">
        <v>0</v>
      </c>
      <c r="AQ44" s="187">
        <v>0</v>
      </c>
      <c r="AR44" s="187">
        <v>0</v>
      </c>
      <c r="AS44" s="187">
        <v>0</v>
      </c>
      <c r="AT44" s="187">
        <v>0</v>
      </c>
      <c r="AU44" s="187">
        <v>0</v>
      </c>
      <c r="AV44" s="187">
        <v>0</v>
      </c>
      <c r="AW44" s="187">
        <v>0</v>
      </c>
      <c r="AX44" s="187">
        <v>0</v>
      </c>
      <c r="AY44" s="187">
        <v>0</v>
      </c>
      <c r="AZ44" s="186">
        <f t="shared" si="30"/>
        <v>0</v>
      </c>
      <c r="BA44" s="221"/>
      <c r="BB44" s="187">
        <v>0</v>
      </c>
      <c r="BC44" s="187">
        <v>0</v>
      </c>
      <c r="BD44" s="187">
        <v>0</v>
      </c>
      <c r="BE44" s="187">
        <v>0</v>
      </c>
      <c r="BF44" s="187">
        <v>0</v>
      </c>
      <c r="BG44" s="187">
        <v>0</v>
      </c>
      <c r="BH44" s="187">
        <v>0</v>
      </c>
      <c r="BI44" s="187">
        <v>0</v>
      </c>
      <c r="BJ44" s="187">
        <v>0</v>
      </c>
      <c r="BK44" s="187">
        <v>0</v>
      </c>
      <c r="BL44" s="187">
        <v>0</v>
      </c>
      <c r="BM44" s="187">
        <v>0</v>
      </c>
      <c r="BN44" s="186">
        <f t="shared" si="31"/>
        <v>0</v>
      </c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 spans="1:80" ht="11.95" hidden="1" outlineLevel="2" thickBot="1" x14ac:dyDescent="0.3">
      <c r="A45" t="str">
        <f t="shared" ref="A45" si="38">IF(LEFT(G45,3)="Mul", "#hiderow", "#showrow")</f>
        <v>#hiderow</v>
      </c>
      <c r="E45" s="3"/>
      <c r="F45" s="3"/>
      <c r="G45" s="255" t="s">
        <v>6</v>
      </c>
      <c r="H45" s="3"/>
      <c r="I45" s="18"/>
      <c r="J45" s="18"/>
      <c r="K45" s="18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6">
        <f t="shared" si="28"/>
        <v>0</v>
      </c>
      <c r="Y45" s="219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6">
        <f t="shared" si="29"/>
        <v>0</v>
      </c>
      <c r="AM45" s="221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6">
        <f t="shared" si="30"/>
        <v>0</v>
      </c>
      <c r="BA45" s="221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7"/>
      <c r="BN45" s="186">
        <f t="shared" si="31"/>
        <v>0</v>
      </c>
      <c r="BP45"/>
      <c r="BQ45"/>
      <c r="BR45"/>
      <c r="BS45"/>
      <c r="BT45"/>
      <c r="BU45"/>
      <c r="BV45"/>
      <c r="BW45"/>
      <c r="BX45"/>
      <c r="BY45"/>
      <c r="BZ45"/>
      <c r="CA45"/>
      <c r="CB45"/>
    </row>
    <row r="46" spans="1:80" ht="11.95" outlineLevel="1" collapsed="1" thickBot="1" x14ac:dyDescent="0.3">
      <c r="E46" s="3"/>
      <c r="F46" s="3"/>
      <c r="G46" s="256" t="s">
        <v>102</v>
      </c>
      <c r="H46" s="3"/>
      <c r="I46" s="18"/>
      <c r="J46" s="18"/>
      <c r="K46" s="18"/>
      <c r="L46" s="185">
        <v>0</v>
      </c>
      <c r="M46" s="185">
        <v>0</v>
      </c>
      <c r="N46" s="185">
        <v>0</v>
      </c>
      <c r="O46" s="185">
        <v>0</v>
      </c>
      <c r="P46" s="185">
        <v>0</v>
      </c>
      <c r="Q46" s="185">
        <v>0</v>
      </c>
      <c r="R46" s="185">
        <v>0</v>
      </c>
      <c r="S46" s="185">
        <v>0</v>
      </c>
      <c r="T46" s="185">
        <v>0</v>
      </c>
      <c r="U46" s="185">
        <v>0</v>
      </c>
      <c r="V46" s="185">
        <v>0</v>
      </c>
      <c r="W46" s="185">
        <v>0</v>
      </c>
      <c r="X46" s="186">
        <f t="shared" si="28"/>
        <v>0</v>
      </c>
      <c r="Y46" s="219"/>
      <c r="Z46" s="185">
        <v>0</v>
      </c>
      <c r="AA46" s="185">
        <v>0</v>
      </c>
      <c r="AB46" s="185">
        <v>0</v>
      </c>
      <c r="AC46" s="185">
        <v>0</v>
      </c>
      <c r="AD46" s="185">
        <v>0</v>
      </c>
      <c r="AE46" s="185">
        <v>0</v>
      </c>
      <c r="AF46" s="185">
        <v>0</v>
      </c>
      <c r="AG46" s="185">
        <v>0</v>
      </c>
      <c r="AH46" s="185">
        <v>0</v>
      </c>
      <c r="AI46" s="185">
        <v>0</v>
      </c>
      <c r="AJ46" s="185">
        <v>0</v>
      </c>
      <c r="AK46" s="185">
        <v>0</v>
      </c>
      <c r="AL46" s="186">
        <f t="shared" si="29"/>
        <v>0</v>
      </c>
      <c r="AM46" s="221"/>
      <c r="AN46" s="187">
        <v>0</v>
      </c>
      <c r="AO46" s="187">
        <v>0</v>
      </c>
      <c r="AP46" s="187">
        <v>0</v>
      </c>
      <c r="AQ46" s="187">
        <v>0</v>
      </c>
      <c r="AR46" s="187">
        <v>0</v>
      </c>
      <c r="AS46" s="187">
        <v>0</v>
      </c>
      <c r="AT46" s="187">
        <v>0</v>
      </c>
      <c r="AU46" s="187">
        <v>0</v>
      </c>
      <c r="AV46" s="187">
        <v>0</v>
      </c>
      <c r="AW46" s="187">
        <v>0</v>
      </c>
      <c r="AX46" s="187">
        <v>0</v>
      </c>
      <c r="AY46" s="187">
        <v>0</v>
      </c>
      <c r="AZ46" s="186">
        <f t="shared" si="30"/>
        <v>0</v>
      </c>
      <c r="BA46" s="221"/>
      <c r="BB46" s="187">
        <v>0</v>
      </c>
      <c r="BC46" s="187">
        <v>0</v>
      </c>
      <c r="BD46" s="187">
        <v>0</v>
      </c>
      <c r="BE46" s="187">
        <v>0</v>
      </c>
      <c r="BF46" s="187">
        <v>0</v>
      </c>
      <c r="BG46" s="187">
        <v>0</v>
      </c>
      <c r="BH46" s="187">
        <v>0</v>
      </c>
      <c r="BI46" s="187">
        <v>0</v>
      </c>
      <c r="BJ46" s="187">
        <v>0</v>
      </c>
      <c r="BK46" s="187">
        <v>0</v>
      </c>
      <c r="BL46" s="187">
        <v>0</v>
      </c>
      <c r="BM46" s="187">
        <v>0</v>
      </c>
      <c r="BN46" s="186">
        <f t="shared" si="31"/>
        <v>0</v>
      </c>
      <c r="BP46"/>
      <c r="BQ46"/>
      <c r="BR46"/>
      <c r="BS46"/>
      <c r="BT46"/>
      <c r="BU46"/>
      <c r="BV46"/>
      <c r="BW46"/>
      <c r="BX46"/>
      <c r="BY46"/>
      <c r="BZ46"/>
      <c r="CA46"/>
      <c r="CB46"/>
    </row>
    <row r="47" spans="1:80" ht="11.95" hidden="1" outlineLevel="2" thickBot="1" x14ac:dyDescent="0.3">
      <c r="A47" t="str">
        <f t="shared" ref="A47" si="39">IF(LEFT(G47,3)="Mul", "#hiderow", "#showrow")</f>
        <v>#hiderow</v>
      </c>
      <c r="E47" s="3"/>
      <c r="F47" s="3"/>
      <c r="G47" s="255" t="s">
        <v>6</v>
      </c>
      <c r="H47" s="3"/>
      <c r="I47" s="18"/>
      <c r="J47" s="18"/>
      <c r="K47" s="18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6">
        <f t="shared" si="28"/>
        <v>0</v>
      </c>
      <c r="Y47" s="219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6">
        <f t="shared" si="29"/>
        <v>0</v>
      </c>
      <c r="AM47" s="221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87"/>
      <c r="AZ47" s="186">
        <f t="shared" si="30"/>
        <v>0</v>
      </c>
      <c r="BA47" s="221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6">
        <f t="shared" si="31"/>
        <v>0</v>
      </c>
      <c r="BP47"/>
      <c r="BQ47"/>
      <c r="BR47"/>
      <c r="BS47"/>
      <c r="BT47"/>
      <c r="BU47"/>
      <c r="BV47"/>
      <c r="BW47"/>
      <c r="BX47"/>
      <c r="BY47"/>
      <c r="BZ47"/>
      <c r="CA47"/>
      <c r="CB47"/>
    </row>
    <row r="48" spans="1:80" ht="11.95" collapsed="1" thickBot="1" x14ac:dyDescent="0.3">
      <c r="E48" s="3"/>
      <c r="F48" s="3"/>
      <c r="G48" s="253" t="s">
        <v>103</v>
      </c>
      <c r="H48" s="3"/>
      <c r="I48" s="18"/>
      <c r="J48" s="18"/>
      <c r="K48" s="18"/>
      <c r="L48" s="185">
        <v>0</v>
      </c>
      <c r="M48" s="185">
        <v>0</v>
      </c>
      <c r="N48" s="185">
        <v>0</v>
      </c>
      <c r="O48" s="185">
        <v>0</v>
      </c>
      <c r="P48" s="185">
        <v>0</v>
      </c>
      <c r="Q48" s="185">
        <v>0</v>
      </c>
      <c r="R48" s="185">
        <v>0</v>
      </c>
      <c r="S48" s="185">
        <v>0</v>
      </c>
      <c r="T48" s="185">
        <v>0</v>
      </c>
      <c r="U48" s="185">
        <v>0</v>
      </c>
      <c r="V48" s="185">
        <v>0</v>
      </c>
      <c r="W48" s="185">
        <v>0</v>
      </c>
      <c r="X48" s="186">
        <f t="shared" si="28"/>
        <v>0</v>
      </c>
      <c r="Y48" s="219"/>
      <c r="Z48" s="185">
        <v>0</v>
      </c>
      <c r="AA48" s="185">
        <v>0</v>
      </c>
      <c r="AB48" s="185">
        <v>0</v>
      </c>
      <c r="AC48" s="185">
        <v>0</v>
      </c>
      <c r="AD48" s="185">
        <v>0</v>
      </c>
      <c r="AE48" s="185">
        <v>0</v>
      </c>
      <c r="AF48" s="185">
        <v>0</v>
      </c>
      <c r="AG48" s="185">
        <v>0</v>
      </c>
      <c r="AH48" s="185">
        <v>0</v>
      </c>
      <c r="AI48" s="185">
        <v>0</v>
      </c>
      <c r="AJ48" s="185">
        <v>0</v>
      </c>
      <c r="AK48" s="185">
        <v>0</v>
      </c>
      <c r="AL48" s="186">
        <f t="shared" si="29"/>
        <v>0</v>
      </c>
      <c r="AM48" s="221"/>
      <c r="AN48" s="187">
        <v>0</v>
      </c>
      <c r="AO48" s="187">
        <v>0</v>
      </c>
      <c r="AP48" s="187">
        <v>0</v>
      </c>
      <c r="AQ48" s="187">
        <v>0</v>
      </c>
      <c r="AR48" s="187">
        <v>0</v>
      </c>
      <c r="AS48" s="187">
        <v>0</v>
      </c>
      <c r="AT48" s="187">
        <v>0</v>
      </c>
      <c r="AU48" s="187">
        <v>0</v>
      </c>
      <c r="AV48" s="187">
        <v>0</v>
      </c>
      <c r="AW48" s="187">
        <v>0</v>
      </c>
      <c r="AX48" s="187">
        <v>0</v>
      </c>
      <c r="AY48" s="187">
        <v>0</v>
      </c>
      <c r="AZ48" s="186">
        <f t="shared" si="30"/>
        <v>0</v>
      </c>
      <c r="BA48" s="221"/>
      <c r="BB48" s="187">
        <v>0</v>
      </c>
      <c r="BC48" s="187">
        <v>0</v>
      </c>
      <c r="BD48" s="187">
        <v>0</v>
      </c>
      <c r="BE48" s="187">
        <v>0</v>
      </c>
      <c r="BF48" s="187">
        <v>0</v>
      </c>
      <c r="BG48" s="187">
        <v>0</v>
      </c>
      <c r="BH48" s="187">
        <v>0</v>
      </c>
      <c r="BI48" s="187">
        <v>0</v>
      </c>
      <c r="BJ48" s="187">
        <v>0</v>
      </c>
      <c r="BK48" s="187">
        <v>0</v>
      </c>
      <c r="BL48" s="187">
        <v>0</v>
      </c>
      <c r="BM48" s="187">
        <v>0</v>
      </c>
      <c r="BN48" s="186">
        <f t="shared" si="31"/>
        <v>0</v>
      </c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49" spans="1:80" ht="11.95" hidden="1" outlineLevel="1" thickBot="1" x14ac:dyDescent="0.3">
      <c r="A49" t="str">
        <f t="shared" ref="A49" si="40">IF(LEFT(G49,3)="Mul", "#hiderow", "#showrow")</f>
        <v>#hiderow</v>
      </c>
      <c r="E49" s="3"/>
      <c r="F49" s="3"/>
      <c r="G49" s="257" t="s">
        <v>6</v>
      </c>
      <c r="H49" s="3"/>
      <c r="I49" s="18"/>
      <c r="J49" s="18"/>
      <c r="K49" s="18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6">
        <f t="shared" si="28"/>
        <v>0</v>
      </c>
      <c r="Y49" s="219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6">
        <f t="shared" si="29"/>
        <v>0</v>
      </c>
      <c r="AM49" s="221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6">
        <f t="shared" si="30"/>
        <v>0</v>
      </c>
      <c r="BA49" s="221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7"/>
      <c r="BN49" s="186">
        <f t="shared" si="31"/>
        <v>0</v>
      </c>
      <c r="BP49"/>
      <c r="BQ49"/>
      <c r="BR49"/>
      <c r="BS49"/>
      <c r="BT49"/>
      <c r="BU49"/>
      <c r="BV49"/>
      <c r="BW49"/>
      <c r="BX49"/>
      <c r="BY49"/>
      <c r="BZ49"/>
      <c r="CA49"/>
      <c r="CB49"/>
    </row>
    <row r="50" spans="1:80" ht="12.45" thickBot="1" x14ac:dyDescent="0.3">
      <c r="C50" s="19" t="str">
        <f>"Total "&amp;C31</f>
        <v>Total Cost of Goods Sold</v>
      </c>
      <c r="D50" s="19"/>
      <c r="E50" s="19"/>
      <c r="F50" s="19"/>
      <c r="G50" s="19"/>
      <c r="H50" s="188"/>
      <c r="I50" s="188"/>
      <c r="J50" s="188"/>
      <c r="K50" s="188">
        <v>-1</v>
      </c>
      <c r="L50" s="188">
        <f t="shared" ref="L50:X50" si="41">SUMIFS(L32:L49,$H32:$H49,"&lt;&gt;"&amp;$H$18,$D32:$D49,"&lt;&gt;*[-]*",$E32:$E49,"&lt;&gt;*[-]*",$F32:$F49,"&lt;&gt;*[-]*",$G32:$G49,"Cost of Goods Sold")</f>
        <v>138633.01999999999</v>
      </c>
      <c r="M50" s="188">
        <f t="shared" si="41"/>
        <v>302764.37</v>
      </c>
      <c r="N50" s="188">
        <f t="shared" si="41"/>
        <v>334059.55</v>
      </c>
      <c r="O50" s="188">
        <f t="shared" si="41"/>
        <v>284040.83</v>
      </c>
      <c r="P50" s="188">
        <f t="shared" si="41"/>
        <v>334669.87</v>
      </c>
      <c r="Q50" s="188">
        <f t="shared" si="41"/>
        <v>261079.4</v>
      </c>
      <c r="R50" s="188">
        <f t="shared" si="41"/>
        <v>256583.57</v>
      </c>
      <c r="S50" s="188">
        <f t="shared" si="41"/>
        <v>233870.01</v>
      </c>
      <c r="T50" s="188">
        <f t="shared" si="41"/>
        <v>294157.28999999998</v>
      </c>
      <c r="U50" s="188">
        <f t="shared" si="41"/>
        <v>275706.77</v>
      </c>
      <c r="V50" s="188">
        <f t="shared" si="41"/>
        <v>262167.32</v>
      </c>
      <c r="W50" s="188">
        <f t="shared" si="41"/>
        <v>312609.17</v>
      </c>
      <c r="X50" s="189">
        <f t="shared" si="41"/>
        <v>3290341.17</v>
      </c>
      <c r="Z50" s="188">
        <f t="shared" ref="Z50:AL50" si="42">SUMIFS(Z32:Z49,$H32:$H49,"&lt;&gt;"&amp;$H$18,$D32:$D49,"&lt;&gt;*[-]*",$E32:$E49,"&lt;&gt;*[-]*",$F32:$F49,"&lt;&gt;*[-]*",$G32:$G49,"Cost of Goods Sold")</f>
        <v>275240.21000000002</v>
      </c>
      <c r="AA50" s="188">
        <f t="shared" si="42"/>
        <v>319089.404966973</v>
      </c>
      <c r="AB50" s="188">
        <f t="shared" si="42"/>
        <v>385081.50620871602</v>
      </c>
      <c r="AC50" s="188">
        <f t="shared" si="42"/>
        <v>319089.404966973</v>
      </c>
      <c r="AD50" s="188">
        <f t="shared" si="42"/>
        <v>319089.404966973</v>
      </c>
      <c r="AE50" s="188">
        <f t="shared" si="42"/>
        <v>385081.50620871602</v>
      </c>
      <c r="AF50" s="188">
        <f t="shared" si="42"/>
        <v>319089.404966973</v>
      </c>
      <c r="AG50" s="188">
        <f t="shared" si="42"/>
        <v>319089.404966973</v>
      </c>
      <c r="AH50" s="188">
        <f t="shared" si="42"/>
        <v>385081.50620871602</v>
      </c>
      <c r="AI50" s="188">
        <f t="shared" si="42"/>
        <v>319089.404966973</v>
      </c>
      <c r="AJ50" s="188">
        <f t="shared" si="42"/>
        <v>319089.404966973</v>
      </c>
      <c r="AK50" s="188">
        <f t="shared" si="42"/>
        <v>385081.50620871602</v>
      </c>
      <c r="AL50" s="189">
        <f t="shared" si="42"/>
        <v>4049192.0696036741</v>
      </c>
      <c r="AN50" s="188">
        <f t="shared" ref="AN50:AZ50" si="43">SUMIFS(AN32:AN49,$H32:$H49,"&lt;&gt;"&amp;$H$18,$D32:$D49,"&lt;&gt;*[-]*",$E32:$E49,"&lt;&gt;*[-]*",$F32:$F49,"&lt;&gt;*[-]*",$G32:$G49,"Cost of Goods Sold")</f>
        <v>319089.404966973</v>
      </c>
      <c r="AO50" s="188">
        <f t="shared" si="43"/>
        <v>319089.404966973</v>
      </c>
      <c r="AP50" s="188">
        <f t="shared" si="43"/>
        <v>385081.50620871602</v>
      </c>
      <c r="AQ50" s="188">
        <f t="shared" si="43"/>
        <v>319089.404966973</v>
      </c>
      <c r="AR50" s="188">
        <f t="shared" si="43"/>
        <v>319089.404966973</v>
      </c>
      <c r="AS50" s="188">
        <f t="shared" si="43"/>
        <v>385081.50620871602</v>
      </c>
      <c r="AT50" s="188">
        <f t="shared" si="43"/>
        <v>319089.404966973</v>
      </c>
      <c r="AU50" s="188">
        <f t="shared" si="43"/>
        <v>319089.404966973</v>
      </c>
      <c r="AV50" s="188">
        <f t="shared" si="43"/>
        <v>385081.50620871602</v>
      </c>
      <c r="AW50" s="188">
        <f t="shared" si="43"/>
        <v>319089.404966973</v>
      </c>
      <c r="AX50" s="188">
        <f t="shared" si="43"/>
        <v>319089.404966973</v>
      </c>
      <c r="AY50" s="188">
        <f t="shared" si="43"/>
        <v>385081.50620871602</v>
      </c>
      <c r="AZ50" s="189">
        <f t="shared" si="43"/>
        <v>4093041.2645706469</v>
      </c>
      <c r="BB50" s="188">
        <f t="shared" ref="BB50:BN50" si="44">SUMIFS(BB32:BB49,$H32:$H49,"&lt;&gt;"&amp;$H$18,$D32:$D49,"&lt;&gt;*[-]*",$E32:$E49,"&lt;&gt;*[-]*",$F32:$F49,"&lt;&gt;*[-]*",$G32:$G49,"Cost of Goods Sold")</f>
        <v>319089.404966973</v>
      </c>
      <c r="BC50" s="188">
        <f t="shared" si="44"/>
        <v>319089.404966973</v>
      </c>
      <c r="BD50" s="188">
        <f t="shared" si="44"/>
        <v>385081.50620871602</v>
      </c>
      <c r="BE50" s="188">
        <f t="shared" si="44"/>
        <v>319089.404966973</v>
      </c>
      <c r="BF50" s="188">
        <f t="shared" si="44"/>
        <v>319089.404966973</v>
      </c>
      <c r="BG50" s="188">
        <f t="shared" si="44"/>
        <v>385081.50620871602</v>
      </c>
      <c r="BH50" s="188">
        <f t="shared" si="44"/>
        <v>319089.404966973</v>
      </c>
      <c r="BI50" s="188">
        <f t="shared" si="44"/>
        <v>319089.404966973</v>
      </c>
      <c r="BJ50" s="188">
        <f t="shared" si="44"/>
        <v>385081.50620871602</v>
      </c>
      <c r="BK50" s="188">
        <f t="shared" si="44"/>
        <v>319089.404966973</v>
      </c>
      <c r="BL50" s="188">
        <f t="shared" si="44"/>
        <v>319089.404966973</v>
      </c>
      <c r="BM50" s="188">
        <f t="shared" si="44"/>
        <v>385081.50620871602</v>
      </c>
      <c r="BN50" s="189">
        <f t="shared" si="44"/>
        <v>4093041.2645706469</v>
      </c>
      <c r="BP50" s="203">
        <f t="shared" ref="BP50:CB50" si="45">SUMIFS(BP32:BP49,$H32:$H49,"&lt;&gt;"&amp;$H$18,$D32:$D49,"&lt;&gt;*[-]*",$E32:$E49,"&lt;&gt;*[-]*",$F32:$F49,"&lt;&gt;*[-]*",$G32:$G49,"&lt;&gt;*[-]*")</f>
        <v>0</v>
      </c>
      <c r="BQ50" s="203">
        <f t="shared" si="45"/>
        <v>0</v>
      </c>
      <c r="BR50" s="203">
        <f t="shared" si="45"/>
        <v>0</v>
      </c>
      <c r="BS50" s="203">
        <f t="shared" si="45"/>
        <v>0</v>
      </c>
      <c r="BT50" s="203">
        <f t="shared" si="45"/>
        <v>0</v>
      </c>
      <c r="BU50" s="203">
        <f t="shared" si="45"/>
        <v>0</v>
      </c>
      <c r="BV50" s="203">
        <f t="shared" si="45"/>
        <v>0</v>
      </c>
      <c r="BW50" s="203">
        <f t="shared" si="45"/>
        <v>0</v>
      </c>
      <c r="BX50" s="203">
        <f t="shared" si="45"/>
        <v>0</v>
      </c>
      <c r="BY50" s="203">
        <f t="shared" si="45"/>
        <v>0</v>
      </c>
      <c r="BZ50" s="203">
        <f t="shared" si="45"/>
        <v>0</v>
      </c>
      <c r="CA50" s="203">
        <f t="shared" si="45"/>
        <v>0</v>
      </c>
      <c r="CB50" s="204">
        <f t="shared" si="45"/>
        <v>0</v>
      </c>
    </row>
    <row r="51" spans="1:80" ht="12.45" thickBot="1" x14ac:dyDescent="0.3">
      <c r="C51" s="19"/>
      <c r="D51" s="190"/>
      <c r="E51" s="190"/>
      <c r="F51" s="190"/>
      <c r="G51" s="19" t="s">
        <v>31</v>
      </c>
      <c r="H51" s="188"/>
      <c r="I51" s="188"/>
      <c r="J51" s="188"/>
      <c r="K51" s="188"/>
      <c r="L51" s="188">
        <f t="shared" ref="L51:X51" si="46">SUMPRODUCT($K$19:$K$50,L$19:L$50)</f>
        <v>43794.73000000001</v>
      </c>
      <c r="M51" s="188">
        <f t="shared" si="46"/>
        <v>174057.13</v>
      </c>
      <c r="N51" s="188">
        <f t="shared" si="46"/>
        <v>21265.799999999988</v>
      </c>
      <c r="O51" s="188">
        <f t="shared" si="46"/>
        <v>64639.570000000007</v>
      </c>
      <c r="P51" s="188">
        <f t="shared" si="46"/>
        <v>-44727.599999999977</v>
      </c>
      <c r="Q51" s="188">
        <f t="shared" si="46"/>
        <v>146393.60000000001</v>
      </c>
      <c r="R51" s="188">
        <f t="shared" si="46"/>
        <v>103102.19</v>
      </c>
      <c r="S51" s="188">
        <f t="shared" si="46"/>
        <v>158079.26</v>
      </c>
      <c r="T51" s="188">
        <f t="shared" si="46"/>
        <v>200344.57</v>
      </c>
      <c r="U51" s="188">
        <f t="shared" si="46"/>
        <v>144485.95999999996</v>
      </c>
      <c r="V51" s="188">
        <f t="shared" si="46"/>
        <v>207695.39999999997</v>
      </c>
      <c r="W51" s="188">
        <f t="shared" si="46"/>
        <v>263605.83</v>
      </c>
      <c r="X51" s="189">
        <f t="shared" si="46"/>
        <v>1482736.4400000004</v>
      </c>
      <c r="Z51" s="188">
        <f t="shared" ref="Z51:AL51" si="47">SUMPRODUCT($K$19:$K$50,Z$19:Z$50)</f>
        <v>253993.33000000002</v>
      </c>
      <c r="AA51" s="188">
        <f t="shared" si="47"/>
        <v>212509.85095674905</v>
      </c>
      <c r="AB51" s="188">
        <f t="shared" si="47"/>
        <v>279417.56369593699</v>
      </c>
      <c r="AC51" s="188">
        <f t="shared" si="47"/>
        <v>212509.85095674905</v>
      </c>
      <c r="AD51" s="188">
        <f t="shared" si="47"/>
        <v>212509.85095674905</v>
      </c>
      <c r="AE51" s="188">
        <f t="shared" si="47"/>
        <v>279417.56369593699</v>
      </c>
      <c r="AF51" s="188">
        <f t="shared" si="47"/>
        <v>212509.85095674905</v>
      </c>
      <c r="AG51" s="188">
        <f t="shared" si="47"/>
        <v>212509.85095674905</v>
      </c>
      <c r="AH51" s="188">
        <f t="shared" si="47"/>
        <v>279417.56369593699</v>
      </c>
      <c r="AI51" s="188">
        <f t="shared" si="47"/>
        <v>212509.85095674905</v>
      </c>
      <c r="AJ51" s="188">
        <f t="shared" si="47"/>
        <v>212509.85095674905</v>
      </c>
      <c r="AK51" s="188">
        <f t="shared" si="47"/>
        <v>279417.56369593699</v>
      </c>
      <c r="AL51" s="189">
        <f t="shared" si="47"/>
        <v>2859232.541480992</v>
      </c>
      <c r="AN51" s="188">
        <f t="shared" ref="AN51:AZ51" si="48">SUMPRODUCT($K$19:$K$50,AN$19:AN$50)</f>
        <v>212509.85095674905</v>
      </c>
      <c r="AO51" s="188">
        <f t="shared" si="48"/>
        <v>212509.85095674905</v>
      </c>
      <c r="AP51" s="188">
        <f t="shared" si="48"/>
        <v>279417.56369593699</v>
      </c>
      <c r="AQ51" s="188">
        <f t="shared" si="48"/>
        <v>212509.85095674905</v>
      </c>
      <c r="AR51" s="188">
        <f t="shared" si="48"/>
        <v>212509.85095674905</v>
      </c>
      <c r="AS51" s="188">
        <f t="shared" si="48"/>
        <v>279417.56369593699</v>
      </c>
      <c r="AT51" s="188">
        <f t="shared" si="48"/>
        <v>212509.85095674905</v>
      </c>
      <c r="AU51" s="188">
        <f t="shared" si="48"/>
        <v>212509.85095674905</v>
      </c>
      <c r="AV51" s="188">
        <f t="shared" si="48"/>
        <v>279417.56369593699</v>
      </c>
      <c r="AW51" s="188">
        <f t="shared" si="48"/>
        <v>212509.85095674905</v>
      </c>
      <c r="AX51" s="188">
        <f t="shared" si="48"/>
        <v>212509.85095674905</v>
      </c>
      <c r="AY51" s="188">
        <f t="shared" si="48"/>
        <v>279417.56369593699</v>
      </c>
      <c r="AZ51" s="189">
        <f t="shared" si="48"/>
        <v>2817749.062437742</v>
      </c>
      <c r="BB51" s="188">
        <f t="shared" ref="BB51:BN51" si="49">SUMPRODUCT($K$19:$K$50,BB$19:BB$50)</f>
        <v>212509.85095674905</v>
      </c>
      <c r="BC51" s="188">
        <f t="shared" si="49"/>
        <v>212509.85095674905</v>
      </c>
      <c r="BD51" s="188">
        <f t="shared" si="49"/>
        <v>279417.56369593699</v>
      </c>
      <c r="BE51" s="188">
        <f t="shared" si="49"/>
        <v>212509.85095674905</v>
      </c>
      <c r="BF51" s="188">
        <f t="shared" si="49"/>
        <v>212509.85095674905</v>
      </c>
      <c r="BG51" s="188">
        <f t="shared" si="49"/>
        <v>279417.56369593699</v>
      </c>
      <c r="BH51" s="188">
        <f t="shared" si="49"/>
        <v>212509.85095674905</v>
      </c>
      <c r="BI51" s="188">
        <f t="shared" si="49"/>
        <v>212509.85095674905</v>
      </c>
      <c r="BJ51" s="188">
        <f t="shared" si="49"/>
        <v>279417.56369593699</v>
      </c>
      <c r="BK51" s="188">
        <f t="shared" si="49"/>
        <v>212509.85095674905</v>
      </c>
      <c r="BL51" s="188">
        <f t="shared" si="49"/>
        <v>212509.85095674905</v>
      </c>
      <c r="BM51" s="188">
        <f t="shared" si="49"/>
        <v>279417.56369593699</v>
      </c>
      <c r="BN51" s="189">
        <f t="shared" si="49"/>
        <v>2817749.062437742</v>
      </c>
      <c r="BP51" s="203">
        <f t="shared" ref="BP51:CB51" si="50">SUMPRODUCT($K$19:$K$50,BP$19:BP$50)</f>
        <v>0</v>
      </c>
      <c r="BQ51" s="203">
        <f t="shared" si="50"/>
        <v>0</v>
      </c>
      <c r="BR51" s="203">
        <f t="shared" si="50"/>
        <v>0</v>
      </c>
      <c r="BS51" s="203">
        <f t="shared" si="50"/>
        <v>0</v>
      </c>
      <c r="BT51" s="203">
        <f t="shared" si="50"/>
        <v>0</v>
      </c>
      <c r="BU51" s="203">
        <f t="shared" si="50"/>
        <v>0</v>
      </c>
      <c r="BV51" s="203">
        <f t="shared" si="50"/>
        <v>0</v>
      </c>
      <c r="BW51" s="203">
        <f t="shared" si="50"/>
        <v>0</v>
      </c>
      <c r="BX51" s="203">
        <f t="shared" si="50"/>
        <v>0</v>
      </c>
      <c r="BY51" s="203">
        <f t="shared" si="50"/>
        <v>0</v>
      </c>
      <c r="BZ51" s="203">
        <f t="shared" si="50"/>
        <v>0</v>
      </c>
      <c r="CA51" s="203">
        <f t="shared" si="50"/>
        <v>0</v>
      </c>
      <c r="CB51" s="204">
        <f t="shared" si="50"/>
        <v>0</v>
      </c>
    </row>
    <row r="52" spans="1:80" ht="12.45" thickBot="1" x14ac:dyDescent="0.3">
      <c r="B52" s="20"/>
      <c r="C52" s="191"/>
      <c r="D52" s="192"/>
      <c r="E52" s="192"/>
      <c r="F52" s="192"/>
      <c r="G52" s="191" t="s">
        <v>128</v>
      </c>
      <c r="H52" s="193"/>
      <c r="I52" s="193"/>
      <c r="J52" s="193"/>
      <c r="K52" s="193"/>
      <c r="L52" s="194">
        <f t="shared" ref="L52:X52" si="51">((SUMPRODUCT($K$19:$K$29,L$19:L$29)+SUMPRODUCT($K$32:$K$50,L$32:L$50)))/(SUMPRODUCT($K$19:$K$29,L$19:L$29))</f>
        <v>0.24006616317966981</v>
      </c>
      <c r="M52" s="194">
        <f t="shared" si="51"/>
        <v>0.36503624521964717</v>
      </c>
      <c r="N52" s="194">
        <f t="shared" si="51"/>
        <v>5.9848811800227567E-2</v>
      </c>
      <c r="O52" s="194">
        <f t="shared" si="51"/>
        <v>0.18538343422802087</v>
      </c>
      <c r="P52" s="194">
        <f t="shared" si="51"/>
        <v>-0.154263812585864</v>
      </c>
      <c r="Q52" s="194">
        <f t="shared" si="51"/>
        <v>0.35927190267821429</v>
      </c>
      <c r="R52" s="194">
        <f t="shared" si="51"/>
        <v>0.28664518161630864</v>
      </c>
      <c r="S52" s="194">
        <f t="shared" si="51"/>
        <v>0.40331561275774286</v>
      </c>
      <c r="T52" s="194">
        <f t="shared" si="51"/>
        <v>0.40514421927553523</v>
      </c>
      <c r="U52" s="194">
        <f t="shared" si="51"/>
        <v>0.34385640132326889</v>
      </c>
      <c r="V52" s="194">
        <f t="shared" si="51"/>
        <v>0.44203421799456655</v>
      </c>
      <c r="W52" s="194">
        <f t="shared" si="51"/>
        <v>0.45747825030587547</v>
      </c>
      <c r="X52" s="195">
        <f t="shared" si="51"/>
        <v>0.31064578478538513</v>
      </c>
      <c r="Y52" s="20"/>
      <c r="Z52" s="194">
        <f t="shared" ref="Z52:AL52" si="52">((SUMPRODUCT($K$19:$K$29,Z$19:Z$29)+SUMPRODUCT($K$32:$K$50,Z$32:Z$50)))/(SUMPRODUCT($K$19:$K$29,Z$19:Z$29))</f>
        <v>0.47992674462771201</v>
      </c>
      <c r="AA52" s="194">
        <f t="shared" si="52"/>
        <v>0.39975573439711815</v>
      </c>
      <c r="AB52" s="194">
        <f t="shared" si="52"/>
        <v>0.4204935361851293</v>
      </c>
      <c r="AC52" s="194">
        <f t="shared" si="52"/>
        <v>0.39975573439711815</v>
      </c>
      <c r="AD52" s="194">
        <f t="shared" si="52"/>
        <v>0.39975573439711815</v>
      </c>
      <c r="AE52" s="194">
        <f t="shared" si="52"/>
        <v>0.4204935361851293</v>
      </c>
      <c r="AF52" s="194">
        <f t="shared" si="52"/>
        <v>0.39975573439711815</v>
      </c>
      <c r="AG52" s="194">
        <f t="shared" si="52"/>
        <v>0.39975573439711815</v>
      </c>
      <c r="AH52" s="194">
        <f t="shared" si="52"/>
        <v>0.4204935361851293</v>
      </c>
      <c r="AI52" s="194">
        <f t="shared" si="52"/>
        <v>0.39975573439711815</v>
      </c>
      <c r="AJ52" s="194">
        <f t="shared" si="52"/>
        <v>0.39975573439711815</v>
      </c>
      <c r="AK52" s="194">
        <f t="shared" si="52"/>
        <v>0.4204935361851293</v>
      </c>
      <c r="AL52" s="195">
        <f t="shared" si="52"/>
        <v>0.41387620223767263</v>
      </c>
      <c r="AM52" s="20"/>
      <c r="AN52" s="194">
        <f t="shared" ref="AN52:AZ52" si="53">((SUMPRODUCT($K$19:$K$29,AN$19:AN$29)+SUMPRODUCT($K$32:$K$50,AN$32:AN$50)))/(SUMPRODUCT($K$19:$K$29,AN$19:AN$29))</f>
        <v>0.39975573439711815</v>
      </c>
      <c r="AO52" s="194">
        <f t="shared" si="53"/>
        <v>0.39975573439711815</v>
      </c>
      <c r="AP52" s="194">
        <f t="shared" si="53"/>
        <v>0.4204935361851293</v>
      </c>
      <c r="AQ52" s="194">
        <f t="shared" si="53"/>
        <v>0.39975573439711815</v>
      </c>
      <c r="AR52" s="194">
        <f t="shared" si="53"/>
        <v>0.39975573439711815</v>
      </c>
      <c r="AS52" s="194">
        <f t="shared" si="53"/>
        <v>0.4204935361851293</v>
      </c>
      <c r="AT52" s="194">
        <f t="shared" si="53"/>
        <v>0.39975573439711815</v>
      </c>
      <c r="AU52" s="194">
        <f t="shared" si="53"/>
        <v>0.39975573439711815</v>
      </c>
      <c r="AV52" s="194">
        <f t="shared" si="53"/>
        <v>0.4204935361851293</v>
      </c>
      <c r="AW52" s="194">
        <f t="shared" si="53"/>
        <v>0.39975573439711815</v>
      </c>
      <c r="AX52" s="194">
        <f t="shared" si="53"/>
        <v>0.39975573439711815</v>
      </c>
      <c r="AY52" s="194">
        <f t="shared" si="53"/>
        <v>0.4204935361851293</v>
      </c>
      <c r="AZ52" s="195">
        <f t="shared" si="53"/>
        <v>0.40773181200789188</v>
      </c>
      <c r="BA52" s="20"/>
      <c r="BB52" s="194">
        <f t="shared" ref="BB52:BN52" si="54">((SUMPRODUCT($K$19:$K$29,BB$19:BB$29)+SUMPRODUCT($K$32:$K$50,BB$32:BB$50)))/(SUMPRODUCT($K$19:$K$29,BB$19:BB$29))</f>
        <v>0.39975573439711815</v>
      </c>
      <c r="BC52" s="194">
        <f t="shared" si="54"/>
        <v>0.39975573439711815</v>
      </c>
      <c r="BD52" s="194">
        <f t="shared" si="54"/>
        <v>0.4204935361851293</v>
      </c>
      <c r="BE52" s="194">
        <f t="shared" si="54"/>
        <v>0.39975573439711815</v>
      </c>
      <c r="BF52" s="194">
        <f t="shared" si="54"/>
        <v>0.39975573439711815</v>
      </c>
      <c r="BG52" s="194">
        <f t="shared" si="54"/>
        <v>0.4204935361851293</v>
      </c>
      <c r="BH52" s="194">
        <f t="shared" si="54"/>
        <v>0.39975573439711815</v>
      </c>
      <c r="BI52" s="194">
        <f t="shared" si="54"/>
        <v>0.39975573439711815</v>
      </c>
      <c r="BJ52" s="194">
        <f t="shared" si="54"/>
        <v>0.4204935361851293</v>
      </c>
      <c r="BK52" s="194">
        <f t="shared" si="54"/>
        <v>0.39975573439711815</v>
      </c>
      <c r="BL52" s="194">
        <f t="shared" si="54"/>
        <v>0.39975573439711815</v>
      </c>
      <c r="BM52" s="194">
        <f t="shared" si="54"/>
        <v>0.4204935361851293</v>
      </c>
      <c r="BN52" s="195">
        <f t="shared" si="54"/>
        <v>0.40773181200789188</v>
      </c>
      <c r="BO52" s="20"/>
      <c r="BP52" s="214" t="e">
        <f t="shared" ref="BP52:CB52" si="55">((SUMPRODUCT($K$19:$K$29,BP$19:BP$29)+SUMPRODUCT($K$32:$K$50,BP$32:BP$50)))/(SUMPRODUCT($K$19:$K$29,BP$19:BP$29))</f>
        <v>#DIV/0!</v>
      </c>
      <c r="BQ52" s="214" t="e">
        <f t="shared" si="55"/>
        <v>#DIV/0!</v>
      </c>
      <c r="BR52" s="214" t="e">
        <f t="shared" si="55"/>
        <v>#DIV/0!</v>
      </c>
      <c r="BS52" s="214" t="e">
        <f t="shared" si="55"/>
        <v>#DIV/0!</v>
      </c>
      <c r="BT52" s="214" t="e">
        <f t="shared" si="55"/>
        <v>#DIV/0!</v>
      </c>
      <c r="BU52" s="214" t="e">
        <f t="shared" si="55"/>
        <v>#DIV/0!</v>
      </c>
      <c r="BV52" s="214" t="e">
        <f t="shared" si="55"/>
        <v>#DIV/0!</v>
      </c>
      <c r="BW52" s="214" t="e">
        <f t="shared" si="55"/>
        <v>#DIV/0!</v>
      </c>
      <c r="BX52" s="214" t="e">
        <f t="shared" si="55"/>
        <v>#DIV/0!</v>
      </c>
      <c r="BY52" s="214" t="e">
        <f t="shared" si="55"/>
        <v>#DIV/0!</v>
      </c>
      <c r="BZ52" s="214" t="e">
        <f t="shared" si="55"/>
        <v>#DIV/0!</v>
      </c>
      <c r="CA52" s="214" t="e">
        <f t="shared" si="55"/>
        <v>#DIV/0!</v>
      </c>
      <c r="CB52" s="215" t="e">
        <f t="shared" si="55"/>
        <v>#DIV/0!</v>
      </c>
    </row>
    <row r="53" spans="1:80" ht="11.95" x14ac:dyDescent="0.25">
      <c r="C53" s="19"/>
      <c r="D53" s="19"/>
      <c r="E53" s="19"/>
      <c r="F53" s="19"/>
      <c r="G53" s="19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9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9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9"/>
      <c r="BB53" s="188"/>
      <c r="BC53" s="188"/>
      <c r="BD53" s="188"/>
      <c r="BE53" s="188"/>
      <c r="BF53" s="188"/>
      <c r="BG53" s="188"/>
      <c r="BH53" s="188"/>
      <c r="BI53" s="188"/>
      <c r="BJ53" s="188"/>
      <c r="BK53" s="188"/>
      <c r="BL53" s="188"/>
      <c r="BM53" s="188"/>
      <c r="BN53" s="189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4"/>
    </row>
    <row r="54" spans="1:80" ht="12.45" thickBot="1" x14ac:dyDescent="0.3">
      <c r="C54" s="4" t="s">
        <v>2</v>
      </c>
      <c r="D54" s="4"/>
      <c r="E54" s="4"/>
      <c r="F54" s="4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P54" s="133"/>
      <c r="BQ54" s="133"/>
      <c r="BR54" s="133"/>
      <c r="BS54" s="133"/>
      <c r="BT54" s="133"/>
      <c r="BU54" s="133"/>
      <c r="BV54" s="133"/>
      <c r="BW54" s="133"/>
      <c r="BX54" s="133"/>
      <c r="BY54" s="133"/>
      <c r="BZ54" s="133"/>
      <c r="CA54" s="133"/>
      <c r="CB54" s="133"/>
    </row>
    <row r="55" spans="1:80" ht="11.95" thickBot="1" x14ac:dyDescent="0.3">
      <c r="E55" s="3"/>
      <c r="F55" s="3"/>
      <c r="G55" s="253" t="s">
        <v>2</v>
      </c>
      <c r="H55" s="3"/>
      <c r="I55" s="18"/>
      <c r="J55" s="18"/>
      <c r="K55" s="18"/>
      <c r="L55" s="185">
        <v>0</v>
      </c>
      <c r="M55" s="185">
        <v>772.8</v>
      </c>
      <c r="N55" s="185">
        <v>-772.8</v>
      </c>
      <c r="O55" s="185">
        <v>0</v>
      </c>
      <c r="P55" s="185">
        <v>0</v>
      </c>
      <c r="Q55" s="185">
        <v>0</v>
      </c>
      <c r="R55" s="185">
        <v>0</v>
      </c>
      <c r="S55" s="185">
        <v>0</v>
      </c>
      <c r="T55" s="185">
        <v>-2600</v>
      </c>
      <c r="U55" s="185">
        <v>0</v>
      </c>
      <c r="V55" s="185">
        <v>0</v>
      </c>
      <c r="W55" s="185">
        <v>2634.98</v>
      </c>
      <c r="X55" s="186">
        <f>SUM(L55:W55)</f>
        <v>34.980000000000018</v>
      </c>
      <c r="Y55" s="219"/>
      <c r="Z55" s="185">
        <v>0</v>
      </c>
      <c r="AA55" s="185">
        <v>-2.17E-10</v>
      </c>
      <c r="AB55" s="185">
        <v>-3.4999999999999998E-10</v>
      </c>
      <c r="AC55" s="185">
        <v>-2.17E-10</v>
      </c>
      <c r="AD55" s="185">
        <v>-2.17E-10</v>
      </c>
      <c r="AE55" s="185">
        <v>-3.4999999999999998E-10</v>
      </c>
      <c r="AF55" s="185">
        <v>-2.17E-10</v>
      </c>
      <c r="AG55" s="185">
        <v>-2.17E-10</v>
      </c>
      <c r="AH55" s="185">
        <v>-3.4999999999999998E-10</v>
      </c>
      <c r="AI55" s="185">
        <v>-2.17E-10</v>
      </c>
      <c r="AJ55" s="185">
        <v>-2.17E-10</v>
      </c>
      <c r="AK55" s="185">
        <v>-3.4999999999999998E-10</v>
      </c>
      <c r="AL55" s="186">
        <f>SUM(Z55:AK55)</f>
        <v>-2.9189999999999995E-9</v>
      </c>
      <c r="AM55" s="221"/>
      <c r="AN55" s="187">
        <v>-2.17E-10</v>
      </c>
      <c r="AO55" s="187">
        <v>-2.17E-10</v>
      </c>
      <c r="AP55" s="187">
        <v>-3.4999999999999998E-10</v>
      </c>
      <c r="AQ55" s="187">
        <v>-2.17E-10</v>
      </c>
      <c r="AR55" s="187">
        <v>-2.17E-10</v>
      </c>
      <c r="AS55" s="187">
        <v>-3.4999999999999998E-10</v>
      </c>
      <c r="AT55" s="187">
        <v>-2.17E-10</v>
      </c>
      <c r="AU55" s="187">
        <v>-2.17E-10</v>
      </c>
      <c r="AV55" s="187">
        <v>-3.4999999999999998E-10</v>
      </c>
      <c r="AW55" s="187">
        <v>-2.17E-10</v>
      </c>
      <c r="AX55" s="187">
        <v>-2.17E-10</v>
      </c>
      <c r="AY55" s="187">
        <v>-3.4999999999999998E-10</v>
      </c>
      <c r="AZ55" s="186">
        <f>SUM(AN55:AY55)</f>
        <v>-3.1359999999999995E-9</v>
      </c>
      <c r="BA55" s="221"/>
      <c r="BB55" s="187">
        <v>-2.17E-10</v>
      </c>
      <c r="BC55" s="187">
        <v>-2.17E-10</v>
      </c>
      <c r="BD55" s="187">
        <v>-3.4999999999999998E-10</v>
      </c>
      <c r="BE55" s="187">
        <v>-2.17E-10</v>
      </c>
      <c r="BF55" s="187">
        <v>-2.17E-10</v>
      </c>
      <c r="BG55" s="187">
        <v>-3.4999999999999998E-10</v>
      </c>
      <c r="BH55" s="187">
        <v>-2.17E-10</v>
      </c>
      <c r="BI55" s="187">
        <v>-2.17E-10</v>
      </c>
      <c r="BJ55" s="187">
        <v>-3.4999999999999998E-10</v>
      </c>
      <c r="BK55" s="187">
        <v>-2.17E-10</v>
      </c>
      <c r="BL55" s="187">
        <v>-2.17E-10</v>
      </c>
      <c r="BM55" s="187">
        <v>-3.4999999999999998E-10</v>
      </c>
      <c r="BN55" s="186">
        <f>SUM(BB55:BM55)</f>
        <v>-3.1359999999999995E-9</v>
      </c>
      <c r="BP55"/>
      <c r="BQ55"/>
      <c r="BR55"/>
      <c r="BS55"/>
      <c r="BT55"/>
      <c r="BU55"/>
      <c r="BV55"/>
      <c r="BW55"/>
      <c r="BX55"/>
      <c r="BY55"/>
      <c r="BZ55"/>
      <c r="CA55"/>
      <c r="CB55">
        <f>SUM(BP55:CA55)</f>
        <v>0</v>
      </c>
    </row>
    <row r="56" spans="1:80" ht="11.95" outlineLevel="1" thickBot="1" x14ac:dyDescent="0.3">
      <c r="E56" s="3"/>
      <c r="F56" s="3"/>
      <c r="G56" s="256" t="s">
        <v>104</v>
      </c>
      <c r="H56" s="3"/>
      <c r="I56" s="18"/>
      <c r="J56" s="18"/>
      <c r="K56" s="18"/>
      <c r="L56" s="185">
        <v>65541.350000000006</v>
      </c>
      <c r="M56" s="185">
        <v>77512.62</v>
      </c>
      <c r="N56" s="185">
        <v>113479.4</v>
      </c>
      <c r="O56" s="185">
        <v>66490.289999999994</v>
      </c>
      <c r="P56" s="185">
        <v>69242.89</v>
      </c>
      <c r="Q56" s="185">
        <v>74251.28</v>
      </c>
      <c r="R56" s="185">
        <v>60009.94</v>
      </c>
      <c r="S56" s="185">
        <v>61254.15</v>
      </c>
      <c r="T56" s="185">
        <v>76753.98</v>
      </c>
      <c r="U56" s="185">
        <v>62685.47</v>
      </c>
      <c r="V56" s="185">
        <v>68880.69</v>
      </c>
      <c r="W56" s="185">
        <v>107041.45</v>
      </c>
      <c r="X56" s="186">
        <f t="shared" ref="X56:X122" si="56">SUM(L56:W56)</f>
        <v>903143.51</v>
      </c>
      <c r="Y56" s="219"/>
      <c r="Z56" s="185">
        <v>64826.11</v>
      </c>
      <c r="AA56" s="185">
        <v>74257.113736263695</v>
      </c>
      <c r="AB56" s="185">
        <v>92821.392170329593</v>
      </c>
      <c r="AC56" s="185">
        <v>74257.113736263695</v>
      </c>
      <c r="AD56" s="185">
        <v>74257.113736263695</v>
      </c>
      <c r="AE56" s="185">
        <v>92821.392170329593</v>
      </c>
      <c r="AF56" s="185">
        <v>74257.113736263695</v>
      </c>
      <c r="AG56" s="185">
        <v>74257.113736263695</v>
      </c>
      <c r="AH56" s="185">
        <v>92821.392170329593</v>
      </c>
      <c r="AI56" s="185">
        <v>74257.113736263695</v>
      </c>
      <c r="AJ56" s="185">
        <v>74257.113736263695</v>
      </c>
      <c r="AK56" s="185">
        <v>92821.392170329593</v>
      </c>
      <c r="AL56" s="186">
        <f t="shared" ref="AL56:AL122" si="57">SUM(Z56:AK56)</f>
        <v>955911.47483516426</v>
      </c>
      <c r="AM56" s="221"/>
      <c r="AN56" s="187">
        <v>74257.113736263695</v>
      </c>
      <c r="AO56" s="187">
        <v>74257.113736263695</v>
      </c>
      <c r="AP56" s="187">
        <v>92821.392170329593</v>
      </c>
      <c r="AQ56" s="187">
        <v>74257.113736263695</v>
      </c>
      <c r="AR56" s="187">
        <v>74257.113736263695</v>
      </c>
      <c r="AS56" s="187">
        <v>92821.392170329593</v>
      </c>
      <c r="AT56" s="187">
        <v>74257.113736263695</v>
      </c>
      <c r="AU56" s="187">
        <v>74257.113736263695</v>
      </c>
      <c r="AV56" s="187">
        <v>92821.392170329593</v>
      </c>
      <c r="AW56" s="187">
        <v>74257.113736263695</v>
      </c>
      <c r="AX56" s="187">
        <v>74257.113736263695</v>
      </c>
      <c r="AY56" s="187">
        <v>92821.392170329593</v>
      </c>
      <c r="AZ56" s="186">
        <f t="shared" ref="AZ56:AZ122" si="58">SUM(AN56:AY56)</f>
        <v>965342.47857142799</v>
      </c>
      <c r="BA56" s="221"/>
      <c r="BB56" s="187">
        <v>74257.113736263695</v>
      </c>
      <c r="BC56" s="187">
        <v>74257.113736263695</v>
      </c>
      <c r="BD56" s="187">
        <v>92821.392170329593</v>
      </c>
      <c r="BE56" s="187">
        <v>74257.113736263695</v>
      </c>
      <c r="BF56" s="187">
        <v>74257.113736263695</v>
      </c>
      <c r="BG56" s="187">
        <v>92821.392170329593</v>
      </c>
      <c r="BH56" s="187">
        <v>74257.113736263695</v>
      </c>
      <c r="BI56" s="187">
        <v>74257.113736263695</v>
      </c>
      <c r="BJ56" s="187">
        <v>92821.392170329593</v>
      </c>
      <c r="BK56" s="187">
        <v>74257.113736263695</v>
      </c>
      <c r="BL56" s="187">
        <v>74257.113736263695</v>
      </c>
      <c r="BM56" s="187">
        <v>92821.392170329593</v>
      </c>
      <c r="BN56" s="186">
        <f t="shared" ref="BN56:BN122" si="59">SUM(BB56:BM56)</f>
        <v>965342.47857142799</v>
      </c>
      <c r="BP56"/>
      <c r="BQ56"/>
      <c r="BR56"/>
      <c r="BS56"/>
      <c r="BT56"/>
      <c r="BU56"/>
      <c r="BV56"/>
      <c r="BW56"/>
      <c r="BX56"/>
      <c r="BY56"/>
      <c r="BZ56"/>
      <c r="CA56"/>
      <c r="CB56"/>
    </row>
    <row r="57" spans="1:80" ht="11.95" hidden="1" outlineLevel="2" thickBot="1" x14ac:dyDescent="0.3">
      <c r="A57" t="str">
        <f t="shared" ref="A57" si="60">IF(LEFT(G57,3)="Mul", "#hiderow", "#showrow")</f>
        <v>#hiderow</v>
      </c>
      <c r="E57" s="3"/>
      <c r="F57" s="3"/>
      <c r="G57" s="255" t="s">
        <v>6</v>
      </c>
      <c r="H57" s="3"/>
      <c r="I57" s="18"/>
      <c r="J57" s="18"/>
      <c r="K57" s="18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6">
        <f t="shared" si="56"/>
        <v>0</v>
      </c>
      <c r="Y57" s="219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6">
        <f t="shared" si="57"/>
        <v>0</v>
      </c>
      <c r="AM57" s="221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6">
        <f t="shared" si="58"/>
        <v>0</v>
      </c>
      <c r="BA57" s="221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6">
        <f t="shared" si="59"/>
        <v>0</v>
      </c>
      <c r="BP57"/>
      <c r="BQ57"/>
      <c r="BR57"/>
      <c r="BS57"/>
      <c r="BT57"/>
      <c r="BU57"/>
      <c r="BV57"/>
      <c r="BW57"/>
      <c r="BX57"/>
      <c r="BY57"/>
      <c r="BZ57"/>
      <c r="CA57"/>
      <c r="CB57"/>
    </row>
    <row r="58" spans="1:80" ht="11.95" outlineLevel="2" thickBot="1" x14ac:dyDescent="0.3">
      <c r="A58" t="str">
        <f t="shared" ref="A58:A63" si="61">IF(LEFT(G58,3)="Mul", "#hiderow", "#showrow")</f>
        <v>#showrow</v>
      </c>
      <c r="E58" s="3"/>
      <c r="F58" s="3"/>
      <c r="G58" s="255" t="s">
        <v>181</v>
      </c>
      <c r="H58" s="3"/>
      <c r="I58" s="18"/>
      <c r="J58" s="18"/>
      <c r="K58" s="18"/>
      <c r="L58" s="185">
        <v>40722.51</v>
      </c>
      <c r="M58" s="185">
        <v>56515.65</v>
      </c>
      <c r="N58" s="185">
        <v>66345.210000000006</v>
      </c>
      <c r="O58" s="185">
        <v>48854.21</v>
      </c>
      <c r="P58" s="185">
        <v>47563.96</v>
      </c>
      <c r="Q58" s="185">
        <v>52419.41</v>
      </c>
      <c r="R58" s="185">
        <v>40978.839999999997</v>
      </c>
      <c r="S58" s="185">
        <v>40931.86</v>
      </c>
      <c r="T58" s="185">
        <v>54088.84</v>
      </c>
      <c r="U58" s="185">
        <v>43443.31</v>
      </c>
      <c r="V58" s="185">
        <v>48282.55</v>
      </c>
      <c r="W58" s="185">
        <v>67335.210000000006</v>
      </c>
      <c r="X58" s="186">
        <f t="shared" ref="X58:X63" si="62">SUM(L58:W58)</f>
        <v>607481.55999999982</v>
      </c>
      <c r="Y58" s="219"/>
      <c r="Z58" s="185">
        <v>47925.58</v>
      </c>
      <c r="AA58" s="185">
        <v>61333.945054945099</v>
      </c>
      <c r="AB58" s="185">
        <v>76667.431318681294</v>
      </c>
      <c r="AC58" s="185">
        <v>61333.945054945099</v>
      </c>
      <c r="AD58" s="185">
        <v>61333.945054945099</v>
      </c>
      <c r="AE58" s="185">
        <v>76667.431318681294</v>
      </c>
      <c r="AF58" s="185">
        <v>61333.945054945099</v>
      </c>
      <c r="AG58" s="185">
        <v>61333.945054945099</v>
      </c>
      <c r="AH58" s="185">
        <v>76667.431318681294</v>
      </c>
      <c r="AI58" s="185">
        <v>61333.945054945099</v>
      </c>
      <c r="AJ58" s="185">
        <v>61333.945054945099</v>
      </c>
      <c r="AK58" s="185">
        <v>76667.431318681294</v>
      </c>
      <c r="AL58" s="186">
        <f t="shared" ref="AL58:AL63" si="63">SUM(Z58:AK58)</f>
        <v>783932.92065934092</v>
      </c>
      <c r="AM58" s="221"/>
      <c r="AN58" s="187">
        <v>61333.945054945099</v>
      </c>
      <c r="AO58" s="187">
        <v>61333.945054945099</v>
      </c>
      <c r="AP58" s="187">
        <v>76667.431318681294</v>
      </c>
      <c r="AQ58" s="187">
        <v>61333.945054945099</v>
      </c>
      <c r="AR58" s="187">
        <v>61333.945054945099</v>
      </c>
      <c r="AS58" s="187">
        <v>76667.431318681294</v>
      </c>
      <c r="AT58" s="187">
        <v>61333.945054945099</v>
      </c>
      <c r="AU58" s="187">
        <v>61333.945054945099</v>
      </c>
      <c r="AV58" s="187">
        <v>76667.431318681294</v>
      </c>
      <c r="AW58" s="187">
        <v>61333.945054945099</v>
      </c>
      <c r="AX58" s="187">
        <v>61333.945054945099</v>
      </c>
      <c r="AY58" s="187">
        <v>76667.431318681294</v>
      </c>
      <c r="AZ58" s="186">
        <f t="shared" ref="AZ58:AZ63" si="64">SUM(AN58:AY58)</f>
        <v>797341.28571428591</v>
      </c>
      <c r="BA58" s="221"/>
      <c r="BB58" s="187">
        <v>61333.945054945099</v>
      </c>
      <c r="BC58" s="187">
        <v>61333.945054945099</v>
      </c>
      <c r="BD58" s="187">
        <v>76667.431318681294</v>
      </c>
      <c r="BE58" s="187">
        <v>61333.945054945099</v>
      </c>
      <c r="BF58" s="187">
        <v>61333.945054945099</v>
      </c>
      <c r="BG58" s="187">
        <v>76667.431318681294</v>
      </c>
      <c r="BH58" s="187">
        <v>61333.945054945099</v>
      </c>
      <c r="BI58" s="187">
        <v>61333.945054945099</v>
      </c>
      <c r="BJ58" s="187">
        <v>76667.431318681294</v>
      </c>
      <c r="BK58" s="187">
        <v>61333.945054945099</v>
      </c>
      <c r="BL58" s="187">
        <v>61333.945054945099</v>
      </c>
      <c r="BM58" s="187">
        <v>76667.431318681294</v>
      </c>
      <c r="BN58" s="186">
        <f t="shared" ref="BN58:BN63" si="65">SUM(BB58:BM58)</f>
        <v>797341.28571428591</v>
      </c>
      <c r="BP58"/>
      <c r="BQ58"/>
      <c r="BR58"/>
      <c r="BS58"/>
      <c r="BT58"/>
      <c r="BU58"/>
      <c r="BV58"/>
      <c r="BW58"/>
      <c r="BX58"/>
      <c r="BY58"/>
      <c r="BZ58"/>
      <c r="CA58"/>
      <c r="CB58"/>
    </row>
    <row r="59" spans="1:80" ht="11.95" outlineLevel="2" thickBot="1" x14ac:dyDescent="0.3">
      <c r="A59" t="str">
        <f t="shared" si="61"/>
        <v>#showrow</v>
      </c>
      <c r="E59" s="3"/>
      <c r="F59" s="3"/>
      <c r="G59" s="255" t="s">
        <v>182</v>
      </c>
      <c r="H59" s="3"/>
      <c r="I59" s="18"/>
      <c r="J59" s="18"/>
      <c r="K59" s="18"/>
      <c r="L59" s="185">
        <v>2056.59</v>
      </c>
      <c r="M59" s="185">
        <v>4020.17</v>
      </c>
      <c r="N59" s="185">
        <v>3335</v>
      </c>
      <c r="O59" s="185">
        <v>2137.5300000000002</v>
      </c>
      <c r="P59" s="185">
        <v>1725.44</v>
      </c>
      <c r="Q59" s="185">
        <v>2632.02</v>
      </c>
      <c r="R59" s="185">
        <v>3231.39</v>
      </c>
      <c r="S59" s="185">
        <v>2894.32</v>
      </c>
      <c r="T59" s="185">
        <v>2777.93</v>
      </c>
      <c r="U59" s="185">
        <v>2155.39</v>
      </c>
      <c r="V59" s="185">
        <v>2412.5</v>
      </c>
      <c r="W59" s="185">
        <v>2303.06</v>
      </c>
      <c r="X59" s="186">
        <f t="shared" si="62"/>
        <v>31681.340000000004</v>
      </c>
      <c r="Y59" s="219"/>
      <c r="Z59" s="185">
        <v>2166.69</v>
      </c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6">
        <f t="shared" si="63"/>
        <v>2166.69</v>
      </c>
      <c r="AM59" s="221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6">
        <f t="shared" si="64"/>
        <v>0</v>
      </c>
      <c r="BA59" s="221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6">
        <f t="shared" si="65"/>
        <v>0</v>
      </c>
      <c r="BP59"/>
      <c r="BQ59"/>
      <c r="BR59"/>
      <c r="BS59"/>
      <c r="BT59"/>
      <c r="BU59"/>
      <c r="BV59"/>
      <c r="BW59"/>
      <c r="BX59"/>
      <c r="BY59"/>
      <c r="BZ59"/>
      <c r="CA59"/>
      <c r="CB59"/>
    </row>
    <row r="60" spans="1:80" ht="11.95" outlineLevel="2" thickBot="1" x14ac:dyDescent="0.3">
      <c r="A60" t="str">
        <f t="shared" si="61"/>
        <v>#showrow</v>
      </c>
      <c r="E60" s="3"/>
      <c r="F60" s="3"/>
      <c r="G60" s="255" t="s">
        <v>183</v>
      </c>
      <c r="H60" s="3"/>
      <c r="I60" s="18"/>
      <c r="J60" s="18"/>
      <c r="K60" s="18"/>
      <c r="L60" s="185">
        <v>12088.95</v>
      </c>
      <c r="M60" s="185">
        <v>13068.8</v>
      </c>
      <c r="N60" s="185">
        <v>17476.88</v>
      </c>
      <c r="O60" s="185">
        <v>12414.55</v>
      </c>
      <c r="P60" s="185">
        <v>12443.49</v>
      </c>
      <c r="Q60" s="185">
        <v>13415.85</v>
      </c>
      <c r="R60" s="185">
        <v>10547.71</v>
      </c>
      <c r="S60" s="185">
        <v>10963.97</v>
      </c>
      <c r="T60" s="185">
        <v>13935.21</v>
      </c>
      <c r="U60" s="185">
        <v>11550.02</v>
      </c>
      <c r="V60" s="185">
        <v>12585.64</v>
      </c>
      <c r="W60" s="185">
        <v>19683.68</v>
      </c>
      <c r="X60" s="186">
        <f t="shared" si="62"/>
        <v>160174.75</v>
      </c>
      <c r="Y60" s="219"/>
      <c r="Z60" s="185">
        <v>8073.84</v>
      </c>
      <c r="AA60" s="185">
        <v>9200.0917582417605</v>
      </c>
      <c r="AB60" s="185">
        <v>11500.114697802201</v>
      </c>
      <c r="AC60" s="185">
        <v>9200.0917582417605</v>
      </c>
      <c r="AD60" s="185">
        <v>9200.0917582417605</v>
      </c>
      <c r="AE60" s="185">
        <v>11500.114697802201</v>
      </c>
      <c r="AF60" s="185">
        <v>9200.0917582417605</v>
      </c>
      <c r="AG60" s="185">
        <v>9200.0917582417605</v>
      </c>
      <c r="AH60" s="185">
        <v>11500.114697802201</v>
      </c>
      <c r="AI60" s="185">
        <v>9200.0917582417605</v>
      </c>
      <c r="AJ60" s="185">
        <v>9200.0917582417605</v>
      </c>
      <c r="AK60" s="185">
        <v>11500.114697802201</v>
      </c>
      <c r="AL60" s="186">
        <f t="shared" si="63"/>
        <v>118474.94109890112</v>
      </c>
      <c r="AM60" s="221"/>
      <c r="AN60" s="187">
        <v>9200.0917582417605</v>
      </c>
      <c r="AO60" s="187">
        <v>9200.0917582417605</v>
      </c>
      <c r="AP60" s="187">
        <v>11500.114697802201</v>
      </c>
      <c r="AQ60" s="187">
        <v>9200.0917582417605</v>
      </c>
      <c r="AR60" s="187">
        <v>9200.0917582417605</v>
      </c>
      <c r="AS60" s="187">
        <v>11500.114697802201</v>
      </c>
      <c r="AT60" s="187">
        <v>9200.0917582417605</v>
      </c>
      <c r="AU60" s="187">
        <v>9200.0917582417605</v>
      </c>
      <c r="AV60" s="187">
        <v>11500.114697802201</v>
      </c>
      <c r="AW60" s="187">
        <v>9200.0917582417605</v>
      </c>
      <c r="AX60" s="187">
        <v>9200.0917582417605</v>
      </c>
      <c r="AY60" s="187">
        <v>11500.114697802201</v>
      </c>
      <c r="AZ60" s="186">
        <f t="shared" si="64"/>
        <v>119601.19285714289</v>
      </c>
      <c r="BA60" s="221"/>
      <c r="BB60" s="187">
        <v>9200.0917582417605</v>
      </c>
      <c r="BC60" s="187">
        <v>9200.0917582417605</v>
      </c>
      <c r="BD60" s="187">
        <v>11500.114697802201</v>
      </c>
      <c r="BE60" s="187">
        <v>9200.0917582417605</v>
      </c>
      <c r="BF60" s="187">
        <v>9200.0917582417605</v>
      </c>
      <c r="BG60" s="187">
        <v>11500.114697802201</v>
      </c>
      <c r="BH60" s="187">
        <v>9200.0917582417605</v>
      </c>
      <c r="BI60" s="187">
        <v>9200.0917582417605</v>
      </c>
      <c r="BJ60" s="187">
        <v>11500.114697802201</v>
      </c>
      <c r="BK60" s="187">
        <v>9200.0917582417605</v>
      </c>
      <c r="BL60" s="187">
        <v>9200.0917582417605</v>
      </c>
      <c r="BM60" s="187">
        <v>11500.114697802201</v>
      </c>
      <c r="BN60" s="186">
        <f t="shared" si="65"/>
        <v>119601.19285714289</v>
      </c>
      <c r="BP60"/>
      <c r="BQ60"/>
      <c r="BR60"/>
      <c r="BS60"/>
      <c r="BT60"/>
      <c r="BU60"/>
      <c r="BV60"/>
      <c r="BW60"/>
      <c r="BX60"/>
      <c r="BY60"/>
      <c r="BZ60"/>
      <c r="CA60"/>
      <c r="CB60"/>
    </row>
    <row r="61" spans="1:80" ht="11.95" outlineLevel="2" thickBot="1" x14ac:dyDescent="0.3">
      <c r="A61" t="str">
        <f t="shared" si="61"/>
        <v>#showrow</v>
      </c>
      <c r="E61" s="3"/>
      <c r="F61" s="3"/>
      <c r="G61" s="255" t="s">
        <v>184</v>
      </c>
      <c r="H61" s="3"/>
      <c r="I61" s="18"/>
      <c r="J61" s="18"/>
      <c r="K61" s="18"/>
      <c r="L61" s="185">
        <v>3040</v>
      </c>
      <c r="M61" s="185">
        <v>2280</v>
      </c>
      <c r="N61" s="185">
        <v>4560</v>
      </c>
      <c r="O61" s="185">
        <v>2280</v>
      </c>
      <c r="P61" s="185">
        <v>3800</v>
      </c>
      <c r="Q61" s="185">
        <v>3040</v>
      </c>
      <c r="R61" s="185">
        <v>3040</v>
      </c>
      <c r="S61" s="185">
        <v>3040</v>
      </c>
      <c r="T61" s="185">
        <v>3800</v>
      </c>
      <c r="U61" s="185">
        <v>2280</v>
      </c>
      <c r="V61" s="185">
        <v>3040</v>
      </c>
      <c r="W61" s="185">
        <v>5320</v>
      </c>
      <c r="X61" s="186">
        <f t="shared" si="62"/>
        <v>39520</v>
      </c>
      <c r="Y61" s="219"/>
      <c r="Z61" s="185">
        <v>760</v>
      </c>
      <c r="AA61" s="185">
        <v>2800</v>
      </c>
      <c r="AB61" s="185">
        <v>3500</v>
      </c>
      <c r="AC61" s="185">
        <v>2800</v>
      </c>
      <c r="AD61" s="185">
        <v>2800</v>
      </c>
      <c r="AE61" s="185">
        <v>3500</v>
      </c>
      <c r="AF61" s="185">
        <v>2800</v>
      </c>
      <c r="AG61" s="185">
        <v>2800</v>
      </c>
      <c r="AH61" s="185">
        <v>3500</v>
      </c>
      <c r="AI61" s="185">
        <v>2800</v>
      </c>
      <c r="AJ61" s="185">
        <v>2800</v>
      </c>
      <c r="AK61" s="185">
        <v>3500</v>
      </c>
      <c r="AL61" s="186">
        <f t="shared" si="63"/>
        <v>34360</v>
      </c>
      <c r="AM61" s="221"/>
      <c r="AN61" s="187">
        <v>2800</v>
      </c>
      <c r="AO61" s="187">
        <v>2800</v>
      </c>
      <c r="AP61" s="187">
        <v>3500</v>
      </c>
      <c r="AQ61" s="187">
        <v>2800</v>
      </c>
      <c r="AR61" s="187">
        <v>2800</v>
      </c>
      <c r="AS61" s="187">
        <v>3500</v>
      </c>
      <c r="AT61" s="187">
        <v>2800</v>
      </c>
      <c r="AU61" s="187">
        <v>2800</v>
      </c>
      <c r="AV61" s="187">
        <v>3500</v>
      </c>
      <c r="AW61" s="187">
        <v>2800</v>
      </c>
      <c r="AX61" s="187">
        <v>2800</v>
      </c>
      <c r="AY61" s="187">
        <v>3500</v>
      </c>
      <c r="AZ61" s="186">
        <f t="shared" si="64"/>
        <v>36400</v>
      </c>
      <c r="BA61" s="221"/>
      <c r="BB61" s="187">
        <v>2800</v>
      </c>
      <c r="BC61" s="187">
        <v>2800</v>
      </c>
      <c r="BD61" s="187">
        <v>3500</v>
      </c>
      <c r="BE61" s="187">
        <v>2800</v>
      </c>
      <c r="BF61" s="187">
        <v>2800</v>
      </c>
      <c r="BG61" s="187">
        <v>3500</v>
      </c>
      <c r="BH61" s="187">
        <v>2800</v>
      </c>
      <c r="BI61" s="187">
        <v>2800</v>
      </c>
      <c r="BJ61" s="187">
        <v>3500</v>
      </c>
      <c r="BK61" s="187">
        <v>2800</v>
      </c>
      <c r="BL61" s="187">
        <v>2800</v>
      </c>
      <c r="BM61" s="187">
        <v>3500</v>
      </c>
      <c r="BN61" s="186">
        <f t="shared" si="65"/>
        <v>36400</v>
      </c>
      <c r="BP61"/>
      <c r="BQ61"/>
      <c r="BR61"/>
      <c r="BS61"/>
      <c r="BT61"/>
      <c r="BU61"/>
      <c r="BV61"/>
      <c r="BW61"/>
      <c r="BX61"/>
      <c r="BY61"/>
      <c r="BZ61"/>
      <c r="CA61"/>
      <c r="CB61"/>
    </row>
    <row r="62" spans="1:80" ht="11.95" outlineLevel="2" thickBot="1" x14ac:dyDescent="0.3">
      <c r="A62" t="str">
        <f t="shared" si="61"/>
        <v>#showrow</v>
      </c>
      <c r="E62" s="3"/>
      <c r="F62" s="3"/>
      <c r="G62" s="255" t="s">
        <v>185</v>
      </c>
      <c r="H62" s="3"/>
      <c r="I62" s="18"/>
      <c r="J62" s="18"/>
      <c r="K62" s="18"/>
      <c r="L62" s="185"/>
      <c r="M62" s="185"/>
      <c r="N62" s="185">
        <v>18200</v>
      </c>
      <c r="O62" s="185"/>
      <c r="P62" s="185">
        <v>1500</v>
      </c>
      <c r="Q62" s="185">
        <v>1500</v>
      </c>
      <c r="R62" s="185">
        <v>1000</v>
      </c>
      <c r="S62" s="185">
        <v>500</v>
      </c>
      <c r="T62" s="185">
        <v>500</v>
      </c>
      <c r="U62" s="185">
        <v>500</v>
      </c>
      <c r="V62" s="185">
        <v>500</v>
      </c>
      <c r="W62" s="185">
        <v>1000</v>
      </c>
      <c r="X62" s="186">
        <f t="shared" si="62"/>
        <v>25200</v>
      </c>
      <c r="Y62" s="219"/>
      <c r="Z62" s="185"/>
      <c r="AA62" s="185">
        <v>923.07692307692298</v>
      </c>
      <c r="AB62" s="185">
        <v>1153.8461538461499</v>
      </c>
      <c r="AC62" s="185">
        <v>923.07692307692298</v>
      </c>
      <c r="AD62" s="185">
        <v>923.07692307692298</v>
      </c>
      <c r="AE62" s="185">
        <v>1153.8461538461499</v>
      </c>
      <c r="AF62" s="185">
        <v>923.07692307692298</v>
      </c>
      <c r="AG62" s="185">
        <v>923.07692307692298</v>
      </c>
      <c r="AH62" s="185">
        <v>1153.8461538461499</v>
      </c>
      <c r="AI62" s="185">
        <v>923.07692307692298</v>
      </c>
      <c r="AJ62" s="185">
        <v>923.07692307692298</v>
      </c>
      <c r="AK62" s="185">
        <v>1153.8461538461499</v>
      </c>
      <c r="AL62" s="186">
        <f t="shared" si="63"/>
        <v>11076.923076923062</v>
      </c>
      <c r="AM62" s="221"/>
      <c r="AN62" s="187">
        <v>923.07692307692298</v>
      </c>
      <c r="AO62" s="187">
        <v>923.07692307692298</v>
      </c>
      <c r="AP62" s="187">
        <v>1153.8461538461499</v>
      </c>
      <c r="AQ62" s="187">
        <v>923.07692307692298</v>
      </c>
      <c r="AR62" s="187">
        <v>923.07692307692298</v>
      </c>
      <c r="AS62" s="187">
        <v>1153.8461538461499</v>
      </c>
      <c r="AT62" s="187">
        <v>923.07692307692298</v>
      </c>
      <c r="AU62" s="187">
        <v>923.07692307692298</v>
      </c>
      <c r="AV62" s="187">
        <v>1153.8461538461499</v>
      </c>
      <c r="AW62" s="187">
        <v>923.07692307692298</v>
      </c>
      <c r="AX62" s="187">
        <v>923.07692307692298</v>
      </c>
      <c r="AY62" s="187">
        <v>1153.8461538461499</v>
      </c>
      <c r="AZ62" s="186">
        <f t="shared" si="64"/>
        <v>11999.999999999985</v>
      </c>
      <c r="BA62" s="221"/>
      <c r="BB62" s="187">
        <v>923.07692307692298</v>
      </c>
      <c r="BC62" s="187">
        <v>923.07692307692298</v>
      </c>
      <c r="BD62" s="187">
        <v>1153.8461538461499</v>
      </c>
      <c r="BE62" s="187">
        <v>923.07692307692298</v>
      </c>
      <c r="BF62" s="187">
        <v>923.07692307692298</v>
      </c>
      <c r="BG62" s="187">
        <v>1153.8461538461499</v>
      </c>
      <c r="BH62" s="187">
        <v>923.07692307692298</v>
      </c>
      <c r="BI62" s="187">
        <v>923.07692307692298</v>
      </c>
      <c r="BJ62" s="187">
        <v>1153.8461538461499</v>
      </c>
      <c r="BK62" s="187">
        <v>923.07692307692298</v>
      </c>
      <c r="BL62" s="187">
        <v>923.07692307692298</v>
      </c>
      <c r="BM62" s="187">
        <v>1153.8461538461499</v>
      </c>
      <c r="BN62" s="186">
        <f t="shared" si="65"/>
        <v>11999.999999999985</v>
      </c>
      <c r="BP62"/>
      <c r="BQ62"/>
      <c r="BR62"/>
      <c r="BS62"/>
      <c r="BT62"/>
      <c r="BU62"/>
      <c r="BV62"/>
      <c r="BW62"/>
      <c r="BX62"/>
      <c r="BY62"/>
      <c r="BZ62"/>
      <c r="CA62"/>
      <c r="CB62"/>
    </row>
    <row r="63" spans="1:80" ht="11.95" outlineLevel="2" thickBot="1" x14ac:dyDescent="0.3">
      <c r="A63" t="str">
        <f t="shared" si="61"/>
        <v>#showrow</v>
      </c>
      <c r="E63" s="3"/>
      <c r="F63" s="3"/>
      <c r="G63" s="255" t="s">
        <v>186</v>
      </c>
      <c r="H63" s="3"/>
      <c r="I63" s="18"/>
      <c r="J63" s="18"/>
      <c r="K63" s="18"/>
      <c r="L63" s="185">
        <v>7633.3</v>
      </c>
      <c r="M63" s="185">
        <v>1628</v>
      </c>
      <c r="N63" s="185">
        <v>3562.31</v>
      </c>
      <c r="O63" s="185">
        <v>804</v>
      </c>
      <c r="P63" s="185">
        <v>2210</v>
      </c>
      <c r="Q63" s="185">
        <v>1244</v>
      </c>
      <c r="R63" s="185">
        <v>1212</v>
      </c>
      <c r="S63" s="185">
        <v>2924</v>
      </c>
      <c r="T63" s="185">
        <v>1652</v>
      </c>
      <c r="U63" s="185">
        <v>2756.75</v>
      </c>
      <c r="V63" s="185">
        <v>2060</v>
      </c>
      <c r="W63" s="185">
        <v>11399.5</v>
      </c>
      <c r="X63" s="186">
        <f t="shared" si="62"/>
        <v>39085.86</v>
      </c>
      <c r="Y63" s="219"/>
      <c r="Z63" s="185">
        <v>5900</v>
      </c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6">
        <f t="shared" si="63"/>
        <v>5900</v>
      </c>
      <c r="AM63" s="221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6">
        <f t="shared" si="64"/>
        <v>0</v>
      </c>
      <c r="BA63" s="221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6">
        <f t="shared" si="65"/>
        <v>0</v>
      </c>
      <c r="BP63"/>
      <c r="BQ63"/>
      <c r="BR63"/>
      <c r="BS63"/>
      <c r="BT63"/>
      <c r="BU63"/>
      <c r="BV63"/>
      <c r="BW63"/>
      <c r="BX63"/>
      <c r="BY63"/>
      <c r="BZ63"/>
      <c r="CA63"/>
      <c r="CB63"/>
    </row>
    <row r="64" spans="1:80" ht="11.95" outlineLevel="1" thickBot="1" x14ac:dyDescent="0.3">
      <c r="E64" s="3"/>
      <c r="F64" s="3"/>
      <c r="G64" s="256" t="s">
        <v>105</v>
      </c>
      <c r="H64" s="3"/>
      <c r="I64" s="18"/>
      <c r="J64" s="18"/>
      <c r="K64" s="18"/>
      <c r="L64" s="185">
        <v>15095.57</v>
      </c>
      <c r="M64" s="185">
        <v>5325.64</v>
      </c>
      <c r="N64" s="185">
        <v>12001.78</v>
      </c>
      <c r="O64" s="185">
        <v>3507.24</v>
      </c>
      <c r="P64" s="185">
        <v>3515.66</v>
      </c>
      <c r="Q64" s="185">
        <v>6147.25</v>
      </c>
      <c r="R64" s="185">
        <v>498.8</v>
      </c>
      <c r="S64" s="185">
        <v>209.88</v>
      </c>
      <c r="T64" s="185">
        <v>884.7</v>
      </c>
      <c r="U64" s="185">
        <v>1911.15</v>
      </c>
      <c r="V64" s="185">
        <v>753</v>
      </c>
      <c r="W64" s="185">
        <v>1501.88</v>
      </c>
      <c r="X64" s="186">
        <f t="shared" si="56"/>
        <v>51352.549999999996</v>
      </c>
      <c r="Y64" s="219"/>
      <c r="Z64" s="185">
        <v>737.99</v>
      </c>
      <c r="AA64" s="185">
        <v>1000</v>
      </c>
      <c r="AB64" s="185">
        <v>1000</v>
      </c>
      <c r="AC64" s="185">
        <v>1000</v>
      </c>
      <c r="AD64" s="185">
        <v>1000</v>
      </c>
      <c r="AE64" s="185">
        <v>1000</v>
      </c>
      <c r="AF64" s="185">
        <v>1000</v>
      </c>
      <c r="AG64" s="185">
        <v>1000</v>
      </c>
      <c r="AH64" s="185">
        <v>1000</v>
      </c>
      <c r="AI64" s="185">
        <v>1000</v>
      </c>
      <c r="AJ64" s="185">
        <v>1000</v>
      </c>
      <c r="AK64" s="185">
        <v>1000</v>
      </c>
      <c r="AL64" s="186">
        <f t="shared" si="57"/>
        <v>11737.99</v>
      </c>
      <c r="AM64" s="221"/>
      <c r="AN64" s="187">
        <v>1000</v>
      </c>
      <c r="AO64" s="187">
        <v>1000</v>
      </c>
      <c r="AP64" s="187">
        <v>1000</v>
      </c>
      <c r="AQ64" s="187">
        <v>1000</v>
      </c>
      <c r="AR64" s="187">
        <v>1000</v>
      </c>
      <c r="AS64" s="187">
        <v>1000</v>
      </c>
      <c r="AT64" s="187">
        <v>1000</v>
      </c>
      <c r="AU64" s="187">
        <v>1000</v>
      </c>
      <c r="AV64" s="187">
        <v>1000</v>
      </c>
      <c r="AW64" s="187">
        <v>1000</v>
      </c>
      <c r="AX64" s="187">
        <v>1000</v>
      </c>
      <c r="AY64" s="187">
        <v>1000</v>
      </c>
      <c r="AZ64" s="186">
        <f t="shared" si="58"/>
        <v>12000</v>
      </c>
      <c r="BA64" s="221"/>
      <c r="BB64" s="187">
        <v>1000</v>
      </c>
      <c r="BC64" s="187">
        <v>1000</v>
      </c>
      <c r="BD64" s="187">
        <v>1000</v>
      </c>
      <c r="BE64" s="187">
        <v>1000</v>
      </c>
      <c r="BF64" s="187">
        <v>1000</v>
      </c>
      <c r="BG64" s="187">
        <v>1000</v>
      </c>
      <c r="BH64" s="187">
        <v>1000</v>
      </c>
      <c r="BI64" s="187">
        <v>1000</v>
      </c>
      <c r="BJ64" s="187">
        <v>1000</v>
      </c>
      <c r="BK64" s="187">
        <v>1000</v>
      </c>
      <c r="BL64" s="187">
        <v>1000</v>
      </c>
      <c r="BM64" s="187">
        <v>1000</v>
      </c>
      <c r="BN64" s="186">
        <f t="shared" si="59"/>
        <v>12000</v>
      </c>
      <c r="BP64"/>
      <c r="BQ64"/>
      <c r="BR64"/>
      <c r="BS64"/>
      <c r="BT64"/>
      <c r="BU64"/>
      <c r="BV64"/>
      <c r="BW64"/>
      <c r="BX64"/>
      <c r="BY64"/>
      <c r="BZ64"/>
      <c r="CA64"/>
      <c r="CB64"/>
    </row>
    <row r="65" spans="1:80" ht="11.95" hidden="1" outlineLevel="2" thickBot="1" x14ac:dyDescent="0.3">
      <c r="A65" t="str">
        <f t="shared" ref="A65" si="66">IF(LEFT(G65,3)="Mul", "#hiderow", "#showrow")</f>
        <v>#hiderow</v>
      </c>
      <c r="E65" s="3"/>
      <c r="F65" s="3"/>
      <c r="G65" s="255" t="s">
        <v>6</v>
      </c>
      <c r="H65" s="3"/>
      <c r="I65" s="18"/>
      <c r="J65" s="18"/>
      <c r="K65" s="18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6">
        <f t="shared" si="56"/>
        <v>0</v>
      </c>
      <c r="Y65" s="219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6">
        <f t="shared" si="57"/>
        <v>0</v>
      </c>
      <c r="AM65" s="221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6">
        <f t="shared" si="58"/>
        <v>0</v>
      </c>
      <c r="BA65" s="221"/>
      <c r="BB65" s="187"/>
      <c r="BC65" s="187"/>
      <c r="BD65" s="187"/>
      <c r="BE65" s="187"/>
      <c r="BF65" s="187"/>
      <c r="BG65" s="187"/>
      <c r="BH65" s="187"/>
      <c r="BI65" s="187"/>
      <c r="BJ65" s="187"/>
      <c r="BK65" s="187"/>
      <c r="BL65" s="187"/>
      <c r="BM65" s="187"/>
      <c r="BN65" s="186">
        <f t="shared" si="59"/>
        <v>0</v>
      </c>
      <c r="BP65"/>
      <c r="BQ65"/>
      <c r="BR65"/>
      <c r="BS65"/>
      <c r="BT65"/>
      <c r="BU65"/>
      <c r="BV65"/>
      <c r="BW65"/>
      <c r="BX65"/>
      <c r="BY65"/>
      <c r="BZ65"/>
      <c r="CA65"/>
      <c r="CB65"/>
    </row>
    <row r="66" spans="1:80" ht="11.95" outlineLevel="2" thickBot="1" x14ac:dyDescent="0.3">
      <c r="A66" t="str">
        <f t="shared" ref="A66:A76" si="67">IF(LEFT(G66,3)="Mul", "#hiderow", "#showrow")</f>
        <v>#showrow</v>
      </c>
      <c r="E66" s="3"/>
      <c r="F66" s="3"/>
      <c r="G66" s="255" t="s">
        <v>164</v>
      </c>
      <c r="H66" s="3"/>
      <c r="I66" s="18"/>
      <c r="J66" s="18"/>
      <c r="K66" s="18"/>
      <c r="L66" s="185">
        <v>8332.77</v>
      </c>
      <c r="M66" s="185"/>
      <c r="N66" s="185">
        <v>706.24</v>
      </c>
      <c r="O66" s="185"/>
      <c r="P66" s="185">
        <v>349.45</v>
      </c>
      <c r="Q66" s="185">
        <v>995.14</v>
      </c>
      <c r="R66" s="185"/>
      <c r="S66" s="185"/>
      <c r="T66" s="185">
        <v>153.71</v>
      </c>
      <c r="U66" s="185"/>
      <c r="V66" s="185"/>
      <c r="W66" s="185"/>
      <c r="X66" s="186">
        <f t="shared" ref="X66:X76" si="68">SUM(L66:W66)</f>
        <v>10537.31</v>
      </c>
      <c r="Y66" s="219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6">
        <f t="shared" ref="AL66:AL76" si="69">SUM(Z66:AK66)</f>
        <v>0</v>
      </c>
      <c r="AM66" s="221"/>
      <c r="AN66" s="187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187"/>
      <c r="AZ66" s="186">
        <f t="shared" ref="AZ66:AZ76" si="70">SUM(AN66:AY66)</f>
        <v>0</v>
      </c>
      <c r="BA66" s="221"/>
      <c r="BB66" s="187"/>
      <c r="BC66" s="187"/>
      <c r="BD66" s="187"/>
      <c r="BE66" s="187"/>
      <c r="BF66" s="187"/>
      <c r="BG66" s="187"/>
      <c r="BH66" s="187"/>
      <c r="BI66" s="187"/>
      <c r="BJ66" s="187"/>
      <c r="BK66" s="187"/>
      <c r="BL66" s="187"/>
      <c r="BM66" s="187"/>
      <c r="BN66" s="186">
        <f t="shared" ref="BN66:BN76" si="71">SUM(BB66:BM66)</f>
        <v>0</v>
      </c>
      <c r="BP66"/>
      <c r="BQ66"/>
      <c r="BR66"/>
      <c r="BS66"/>
      <c r="BT66"/>
      <c r="BU66"/>
      <c r="BV66"/>
      <c r="BW66"/>
      <c r="BX66"/>
      <c r="BY66"/>
      <c r="BZ66"/>
      <c r="CA66"/>
      <c r="CB66"/>
    </row>
    <row r="67" spans="1:80" ht="11.95" outlineLevel="2" thickBot="1" x14ac:dyDescent="0.3">
      <c r="A67" t="str">
        <f t="shared" si="67"/>
        <v>#showrow</v>
      </c>
      <c r="E67" s="3"/>
      <c r="F67" s="3"/>
      <c r="G67" s="255" t="s">
        <v>165</v>
      </c>
      <c r="H67" s="3"/>
      <c r="I67" s="18"/>
      <c r="J67" s="18"/>
      <c r="K67" s="18"/>
      <c r="L67" s="185">
        <v>128.63999999999999</v>
      </c>
      <c r="M67" s="185">
        <v>1561.17</v>
      </c>
      <c r="N67" s="185">
        <v>278.72000000000003</v>
      </c>
      <c r="O67" s="185">
        <v>1171.6400000000001</v>
      </c>
      <c r="P67" s="185"/>
      <c r="Q67" s="185"/>
      <c r="R67" s="185"/>
      <c r="S67" s="185"/>
      <c r="T67" s="185"/>
      <c r="U67" s="185">
        <v>215.28</v>
      </c>
      <c r="V67" s="185"/>
      <c r="W67" s="185"/>
      <c r="X67" s="186">
        <f t="shared" si="68"/>
        <v>3355.4500000000003</v>
      </c>
      <c r="Y67" s="219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6">
        <f t="shared" si="69"/>
        <v>0</v>
      </c>
      <c r="AM67" s="221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6">
        <f t="shared" si="70"/>
        <v>0</v>
      </c>
      <c r="BA67" s="221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6">
        <f t="shared" si="71"/>
        <v>0</v>
      </c>
      <c r="BP67"/>
      <c r="BQ67"/>
      <c r="BR67"/>
      <c r="BS67"/>
      <c r="BT67"/>
      <c r="BU67"/>
      <c r="BV67"/>
      <c r="BW67"/>
      <c r="BX67"/>
      <c r="BY67"/>
      <c r="BZ67"/>
      <c r="CA67"/>
      <c r="CB67"/>
    </row>
    <row r="68" spans="1:80" ht="11.95" outlineLevel="2" thickBot="1" x14ac:dyDescent="0.3">
      <c r="A68" t="str">
        <f t="shared" si="67"/>
        <v>#showrow</v>
      </c>
      <c r="E68" s="3"/>
      <c r="F68" s="3"/>
      <c r="G68" s="255" t="s">
        <v>166</v>
      </c>
      <c r="H68" s="3"/>
      <c r="I68" s="18"/>
      <c r="J68" s="18"/>
      <c r="K68" s="18"/>
      <c r="L68" s="185"/>
      <c r="M68" s="185"/>
      <c r="N68" s="185"/>
      <c r="O68" s="185">
        <v>545.33000000000004</v>
      </c>
      <c r="P68" s="185">
        <v>277.05</v>
      </c>
      <c r="Q68" s="185"/>
      <c r="R68" s="185"/>
      <c r="S68" s="185"/>
      <c r="T68" s="185"/>
      <c r="U68" s="185"/>
      <c r="V68" s="185"/>
      <c r="W68" s="185"/>
      <c r="X68" s="186">
        <f t="shared" si="68"/>
        <v>822.38000000000011</v>
      </c>
      <c r="Y68" s="219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6">
        <f t="shared" si="69"/>
        <v>0</v>
      </c>
      <c r="AM68" s="221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6">
        <f t="shared" si="70"/>
        <v>0</v>
      </c>
      <c r="BA68" s="221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87"/>
      <c r="BN68" s="186">
        <f t="shared" si="71"/>
        <v>0</v>
      </c>
      <c r="BP68"/>
      <c r="BQ68"/>
      <c r="BR68"/>
      <c r="BS68"/>
      <c r="BT68"/>
      <c r="BU68"/>
      <c r="BV68"/>
      <c r="BW68"/>
      <c r="BX68"/>
      <c r="BY68"/>
      <c r="BZ68"/>
      <c r="CA68"/>
      <c r="CB68"/>
    </row>
    <row r="69" spans="1:80" ht="11.95" outlineLevel="2" thickBot="1" x14ac:dyDescent="0.3">
      <c r="A69" t="str">
        <f t="shared" si="67"/>
        <v>#showrow</v>
      </c>
      <c r="E69" s="3"/>
      <c r="F69" s="3"/>
      <c r="G69" s="255" t="s">
        <v>167</v>
      </c>
      <c r="H69" s="3"/>
      <c r="I69" s="18"/>
      <c r="J69" s="18"/>
      <c r="K69" s="18"/>
      <c r="L69" s="185"/>
      <c r="M69" s="185"/>
      <c r="N69" s="185"/>
      <c r="O69" s="185"/>
      <c r="P69" s="185"/>
      <c r="Q69" s="185"/>
      <c r="R69" s="185">
        <v>405</v>
      </c>
      <c r="S69" s="185"/>
      <c r="T69" s="185"/>
      <c r="U69" s="185"/>
      <c r="V69" s="185"/>
      <c r="W69" s="185">
        <v>131.56</v>
      </c>
      <c r="X69" s="186">
        <f t="shared" si="68"/>
        <v>536.55999999999995</v>
      </c>
      <c r="Y69" s="219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6">
        <f t="shared" si="69"/>
        <v>0</v>
      </c>
      <c r="AM69" s="221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6">
        <f t="shared" si="70"/>
        <v>0</v>
      </c>
      <c r="BA69" s="221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6">
        <f t="shared" si="71"/>
        <v>0</v>
      </c>
      <c r="BP69"/>
      <c r="BQ69"/>
      <c r="BR69"/>
      <c r="BS69"/>
      <c r="BT69"/>
      <c r="BU69"/>
      <c r="BV69"/>
      <c r="BW69"/>
      <c r="BX69"/>
      <c r="BY69"/>
      <c r="BZ69"/>
      <c r="CA69"/>
      <c r="CB69"/>
    </row>
    <row r="70" spans="1:80" ht="11.95" outlineLevel="2" thickBot="1" x14ac:dyDescent="0.3">
      <c r="A70" t="str">
        <f t="shared" si="67"/>
        <v>#showrow</v>
      </c>
      <c r="E70" s="3"/>
      <c r="F70" s="3"/>
      <c r="G70" s="255" t="s">
        <v>168</v>
      </c>
      <c r="H70" s="3"/>
      <c r="I70" s="18"/>
      <c r="J70" s="18"/>
      <c r="K70" s="18"/>
      <c r="L70" s="185">
        <v>898.22</v>
      </c>
      <c r="M70" s="185">
        <v>616</v>
      </c>
      <c r="N70" s="185"/>
      <c r="O70" s="185">
        <v>914.54</v>
      </c>
      <c r="P70" s="185"/>
      <c r="Q70" s="185">
        <v>94.2</v>
      </c>
      <c r="R70" s="185">
        <v>16.32</v>
      </c>
      <c r="S70" s="185">
        <v>16.32</v>
      </c>
      <c r="T70" s="185">
        <v>16.32</v>
      </c>
      <c r="U70" s="185">
        <v>16.32</v>
      </c>
      <c r="V70" s="185">
        <v>16.32</v>
      </c>
      <c r="W70" s="185">
        <v>16.32</v>
      </c>
      <c r="X70" s="186">
        <f t="shared" si="68"/>
        <v>2620.880000000001</v>
      </c>
      <c r="Y70" s="219"/>
      <c r="Z70" s="185">
        <v>16.32</v>
      </c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6">
        <f t="shared" si="69"/>
        <v>16.32</v>
      </c>
      <c r="AM70" s="221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6">
        <f t="shared" si="70"/>
        <v>0</v>
      </c>
      <c r="BA70" s="221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87"/>
      <c r="BN70" s="186">
        <f t="shared" si="71"/>
        <v>0</v>
      </c>
      <c r="BP70"/>
      <c r="BQ70"/>
      <c r="BR70"/>
      <c r="BS70"/>
      <c r="BT70"/>
      <c r="BU70"/>
      <c r="BV70"/>
      <c r="BW70"/>
      <c r="BX70"/>
      <c r="BY70"/>
      <c r="BZ70"/>
      <c r="CA70"/>
      <c r="CB70"/>
    </row>
    <row r="71" spans="1:80" ht="11.95" outlineLevel="2" thickBot="1" x14ac:dyDescent="0.3">
      <c r="A71" t="str">
        <f t="shared" si="67"/>
        <v>#showrow</v>
      </c>
      <c r="E71" s="3"/>
      <c r="F71" s="3"/>
      <c r="G71" s="255" t="s">
        <v>169</v>
      </c>
      <c r="H71" s="3"/>
      <c r="I71" s="18"/>
      <c r="J71" s="18"/>
      <c r="K71" s="18"/>
      <c r="L71" s="185">
        <v>16.32</v>
      </c>
      <c r="M71" s="185">
        <v>16.32</v>
      </c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6">
        <f t="shared" si="68"/>
        <v>32.64</v>
      </c>
      <c r="Y71" s="219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6">
        <f t="shared" si="69"/>
        <v>0</v>
      </c>
      <c r="AM71" s="221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6">
        <f t="shared" si="70"/>
        <v>0</v>
      </c>
      <c r="BA71" s="221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6">
        <f t="shared" si="71"/>
        <v>0</v>
      </c>
      <c r="BP71"/>
      <c r="BQ71"/>
      <c r="BR71"/>
      <c r="BS71"/>
      <c r="BT71"/>
      <c r="BU71"/>
      <c r="BV71"/>
      <c r="BW71"/>
      <c r="BX71"/>
      <c r="BY71"/>
      <c r="BZ71"/>
      <c r="CA71"/>
      <c r="CB71"/>
    </row>
    <row r="72" spans="1:80" ht="11.95" outlineLevel="2" thickBot="1" x14ac:dyDescent="0.3">
      <c r="A72" t="str">
        <f t="shared" si="67"/>
        <v>#showrow</v>
      </c>
      <c r="E72" s="3"/>
      <c r="F72" s="3"/>
      <c r="G72" s="255" t="s">
        <v>170</v>
      </c>
      <c r="H72" s="3"/>
      <c r="I72" s="18"/>
      <c r="J72" s="18"/>
      <c r="K72" s="18"/>
      <c r="L72" s="185">
        <v>95.14</v>
      </c>
      <c r="M72" s="185">
        <v>99.36</v>
      </c>
      <c r="N72" s="185">
        <v>349.15</v>
      </c>
      <c r="O72" s="185"/>
      <c r="P72" s="185">
        <v>117.16</v>
      </c>
      <c r="Q72" s="185">
        <v>494.4</v>
      </c>
      <c r="R72" s="185"/>
      <c r="S72" s="185">
        <v>193.56</v>
      </c>
      <c r="T72" s="185"/>
      <c r="U72" s="185">
        <v>83.64</v>
      </c>
      <c r="V72" s="185">
        <v>85.92</v>
      </c>
      <c r="W72" s="185"/>
      <c r="X72" s="186">
        <f t="shared" si="68"/>
        <v>1518.3300000000002</v>
      </c>
      <c r="Y72" s="219"/>
      <c r="Z72" s="185">
        <v>84.63</v>
      </c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6">
        <f t="shared" si="69"/>
        <v>84.63</v>
      </c>
      <c r="AM72" s="221"/>
      <c r="AN72" s="187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6">
        <f t="shared" si="70"/>
        <v>0</v>
      </c>
      <c r="BA72" s="221"/>
      <c r="BB72" s="187"/>
      <c r="BC72" s="187"/>
      <c r="BD72" s="187"/>
      <c r="BE72" s="187"/>
      <c r="BF72" s="187"/>
      <c r="BG72" s="187"/>
      <c r="BH72" s="187"/>
      <c r="BI72" s="187"/>
      <c r="BJ72" s="187"/>
      <c r="BK72" s="187"/>
      <c r="BL72" s="187"/>
      <c r="BM72" s="187"/>
      <c r="BN72" s="186">
        <f t="shared" si="71"/>
        <v>0</v>
      </c>
      <c r="BP72"/>
      <c r="BQ72"/>
      <c r="BR72"/>
      <c r="BS72"/>
      <c r="BT72"/>
      <c r="BU72"/>
      <c r="BV72"/>
      <c r="BW72"/>
      <c r="BX72"/>
      <c r="BY72"/>
      <c r="BZ72"/>
      <c r="CA72"/>
      <c r="CB72"/>
    </row>
    <row r="73" spans="1:80" ht="11.95" outlineLevel="2" thickBot="1" x14ac:dyDescent="0.3">
      <c r="A73" t="str">
        <f t="shared" si="67"/>
        <v>#showrow</v>
      </c>
      <c r="E73" s="3"/>
      <c r="F73" s="3"/>
      <c r="G73" s="255" t="s">
        <v>171</v>
      </c>
      <c r="H73" s="3"/>
      <c r="I73" s="18"/>
      <c r="J73" s="18"/>
      <c r="K73" s="18"/>
      <c r="L73" s="185">
        <v>98.6</v>
      </c>
      <c r="M73" s="185"/>
      <c r="N73" s="185"/>
      <c r="O73" s="185"/>
      <c r="P73" s="185"/>
      <c r="Q73" s="185">
        <v>466.3</v>
      </c>
      <c r="R73" s="185">
        <v>77.48</v>
      </c>
      <c r="S73" s="185"/>
      <c r="T73" s="185"/>
      <c r="U73" s="185"/>
      <c r="V73" s="185"/>
      <c r="W73" s="185"/>
      <c r="X73" s="186">
        <f t="shared" si="68"/>
        <v>642.38</v>
      </c>
      <c r="Y73" s="219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6">
        <f t="shared" si="69"/>
        <v>0</v>
      </c>
      <c r="AM73" s="221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186">
        <f t="shared" si="70"/>
        <v>0</v>
      </c>
      <c r="BA73" s="221"/>
      <c r="BB73" s="187"/>
      <c r="BC73" s="187"/>
      <c r="BD73" s="187"/>
      <c r="BE73" s="187"/>
      <c r="BF73" s="187"/>
      <c r="BG73" s="187"/>
      <c r="BH73" s="187"/>
      <c r="BI73" s="187"/>
      <c r="BJ73" s="187"/>
      <c r="BK73" s="187"/>
      <c r="BL73" s="187"/>
      <c r="BM73" s="187"/>
      <c r="BN73" s="186">
        <f t="shared" si="71"/>
        <v>0</v>
      </c>
      <c r="BP73"/>
      <c r="BQ73"/>
      <c r="BR73"/>
      <c r="BS73"/>
      <c r="BT73"/>
      <c r="BU73"/>
      <c r="BV73"/>
      <c r="BW73"/>
      <c r="BX73"/>
      <c r="BY73"/>
      <c r="BZ73"/>
      <c r="CA73"/>
      <c r="CB73"/>
    </row>
    <row r="74" spans="1:80" ht="11.95" outlineLevel="2" thickBot="1" x14ac:dyDescent="0.3">
      <c r="A74" t="str">
        <f t="shared" si="67"/>
        <v>#showrow</v>
      </c>
      <c r="E74" s="3"/>
      <c r="F74" s="3"/>
      <c r="G74" s="255" t="s">
        <v>172</v>
      </c>
      <c r="H74" s="3"/>
      <c r="I74" s="18"/>
      <c r="J74" s="18"/>
      <c r="K74" s="18"/>
      <c r="L74" s="185">
        <v>5142.33</v>
      </c>
      <c r="M74" s="185">
        <v>2221.0700000000002</v>
      </c>
      <c r="N74" s="185">
        <v>9308.73</v>
      </c>
      <c r="O74" s="185">
        <v>405</v>
      </c>
      <c r="P74" s="185">
        <v>2192.62</v>
      </c>
      <c r="Q74" s="185">
        <v>3687.17</v>
      </c>
      <c r="R74" s="185"/>
      <c r="S74" s="185"/>
      <c r="T74" s="185">
        <v>405</v>
      </c>
      <c r="U74" s="185">
        <v>1103.3399999999999</v>
      </c>
      <c r="V74" s="185">
        <v>405</v>
      </c>
      <c r="W74" s="185">
        <v>911.52</v>
      </c>
      <c r="X74" s="186">
        <f t="shared" si="68"/>
        <v>25781.78</v>
      </c>
      <c r="Y74" s="219"/>
      <c r="Z74" s="185">
        <v>637.04</v>
      </c>
      <c r="AA74" s="185">
        <v>1000</v>
      </c>
      <c r="AB74" s="185">
        <v>1000</v>
      </c>
      <c r="AC74" s="185">
        <v>1000</v>
      </c>
      <c r="AD74" s="185">
        <v>1000</v>
      </c>
      <c r="AE74" s="185">
        <v>1000</v>
      </c>
      <c r="AF74" s="185">
        <v>1000</v>
      </c>
      <c r="AG74" s="185">
        <v>1000</v>
      </c>
      <c r="AH74" s="185">
        <v>1000</v>
      </c>
      <c r="AI74" s="185">
        <v>1000</v>
      </c>
      <c r="AJ74" s="185">
        <v>1000</v>
      </c>
      <c r="AK74" s="185">
        <v>1000</v>
      </c>
      <c r="AL74" s="186">
        <f t="shared" si="69"/>
        <v>11637.04</v>
      </c>
      <c r="AM74" s="221"/>
      <c r="AN74" s="187">
        <v>1000</v>
      </c>
      <c r="AO74" s="187">
        <v>1000</v>
      </c>
      <c r="AP74" s="187">
        <v>1000</v>
      </c>
      <c r="AQ74" s="187">
        <v>1000</v>
      </c>
      <c r="AR74" s="187">
        <v>1000</v>
      </c>
      <c r="AS74" s="187">
        <v>1000</v>
      </c>
      <c r="AT74" s="187">
        <v>1000</v>
      </c>
      <c r="AU74" s="187">
        <v>1000</v>
      </c>
      <c r="AV74" s="187">
        <v>1000</v>
      </c>
      <c r="AW74" s="187">
        <v>1000</v>
      </c>
      <c r="AX74" s="187">
        <v>1000</v>
      </c>
      <c r="AY74" s="187">
        <v>1000</v>
      </c>
      <c r="AZ74" s="186">
        <f t="shared" si="70"/>
        <v>12000</v>
      </c>
      <c r="BA74" s="221"/>
      <c r="BB74" s="187">
        <v>1000</v>
      </c>
      <c r="BC74" s="187">
        <v>1000</v>
      </c>
      <c r="BD74" s="187">
        <v>1000</v>
      </c>
      <c r="BE74" s="187">
        <v>1000</v>
      </c>
      <c r="BF74" s="187">
        <v>1000</v>
      </c>
      <c r="BG74" s="187">
        <v>1000</v>
      </c>
      <c r="BH74" s="187">
        <v>1000</v>
      </c>
      <c r="BI74" s="187">
        <v>1000</v>
      </c>
      <c r="BJ74" s="187">
        <v>1000</v>
      </c>
      <c r="BK74" s="187">
        <v>1000</v>
      </c>
      <c r="BL74" s="187">
        <v>1000</v>
      </c>
      <c r="BM74" s="187">
        <v>1000</v>
      </c>
      <c r="BN74" s="186">
        <f t="shared" si="71"/>
        <v>12000</v>
      </c>
      <c r="BP74"/>
      <c r="BQ74"/>
      <c r="BR74"/>
      <c r="BS74"/>
      <c r="BT74"/>
      <c r="BU74"/>
      <c r="BV74"/>
      <c r="BW74"/>
      <c r="BX74"/>
      <c r="BY74"/>
      <c r="BZ74"/>
      <c r="CA74"/>
      <c r="CB74"/>
    </row>
    <row r="75" spans="1:80" ht="11.95" outlineLevel="2" thickBot="1" x14ac:dyDescent="0.3">
      <c r="A75" t="str">
        <f t="shared" si="67"/>
        <v>#showrow</v>
      </c>
      <c r="E75" s="3"/>
      <c r="F75" s="3"/>
      <c r="G75" s="255" t="s">
        <v>173</v>
      </c>
      <c r="H75" s="3"/>
      <c r="I75" s="18"/>
      <c r="J75" s="18"/>
      <c r="K75" s="18"/>
      <c r="L75" s="185"/>
      <c r="M75" s="185"/>
      <c r="N75" s="185"/>
      <c r="O75" s="185"/>
      <c r="P75" s="185"/>
      <c r="Q75" s="185"/>
      <c r="R75" s="185"/>
      <c r="S75" s="185"/>
      <c r="T75" s="185">
        <v>309.67</v>
      </c>
      <c r="U75" s="185">
        <v>492.57</v>
      </c>
      <c r="V75" s="185">
        <v>245.76</v>
      </c>
      <c r="W75" s="185">
        <v>442.48</v>
      </c>
      <c r="X75" s="186">
        <f t="shared" si="68"/>
        <v>1490.48</v>
      </c>
      <c r="Y75" s="219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6">
        <f t="shared" si="69"/>
        <v>0</v>
      </c>
      <c r="AM75" s="221"/>
      <c r="AN75" s="187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6">
        <f t="shared" si="70"/>
        <v>0</v>
      </c>
      <c r="BA75" s="221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87"/>
      <c r="BN75" s="186">
        <f t="shared" si="71"/>
        <v>0</v>
      </c>
      <c r="BP75"/>
      <c r="BQ75"/>
      <c r="BR75"/>
      <c r="BS75"/>
      <c r="BT75"/>
      <c r="BU75"/>
      <c r="BV75"/>
      <c r="BW75"/>
      <c r="BX75"/>
      <c r="BY75"/>
      <c r="BZ75"/>
      <c r="CA75"/>
      <c r="CB75"/>
    </row>
    <row r="76" spans="1:80" ht="11.95" outlineLevel="2" thickBot="1" x14ac:dyDescent="0.3">
      <c r="A76" t="str">
        <f t="shared" si="67"/>
        <v>#showrow</v>
      </c>
      <c r="E76" s="3"/>
      <c r="F76" s="3"/>
      <c r="G76" s="255" t="s">
        <v>174</v>
      </c>
      <c r="H76" s="3"/>
      <c r="I76" s="18"/>
      <c r="J76" s="18"/>
      <c r="K76" s="18"/>
      <c r="L76" s="185">
        <v>383.55</v>
      </c>
      <c r="M76" s="185">
        <v>811.72</v>
      </c>
      <c r="N76" s="185">
        <v>1358.94</v>
      </c>
      <c r="O76" s="185">
        <v>470.73</v>
      </c>
      <c r="P76" s="185">
        <v>579.38</v>
      </c>
      <c r="Q76" s="185">
        <v>410.04</v>
      </c>
      <c r="R76" s="185"/>
      <c r="S76" s="185"/>
      <c r="T76" s="185"/>
      <c r="U76" s="185"/>
      <c r="V76" s="185"/>
      <c r="W76" s="185"/>
      <c r="X76" s="186">
        <f t="shared" si="68"/>
        <v>4014.36</v>
      </c>
      <c r="Y76" s="219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6">
        <f t="shared" si="69"/>
        <v>0</v>
      </c>
      <c r="AM76" s="221"/>
      <c r="AN76" s="187"/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187"/>
      <c r="AZ76" s="186">
        <f t="shared" si="70"/>
        <v>0</v>
      </c>
      <c r="BA76" s="221"/>
      <c r="BB76" s="187"/>
      <c r="BC76" s="187"/>
      <c r="BD76" s="187"/>
      <c r="BE76" s="187"/>
      <c r="BF76" s="187"/>
      <c r="BG76" s="187"/>
      <c r="BH76" s="187"/>
      <c r="BI76" s="187"/>
      <c r="BJ76" s="187"/>
      <c r="BK76" s="187"/>
      <c r="BL76" s="187"/>
      <c r="BM76" s="187"/>
      <c r="BN76" s="186">
        <f t="shared" si="71"/>
        <v>0</v>
      </c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 spans="1:80" ht="11.95" outlineLevel="1" thickBot="1" x14ac:dyDescent="0.3">
      <c r="E77" s="3"/>
      <c r="F77" s="3"/>
      <c r="G77" s="256" t="s">
        <v>106</v>
      </c>
      <c r="H77" s="3"/>
      <c r="I77" s="18"/>
      <c r="J77" s="18"/>
      <c r="K77" s="18"/>
      <c r="L77" s="185">
        <v>-151566.29999999999</v>
      </c>
      <c r="M77" s="185">
        <v>-218331.17</v>
      </c>
      <c r="N77" s="185">
        <v>-243850.5</v>
      </c>
      <c r="O77" s="185">
        <v>-183343.78</v>
      </c>
      <c r="P77" s="185">
        <v>-242987.75</v>
      </c>
      <c r="Q77" s="185">
        <v>-172923.58</v>
      </c>
      <c r="R77" s="185">
        <v>-173586.23</v>
      </c>
      <c r="S77" s="185">
        <v>-173505.8</v>
      </c>
      <c r="T77" s="185">
        <v>-198960.7</v>
      </c>
      <c r="U77" s="185">
        <v>-175564.95</v>
      </c>
      <c r="V77" s="185">
        <v>-156222.12</v>
      </c>
      <c r="W77" s="185">
        <v>-245689.94</v>
      </c>
      <c r="X77" s="186">
        <f t="shared" si="56"/>
        <v>-2336532.8199999998</v>
      </c>
      <c r="Y77" s="219"/>
      <c r="Z77" s="185">
        <v>-163433.98000000001</v>
      </c>
      <c r="AA77" s="185">
        <v>-129378.113736264</v>
      </c>
      <c r="AB77" s="185">
        <v>-147942.39217032999</v>
      </c>
      <c r="AC77" s="185">
        <v>-129378.113736264</v>
      </c>
      <c r="AD77" s="185">
        <v>-129378.113736264</v>
      </c>
      <c r="AE77" s="185">
        <v>-147942.39217032999</v>
      </c>
      <c r="AF77" s="185">
        <v>-129378.113736264</v>
      </c>
      <c r="AG77" s="185">
        <v>-129378.113736264</v>
      </c>
      <c r="AH77" s="185">
        <v>-147942.39217032999</v>
      </c>
      <c r="AI77" s="185">
        <v>-129378.113736264</v>
      </c>
      <c r="AJ77" s="185">
        <v>-129378.113736264</v>
      </c>
      <c r="AK77" s="185">
        <v>-147942.39217032999</v>
      </c>
      <c r="AL77" s="186">
        <f t="shared" si="57"/>
        <v>-1660850.344835168</v>
      </c>
      <c r="AM77" s="221"/>
      <c r="AN77" s="187">
        <v>-129378.113736264</v>
      </c>
      <c r="AO77" s="187">
        <v>-129378.113736264</v>
      </c>
      <c r="AP77" s="187">
        <v>-147942.39217032999</v>
      </c>
      <c r="AQ77" s="187">
        <v>-129378.113736264</v>
      </c>
      <c r="AR77" s="187">
        <v>-129378.113736264</v>
      </c>
      <c r="AS77" s="187">
        <v>-147942.39217032999</v>
      </c>
      <c r="AT77" s="187">
        <v>-129378.113736264</v>
      </c>
      <c r="AU77" s="187">
        <v>-129378.113736264</v>
      </c>
      <c r="AV77" s="187">
        <v>-147942.39217032999</v>
      </c>
      <c r="AW77" s="187">
        <v>-129378.113736264</v>
      </c>
      <c r="AX77" s="187">
        <v>-129378.113736264</v>
      </c>
      <c r="AY77" s="187">
        <v>-147942.39217032999</v>
      </c>
      <c r="AZ77" s="186">
        <f t="shared" si="58"/>
        <v>-1626794.4785714319</v>
      </c>
      <c r="BA77" s="221"/>
      <c r="BB77" s="187">
        <v>-129378.113736264</v>
      </c>
      <c r="BC77" s="187">
        <v>-129378.113736264</v>
      </c>
      <c r="BD77" s="187">
        <v>-147942.39217032999</v>
      </c>
      <c r="BE77" s="187">
        <v>-129378.113736264</v>
      </c>
      <c r="BF77" s="187">
        <v>-129378.113736264</v>
      </c>
      <c r="BG77" s="187">
        <v>-147942.39217032999</v>
      </c>
      <c r="BH77" s="187">
        <v>-129378.113736264</v>
      </c>
      <c r="BI77" s="187">
        <v>-129378.113736264</v>
      </c>
      <c r="BJ77" s="187">
        <v>-147942.39217032999</v>
      </c>
      <c r="BK77" s="187">
        <v>-129378.113736264</v>
      </c>
      <c r="BL77" s="187">
        <v>-129378.113736264</v>
      </c>
      <c r="BM77" s="187">
        <v>-147942.39217032999</v>
      </c>
      <c r="BN77" s="186">
        <f t="shared" si="59"/>
        <v>-1626794.4785714319</v>
      </c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 spans="1:80" ht="11.95" hidden="1" outlineLevel="2" thickBot="1" x14ac:dyDescent="0.3">
      <c r="A78" t="str">
        <f>IF(LEFT(G78,3)="Mul", "#hiderow", "#showrow")</f>
        <v>#hiderow</v>
      </c>
      <c r="E78" s="3"/>
      <c r="F78" s="3"/>
      <c r="G78" s="255" t="s">
        <v>6</v>
      </c>
      <c r="H78" s="3"/>
      <c r="I78" s="18"/>
      <c r="J78" s="18"/>
      <c r="K78" s="18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6">
        <f t="shared" si="56"/>
        <v>0</v>
      </c>
      <c r="Y78" s="219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6">
        <f t="shared" si="57"/>
        <v>0</v>
      </c>
      <c r="AM78" s="221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6">
        <f t="shared" si="58"/>
        <v>0</v>
      </c>
      <c r="BA78" s="221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87"/>
      <c r="BN78" s="186">
        <f t="shared" si="59"/>
        <v>0</v>
      </c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 spans="1:80" ht="11.95" outlineLevel="2" thickBot="1" x14ac:dyDescent="0.3">
      <c r="A79" t="str">
        <f>IF(LEFT(G79,3)="Mul", "#hiderow", "#showrow")</f>
        <v>#showrow</v>
      </c>
      <c r="E79" s="3"/>
      <c r="F79" s="3"/>
      <c r="G79" s="255" t="s">
        <v>140</v>
      </c>
      <c r="H79" s="3"/>
      <c r="I79" s="18"/>
      <c r="J79" s="18"/>
      <c r="K79" s="18"/>
      <c r="L79" s="185">
        <v>-151566.29999999999</v>
      </c>
      <c r="M79" s="185">
        <v>-218331.17</v>
      </c>
      <c r="N79" s="185">
        <v>-243850.5</v>
      </c>
      <c r="O79" s="185">
        <v>-183343.78</v>
      </c>
      <c r="P79" s="185">
        <v>-242987.75</v>
      </c>
      <c r="Q79" s="185">
        <v>-172923.58</v>
      </c>
      <c r="R79" s="185">
        <v>-173586.23</v>
      </c>
      <c r="S79" s="185">
        <v>-173505.8</v>
      </c>
      <c r="T79" s="185">
        <v>-198960.7</v>
      </c>
      <c r="U79" s="185">
        <v>-175564.95</v>
      </c>
      <c r="V79" s="185">
        <v>-156222.12</v>
      </c>
      <c r="W79" s="185">
        <v>-245689.94</v>
      </c>
      <c r="X79" s="186">
        <f t="shared" ref="X79" si="72">SUM(L79:W79)</f>
        <v>-2336532.8199999998</v>
      </c>
      <c r="Y79" s="219"/>
      <c r="Z79" s="185">
        <v>-163433.98000000001</v>
      </c>
      <c r="AA79" s="185">
        <v>-129378.113736264</v>
      </c>
      <c r="AB79" s="185">
        <v>-147942.39217032999</v>
      </c>
      <c r="AC79" s="185">
        <v>-129378.113736264</v>
      </c>
      <c r="AD79" s="185">
        <v>-129378.113736264</v>
      </c>
      <c r="AE79" s="185">
        <v>-147942.39217032999</v>
      </c>
      <c r="AF79" s="185">
        <v>-129378.113736264</v>
      </c>
      <c r="AG79" s="185">
        <v>-129378.113736264</v>
      </c>
      <c r="AH79" s="185">
        <v>-147942.39217032999</v>
      </c>
      <c r="AI79" s="185">
        <v>-129378.113736264</v>
      </c>
      <c r="AJ79" s="185">
        <v>-129378.113736264</v>
      </c>
      <c r="AK79" s="185">
        <v>-147942.39217032999</v>
      </c>
      <c r="AL79" s="186">
        <f t="shared" ref="AL79" si="73">SUM(Z79:AK79)</f>
        <v>-1660850.344835168</v>
      </c>
      <c r="AM79" s="221"/>
      <c r="AN79" s="187">
        <v>-129378.113736264</v>
      </c>
      <c r="AO79" s="187">
        <v>-129378.113736264</v>
      </c>
      <c r="AP79" s="187">
        <v>-147942.39217032999</v>
      </c>
      <c r="AQ79" s="187">
        <v>-129378.113736264</v>
      </c>
      <c r="AR79" s="187">
        <v>-129378.113736264</v>
      </c>
      <c r="AS79" s="187">
        <v>-147942.39217032999</v>
      </c>
      <c r="AT79" s="187">
        <v>-129378.113736264</v>
      </c>
      <c r="AU79" s="187">
        <v>-129378.113736264</v>
      </c>
      <c r="AV79" s="187">
        <v>-147942.39217032999</v>
      </c>
      <c r="AW79" s="187">
        <v>-129378.113736264</v>
      </c>
      <c r="AX79" s="187">
        <v>-129378.113736264</v>
      </c>
      <c r="AY79" s="187">
        <v>-147942.39217032999</v>
      </c>
      <c r="AZ79" s="186">
        <f t="shared" ref="AZ79" si="74">SUM(AN79:AY79)</f>
        <v>-1626794.4785714319</v>
      </c>
      <c r="BA79" s="221"/>
      <c r="BB79" s="187">
        <v>-129378.113736264</v>
      </c>
      <c r="BC79" s="187">
        <v>-129378.113736264</v>
      </c>
      <c r="BD79" s="187">
        <v>-147942.39217032999</v>
      </c>
      <c r="BE79" s="187">
        <v>-129378.113736264</v>
      </c>
      <c r="BF79" s="187">
        <v>-129378.113736264</v>
      </c>
      <c r="BG79" s="187">
        <v>-147942.39217032999</v>
      </c>
      <c r="BH79" s="187">
        <v>-129378.113736264</v>
      </c>
      <c r="BI79" s="187">
        <v>-129378.113736264</v>
      </c>
      <c r="BJ79" s="187">
        <v>-147942.39217032999</v>
      </c>
      <c r="BK79" s="187">
        <v>-129378.113736264</v>
      </c>
      <c r="BL79" s="187">
        <v>-129378.113736264</v>
      </c>
      <c r="BM79" s="187">
        <v>-147942.39217032999</v>
      </c>
      <c r="BN79" s="186">
        <f t="shared" ref="BN79" si="75">SUM(BB79:BM79)</f>
        <v>-1626794.4785714319</v>
      </c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spans="1:80" ht="11.95" outlineLevel="1" thickBot="1" x14ac:dyDescent="0.3">
      <c r="E80" s="3"/>
      <c r="F80" s="3"/>
      <c r="G80" s="256" t="s">
        <v>107</v>
      </c>
      <c r="H80" s="3"/>
      <c r="I80" s="18"/>
      <c r="J80" s="18"/>
      <c r="K80" s="18"/>
      <c r="L80" s="185">
        <v>15903.21</v>
      </c>
      <c r="M80" s="185">
        <v>38198.85</v>
      </c>
      <c r="N80" s="185">
        <v>34820.86</v>
      </c>
      <c r="O80" s="185">
        <v>29059.17</v>
      </c>
      <c r="P80" s="185">
        <v>65110.14</v>
      </c>
      <c r="Q80" s="185">
        <v>42689.67</v>
      </c>
      <c r="R80" s="185">
        <v>44097.64</v>
      </c>
      <c r="S80" s="185">
        <v>50987.99</v>
      </c>
      <c r="T80" s="185">
        <v>44046.28</v>
      </c>
      <c r="U80" s="185">
        <v>50757.07</v>
      </c>
      <c r="V80" s="185">
        <v>23049.05</v>
      </c>
      <c r="W80" s="185">
        <v>90900.53</v>
      </c>
      <c r="X80" s="186">
        <f t="shared" si="56"/>
        <v>529620.46</v>
      </c>
      <c r="Y80" s="219"/>
      <c r="Z80" s="185">
        <v>62929.95</v>
      </c>
      <c r="AA80" s="185">
        <v>0</v>
      </c>
      <c r="AB80" s="185">
        <v>0</v>
      </c>
      <c r="AC80" s="185">
        <v>0</v>
      </c>
      <c r="AD80" s="185">
        <v>0</v>
      </c>
      <c r="AE80" s="185">
        <v>0</v>
      </c>
      <c r="AF80" s="185">
        <v>0</v>
      </c>
      <c r="AG80" s="185">
        <v>0</v>
      </c>
      <c r="AH80" s="185">
        <v>0</v>
      </c>
      <c r="AI80" s="185">
        <v>0</v>
      </c>
      <c r="AJ80" s="185">
        <v>0</v>
      </c>
      <c r="AK80" s="185">
        <v>0</v>
      </c>
      <c r="AL80" s="186">
        <f t="shared" si="57"/>
        <v>62929.95</v>
      </c>
      <c r="AM80" s="221"/>
      <c r="AN80" s="187">
        <v>0</v>
      </c>
      <c r="AO80" s="187">
        <v>0</v>
      </c>
      <c r="AP80" s="187">
        <v>0</v>
      </c>
      <c r="AQ80" s="187">
        <v>0</v>
      </c>
      <c r="AR80" s="187">
        <v>0</v>
      </c>
      <c r="AS80" s="187">
        <v>0</v>
      </c>
      <c r="AT80" s="187">
        <v>0</v>
      </c>
      <c r="AU80" s="187">
        <v>0</v>
      </c>
      <c r="AV80" s="187">
        <v>0</v>
      </c>
      <c r="AW80" s="187">
        <v>0</v>
      </c>
      <c r="AX80" s="187">
        <v>0</v>
      </c>
      <c r="AY80" s="187">
        <v>0</v>
      </c>
      <c r="AZ80" s="186">
        <f t="shared" si="58"/>
        <v>0</v>
      </c>
      <c r="BA80" s="221"/>
      <c r="BB80" s="187">
        <v>0</v>
      </c>
      <c r="BC80" s="187">
        <v>0</v>
      </c>
      <c r="BD80" s="187">
        <v>0</v>
      </c>
      <c r="BE80" s="187">
        <v>0</v>
      </c>
      <c r="BF80" s="187">
        <v>0</v>
      </c>
      <c r="BG80" s="187">
        <v>0</v>
      </c>
      <c r="BH80" s="187">
        <v>0</v>
      </c>
      <c r="BI80" s="187">
        <v>0</v>
      </c>
      <c r="BJ80" s="187">
        <v>0</v>
      </c>
      <c r="BK80" s="187">
        <v>0</v>
      </c>
      <c r="BL80" s="187">
        <v>0</v>
      </c>
      <c r="BM80" s="187">
        <v>0</v>
      </c>
      <c r="BN80" s="186">
        <f t="shared" si="59"/>
        <v>0</v>
      </c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 ht="11.95" hidden="1" outlineLevel="2" thickBot="1" x14ac:dyDescent="0.3">
      <c r="A81" t="str">
        <f t="shared" ref="A81" si="76">IF(LEFT(G81,3)="Mul", "#hiderow", "#showrow")</f>
        <v>#hiderow</v>
      </c>
      <c r="E81" s="3"/>
      <c r="F81" s="3"/>
      <c r="G81" s="255" t="s">
        <v>6</v>
      </c>
      <c r="H81" s="3"/>
      <c r="I81" s="18"/>
      <c r="J81" s="18"/>
      <c r="K81" s="18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6">
        <f t="shared" si="56"/>
        <v>0</v>
      </c>
      <c r="Y81" s="219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6">
        <f t="shared" si="57"/>
        <v>0</v>
      </c>
      <c r="AM81" s="221"/>
      <c r="AN81" s="187"/>
      <c r="AO81" s="187"/>
      <c r="AP81" s="187"/>
      <c r="AQ81" s="187"/>
      <c r="AR81" s="187"/>
      <c r="AS81" s="187"/>
      <c r="AT81" s="187"/>
      <c r="AU81" s="187"/>
      <c r="AV81" s="187"/>
      <c r="AW81" s="187"/>
      <c r="AX81" s="187"/>
      <c r="AY81" s="187"/>
      <c r="AZ81" s="186">
        <f t="shared" si="58"/>
        <v>0</v>
      </c>
      <c r="BA81" s="221"/>
      <c r="BB81" s="187"/>
      <c r="BC81" s="187"/>
      <c r="BD81" s="187"/>
      <c r="BE81" s="187"/>
      <c r="BF81" s="187"/>
      <c r="BG81" s="187"/>
      <c r="BH81" s="187"/>
      <c r="BI81" s="187"/>
      <c r="BJ81" s="187"/>
      <c r="BK81" s="187"/>
      <c r="BL81" s="187"/>
      <c r="BM81" s="187"/>
      <c r="BN81" s="186">
        <f t="shared" si="59"/>
        <v>0</v>
      </c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spans="1:80" ht="11.95" outlineLevel="2" thickBot="1" x14ac:dyDescent="0.3">
      <c r="A82" t="str">
        <f t="shared" ref="A82:A83" si="77">IF(LEFT(G82,3)="Mul", "#hiderow", "#showrow")</f>
        <v>#showrow</v>
      </c>
      <c r="E82" s="3"/>
      <c r="F82" s="3"/>
      <c r="G82" s="255" t="s">
        <v>147</v>
      </c>
      <c r="H82" s="3"/>
      <c r="I82" s="18"/>
      <c r="J82" s="18"/>
      <c r="K82" s="18"/>
      <c r="L82" s="185">
        <v>15792.17</v>
      </c>
      <c r="M82" s="185">
        <v>38167.17</v>
      </c>
      <c r="N82" s="185">
        <v>34820.86</v>
      </c>
      <c r="O82" s="185">
        <v>29059.17</v>
      </c>
      <c r="P82" s="185">
        <v>65110.14</v>
      </c>
      <c r="Q82" s="185">
        <v>42689.67</v>
      </c>
      <c r="R82" s="185">
        <v>44097.64</v>
      </c>
      <c r="S82" s="185">
        <v>50987.99</v>
      </c>
      <c r="T82" s="185">
        <v>44046.28</v>
      </c>
      <c r="U82" s="185">
        <v>50757.07</v>
      </c>
      <c r="V82" s="185">
        <v>23049.05</v>
      </c>
      <c r="W82" s="185">
        <v>90900.53</v>
      </c>
      <c r="X82" s="186">
        <f t="shared" ref="X82:X83" si="78">SUM(L82:W82)</f>
        <v>529477.74</v>
      </c>
      <c r="Y82" s="219"/>
      <c r="Z82" s="185">
        <v>62929.95</v>
      </c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6">
        <f t="shared" ref="AL82:AL83" si="79">SUM(Z82:AK82)</f>
        <v>62929.95</v>
      </c>
      <c r="AM82" s="221"/>
      <c r="AN82" s="187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6">
        <f t="shared" ref="AZ82:AZ83" si="80">SUM(AN82:AY82)</f>
        <v>0</v>
      </c>
      <c r="BA82" s="221"/>
      <c r="BB82" s="187"/>
      <c r="BC82" s="187"/>
      <c r="BD82" s="187"/>
      <c r="BE82" s="187"/>
      <c r="BF82" s="187"/>
      <c r="BG82" s="187"/>
      <c r="BH82" s="187"/>
      <c r="BI82" s="187"/>
      <c r="BJ82" s="187"/>
      <c r="BK82" s="187"/>
      <c r="BL82" s="187"/>
      <c r="BM82" s="187"/>
      <c r="BN82" s="186">
        <f t="shared" ref="BN82:BN83" si="81">SUM(BB82:BM82)</f>
        <v>0</v>
      </c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 ht="11.95" outlineLevel="2" thickBot="1" x14ac:dyDescent="0.3">
      <c r="A83" t="str">
        <f t="shared" si="77"/>
        <v>#showrow</v>
      </c>
      <c r="E83" s="3"/>
      <c r="F83" s="3"/>
      <c r="G83" s="255" t="s">
        <v>148</v>
      </c>
      <c r="H83" s="3"/>
      <c r="I83" s="18"/>
      <c r="J83" s="18"/>
      <c r="K83" s="18"/>
      <c r="L83" s="185">
        <v>111.04</v>
      </c>
      <c r="M83" s="185">
        <v>31.68</v>
      </c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6">
        <f t="shared" si="78"/>
        <v>142.72</v>
      </c>
      <c r="Y83" s="219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6">
        <f t="shared" si="79"/>
        <v>0</v>
      </c>
      <c r="AM83" s="221"/>
      <c r="AN83" s="187"/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6">
        <f t="shared" si="80"/>
        <v>0</v>
      </c>
      <c r="BA83" s="221"/>
      <c r="BB83" s="187"/>
      <c r="BC83" s="187"/>
      <c r="BD83" s="187"/>
      <c r="BE83" s="187"/>
      <c r="BF83" s="187"/>
      <c r="BG83" s="187"/>
      <c r="BH83" s="187"/>
      <c r="BI83" s="187"/>
      <c r="BJ83" s="187"/>
      <c r="BK83" s="187"/>
      <c r="BL83" s="187"/>
      <c r="BM83" s="187"/>
      <c r="BN83" s="186">
        <f t="shared" si="81"/>
        <v>0</v>
      </c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 spans="1:80" ht="11.95" outlineLevel="1" thickBot="1" x14ac:dyDescent="0.3">
      <c r="E84" s="3"/>
      <c r="F84" s="3"/>
      <c r="G84" s="256" t="s">
        <v>108</v>
      </c>
      <c r="H84" s="3"/>
      <c r="I84" s="18"/>
      <c r="J84" s="18"/>
      <c r="K84" s="18"/>
      <c r="L84" s="185">
        <v>2888.2</v>
      </c>
      <c r="M84" s="185">
        <v>9173.27</v>
      </c>
      <c r="N84" s="185">
        <v>6454.28</v>
      </c>
      <c r="O84" s="185">
        <v>13546.87</v>
      </c>
      <c r="P84" s="185">
        <v>8832.7000000000007</v>
      </c>
      <c r="Q84" s="185">
        <v>5755.08</v>
      </c>
      <c r="R84" s="185">
        <v>2178.56</v>
      </c>
      <c r="S84" s="185">
        <v>5109</v>
      </c>
      <c r="T84" s="185">
        <v>14583.26</v>
      </c>
      <c r="U84" s="185">
        <v>11710.16</v>
      </c>
      <c r="V84" s="185">
        <v>9019.27</v>
      </c>
      <c r="W84" s="185">
        <v>6331.07</v>
      </c>
      <c r="X84" s="186">
        <f t="shared" si="56"/>
        <v>95581.72</v>
      </c>
      <c r="Y84" s="219"/>
      <c r="Z84" s="185">
        <v>10239.44</v>
      </c>
      <c r="AA84" s="185">
        <v>7500</v>
      </c>
      <c r="AB84" s="185">
        <v>7500</v>
      </c>
      <c r="AC84" s="185">
        <v>7500</v>
      </c>
      <c r="AD84" s="185">
        <v>7500</v>
      </c>
      <c r="AE84" s="185">
        <v>7500</v>
      </c>
      <c r="AF84" s="185">
        <v>7500</v>
      </c>
      <c r="AG84" s="185">
        <v>7500</v>
      </c>
      <c r="AH84" s="185">
        <v>7500</v>
      </c>
      <c r="AI84" s="185">
        <v>7500</v>
      </c>
      <c r="AJ84" s="185">
        <v>7500</v>
      </c>
      <c r="AK84" s="185">
        <v>7500</v>
      </c>
      <c r="AL84" s="186">
        <f t="shared" si="57"/>
        <v>92739.44</v>
      </c>
      <c r="AM84" s="221"/>
      <c r="AN84" s="187">
        <v>7500</v>
      </c>
      <c r="AO84" s="187">
        <v>7500</v>
      </c>
      <c r="AP84" s="187">
        <v>7500</v>
      </c>
      <c r="AQ84" s="187">
        <v>7500</v>
      </c>
      <c r="AR84" s="187">
        <v>7500</v>
      </c>
      <c r="AS84" s="187">
        <v>7500</v>
      </c>
      <c r="AT84" s="187">
        <v>7500</v>
      </c>
      <c r="AU84" s="187">
        <v>7500</v>
      </c>
      <c r="AV84" s="187">
        <v>7500</v>
      </c>
      <c r="AW84" s="187">
        <v>7500</v>
      </c>
      <c r="AX84" s="187">
        <v>7500</v>
      </c>
      <c r="AY84" s="187">
        <v>7500</v>
      </c>
      <c r="AZ84" s="186">
        <f t="shared" si="58"/>
        <v>90000</v>
      </c>
      <c r="BA84" s="221"/>
      <c r="BB84" s="187">
        <v>7500</v>
      </c>
      <c r="BC84" s="187">
        <v>7500</v>
      </c>
      <c r="BD84" s="187">
        <v>7500</v>
      </c>
      <c r="BE84" s="187">
        <v>7500</v>
      </c>
      <c r="BF84" s="187">
        <v>7500</v>
      </c>
      <c r="BG84" s="187">
        <v>7500</v>
      </c>
      <c r="BH84" s="187">
        <v>7500</v>
      </c>
      <c r="BI84" s="187">
        <v>7500</v>
      </c>
      <c r="BJ84" s="187">
        <v>7500</v>
      </c>
      <c r="BK84" s="187">
        <v>7500</v>
      </c>
      <c r="BL84" s="187">
        <v>7500</v>
      </c>
      <c r="BM84" s="187">
        <v>7500</v>
      </c>
      <c r="BN84" s="186">
        <f t="shared" si="59"/>
        <v>90000</v>
      </c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 spans="1:80" ht="11.95" hidden="1" outlineLevel="2" thickBot="1" x14ac:dyDescent="0.3">
      <c r="A85" t="str">
        <f t="shared" ref="A85" si="82">IF(LEFT(G85,3)="Mul", "#hiderow", "#showrow")</f>
        <v>#hiderow</v>
      </c>
      <c r="E85" s="3"/>
      <c r="F85" s="3"/>
      <c r="G85" s="255" t="s">
        <v>6</v>
      </c>
      <c r="H85" s="3"/>
      <c r="I85" s="18"/>
      <c r="J85" s="18"/>
      <c r="K85" s="18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6">
        <f t="shared" si="56"/>
        <v>0</v>
      </c>
      <c r="Y85" s="219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6">
        <f t="shared" si="57"/>
        <v>0</v>
      </c>
      <c r="AM85" s="221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6">
        <f t="shared" si="58"/>
        <v>0</v>
      </c>
      <c r="BA85" s="221"/>
      <c r="BB85" s="187"/>
      <c r="BC85" s="187"/>
      <c r="BD85" s="187"/>
      <c r="BE85" s="187"/>
      <c r="BF85" s="187"/>
      <c r="BG85" s="187"/>
      <c r="BH85" s="187"/>
      <c r="BI85" s="187"/>
      <c r="BJ85" s="187"/>
      <c r="BK85" s="187"/>
      <c r="BL85" s="187"/>
      <c r="BM85" s="187"/>
      <c r="BN85" s="186">
        <f t="shared" si="59"/>
        <v>0</v>
      </c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 spans="1:80" ht="11.95" outlineLevel="2" thickBot="1" x14ac:dyDescent="0.3">
      <c r="A86" t="str">
        <f t="shared" ref="A86:A92" si="83">IF(LEFT(G86,3)="Mul", "#hiderow", "#showrow")</f>
        <v>#showrow</v>
      </c>
      <c r="E86" s="3"/>
      <c r="F86" s="3"/>
      <c r="G86" s="255" t="s">
        <v>187</v>
      </c>
      <c r="H86" s="3"/>
      <c r="I86" s="18"/>
      <c r="J86" s="18"/>
      <c r="K86" s="18"/>
      <c r="L86" s="185">
        <v>2887.89</v>
      </c>
      <c r="M86" s="185">
        <v>5728.88</v>
      </c>
      <c r="N86" s="185">
        <v>5630.49</v>
      </c>
      <c r="O86" s="185">
        <v>4147.96</v>
      </c>
      <c r="P86" s="185">
        <v>7216.66</v>
      </c>
      <c r="Q86" s="185">
        <v>5594.27</v>
      </c>
      <c r="R86" s="185">
        <v>1956.76</v>
      </c>
      <c r="S86" s="185">
        <v>1554.05</v>
      </c>
      <c r="T86" s="185">
        <v>13442.73</v>
      </c>
      <c r="U86" s="185">
        <v>5708.88</v>
      </c>
      <c r="V86" s="185">
        <v>5943.63</v>
      </c>
      <c r="W86" s="185">
        <v>6202.73</v>
      </c>
      <c r="X86" s="186">
        <f t="shared" ref="X86:X92" si="84">SUM(L86:W86)</f>
        <v>66014.929999999993</v>
      </c>
      <c r="Y86" s="219"/>
      <c r="Z86" s="185">
        <v>4585.4399999999996</v>
      </c>
      <c r="AA86" s="185">
        <v>7500</v>
      </c>
      <c r="AB86" s="185">
        <v>7500</v>
      </c>
      <c r="AC86" s="185">
        <v>7500</v>
      </c>
      <c r="AD86" s="185">
        <v>7500</v>
      </c>
      <c r="AE86" s="185">
        <v>7500</v>
      </c>
      <c r="AF86" s="185">
        <v>7500</v>
      </c>
      <c r="AG86" s="185">
        <v>7500</v>
      </c>
      <c r="AH86" s="185">
        <v>7500</v>
      </c>
      <c r="AI86" s="185">
        <v>7500</v>
      </c>
      <c r="AJ86" s="185">
        <v>7500</v>
      </c>
      <c r="AK86" s="185">
        <v>7500</v>
      </c>
      <c r="AL86" s="186">
        <f t="shared" ref="AL86:AL92" si="85">SUM(Z86:AK86)</f>
        <v>87085.440000000002</v>
      </c>
      <c r="AM86" s="221"/>
      <c r="AN86" s="187">
        <v>7500</v>
      </c>
      <c r="AO86" s="187">
        <v>7500</v>
      </c>
      <c r="AP86" s="187">
        <v>7500</v>
      </c>
      <c r="AQ86" s="187">
        <v>7500</v>
      </c>
      <c r="AR86" s="187">
        <v>7500</v>
      </c>
      <c r="AS86" s="187">
        <v>7500</v>
      </c>
      <c r="AT86" s="187">
        <v>7500</v>
      </c>
      <c r="AU86" s="187">
        <v>7500</v>
      </c>
      <c r="AV86" s="187">
        <v>7500</v>
      </c>
      <c r="AW86" s="187">
        <v>7500</v>
      </c>
      <c r="AX86" s="187">
        <v>7500</v>
      </c>
      <c r="AY86" s="187">
        <v>7500</v>
      </c>
      <c r="AZ86" s="186">
        <f t="shared" ref="AZ86:AZ92" si="86">SUM(AN86:AY86)</f>
        <v>90000</v>
      </c>
      <c r="BA86" s="221"/>
      <c r="BB86" s="187">
        <v>7500</v>
      </c>
      <c r="BC86" s="187">
        <v>7500</v>
      </c>
      <c r="BD86" s="187">
        <v>7500</v>
      </c>
      <c r="BE86" s="187">
        <v>7500</v>
      </c>
      <c r="BF86" s="187">
        <v>7500</v>
      </c>
      <c r="BG86" s="187">
        <v>7500</v>
      </c>
      <c r="BH86" s="187">
        <v>7500</v>
      </c>
      <c r="BI86" s="187">
        <v>7500</v>
      </c>
      <c r="BJ86" s="187">
        <v>7500</v>
      </c>
      <c r="BK86" s="187">
        <v>7500</v>
      </c>
      <c r="BL86" s="187">
        <v>7500</v>
      </c>
      <c r="BM86" s="187">
        <v>7500</v>
      </c>
      <c r="BN86" s="186">
        <f t="shared" ref="BN86:BN92" si="87">SUM(BB86:BM86)</f>
        <v>90000</v>
      </c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 spans="1:80" ht="11.95" outlineLevel="2" thickBot="1" x14ac:dyDescent="0.3">
      <c r="A87" t="str">
        <f t="shared" si="83"/>
        <v>#showrow</v>
      </c>
      <c r="E87" s="3"/>
      <c r="F87" s="3"/>
      <c r="G87" s="255" t="s">
        <v>188</v>
      </c>
      <c r="H87" s="3"/>
      <c r="I87" s="18"/>
      <c r="J87" s="18"/>
      <c r="K87" s="18"/>
      <c r="L87" s="185">
        <v>0.31</v>
      </c>
      <c r="M87" s="185">
        <v>449.63</v>
      </c>
      <c r="N87" s="185">
        <v>823.79</v>
      </c>
      <c r="O87" s="185">
        <v>479.38</v>
      </c>
      <c r="P87" s="185">
        <v>1064.29</v>
      </c>
      <c r="Q87" s="185">
        <v>160.81</v>
      </c>
      <c r="R87" s="185">
        <v>221.8</v>
      </c>
      <c r="S87" s="185">
        <v>3142.08</v>
      </c>
      <c r="T87" s="185">
        <v>45.57</v>
      </c>
      <c r="U87" s="185"/>
      <c r="V87" s="185">
        <v>16.45</v>
      </c>
      <c r="W87" s="185">
        <v>-730.56</v>
      </c>
      <c r="X87" s="186">
        <f t="shared" si="84"/>
        <v>5673.5499999999993</v>
      </c>
      <c r="Y87" s="219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6">
        <f t="shared" si="85"/>
        <v>0</v>
      </c>
      <c r="AM87" s="221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6">
        <f t="shared" si="86"/>
        <v>0</v>
      </c>
      <c r="BA87" s="221"/>
      <c r="BB87" s="187"/>
      <c r="BC87" s="187"/>
      <c r="BD87" s="187"/>
      <c r="BE87" s="187"/>
      <c r="BF87" s="187"/>
      <c r="BG87" s="187"/>
      <c r="BH87" s="187"/>
      <c r="BI87" s="187"/>
      <c r="BJ87" s="187"/>
      <c r="BK87" s="187"/>
      <c r="BL87" s="187"/>
      <c r="BM87" s="187"/>
      <c r="BN87" s="186">
        <f t="shared" si="87"/>
        <v>0</v>
      </c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spans="1:80" ht="11.95" outlineLevel="2" thickBot="1" x14ac:dyDescent="0.3">
      <c r="A88" t="str">
        <f t="shared" si="83"/>
        <v>#showrow</v>
      </c>
      <c r="E88" s="3"/>
      <c r="F88" s="3"/>
      <c r="G88" s="255" t="s">
        <v>189</v>
      </c>
      <c r="H88" s="3"/>
      <c r="I88" s="18"/>
      <c r="J88" s="18"/>
      <c r="K88" s="18"/>
      <c r="L88" s="185"/>
      <c r="M88" s="185">
        <v>2832</v>
      </c>
      <c r="N88" s="185"/>
      <c r="O88" s="185">
        <v>8751.2199999999993</v>
      </c>
      <c r="P88" s="185"/>
      <c r="Q88" s="185"/>
      <c r="R88" s="185"/>
      <c r="S88" s="185"/>
      <c r="T88" s="185">
        <v>1002.33</v>
      </c>
      <c r="U88" s="185">
        <v>5729.81</v>
      </c>
      <c r="V88" s="185"/>
      <c r="W88" s="185">
        <v>748.51</v>
      </c>
      <c r="X88" s="186">
        <f t="shared" si="84"/>
        <v>19063.87</v>
      </c>
      <c r="Y88" s="219"/>
      <c r="Z88" s="185">
        <v>4781.21</v>
      </c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6">
        <f t="shared" si="85"/>
        <v>4781.21</v>
      </c>
      <c r="AM88" s="221"/>
      <c r="AN88" s="187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187"/>
      <c r="AZ88" s="186">
        <f t="shared" si="86"/>
        <v>0</v>
      </c>
      <c r="BA88" s="221"/>
      <c r="BB88" s="187"/>
      <c r="BC88" s="187"/>
      <c r="BD88" s="187"/>
      <c r="BE88" s="187"/>
      <c r="BF88" s="187"/>
      <c r="BG88" s="187"/>
      <c r="BH88" s="187"/>
      <c r="BI88" s="187"/>
      <c r="BJ88" s="187"/>
      <c r="BK88" s="187"/>
      <c r="BL88" s="187"/>
      <c r="BM88" s="187"/>
      <c r="BN88" s="186">
        <f t="shared" si="87"/>
        <v>0</v>
      </c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0" ht="11.95" outlineLevel="2" thickBot="1" x14ac:dyDescent="0.3">
      <c r="A89" t="str">
        <f t="shared" si="83"/>
        <v>#showrow</v>
      </c>
      <c r="E89" s="3"/>
      <c r="F89" s="3"/>
      <c r="G89" s="255" t="s">
        <v>190</v>
      </c>
      <c r="H89" s="3"/>
      <c r="I89" s="18"/>
      <c r="J89" s="18"/>
      <c r="K89" s="18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>
        <v>2384.92</v>
      </c>
      <c r="W89" s="185"/>
      <c r="X89" s="186">
        <f t="shared" si="84"/>
        <v>2384.92</v>
      </c>
      <c r="Y89" s="219"/>
      <c r="Z89" s="185">
        <v>632.84</v>
      </c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6">
        <f t="shared" si="85"/>
        <v>632.84</v>
      </c>
      <c r="AM89" s="221"/>
      <c r="AN89" s="187"/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6">
        <f t="shared" si="86"/>
        <v>0</v>
      </c>
      <c r="BA89" s="221"/>
      <c r="BB89" s="187"/>
      <c r="BC89" s="187"/>
      <c r="BD89" s="187"/>
      <c r="BE89" s="187"/>
      <c r="BF89" s="187"/>
      <c r="BG89" s="187"/>
      <c r="BH89" s="187"/>
      <c r="BI89" s="187"/>
      <c r="BJ89" s="187"/>
      <c r="BK89" s="187"/>
      <c r="BL89" s="187"/>
      <c r="BM89" s="187"/>
      <c r="BN89" s="186">
        <f t="shared" si="87"/>
        <v>0</v>
      </c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 spans="1:80" ht="11.95" outlineLevel="2" thickBot="1" x14ac:dyDescent="0.3">
      <c r="A90" t="str">
        <f t="shared" si="83"/>
        <v>#showrow</v>
      </c>
      <c r="E90" s="3"/>
      <c r="F90" s="3"/>
      <c r="G90" s="255" t="s">
        <v>191</v>
      </c>
      <c r="H90" s="3"/>
      <c r="I90" s="18"/>
      <c r="J90" s="18"/>
      <c r="K90" s="18"/>
      <c r="L90" s="185"/>
      <c r="M90" s="185"/>
      <c r="N90" s="185"/>
      <c r="O90" s="185"/>
      <c r="P90" s="185"/>
      <c r="Q90" s="185"/>
      <c r="R90" s="185"/>
      <c r="S90" s="185"/>
      <c r="T90" s="185"/>
      <c r="U90" s="185">
        <v>10.82</v>
      </c>
      <c r="V90" s="185"/>
      <c r="W90" s="185"/>
      <c r="X90" s="186">
        <f t="shared" si="84"/>
        <v>10.82</v>
      </c>
      <c r="Y90" s="219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6">
        <f t="shared" si="85"/>
        <v>0</v>
      </c>
      <c r="AM90" s="221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6">
        <f t="shared" si="86"/>
        <v>0</v>
      </c>
      <c r="BA90" s="221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87"/>
      <c r="BN90" s="186">
        <f t="shared" si="87"/>
        <v>0</v>
      </c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 spans="1:80" ht="11.95" outlineLevel="2" thickBot="1" x14ac:dyDescent="0.3">
      <c r="A91" t="str">
        <f t="shared" si="83"/>
        <v>#showrow</v>
      </c>
      <c r="E91" s="3"/>
      <c r="F91" s="3"/>
      <c r="G91" s="255" t="s">
        <v>192</v>
      </c>
      <c r="H91" s="3"/>
      <c r="I91" s="18"/>
      <c r="J91" s="18"/>
      <c r="K91" s="18"/>
      <c r="L91" s="185"/>
      <c r="M91" s="185"/>
      <c r="N91" s="185"/>
      <c r="O91" s="185">
        <v>168.31</v>
      </c>
      <c r="P91" s="185">
        <v>490</v>
      </c>
      <c r="Q91" s="185"/>
      <c r="R91" s="185"/>
      <c r="S91" s="185">
        <v>412.87</v>
      </c>
      <c r="T91" s="185">
        <v>92.63</v>
      </c>
      <c r="U91" s="185">
        <v>69.599999999999994</v>
      </c>
      <c r="V91" s="185">
        <v>674.27</v>
      </c>
      <c r="W91" s="185">
        <v>110.39</v>
      </c>
      <c r="X91" s="186">
        <f t="shared" si="84"/>
        <v>2018.07</v>
      </c>
      <c r="Y91" s="219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6">
        <f t="shared" si="85"/>
        <v>0</v>
      </c>
      <c r="AM91" s="221"/>
      <c r="AN91" s="187"/>
      <c r="AO91" s="187"/>
      <c r="AP91" s="187"/>
      <c r="AQ91" s="187"/>
      <c r="AR91" s="187"/>
      <c r="AS91" s="187"/>
      <c r="AT91" s="187"/>
      <c r="AU91" s="187"/>
      <c r="AV91" s="187"/>
      <c r="AW91" s="187"/>
      <c r="AX91" s="187"/>
      <c r="AY91" s="187"/>
      <c r="AZ91" s="186">
        <f t="shared" si="86"/>
        <v>0</v>
      </c>
      <c r="BA91" s="221"/>
      <c r="BB91" s="187"/>
      <c r="BC91" s="187"/>
      <c r="BD91" s="187"/>
      <c r="BE91" s="187"/>
      <c r="BF91" s="187"/>
      <c r="BG91" s="187"/>
      <c r="BH91" s="187"/>
      <c r="BI91" s="187"/>
      <c r="BJ91" s="187"/>
      <c r="BK91" s="187"/>
      <c r="BL91" s="187"/>
      <c r="BM91" s="187"/>
      <c r="BN91" s="186">
        <f t="shared" si="87"/>
        <v>0</v>
      </c>
      <c r="BP91"/>
      <c r="BQ91"/>
      <c r="BR91"/>
      <c r="BS91"/>
      <c r="BT91"/>
      <c r="BU91"/>
      <c r="BV91"/>
      <c r="BW91"/>
      <c r="BX91"/>
      <c r="BY91"/>
      <c r="BZ91"/>
      <c r="CA91"/>
      <c r="CB91"/>
    </row>
    <row r="92" spans="1:80" ht="11.95" outlineLevel="2" thickBot="1" x14ac:dyDescent="0.3">
      <c r="A92" t="str">
        <f t="shared" si="83"/>
        <v>#showrow</v>
      </c>
      <c r="E92" s="3"/>
      <c r="F92" s="3"/>
      <c r="G92" s="255" t="s">
        <v>193</v>
      </c>
      <c r="H92" s="3"/>
      <c r="I92" s="18"/>
      <c r="J92" s="18"/>
      <c r="K92" s="18"/>
      <c r="L92" s="185"/>
      <c r="M92" s="185">
        <v>162.76</v>
      </c>
      <c r="N92" s="185"/>
      <c r="O92" s="185"/>
      <c r="P92" s="185">
        <v>61.75</v>
      </c>
      <c r="Q92" s="185"/>
      <c r="R92" s="185"/>
      <c r="S92" s="185"/>
      <c r="T92" s="185"/>
      <c r="U92" s="185">
        <v>191.05</v>
      </c>
      <c r="V92" s="185"/>
      <c r="W92" s="185"/>
      <c r="X92" s="186">
        <f t="shared" si="84"/>
        <v>415.56</v>
      </c>
      <c r="Y92" s="219"/>
      <c r="Z92" s="185">
        <v>239.95</v>
      </c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6">
        <f t="shared" si="85"/>
        <v>239.95</v>
      </c>
      <c r="AM92" s="221"/>
      <c r="AN92" s="187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187"/>
      <c r="AZ92" s="186">
        <f t="shared" si="86"/>
        <v>0</v>
      </c>
      <c r="BA92" s="221"/>
      <c r="BB92" s="187"/>
      <c r="BC92" s="187"/>
      <c r="BD92" s="187"/>
      <c r="BE92" s="187"/>
      <c r="BF92" s="187"/>
      <c r="BG92" s="187"/>
      <c r="BH92" s="187"/>
      <c r="BI92" s="187"/>
      <c r="BJ92" s="187"/>
      <c r="BK92" s="187"/>
      <c r="BL92" s="187"/>
      <c r="BM92" s="187"/>
      <c r="BN92" s="186">
        <f t="shared" si="87"/>
        <v>0</v>
      </c>
      <c r="BP92"/>
      <c r="BQ92"/>
      <c r="BR92"/>
      <c r="BS92"/>
      <c r="BT92"/>
      <c r="BU92"/>
      <c r="BV92"/>
      <c r="BW92"/>
      <c r="BX92"/>
      <c r="BY92"/>
      <c r="BZ92"/>
      <c r="CA92"/>
      <c r="CB92"/>
    </row>
    <row r="93" spans="1:80" ht="11.95" outlineLevel="1" thickBot="1" x14ac:dyDescent="0.3">
      <c r="E93" s="3"/>
      <c r="F93" s="3"/>
      <c r="G93" s="256" t="s">
        <v>109</v>
      </c>
      <c r="H93" s="3"/>
      <c r="I93" s="18"/>
      <c r="J93" s="18"/>
      <c r="K93" s="18"/>
      <c r="L93" s="185">
        <v>2150.54</v>
      </c>
      <c r="M93" s="185">
        <v>16415.91</v>
      </c>
      <c r="N93" s="185">
        <v>11428.49</v>
      </c>
      <c r="O93" s="185">
        <v>6413.49</v>
      </c>
      <c r="P93" s="185">
        <v>20277.13</v>
      </c>
      <c r="Q93" s="185">
        <v>25561.41</v>
      </c>
      <c r="R93" s="185">
        <v>42594.37</v>
      </c>
      <c r="S93" s="185">
        <v>27685.46</v>
      </c>
      <c r="T93" s="185">
        <v>22098.84</v>
      </c>
      <c r="U93" s="185">
        <v>22284.9</v>
      </c>
      <c r="V93" s="185">
        <v>17869.02</v>
      </c>
      <c r="W93" s="185">
        <v>618.13</v>
      </c>
      <c r="X93" s="186">
        <f t="shared" si="56"/>
        <v>215397.68999999997</v>
      </c>
      <c r="Y93" s="219"/>
      <c r="Z93" s="185">
        <v>10787.95</v>
      </c>
      <c r="AA93" s="185">
        <v>20350</v>
      </c>
      <c r="AB93" s="185">
        <v>20350</v>
      </c>
      <c r="AC93" s="185">
        <v>20350</v>
      </c>
      <c r="AD93" s="185">
        <v>20350</v>
      </c>
      <c r="AE93" s="185">
        <v>20350</v>
      </c>
      <c r="AF93" s="185">
        <v>20350</v>
      </c>
      <c r="AG93" s="185">
        <v>20350</v>
      </c>
      <c r="AH93" s="185">
        <v>20350</v>
      </c>
      <c r="AI93" s="185">
        <v>20350</v>
      </c>
      <c r="AJ93" s="185">
        <v>20350</v>
      </c>
      <c r="AK93" s="185">
        <v>20350</v>
      </c>
      <c r="AL93" s="186">
        <f t="shared" si="57"/>
        <v>234637.95</v>
      </c>
      <c r="AM93" s="221"/>
      <c r="AN93" s="187">
        <v>20350</v>
      </c>
      <c r="AO93" s="187">
        <v>20350</v>
      </c>
      <c r="AP93" s="187">
        <v>20350</v>
      </c>
      <c r="AQ93" s="187">
        <v>20350</v>
      </c>
      <c r="AR93" s="187">
        <v>20350</v>
      </c>
      <c r="AS93" s="187">
        <v>20350</v>
      </c>
      <c r="AT93" s="187">
        <v>20350</v>
      </c>
      <c r="AU93" s="187">
        <v>20350</v>
      </c>
      <c r="AV93" s="187">
        <v>20350</v>
      </c>
      <c r="AW93" s="187">
        <v>20350</v>
      </c>
      <c r="AX93" s="187">
        <v>20350</v>
      </c>
      <c r="AY93" s="187">
        <v>20350</v>
      </c>
      <c r="AZ93" s="186">
        <f t="shared" si="58"/>
        <v>244200</v>
      </c>
      <c r="BA93" s="221"/>
      <c r="BB93" s="187">
        <v>20350</v>
      </c>
      <c r="BC93" s="187">
        <v>20350</v>
      </c>
      <c r="BD93" s="187">
        <v>20350</v>
      </c>
      <c r="BE93" s="187">
        <v>20350</v>
      </c>
      <c r="BF93" s="187">
        <v>20350</v>
      </c>
      <c r="BG93" s="187">
        <v>20350</v>
      </c>
      <c r="BH93" s="187">
        <v>20350</v>
      </c>
      <c r="BI93" s="187">
        <v>20350</v>
      </c>
      <c r="BJ93" s="187">
        <v>20350</v>
      </c>
      <c r="BK93" s="187">
        <v>20350</v>
      </c>
      <c r="BL93" s="187">
        <v>20350</v>
      </c>
      <c r="BM93" s="187">
        <v>20350</v>
      </c>
      <c r="BN93" s="186">
        <f t="shared" si="59"/>
        <v>244200</v>
      </c>
      <c r="BP93"/>
      <c r="BQ93"/>
      <c r="BR93"/>
      <c r="BS93"/>
      <c r="BT93"/>
      <c r="BU93"/>
      <c r="BV93"/>
      <c r="BW93"/>
      <c r="BX93"/>
      <c r="BY93"/>
      <c r="BZ93"/>
      <c r="CA93"/>
      <c r="CB93"/>
    </row>
    <row r="94" spans="1:80" ht="11.95" hidden="1" outlineLevel="2" thickBot="1" x14ac:dyDescent="0.3">
      <c r="A94" t="str">
        <f t="shared" ref="A94" si="88">IF(LEFT(G94,3)="Mul", "#hiderow", "#showrow")</f>
        <v>#hiderow</v>
      </c>
      <c r="E94" s="3"/>
      <c r="F94" s="3"/>
      <c r="G94" s="255" t="s">
        <v>6</v>
      </c>
      <c r="H94" s="3"/>
      <c r="I94" s="18"/>
      <c r="J94" s="18"/>
      <c r="K94" s="18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6">
        <f t="shared" si="56"/>
        <v>0</v>
      </c>
      <c r="Y94" s="219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6">
        <f t="shared" si="57"/>
        <v>0</v>
      </c>
      <c r="AM94" s="221"/>
      <c r="AN94" s="187"/>
      <c r="AO94" s="187"/>
      <c r="AP94" s="187"/>
      <c r="AQ94" s="187"/>
      <c r="AR94" s="187"/>
      <c r="AS94" s="187"/>
      <c r="AT94" s="187"/>
      <c r="AU94" s="187"/>
      <c r="AV94" s="187"/>
      <c r="AW94" s="187"/>
      <c r="AX94" s="187"/>
      <c r="AY94" s="187"/>
      <c r="AZ94" s="186">
        <f t="shared" si="58"/>
        <v>0</v>
      </c>
      <c r="BA94" s="221"/>
      <c r="BB94" s="187"/>
      <c r="BC94" s="187"/>
      <c r="BD94" s="187"/>
      <c r="BE94" s="187"/>
      <c r="BF94" s="187"/>
      <c r="BG94" s="187"/>
      <c r="BH94" s="187"/>
      <c r="BI94" s="187"/>
      <c r="BJ94" s="187"/>
      <c r="BK94" s="187"/>
      <c r="BL94" s="187"/>
      <c r="BM94" s="187"/>
      <c r="BN94" s="186">
        <f t="shared" si="59"/>
        <v>0</v>
      </c>
      <c r="BP94"/>
      <c r="BQ94"/>
      <c r="BR94"/>
      <c r="BS94"/>
      <c r="BT94"/>
      <c r="BU94"/>
      <c r="BV94"/>
      <c r="BW94"/>
      <c r="BX94"/>
      <c r="BY94"/>
      <c r="BZ94"/>
      <c r="CA94"/>
      <c r="CB94"/>
    </row>
    <row r="95" spans="1:80" ht="11.95" outlineLevel="2" thickBot="1" x14ac:dyDescent="0.3">
      <c r="A95" t="str">
        <f t="shared" ref="A95:A102" si="89">IF(LEFT(G95,3)="Mul", "#hiderow", "#showrow")</f>
        <v>#showrow</v>
      </c>
      <c r="E95" s="3"/>
      <c r="F95" s="3"/>
      <c r="G95" s="255" t="s">
        <v>152</v>
      </c>
      <c r="H95" s="3"/>
      <c r="I95" s="18"/>
      <c r="J95" s="18"/>
      <c r="K95" s="18"/>
      <c r="L95" s="185"/>
      <c r="M95" s="185">
        <v>336.99</v>
      </c>
      <c r="N95" s="185"/>
      <c r="O95" s="185"/>
      <c r="P95" s="185"/>
      <c r="Q95" s="185"/>
      <c r="R95" s="185"/>
      <c r="S95" s="185">
        <v>97.86</v>
      </c>
      <c r="T95" s="185">
        <v>6212.89</v>
      </c>
      <c r="U95" s="185">
        <v>1731.85</v>
      </c>
      <c r="V95" s="185"/>
      <c r="W95" s="185">
        <v>175.93</v>
      </c>
      <c r="X95" s="186">
        <f t="shared" ref="X95:X102" si="90">SUM(L95:W95)</f>
        <v>8555.52</v>
      </c>
      <c r="Y95" s="219"/>
      <c r="Z95" s="185"/>
      <c r="AA95" s="185">
        <v>750</v>
      </c>
      <c r="AB95" s="185">
        <v>750</v>
      </c>
      <c r="AC95" s="185">
        <v>750</v>
      </c>
      <c r="AD95" s="185">
        <v>750</v>
      </c>
      <c r="AE95" s="185">
        <v>750</v>
      </c>
      <c r="AF95" s="185">
        <v>750</v>
      </c>
      <c r="AG95" s="185">
        <v>750</v>
      </c>
      <c r="AH95" s="185">
        <v>750</v>
      </c>
      <c r="AI95" s="185">
        <v>750</v>
      </c>
      <c r="AJ95" s="185">
        <v>750</v>
      </c>
      <c r="AK95" s="185">
        <v>750</v>
      </c>
      <c r="AL95" s="186">
        <f t="shared" ref="AL95:AL102" si="91">SUM(Z95:AK95)</f>
        <v>8250</v>
      </c>
      <c r="AM95" s="221"/>
      <c r="AN95" s="187">
        <v>750</v>
      </c>
      <c r="AO95" s="187">
        <v>750</v>
      </c>
      <c r="AP95" s="187">
        <v>750</v>
      </c>
      <c r="AQ95" s="187">
        <v>750</v>
      </c>
      <c r="AR95" s="187">
        <v>750</v>
      </c>
      <c r="AS95" s="187">
        <v>750</v>
      </c>
      <c r="AT95" s="187">
        <v>750</v>
      </c>
      <c r="AU95" s="187">
        <v>750</v>
      </c>
      <c r="AV95" s="187">
        <v>750</v>
      </c>
      <c r="AW95" s="187">
        <v>750</v>
      </c>
      <c r="AX95" s="187">
        <v>750</v>
      </c>
      <c r="AY95" s="187">
        <v>750</v>
      </c>
      <c r="AZ95" s="186">
        <f t="shared" ref="AZ95:AZ102" si="92">SUM(AN95:AY95)</f>
        <v>9000</v>
      </c>
      <c r="BA95" s="221"/>
      <c r="BB95" s="187">
        <v>750</v>
      </c>
      <c r="BC95" s="187">
        <v>750</v>
      </c>
      <c r="BD95" s="187">
        <v>750</v>
      </c>
      <c r="BE95" s="187">
        <v>750</v>
      </c>
      <c r="BF95" s="187">
        <v>750</v>
      </c>
      <c r="BG95" s="187">
        <v>750</v>
      </c>
      <c r="BH95" s="187">
        <v>750</v>
      </c>
      <c r="BI95" s="187">
        <v>750</v>
      </c>
      <c r="BJ95" s="187">
        <v>750</v>
      </c>
      <c r="BK95" s="187">
        <v>750</v>
      </c>
      <c r="BL95" s="187">
        <v>750</v>
      </c>
      <c r="BM95" s="187">
        <v>750</v>
      </c>
      <c r="BN95" s="186">
        <f t="shared" ref="BN95:BN102" si="93">SUM(BB95:BM95)</f>
        <v>9000</v>
      </c>
      <c r="BP95"/>
      <c r="BQ95"/>
      <c r="BR95"/>
      <c r="BS95"/>
      <c r="BT95"/>
      <c r="BU95"/>
      <c r="BV95"/>
      <c r="BW95"/>
      <c r="BX95"/>
      <c r="BY95"/>
      <c r="BZ95"/>
      <c r="CA95"/>
      <c r="CB95"/>
    </row>
    <row r="96" spans="1:80" ht="11.95" outlineLevel="2" thickBot="1" x14ac:dyDescent="0.3">
      <c r="A96" t="str">
        <f t="shared" si="89"/>
        <v>#showrow</v>
      </c>
      <c r="E96" s="3"/>
      <c r="F96" s="3"/>
      <c r="G96" s="255" t="s">
        <v>153</v>
      </c>
      <c r="H96" s="3"/>
      <c r="I96" s="18"/>
      <c r="J96" s="18"/>
      <c r="K96" s="18"/>
      <c r="L96" s="185">
        <v>344.57</v>
      </c>
      <c r="M96" s="185">
        <v>344.57</v>
      </c>
      <c r="N96" s="185">
        <v>344.57</v>
      </c>
      <c r="O96" s="185">
        <v>344.57</v>
      </c>
      <c r="P96" s="185">
        <v>1933.63</v>
      </c>
      <c r="Q96" s="185">
        <v>1933.63</v>
      </c>
      <c r="R96" s="185">
        <v>25769.59</v>
      </c>
      <c r="S96" s="185">
        <v>3522.7</v>
      </c>
      <c r="T96" s="185">
        <v>3522.7</v>
      </c>
      <c r="U96" s="185">
        <v>3178.1</v>
      </c>
      <c r="V96" s="185">
        <v>3178.1</v>
      </c>
      <c r="W96" s="185">
        <v>-1687.95</v>
      </c>
      <c r="X96" s="186">
        <f t="shared" si="90"/>
        <v>42728.78</v>
      </c>
      <c r="Y96" s="219"/>
      <c r="Z96" s="185">
        <v>1490.15</v>
      </c>
      <c r="AA96" s="185">
        <v>4000</v>
      </c>
      <c r="AB96" s="185">
        <v>4000</v>
      </c>
      <c r="AC96" s="185">
        <v>4000</v>
      </c>
      <c r="AD96" s="185">
        <v>4000</v>
      </c>
      <c r="AE96" s="185">
        <v>4000</v>
      </c>
      <c r="AF96" s="185">
        <v>4000</v>
      </c>
      <c r="AG96" s="185">
        <v>4000</v>
      </c>
      <c r="AH96" s="185">
        <v>4000</v>
      </c>
      <c r="AI96" s="185">
        <v>4000</v>
      </c>
      <c r="AJ96" s="185">
        <v>4000</v>
      </c>
      <c r="AK96" s="185">
        <v>4000</v>
      </c>
      <c r="AL96" s="186">
        <f t="shared" si="91"/>
        <v>45490.15</v>
      </c>
      <c r="AM96" s="221"/>
      <c r="AN96" s="187">
        <v>4000</v>
      </c>
      <c r="AO96" s="187">
        <v>4000</v>
      </c>
      <c r="AP96" s="187">
        <v>4000</v>
      </c>
      <c r="AQ96" s="187">
        <v>4000</v>
      </c>
      <c r="AR96" s="187">
        <v>4000</v>
      </c>
      <c r="AS96" s="187">
        <v>4000</v>
      </c>
      <c r="AT96" s="187">
        <v>4000</v>
      </c>
      <c r="AU96" s="187">
        <v>4000</v>
      </c>
      <c r="AV96" s="187">
        <v>4000</v>
      </c>
      <c r="AW96" s="187">
        <v>4000</v>
      </c>
      <c r="AX96" s="187">
        <v>4000</v>
      </c>
      <c r="AY96" s="187">
        <v>4000</v>
      </c>
      <c r="AZ96" s="186">
        <f t="shared" si="92"/>
        <v>48000</v>
      </c>
      <c r="BA96" s="221"/>
      <c r="BB96" s="187">
        <v>4000</v>
      </c>
      <c r="BC96" s="187">
        <v>4000</v>
      </c>
      <c r="BD96" s="187">
        <v>4000</v>
      </c>
      <c r="BE96" s="187">
        <v>4000</v>
      </c>
      <c r="BF96" s="187">
        <v>4000</v>
      </c>
      <c r="BG96" s="187">
        <v>4000</v>
      </c>
      <c r="BH96" s="187">
        <v>4000</v>
      </c>
      <c r="BI96" s="187">
        <v>4000</v>
      </c>
      <c r="BJ96" s="187">
        <v>4000</v>
      </c>
      <c r="BK96" s="187">
        <v>4000</v>
      </c>
      <c r="BL96" s="187">
        <v>4000</v>
      </c>
      <c r="BM96" s="187">
        <v>4000</v>
      </c>
      <c r="BN96" s="186">
        <f t="shared" si="93"/>
        <v>48000</v>
      </c>
      <c r="BP96"/>
      <c r="BQ96"/>
      <c r="BR96"/>
      <c r="BS96"/>
      <c r="BT96"/>
      <c r="BU96"/>
      <c r="BV96"/>
      <c r="BW96"/>
      <c r="BX96"/>
      <c r="BY96"/>
      <c r="BZ96"/>
      <c r="CA96"/>
      <c r="CB96"/>
    </row>
    <row r="97" spans="1:80" ht="11.95" outlineLevel="2" thickBot="1" x14ac:dyDescent="0.3">
      <c r="A97" t="str">
        <f t="shared" si="89"/>
        <v>#showrow</v>
      </c>
      <c r="E97" s="3"/>
      <c r="F97" s="3"/>
      <c r="G97" s="255" t="s">
        <v>154</v>
      </c>
      <c r="H97" s="3"/>
      <c r="I97" s="18"/>
      <c r="J97" s="18"/>
      <c r="K97" s="18"/>
      <c r="L97" s="185">
        <v>268.08999999999997</v>
      </c>
      <c r="M97" s="185">
        <v>2472.09</v>
      </c>
      <c r="N97" s="185"/>
      <c r="O97" s="185">
        <v>527.62</v>
      </c>
      <c r="P97" s="185"/>
      <c r="Q97" s="185">
        <v>2478.98</v>
      </c>
      <c r="R97" s="185">
        <v>256.75</v>
      </c>
      <c r="S97" s="185">
        <v>1253.25</v>
      </c>
      <c r="T97" s="185">
        <v>2457.27</v>
      </c>
      <c r="U97" s="185">
        <v>373.65</v>
      </c>
      <c r="V97" s="185">
        <v>449.19</v>
      </c>
      <c r="W97" s="185">
        <v>2295.84</v>
      </c>
      <c r="X97" s="186">
        <f t="shared" si="90"/>
        <v>12832.730000000001</v>
      </c>
      <c r="Y97" s="219"/>
      <c r="Z97" s="185">
        <v>689.6</v>
      </c>
      <c r="AA97" s="185">
        <v>1200</v>
      </c>
      <c r="AB97" s="185">
        <v>1200</v>
      </c>
      <c r="AC97" s="185">
        <v>1200</v>
      </c>
      <c r="AD97" s="185">
        <v>1200</v>
      </c>
      <c r="AE97" s="185">
        <v>1200</v>
      </c>
      <c r="AF97" s="185">
        <v>1200</v>
      </c>
      <c r="AG97" s="185">
        <v>1200</v>
      </c>
      <c r="AH97" s="185">
        <v>1200</v>
      </c>
      <c r="AI97" s="185">
        <v>1200</v>
      </c>
      <c r="AJ97" s="185">
        <v>1200</v>
      </c>
      <c r="AK97" s="185">
        <v>1200</v>
      </c>
      <c r="AL97" s="186">
        <f t="shared" si="91"/>
        <v>13889.6</v>
      </c>
      <c r="AM97" s="221"/>
      <c r="AN97" s="187">
        <v>1200</v>
      </c>
      <c r="AO97" s="187">
        <v>1200</v>
      </c>
      <c r="AP97" s="187">
        <v>1200</v>
      </c>
      <c r="AQ97" s="187">
        <v>1200</v>
      </c>
      <c r="AR97" s="187">
        <v>1200</v>
      </c>
      <c r="AS97" s="187">
        <v>1200</v>
      </c>
      <c r="AT97" s="187">
        <v>1200</v>
      </c>
      <c r="AU97" s="187">
        <v>1200</v>
      </c>
      <c r="AV97" s="187">
        <v>1200</v>
      </c>
      <c r="AW97" s="187">
        <v>1200</v>
      </c>
      <c r="AX97" s="187">
        <v>1200</v>
      </c>
      <c r="AY97" s="187">
        <v>1200</v>
      </c>
      <c r="AZ97" s="186">
        <f t="shared" si="92"/>
        <v>14400</v>
      </c>
      <c r="BA97" s="221"/>
      <c r="BB97" s="187">
        <v>1200</v>
      </c>
      <c r="BC97" s="187">
        <v>1200</v>
      </c>
      <c r="BD97" s="187">
        <v>1200</v>
      </c>
      <c r="BE97" s="187">
        <v>1200</v>
      </c>
      <c r="BF97" s="187">
        <v>1200</v>
      </c>
      <c r="BG97" s="187">
        <v>1200</v>
      </c>
      <c r="BH97" s="187">
        <v>1200</v>
      </c>
      <c r="BI97" s="187">
        <v>1200</v>
      </c>
      <c r="BJ97" s="187">
        <v>1200</v>
      </c>
      <c r="BK97" s="187">
        <v>1200</v>
      </c>
      <c r="BL97" s="187">
        <v>1200</v>
      </c>
      <c r="BM97" s="187">
        <v>1200</v>
      </c>
      <c r="BN97" s="186">
        <f t="shared" si="93"/>
        <v>14400</v>
      </c>
      <c r="BP97"/>
      <c r="BQ97"/>
      <c r="BR97"/>
      <c r="BS97"/>
      <c r="BT97"/>
      <c r="BU97"/>
      <c r="BV97"/>
      <c r="BW97"/>
      <c r="BX97"/>
      <c r="BY97"/>
      <c r="BZ97"/>
      <c r="CA97"/>
      <c r="CB97"/>
    </row>
    <row r="98" spans="1:80" ht="11.95" outlineLevel="2" thickBot="1" x14ac:dyDescent="0.3">
      <c r="A98" t="str">
        <f t="shared" si="89"/>
        <v>#showrow</v>
      </c>
      <c r="E98" s="3"/>
      <c r="F98" s="3"/>
      <c r="G98" s="255" t="s">
        <v>155</v>
      </c>
      <c r="H98" s="3"/>
      <c r="I98" s="18"/>
      <c r="J98" s="18"/>
      <c r="K98" s="18"/>
      <c r="L98" s="185"/>
      <c r="M98" s="185"/>
      <c r="N98" s="185"/>
      <c r="O98" s="185"/>
      <c r="P98" s="185"/>
      <c r="Q98" s="185"/>
      <c r="R98" s="185"/>
      <c r="S98" s="185">
        <v>380.93</v>
      </c>
      <c r="T98" s="185"/>
      <c r="U98" s="185"/>
      <c r="V98" s="185"/>
      <c r="W98" s="185"/>
      <c r="X98" s="186">
        <f t="shared" si="90"/>
        <v>380.93</v>
      </c>
      <c r="Y98" s="219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6">
        <f t="shared" si="91"/>
        <v>0</v>
      </c>
      <c r="AM98" s="221"/>
      <c r="AN98" s="187"/>
      <c r="AO98" s="187"/>
      <c r="AP98" s="187"/>
      <c r="AQ98" s="187"/>
      <c r="AR98" s="187"/>
      <c r="AS98" s="187"/>
      <c r="AT98" s="187"/>
      <c r="AU98" s="187"/>
      <c r="AV98" s="187"/>
      <c r="AW98" s="187"/>
      <c r="AX98" s="187"/>
      <c r="AY98" s="187"/>
      <c r="AZ98" s="186">
        <f t="shared" si="92"/>
        <v>0</v>
      </c>
      <c r="BA98" s="221"/>
      <c r="BB98" s="187"/>
      <c r="BC98" s="187"/>
      <c r="BD98" s="187"/>
      <c r="BE98" s="187"/>
      <c r="BF98" s="187"/>
      <c r="BG98" s="187"/>
      <c r="BH98" s="187"/>
      <c r="BI98" s="187"/>
      <c r="BJ98" s="187"/>
      <c r="BK98" s="187"/>
      <c r="BL98" s="187"/>
      <c r="BM98" s="187"/>
      <c r="BN98" s="186">
        <f t="shared" si="93"/>
        <v>0</v>
      </c>
      <c r="BP98"/>
      <c r="BQ98"/>
      <c r="BR98"/>
      <c r="BS98"/>
      <c r="BT98"/>
      <c r="BU98"/>
      <c r="BV98"/>
      <c r="BW98"/>
      <c r="BX98"/>
      <c r="BY98"/>
      <c r="BZ98"/>
      <c r="CA98"/>
      <c r="CB98"/>
    </row>
    <row r="99" spans="1:80" ht="11.95" outlineLevel="2" thickBot="1" x14ac:dyDescent="0.3">
      <c r="A99" t="str">
        <f t="shared" si="89"/>
        <v>#showrow</v>
      </c>
      <c r="E99" s="3"/>
      <c r="F99" s="3"/>
      <c r="G99" s="255" t="s">
        <v>156</v>
      </c>
      <c r="H99" s="3"/>
      <c r="I99" s="18"/>
      <c r="J99" s="18"/>
      <c r="K99" s="18"/>
      <c r="L99" s="185"/>
      <c r="M99" s="185"/>
      <c r="N99" s="185">
        <v>1740</v>
      </c>
      <c r="O99" s="185"/>
      <c r="P99" s="185">
        <v>260</v>
      </c>
      <c r="Q99" s="185">
        <v>365</v>
      </c>
      <c r="R99" s="185"/>
      <c r="S99" s="185"/>
      <c r="T99" s="185"/>
      <c r="U99" s="185"/>
      <c r="V99" s="185"/>
      <c r="W99" s="185"/>
      <c r="X99" s="186">
        <f t="shared" si="90"/>
        <v>2365</v>
      </c>
      <c r="Y99" s="219"/>
      <c r="Z99" s="185"/>
      <c r="AA99" s="185">
        <v>300</v>
      </c>
      <c r="AB99" s="185">
        <v>300</v>
      </c>
      <c r="AC99" s="185">
        <v>300</v>
      </c>
      <c r="AD99" s="185">
        <v>300</v>
      </c>
      <c r="AE99" s="185">
        <v>300</v>
      </c>
      <c r="AF99" s="185">
        <v>300</v>
      </c>
      <c r="AG99" s="185">
        <v>300</v>
      </c>
      <c r="AH99" s="185">
        <v>300</v>
      </c>
      <c r="AI99" s="185">
        <v>300</v>
      </c>
      <c r="AJ99" s="185">
        <v>300</v>
      </c>
      <c r="AK99" s="185">
        <v>300</v>
      </c>
      <c r="AL99" s="186">
        <f t="shared" si="91"/>
        <v>3300</v>
      </c>
      <c r="AM99" s="221"/>
      <c r="AN99" s="187">
        <v>300</v>
      </c>
      <c r="AO99" s="187">
        <v>300</v>
      </c>
      <c r="AP99" s="187">
        <v>300</v>
      </c>
      <c r="AQ99" s="187">
        <v>300</v>
      </c>
      <c r="AR99" s="187">
        <v>300</v>
      </c>
      <c r="AS99" s="187">
        <v>300</v>
      </c>
      <c r="AT99" s="187">
        <v>300</v>
      </c>
      <c r="AU99" s="187">
        <v>300</v>
      </c>
      <c r="AV99" s="187">
        <v>300</v>
      </c>
      <c r="AW99" s="187">
        <v>300</v>
      </c>
      <c r="AX99" s="187">
        <v>300</v>
      </c>
      <c r="AY99" s="187">
        <v>300</v>
      </c>
      <c r="AZ99" s="186">
        <f t="shared" si="92"/>
        <v>3600</v>
      </c>
      <c r="BA99" s="221"/>
      <c r="BB99" s="187">
        <v>300</v>
      </c>
      <c r="BC99" s="187">
        <v>300</v>
      </c>
      <c r="BD99" s="187">
        <v>300</v>
      </c>
      <c r="BE99" s="187">
        <v>300</v>
      </c>
      <c r="BF99" s="187">
        <v>300</v>
      </c>
      <c r="BG99" s="187">
        <v>300</v>
      </c>
      <c r="BH99" s="187">
        <v>300</v>
      </c>
      <c r="BI99" s="187">
        <v>300</v>
      </c>
      <c r="BJ99" s="187">
        <v>300</v>
      </c>
      <c r="BK99" s="187">
        <v>300</v>
      </c>
      <c r="BL99" s="187">
        <v>300</v>
      </c>
      <c r="BM99" s="187">
        <v>300</v>
      </c>
      <c r="BN99" s="186">
        <f t="shared" si="93"/>
        <v>3600</v>
      </c>
      <c r="BP99"/>
      <c r="BQ99"/>
      <c r="BR99"/>
      <c r="BS99"/>
      <c r="BT99"/>
      <c r="BU99"/>
      <c r="BV99"/>
      <c r="BW99"/>
      <c r="BX99"/>
      <c r="BY99"/>
      <c r="BZ99"/>
      <c r="CA99"/>
      <c r="CB99"/>
    </row>
    <row r="100" spans="1:80" ht="11.95" outlineLevel="2" thickBot="1" x14ac:dyDescent="0.3">
      <c r="A100" t="str">
        <f t="shared" si="89"/>
        <v>#showrow</v>
      </c>
      <c r="E100" s="3"/>
      <c r="F100" s="3"/>
      <c r="G100" s="255" t="s">
        <v>157</v>
      </c>
      <c r="H100" s="3"/>
      <c r="I100" s="18"/>
      <c r="J100" s="18"/>
      <c r="K100" s="18"/>
      <c r="L100" s="185">
        <v>1427.42</v>
      </c>
      <c r="M100" s="185">
        <v>12136.12</v>
      </c>
      <c r="N100" s="185">
        <v>7878.74</v>
      </c>
      <c r="O100" s="185">
        <v>4722.5</v>
      </c>
      <c r="P100" s="185">
        <v>16795.87</v>
      </c>
      <c r="Q100" s="185">
        <v>18942.080000000002</v>
      </c>
      <c r="R100" s="185">
        <v>16329.63</v>
      </c>
      <c r="S100" s="185">
        <v>22063.34</v>
      </c>
      <c r="T100" s="185">
        <v>9541.98</v>
      </c>
      <c r="U100" s="185">
        <v>16951.740000000002</v>
      </c>
      <c r="V100" s="185">
        <v>12407.66</v>
      </c>
      <c r="W100" s="185">
        <v>-1342.44</v>
      </c>
      <c r="X100" s="186">
        <f t="shared" si="90"/>
        <v>137854.63999999998</v>
      </c>
      <c r="Y100" s="219"/>
      <c r="Z100" s="185">
        <v>8608.2000000000007</v>
      </c>
      <c r="AA100" s="185">
        <v>13000</v>
      </c>
      <c r="AB100" s="185">
        <v>13000</v>
      </c>
      <c r="AC100" s="185">
        <v>13000</v>
      </c>
      <c r="AD100" s="185">
        <v>13000</v>
      </c>
      <c r="AE100" s="185">
        <v>13000</v>
      </c>
      <c r="AF100" s="185">
        <v>13000</v>
      </c>
      <c r="AG100" s="185">
        <v>13000</v>
      </c>
      <c r="AH100" s="185">
        <v>13000</v>
      </c>
      <c r="AI100" s="185">
        <v>13000</v>
      </c>
      <c r="AJ100" s="185">
        <v>13000</v>
      </c>
      <c r="AK100" s="185">
        <v>13000</v>
      </c>
      <c r="AL100" s="186">
        <f t="shared" si="91"/>
        <v>151608.20000000001</v>
      </c>
      <c r="AM100" s="221"/>
      <c r="AN100" s="187">
        <v>13000</v>
      </c>
      <c r="AO100" s="187">
        <v>13000</v>
      </c>
      <c r="AP100" s="187">
        <v>13000</v>
      </c>
      <c r="AQ100" s="187">
        <v>13000</v>
      </c>
      <c r="AR100" s="187">
        <v>13000</v>
      </c>
      <c r="AS100" s="187">
        <v>13000</v>
      </c>
      <c r="AT100" s="187">
        <v>13000</v>
      </c>
      <c r="AU100" s="187">
        <v>13000</v>
      </c>
      <c r="AV100" s="187">
        <v>13000</v>
      </c>
      <c r="AW100" s="187">
        <v>13000</v>
      </c>
      <c r="AX100" s="187">
        <v>13000</v>
      </c>
      <c r="AY100" s="187">
        <v>13000</v>
      </c>
      <c r="AZ100" s="186">
        <f t="shared" si="92"/>
        <v>156000</v>
      </c>
      <c r="BA100" s="221"/>
      <c r="BB100" s="187">
        <v>13000</v>
      </c>
      <c r="BC100" s="187">
        <v>13000</v>
      </c>
      <c r="BD100" s="187">
        <v>13000</v>
      </c>
      <c r="BE100" s="187">
        <v>13000</v>
      </c>
      <c r="BF100" s="187">
        <v>13000</v>
      </c>
      <c r="BG100" s="187">
        <v>13000</v>
      </c>
      <c r="BH100" s="187">
        <v>13000</v>
      </c>
      <c r="BI100" s="187">
        <v>13000</v>
      </c>
      <c r="BJ100" s="187">
        <v>13000</v>
      </c>
      <c r="BK100" s="187">
        <v>13000</v>
      </c>
      <c r="BL100" s="187">
        <v>13000</v>
      </c>
      <c r="BM100" s="187">
        <v>13000</v>
      </c>
      <c r="BN100" s="186">
        <f t="shared" si="93"/>
        <v>156000</v>
      </c>
      <c r="BP100"/>
      <c r="BQ100"/>
      <c r="BR100"/>
      <c r="BS100"/>
      <c r="BT100"/>
      <c r="BU100"/>
      <c r="BV100"/>
      <c r="BW100"/>
      <c r="BX100"/>
      <c r="BY100"/>
      <c r="BZ100"/>
      <c r="CA100"/>
      <c r="CB100"/>
    </row>
    <row r="101" spans="1:80" ht="11.95" outlineLevel="2" thickBot="1" x14ac:dyDescent="0.3">
      <c r="A101" t="str">
        <f t="shared" si="89"/>
        <v>#showrow</v>
      </c>
      <c r="E101" s="3"/>
      <c r="F101" s="3"/>
      <c r="G101" s="255" t="s">
        <v>158</v>
      </c>
      <c r="H101" s="3"/>
      <c r="I101" s="18"/>
      <c r="J101" s="18"/>
      <c r="K101" s="18"/>
      <c r="L101" s="185"/>
      <c r="M101" s="185"/>
      <c r="N101" s="185">
        <v>195.7</v>
      </c>
      <c r="O101" s="185"/>
      <c r="P101" s="185"/>
      <c r="Q101" s="185"/>
      <c r="R101" s="185"/>
      <c r="S101" s="185"/>
      <c r="T101" s="185"/>
      <c r="U101" s="185"/>
      <c r="V101" s="185"/>
      <c r="W101" s="185"/>
      <c r="X101" s="186">
        <f t="shared" si="90"/>
        <v>195.7</v>
      </c>
      <c r="Y101" s="219"/>
      <c r="Z101" s="185"/>
      <c r="AA101" s="185">
        <v>100</v>
      </c>
      <c r="AB101" s="185">
        <v>100</v>
      </c>
      <c r="AC101" s="185">
        <v>100</v>
      </c>
      <c r="AD101" s="185">
        <v>100</v>
      </c>
      <c r="AE101" s="185">
        <v>100</v>
      </c>
      <c r="AF101" s="185">
        <v>100</v>
      </c>
      <c r="AG101" s="185">
        <v>100</v>
      </c>
      <c r="AH101" s="185">
        <v>100</v>
      </c>
      <c r="AI101" s="185">
        <v>100</v>
      </c>
      <c r="AJ101" s="185">
        <v>100</v>
      </c>
      <c r="AK101" s="185">
        <v>100</v>
      </c>
      <c r="AL101" s="186">
        <f t="shared" si="91"/>
        <v>1100</v>
      </c>
      <c r="AM101" s="221"/>
      <c r="AN101" s="187">
        <v>100</v>
      </c>
      <c r="AO101" s="187">
        <v>100</v>
      </c>
      <c r="AP101" s="187">
        <v>100</v>
      </c>
      <c r="AQ101" s="187">
        <v>100</v>
      </c>
      <c r="AR101" s="187">
        <v>100</v>
      </c>
      <c r="AS101" s="187">
        <v>100</v>
      </c>
      <c r="AT101" s="187">
        <v>100</v>
      </c>
      <c r="AU101" s="187">
        <v>100</v>
      </c>
      <c r="AV101" s="187">
        <v>100</v>
      </c>
      <c r="AW101" s="187">
        <v>100</v>
      </c>
      <c r="AX101" s="187">
        <v>100</v>
      </c>
      <c r="AY101" s="187">
        <v>100</v>
      </c>
      <c r="AZ101" s="186">
        <f t="shared" si="92"/>
        <v>1200</v>
      </c>
      <c r="BA101" s="221"/>
      <c r="BB101" s="187">
        <v>100</v>
      </c>
      <c r="BC101" s="187">
        <v>100</v>
      </c>
      <c r="BD101" s="187">
        <v>100</v>
      </c>
      <c r="BE101" s="187">
        <v>100</v>
      </c>
      <c r="BF101" s="187">
        <v>100</v>
      </c>
      <c r="BG101" s="187">
        <v>100</v>
      </c>
      <c r="BH101" s="187">
        <v>100</v>
      </c>
      <c r="BI101" s="187">
        <v>100</v>
      </c>
      <c r="BJ101" s="187">
        <v>100</v>
      </c>
      <c r="BK101" s="187">
        <v>100</v>
      </c>
      <c r="BL101" s="187">
        <v>100</v>
      </c>
      <c r="BM101" s="187">
        <v>100</v>
      </c>
      <c r="BN101" s="186">
        <f t="shared" si="93"/>
        <v>1200</v>
      </c>
      <c r="BP101"/>
      <c r="BQ101"/>
      <c r="BR101"/>
      <c r="BS101"/>
      <c r="BT101"/>
      <c r="BU101"/>
      <c r="BV101"/>
      <c r="BW101"/>
      <c r="BX101"/>
      <c r="BY101"/>
      <c r="BZ101"/>
      <c r="CA101"/>
      <c r="CB101"/>
    </row>
    <row r="102" spans="1:80" ht="11.95" outlineLevel="2" thickBot="1" x14ac:dyDescent="0.3">
      <c r="A102" t="str">
        <f t="shared" si="89"/>
        <v>#showrow</v>
      </c>
      <c r="E102" s="3"/>
      <c r="F102" s="3"/>
      <c r="G102" s="255" t="s">
        <v>159</v>
      </c>
      <c r="H102" s="3"/>
      <c r="I102" s="18"/>
      <c r="J102" s="18"/>
      <c r="K102" s="18"/>
      <c r="L102" s="185">
        <v>110.46</v>
      </c>
      <c r="M102" s="185">
        <v>1126.1400000000001</v>
      </c>
      <c r="N102" s="185">
        <v>1269.48</v>
      </c>
      <c r="O102" s="185">
        <v>818.8</v>
      </c>
      <c r="P102" s="185">
        <v>1287.6300000000001</v>
      </c>
      <c r="Q102" s="185">
        <v>1841.72</v>
      </c>
      <c r="R102" s="185">
        <v>238.4</v>
      </c>
      <c r="S102" s="185">
        <v>367.38</v>
      </c>
      <c r="T102" s="185">
        <v>364</v>
      </c>
      <c r="U102" s="185">
        <v>49.56</v>
      </c>
      <c r="V102" s="185">
        <v>1834.07</v>
      </c>
      <c r="W102" s="185">
        <v>1176.75</v>
      </c>
      <c r="X102" s="186">
        <f t="shared" si="90"/>
        <v>10484.390000000001</v>
      </c>
      <c r="Y102" s="219"/>
      <c r="Z102" s="185"/>
      <c r="AA102" s="185">
        <v>1000</v>
      </c>
      <c r="AB102" s="185">
        <v>1000</v>
      </c>
      <c r="AC102" s="185">
        <v>1000</v>
      </c>
      <c r="AD102" s="185">
        <v>1000</v>
      </c>
      <c r="AE102" s="185">
        <v>1000</v>
      </c>
      <c r="AF102" s="185">
        <v>1000</v>
      </c>
      <c r="AG102" s="185">
        <v>1000</v>
      </c>
      <c r="AH102" s="185">
        <v>1000</v>
      </c>
      <c r="AI102" s="185">
        <v>1000</v>
      </c>
      <c r="AJ102" s="185">
        <v>1000</v>
      </c>
      <c r="AK102" s="185">
        <v>1000</v>
      </c>
      <c r="AL102" s="186">
        <f t="shared" si="91"/>
        <v>11000</v>
      </c>
      <c r="AM102" s="221"/>
      <c r="AN102" s="187">
        <v>1000</v>
      </c>
      <c r="AO102" s="187">
        <v>1000</v>
      </c>
      <c r="AP102" s="187">
        <v>1000</v>
      </c>
      <c r="AQ102" s="187">
        <v>1000</v>
      </c>
      <c r="AR102" s="187">
        <v>1000</v>
      </c>
      <c r="AS102" s="187">
        <v>1000</v>
      </c>
      <c r="AT102" s="187">
        <v>1000</v>
      </c>
      <c r="AU102" s="187">
        <v>1000</v>
      </c>
      <c r="AV102" s="187">
        <v>1000</v>
      </c>
      <c r="AW102" s="187">
        <v>1000</v>
      </c>
      <c r="AX102" s="187">
        <v>1000</v>
      </c>
      <c r="AY102" s="187">
        <v>1000</v>
      </c>
      <c r="AZ102" s="186">
        <f t="shared" si="92"/>
        <v>12000</v>
      </c>
      <c r="BA102" s="221"/>
      <c r="BB102" s="187">
        <v>1000</v>
      </c>
      <c r="BC102" s="187">
        <v>1000</v>
      </c>
      <c r="BD102" s="187">
        <v>1000</v>
      </c>
      <c r="BE102" s="187">
        <v>1000</v>
      </c>
      <c r="BF102" s="187">
        <v>1000</v>
      </c>
      <c r="BG102" s="187">
        <v>1000</v>
      </c>
      <c r="BH102" s="187">
        <v>1000</v>
      </c>
      <c r="BI102" s="187">
        <v>1000</v>
      </c>
      <c r="BJ102" s="187">
        <v>1000</v>
      </c>
      <c r="BK102" s="187">
        <v>1000</v>
      </c>
      <c r="BL102" s="187">
        <v>1000</v>
      </c>
      <c r="BM102" s="187">
        <v>1000</v>
      </c>
      <c r="BN102" s="186">
        <f t="shared" si="93"/>
        <v>12000</v>
      </c>
      <c r="BP102"/>
      <c r="BQ102"/>
      <c r="BR102"/>
      <c r="BS102"/>
      <c r="BT102"/>
      <c r="BU102"/>
      <c r="BV102"/>
      <c r="BW102"/>
      <c r="BX102"/>
      <c r="BY102"/>
      <c r="BZ102"/>
      <c r="CA102"/>
      <c r="CB102"/>
    </row>
    <row r="103" spans="1:80" ht="11.95" outlineLevel="1" thickBot="1" x14ac:dyDescent="0.3">
      <c r="E103" s="3"/>
      <c r="F103" s="3"/>
      <c r="G103" s="256" t="s">
        <v>110</v>
      </c>
      <c r="H103" s="3"/>
      <c r="I103" s="18"/>
      <c r="J103" s="18"/>
      <c r="K103" s="18"/>
      <c r="L103" s="185">
        <v>16657.43</v>
      </c>
      <c r="M103" s="185">
        <v>38373.879999999997</v>
      </c>
      <c r="N103" s="185">
        <v>29904.51</v>
      </c>
      <c r="O103" s="185">
        <v>30973.16</v>
      </c>
      <c r="P103" s="185">
        <v>27276.98</v>
      </c>
      <c r="Q103" s="185">
        <v>18458.89</v>
      </c>
      <c r="R103" s="185">
        <v>24016.36</v>
      </c>
      <c r="S103" s="185">
        <v>30238.89</v>
      </c>
      <c r="T103" s="185">
        <v>35338.94</v>
      </c>
      <c r="U103" s="185">
        <v>25393.03</v>
      </c>
      <c r="V103" s="185">
        <v>23210.41</v>
      </c>
      <c r="W103" s="185">
        <v>30175.95</v>
      </c>
      <c r="X103" s="186">
        <f t="shared" si="56"/>
        <v>330018.42999999993</v>
      </c>
      <c r="Y103" s="219"/>
      <c r="Z103" s="185">
        <v>13437.6</v>
      </c>
      <c r="AA103" s="185">
        <v>25771</v>
      </c>
      <c r="AB103" s="185">
        <v>25771</v>
      </c>
      <c r="AC103" s="185">
        <v>25771</v>
      </c>
      <c r="AD103" s="185">
        <v>25771</v>
      </c>
      <c r="AE103" s="185">
        <v>25771</v>
      </c>
      <c r="AF103" s="185">
        <v>25771</v>
      </c>
      <c r="AG103" s="185">
        <v>25771</v>
      </c>
      <c r="AH103" s="185">
        <v>25771</v>
      </c>
      <c r="AI103" s="185">
        <v>25771</v>
      </c>
      <c r="AJ103" s="185">
        <v>25771</v>
      </c>
      <c r="AK103" s="185">
        <v>25771</v>
      </c>
      <c r="AL103" s="186">
        <f t="shared" si="57"/>
        <v>296918.59999999998</v>
      </c>
      <c r="AM103" s="221"/>
      <c r="AN103" s="187">
        <v>25771</v>
      </c>
      <c r="AO103" s="187">
        <v>25771</v>
      </c>
      <c r="AP103" s="187">
        <v>25771</v>
      </c>
      <c r="AQ103" s="187">
        <v>25771</v>
      </c>
      <c r="AR103" s="187">
        <v>25771</v>
      </c>
      <c r="AS103" s="187">
        <v>25771</v>
      </c>
      <c r="AT103" s="187">
        <v>25771</v>
      </c>
      <c r="AU103" s="187">
        <v>25771</v>
      </c>
      <c r="AV103" s="187">
        <v>25771</v>
      </c>
      <c r="AW103" s="187">
        <v>25771</v>
      </c>
      <c r="AX103" s="187">
        <v>25771</v>
      </c>
      <c r="AY103" s="187">
        <v>25771</v>
      </c>
      <c r="AZ103" s="186">
        <f t="shared" si="58"/>
        <v>309252</v>
      </c>
      <c r="BA103" s="221"/>
      <c r="BB103" s="187">
        <v>25771</v>
      </c>
      <c r="BC103" s="187">
        <v>25771</v>
      </c>
      <c r="BD103" s="187">
        <v>25771</v>
      </c>
      <c r="BE103" s="187">
        <v>25771</v>
      </c>
      <c r="BF103" s="187">
        <v>25771</v>
      </c>
      <c r="BG103" s="187">
        <v>25771</v>
      </c>
      <c r="BH103" s="187">
        <v>25771</v>
      </c>
      <c r="BI103" s="187">
        <v>25771</v>
      </c>
      <c r="BJ103" s="187">
        <v>25771</v>
      </c>
      <c r="BK103" s="187">
        <v>25771</v>
      </c>
      <c r="BL103" s="187">
        <v>25771</v>
      </c>
      <c r="BM103" s="187">
        <v>25771</v>
      </c>
      <c r="BN103" s="186">
        <f t="shared" si="59"/>
        <v>309252</v>
      </c>
      <c r="BP103"/>
      <c r="BQ103"/>
      <c r="BR103"/>
      <c r="BS103"/>
      <c r="BT103"/>
      <c r="BU103"/>
      <c r="BV103"/>
      <c r="BW103"/>
      <c r="BX103"/>
      <c r="BY103"/>
      <c r="BZ103"/>
      <c r="CA103"/>
      <c r="CB103"/>
    </row>
    <row r="104" spans="1:80" ht="11.95" hidden="1" outlineLevel="2" thickBot="1" x14ac:dyDescent="0.3">
      <c r="A104" t="str">
        <f t="shared" ref="A104" si="94">IF(LEFT(G104,3)="Mul", "#hiderow", "#showrow")</f>
        <v>#hiderow</v>
      </c>
      <c r="E104" s="3"/>
      <c r="F104" s="3"/>
      <c r="G104" s="255" t="s">
        <v>6</v>
      </c>
      <c r="H104" s="3"/>
      <c r="I104" s="18"/>
      <c r="J104" s="18"/>
      <c r="K104" s="18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6">
        <f t="shared" si="56"/>
        <v>0</v>
      </c>
      <c r="Y104" s="219"/>
      <c r="Z104" s="185"/>
      <c r="AA104" s="185"/>
      <c r="AB104" s="185"/>
      <c r="AC104" s="185"/>
      <c r="AD104" s="185"/>
      <c r="AE104" s="185"/>
      <c r="AF104" s="185"/>
      <c r="AG104" s="185"/>
      <c r="AH104" s="185"/>
      <c r="AI104" s="185"/>
      <c r="AJ104" s="185"/>
      <c r="AK104" s="185"/>
      <c r="AL104" s="186">
        <f t="shared" si="57"/>
        <v>0</v>
      </c>
      <c r="AM104" s="221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6">
        <f t="shared" si="58"/>
        <v>0</v>
      </c>
      <c r="BA104" s="221"/>
      <c r="BB104" s="187"/>
      <c r="BC104" s="187"/>
      <c r="BD104" s="187"/>
      <c r="BE104" s="187"/>
      <c r="BF104" s="187"/>
      <c r="BG104" s="187"/>
      <c r="BH104" s="187"/>
      <c r="BI104" s="187"/>
      <c r="BJ104" s="187"/>
      <c r="BK104" s="187"/>
      <c r="BL104" s="187"/>
      <c r="BM104" s="187"/>
      <c r="BN104" s="186">
        <f t="shared" si="59"/>
        <v>0</v>
      </c>
      <c r="BP104"/>
      <c r="BQ104"/>
      <c r="BR104"/>
      <c r="BS104"/>
      <c r="BT104"/>
      <c r="BU104"/>
      <c r="BV104"/>
      <c r="BW104"/>
      <c r="BX104"/>
      <c r="BY104"/>
      <c r="BZ104"/>
      <c r="CA104"/>
      <c r="CB104"/>
    </row>
    <row r="105" spans="1:80" ht="11.95" outlineLevel="2" thickBot="1" x14ac:dyDescent="0.3">
      <c r="A105" t="str">
        <f t="shared" ref="A105:A109" si="95">IF(LEFT(G105,3)="Mul", "#hiderow", "#showrow")</f>
        <v>#showrow</v>
      </c>
      <c r="E105" s="3"/>
      <c r="F105" s="3"/>
      <c r="G105" s="255" t="s">
        <v>142</v>
      </c>
      <c r="H105" s="3"/>
      <c r="I105" s="18"/>
      <c r="J105" s="18"/>
      <c r="K105" s="18"/>
      <c r="L105" s="185"/>
      <c r="M105" s="185">
        <v>2539.1799999999998</v>
      </c>
      <c r="N105" s="185">
        <v>189</v>
      </c>
      <c r="O105" s="185">
        <v>1400.24</v>
      </c>
      <c r="P105" s="185">
        <v>446.39</v>
      </c>
      <c r="Q105" s="185"/>
      <c r="R105" s="185">
        <v>189</v>
      </c>
      <c r="S105" s="185">
        <v>189</v>
      </c>
      <c r="T105" s="185">
        <v>1660.18</v>
      </c>
      <c r="U105" s="185">
        <v>821.84</v>
      </c>
      <c r="V105" s="185">
        <v>189</v>
      </c>
      <c r="W105" s="185">
        <v>189</v>
      </c>
      <c r="X105" s="186">
        <f t="shared" ref="X105:X109" si="96">SUM(L105:W105)</f>
        <v>7812.8300000000008</v>
      </c>
      <c r="Y105" s="219"/>
      <c r="Z105" s="185">
        <v>191.93</v>
      </c>
      <c r="AA105" s="185">
        <v>1000</v>
      </c>
      <c r="AB105" s="185">
        <v>1000</v>
      </c>
      <c r="AC105" s="185">
        <v>1000</v>
      </c>
      <c r="AD105" s="185">
        <v>1000</v>
      </c>
      <c r="AE105" s="185">
        <v>1000</v>
      </c>
      <c r="AF105" s="185">
        <v>1000</v>
      </c>
      <c r="AG105" s="185">
        <v>1000</v>
      </c>
      <c r="AH105" s="185">
        <v>1000</v>
      </c>
      <c r="AI105" s="185">
        <v>1000</v>
      </c>
      <c r="AJ105" s="185">
        <v>1000</v>
      </c>
      <c r="AK105" s="185">
        <v>1000</v>
      </c>
      <c r="AL105" s="186">
        <f t="shared" ref="AL105:AL109" si="97">SUM(Z105:AK105)</f>
        <v>11191.93</v>
      </c>
      <c r="AM105" s="221"/>
      <c r="AN105" s="187">
        <v>1000</v>
      </c>
      <c r="AO105" s="187">
        <v>1000</v>
      </c>
      <c r="AP105" s="187">
        <v>1000</v>
      </c>
      <c r="AQ105" s="187">
        <v>1000</v>
      </c>
      <c r="AR105" s="187">
        <v>1000</v>
      </c>
      <c r="AS105" s="187">
        <v>1000</v>
      </c>
      <c r="AT105" s="187">
        <v>1000</v>
      </c>
      <c r="AU105" s="187">
        <v>1000</v>
      </c>
      <c r="AV105" s="187">
        <v>1000</v>
      </c>
      <c r="AW105" s="187">
        <v>1000</v>
      </c>
      <c r="AX105" s="187">
        <v>1000</v>
      </c>
      <c r="AY105" s="187">
        <v>1000</v>
      </c>
      <c r="AZ105" s="186">
        <f t="shared" ref="AZ105:AZ109" si="98">SUM(AN105:AY105)</f>
        <v>12000</v>
      </c>
      <c r="BA105" s="221"/>
      <c r="BB105" s="187">
        <v>1000</v>
      </c>
      <c r="BC105" s="187">
        <v>1000</v>
      </c>
      <c r="BD105" s="187">
        <v>1000</v>
      </c>
      <c r="BE105" s="187">
        <v>1000</v>
      </c>
      <c r="BF105" s="187">
        <v>1000</v>
      </c>
      <c r="BG105" s="187">
        <v>1000</v>
      </c>
      <c r="BH105" s="187">
        <v>1000</v>
      </c>
      <c r="BI105" s="187">
        <v>1000</v>
      </c>
      <c r="BJ105" s="187">
        <v>1000</v>
      </c>
      <c r="BK105" s="187">
        <v>1000</v>
      </c>
      <c r="BL105" s="187">
        <v>1000</v>
      </c>
      <c r="BM105" s="187">
        <v>1000</v>
      </c>
      <c r="BN105" s="186">
        <f t="shared" ref="BN105:BN109" si="99">SUM(BB105:BM105)</f>
        <v>12000</v>
      </c>
      <c r="BP105"/>
      <c r="BQ105"/>
      <c r="BR105"/>
      <c r="BS105"/>
      <c r="BT105"/>
      <c r="BU105"/>
      <c r="BV105"/>
      <c r="BW105"/>
      <c r="BX105"/>
      <c r="BY105"/>
      <c r="BZ105"/>
      <c r="CA105"/>
      <c r="CB105"/>
    </row>
    <row r="106" spans="1:80" ht="11.95" outlineLevel="2" thickBot="1" x14ac:dyDescent="0.3">
      <c r="A106" t="str">
        <f t="shared" si="95"/>
        <v>#showrow</v>
      </c>
      <c r="E106" s="3"/>
      <c r="F106" s="3"/>
      <c r="G106" s="255" t="s">
        <v>143</v>
      </c>
      <c r="H106" s="3"/>
      <c r="I106" s="18"/>
      <c r="J106" s="18"/>
      <c r="K106" s="18"/>
      <c r="L106" s="185"/>
      <c r="M106" s="185"/>
      <c r="N106" s="185"/>
      <c r="O106" s="185"/>
      <c r="P106" s="185"/>
      <c r="Q106" s="185"/>
      <c r="R106" s="185"/>
      <c r="S106" s="185">
        <v>1000</v>
      </c>
      <c r="T106" s="185"/>
      <c r="U106" s="185"/>
      <c r="V106" s="185"/>
      <c r="W106" s="185"/>
      <c r="X106" s="186">
        <f t="shared" si="96"/>
        <v>1000</v>
      </c>
      <c r="Y106" s="219"/>
      <c r="Z106" s="185"/>
      <c r="AA106" s="185">
        <v>125</v>
      </c>
      <c r="AB106" s="185">
        <v>125</v>
      </c>
      <c r="AC106" s="185">
        <v>125</v>
      </c>
      <c r="AD106" s="185">
        <v>125</v>
      </c>
      <c r="AE106" s="185">
        <v>125</v>
      </c>
      <c r="AF106" s="185">
        <v>125</v>
      </c>
      <c r="AG106" s="185">
        <v>125</v>
      </c>
      <c r="AH106" s="185">
        <v>125</v>
      </c>
      <c r="AI106" s="185">
        <v>125</v>
      </c>
      <c r="AJ106" s="185">
        <v>125</v>
      </c>
      <c r="AK106" s="185">
        <v>125</v>
      </c>
      <c r="AL106" s="186">
        <f t="shared" si="97"/>
        <v>1375</v>
      </c>
      <c r="AM106" s="221"/>
      <c r="AN106" s="187">
        <v>125</v>
      </c>
      <c r="AO106" s="187">
        <v>125</v>
      </c>
      <c r="AP106" s="187">
        <v>125</v>
      </c>
      <c r="AQ106" s="187">
        <v>125</v>
      </c>
      <c r="AR106" s="187">
        <v>125</v>
      </c>
      <c r="AS106" s="187">
        <v>125</v>
      </c>
      <c r="AT106" s="187">
        <v>125</v>
      </c>
      <c r="AU106" s="187">
        <v>125</v>
      </c>
      <c r="AV106" s="187">
        <v>125</v>
      </c>
      <c r="AW106" s="187">
        <v>125</v>
      </c>
      <c r="AX106" s="187">
        <v>125</v>
      </c>
      <c r="AY106" s="187">
        <v>125</v>
      </c>
      <c r="AZ106" s="186">
        <f t="shared" si="98"/>
        <v>1500</v>
      </c>
      <c r="BA106" s="221"/>
      <c r="BB106" s="187">
        <v>125</v>
      </c>
      <c r="BC106" s="187">
        <v>125</v>
      </c>
      <c r="BD106" s="187">
        <v>125</v>
      </c>
      <c r="BE106" s="187">
        <v>125</v>
      </c>
      <c r="BF106" s="187">
        <v>125</v>
      </c>
      <c r="BG106" s="187">
        <v>125</v>
      </c>
      <c r="BH106" s="187">
        <v>125</v>
      </c>
      <c r="BI106" s="187">
        <v>125</v>
      </c>
      <c r="BJ106" s="187">
        <v>125</v>
      </c>
      <c r="BK106" s="187">
        <v>125</v>
      </c>
      <c r="BL106" s="187">
        <v>125</v>
      </c>
      <c r="BM106" s="187">
        <v>125</v>
      </c>
      <c r="BN106" s="186">
        <f t="shared" si="99"/>
        <v>1500</v>
      </c>
      <c r="BP106"/>
      <c r="BQ106"/>
      <c r="BR106"/>
      <c r="BS106"/>
      <c r="BT106"/>
      <c r="BU106"/>
      <c r="BV106"/>
      <c r="BW106"/>
      <c r="BX106"/>
      <c r="BY106"/>
      <c r="BZ106"/>
      <c r="CA106"/>
      <c r="CB106"/>
    </row>
    <row r="107" spans="1:80" ht="11.95" outlineLevel="2" thickBot="1" x14ac:dyDescent="0.3">
      <c r="A107" t="str">
        <f t="shared" si="95"/>
        <v>#showrow</v>
      </c>
      <c r="E107" s="3"/>
      <c r="F107" s="3"/>
      <c r="G107" s="255" t="s">
        <v>144</v>
      </c>
      <c r="H107" s="3"/>
      <c r="I107" s="18"/>
      <c r="J107" s="18"/>
      <c r="K107" s="18"/>
      <c r="L107" s="185"/>
      <c r="M107" s="185">
        <v>11682.7</v>
      </c>
      <c r="N107" s="185">
        <v>6499.97</v>
      </c>
      <c r="O107" s="185">
        <v>6132.6</v>
      </c>
      <c r="P107" s="185">
        <v>3223.9</v>
      </c>
      <c r="Q107" s="185">
        <v>1297.96</v>
      </c>
      <c r="R107" s="185">
        <v>6999.44</v>
      </c>
      <c r="S107" s="185">
        <v>7577.99</v>
      </c>
      <c r="T107" s="185">
        <v>8997.58</v>
      </c>
      <c r="U107" s="185">
        <v>6559.61</v>
      </c>
      <c r="V107" s="185">
        <v>5886.15</v>
      </c>
      <c r="W107" s="185">
        <v>6297.05</v>
      </c>
      <c r="X107" s="186">
        <f t="shared" si="96"/>
        <v>71154.950000000012</v>
      </c>
      <c r="Y107" s="219"/>
      <c r="Z107" s="185"/>
      <c r="AA107" s="185">
        <v>6000</v>
      </c>
      <c r="AB107" s="185">
        <v>6000</v>
      </c>
      <c r="AC107" s="185">
        <v>6000</v>
      </c>
      <c r="AD107" s="185">
        <v>6000</v>
      </c>
      <c r="AE107" s="185">
        <v>6000</v>
      </c>
      <c r="AF107" s="185">
        <v>6000</v>
      </c>
      <c r="AG107" s="185">
        <v>6000</v>
      </c>
      <c r="AH107" s="185">
        <v>6000</v>
      </c>
      <c r="AI107" s="185">
        <v>6000</v>
      </c>
      <c r="AJ107" s="185">
        <v>6000</v>
      </c>
      <c r="AK107" s="185">
        <v>6000</v>
      </c>
      <c r="AL107" s="186">
        <f t="shared" si="97"/>
        <v>66000</v>
      </c>
      <c r="AM107" s="221"/>
      <c r="AN107" s="187">
        <v>6000</v>
      </c>
      <c r="AO107" s="187">
        <v>6000</v>
      </c>
      <c r="AP107" s="187">
        <v>6000</v>
      </c>
      <c r="AQ107" s="187">
        <v>6000</v>
      </c>
      <c r="AR107" s="187">
        <v>6000</v>
      </c>
      <c r="AS107" s="187">
        <v>6000</v>
      </c>
      <c r="AT107" s="187">
        <v>6000</v>
      </c>
      <c r="AU107" s="187">
        <v>6000</v>
      </c>
      <c r="AV107" s="187">
        <v>6000</v>
      </c>
      <c r="AW107" s="187">
        <v>6000</v>
      </c>
      <c r="AX107" s="187">
        <v>6000</v>
      </c>
      <c r="AY107" s="187">
        <v>6000</v>
      </c>
      <c r="AZ107" s="186">
        <f t="shared" si="98"/>
        <v>72000</v>
      </c>
      <c r="BA107" s="221"/>
      <c r="BB107" s="187">
        <v>6000</v>
      </c>
      <c r="BC107" s="187">
        <v>6000</v>
      </c>
      <c r="BD107" s="187">
        <v>6000</v>
      </c>
      <c r="BE107" s="187">
        <v>6000</v>
      </c>
      <c r="BF107" s="187">
        <v>6000</v>
      </c>
      <c r="BG107" s="187">
        <v>6000</v>
      </c>
      <c r="BH107" s="187">
        <v>6000</v>
      </c>
      <c r="BI107" s="187">
        <v>6000</v>
      </c>
      <c r="BJ107" s="187">
        <v>6000</v>
      </c>
      <c r="BK107" s="187">
        <v>6000</v>
      </c>
      <c r="BL107" s="187">
        <v>6000</v>
      </c>
      <c r="BM107" s="187">
        <v>6000</v>
      </c>
      <c r="BN107" s="186">
        <f t="shared" si="99"/>
        <v>72000</v>
      </c>
      <c r="BP107"/>
      <c r="BQ107"/>
      <c r="BR107"/>
      <c r="BS107"/>
      <c r="BT107"/>
      <c r="BU107"/>
      <c r="BV107"/>
      <c r="BW107"/>
      <c r="BX107"/>
      <c r="BY107"/>
      <c r="BZ107"/>
      <c r="CA107"/>
      <c r="CB107"/>
    </row>
    <row r="108" spans="1:80" ht="11.95" outlineLevel="2" thickBot="1" x14ac:dyDescent="0.3">
      <c r="A108" t="str">
        <f t="shared" si="95"/>
        <v>#showrow</v>
      </c>
      <c r="E108" s="3"/>
      <c r="F108" s="3"/>
      <c r="G108" s="255" t="s">
        <v>145</v>
      </c>
      <c r="H108" s="3"/>
      <c r="I108" s="18"/>
      <c r="J108" s="18"/>
      <c r="K108" s="18"/>
      <c r="L108" s="185">
        <v>16270.66</v>
      </c>
      <c r="M108" s="185">
        <v>22645.67</v>
      </c>
      <c r="N108" s="185">
        <v>22645.67</v>
      </c>
      <c r="O108" s="185">
        <v>22645.67</v>
      </c>
      <c r="P108" s="185">
        <v>22645.66</v>
      </c>
      <c r="Q108" s="185">
        <v>16145.66</v>
      </c>
      <c r="R108" s="185">
        <v>16145.66</v>
      </c>
      <c r="S108" s="185">
        <v>16145.67</v>
      </c>
      <c r="T108" s="185">
        <v>16145.66</v>
      </c>
      <c r="U108" s="185">
        <v>16145.67</v>
      </c>
      <c r="V108" s="185">
        <v>16145.67</v>
      </c>
      <c r="W108" s="185">
        <v>16145.66</v>
      </c>
      <c r="X108" s="186">
        <f t="shared" si="96"/>
        <v>219872.98000000004</v>
      </c>
      <c r="Y108" s="219"/>
      <c r="Z108" s="185">
        <v>16145.67</v>
      </c>
      <c r="AA108" s="185">
        <v>16146</v>
      </c>
      <c r="AB108" s="185">
        <v>16146</v>
      </c>
      <c r="AC108" s="185">
        <v>16146</v>
      </c>
      <c r="AD108" s="185">
        <v>16146</v>
      </c>
      <c r="AE108" s="185">
        <v>16146</v>
      </c>
      <c r="AF108" s="185">
        <v>16146</v>
      </c>
      <c r="AG108" s="185">
        <v>16146</v>
      </c>
      <c r="AH108" s="185">
        <v>16146</v>
      </c>
      <c r="AI108" s="185">
        <v>16146</v>
      </c>
      <c r="AJ108" s="185">
        <v>16146</v>
      </c>
      <c r="AK108" s="185">
        <v>16146</v>
      </c>
      <c r="AL108" s="186">
        <f t="shared" si="97"/>
        <v>193751.66999999998</v>
      </c>
      <c r="AM108" s="221"/>
      <c r="AN108" s="187">
        <v>16146</v>
      </c>
      <c r="AO108" s="187">
        <v>16146</v>
      </c>
      <c r="AP108" s="187">
        <v>16146</v>
      </c>
      <c r="AQ108" s="187">
        <v>16146</v>
      </c>
      <c r="AR108" s="187">
        <v>16146</v>
      </c>
      <c r="AS108" s="187">
        <v>16146</v>
      </c>
      <c r="AT108" s="187">
        <v>16146</v>
      </c>
      <c r="AU108" s="187">
        <v>16146</v>
      </c>
      <c r="AV108" s="187">
        <v>16146</v>
      </c>
      <c r="AW108" s="187">
        <v>16146</v>
      </c>
      <c r="AX108" s="187">
        <v>16146</v>
      </c>
      <c r="AY108" s="187">
        <v>16146</v>
      </c>
      <c r="AZ108" s="186">
        <f t="shared" si="98"/>
        <v>193752</v>
      </c>
      <c r="BA108" s="221"/>
      <c r="BB108" s="187">
        <v>16146</v>
      </c>
      <c r="BC108" s="187">
        <v>16146</v>
      </c>
      <c r="BD108" s="187">
        <v>16146</v>
      </c>
      <c r="BE108" s="187">
        <v>16146</v>
      </c>
      <c r="BF108" s="187">
        <v>16146</v>
      </c>
      <c r="BG108" s="187">
        <v>16146</v>
      </c>
      <c r="BH108" s="187">
        <v>16146</v>
      </c>
      <c r="BI108" s="187">
        <v>16146</v>
      </c>
      <c r="BJ108" s="187">
        <v>16146</v>
      </c>
      <c r="BK108" s="187">
        <v>16146</v>
      </c>
      <c r="BL108" s="187">
        <v>16146</v>
      </c>
      <c r="BM108" s="187">
        <v>16146</v>
      </c>
      <c r="BN108" s="186">
        <f t="shared" si="99"/>
        <v>193752</v>
      </c>
      <c r="BP108"/>
      <c r="BQ108"/>
      <c r="BR108"/>
      <c r="BS108"/>
      <c r="BT108"/>
      <c r="BU108"/>
      <c r="BV108"/>
      <c r="BW108"/>
      <c r="BX108"/>
      <c r="BY108"/>
      <c r="BZ108"/>
      <c r="CA108"/>
      <c r="CB108"/>
    </row>
    <row r="109" spans="1:80" ht="11.95" outlineLevel="2" thickBot="1" x14ac:dyDescent="0.3">
      <c r="A109" t="str">
        <f t="shared" si="95"/>
        <v>#showrow</v>
      </c>
      <c r="E109" s="3"/>
      <c r="F109" s="3"/>
      <c r="G109" s="255" t="s">
        <v>146</v>
      </c>
      <c r="H109" s="3"/>
      <c r="I109" s="18"/>
      <c r="J109" s="18"/>
      <c r="K109" s="18"/>
      <c r="L109" s="185">
        <v>386.77</v>
      </c>
      <c r="M109" s="185">
        <v>1506.33</v>
      </c>
      <c r="N109" s="185">
        <v>569.87</v>
      </c>
      <c r="O109" s="185">
        <v>794.65</v>
      </c>
      <c r="P109" s="185">
        <v>961.03</v>
      </c>
      <c r="Q109" s="185">
        <v>1015.27</v>
      </c>
      <c r="R109" s="185">
        <v>682.26</v>
      </c>
      <c r="S109" s="185">
        <v>5326.23</v>
      </c>
      <c r="T109" s="185">
        <v>8535.52</v>
      </c>
      <c r="U109" s="185">
        <v>1865.91</v>
      </c>
      <c r="V109" s="185">
        <v>989.59</v>
      </c>
      <c r="W109" s="185">
        <v>7544.24</v>
      </c>
      <c r="X109" s="186">
        <f t="shared" si="96"/>
        <v>30177.67</v>
      </c>
      <c r="Y109" s="219"/>
      <c r="Z109" s="185">
        <v>-2900</v>
      </c>
      <c r="AA109" s="185">
        <v>2500</v>
      </c>
      <c r="AB109" s="185">
        <v>2500</v>
      </c>
      <c r="AC109" s="185">
        <v>2500</v>
      </c>
      <c r="AD109" s="185">
        <v>2500</v>
      </c>
      <c r="AE109" s="185">
        <v>2500</v>
      </c>
      <c r="AF109" s="185">
        <v>2500</v>
      </c>
      <c r="AG109" s="185">
        <v>2500</v>
      </c>
      <c r="AH109" s="185">
        <v>2500</v>
      </c>
      <c r="AI109" s="185">
        <v>2500</v>
      </c>
      <c r="AJ109" s="185">
        <v>2500</v>
      </c>
      <c r="AK109" s="185">
        <v>2500</v>
      </c>
      <c r="AL109" s="186">
        <f t="shared" si="97"/>
        <v>24600</v>
      </c>
      <c r="AM109" s="221"/>
      <c r="AN109" s="187">
        <v>2500</v>
      </c>
      <c r="AO109" s="187">
        <v>2500</v>
      </c>
      <c r="AP109" s="187">
        <v>2500</v>
      </c>
      <c r="AQ109" s="187">
        <v>2500</v>
      </c>
      <c r="AR109" s="187">
        <v>2500</v>
      </c>
      <c r="AS109" s="187">
        <v>2500</v>
      </c>
      <c r="AT109" s="187">
        <v>2500</v>
      </c>
      <c r="AU109" s="187">
        <v>2500</v>
      </c>
      <c r="AV109" s="187">
        <v>2500</v>
      </c>
      <c r="AW109" s="187">
        <v>2500</v>
      </c>
      <c r="AX109" s="187">
        <v>2500</v>
      </c>
      <c r="AY109" s="187">
        <v>2500</v>
      </c>
      <c r="AZ109" s="186">
        <f t="shared" si="98"/>
        <v>30000</v>
      </c>
      <c r="BA109" s="221"/>
      <c r="BB109" s="187">
        <v>2500</v>
      </c>
      <c r="BC109" s="187">
        <v>2500</v>
      </c>
      <c r="BD109" s="187">
        <v>2500</v>
      </c>
      <c r="BE109" s="187">
        <v>2500</v>
      </c>
      <c r="BF109" s="187">
        <v>2500</v>
      </c>
      <c r="BG109" s="187">
        <v>2500</v>
      </c>
      <c r="BH109" s="187">
        <v>2500</v>
      </c>
      <c r="BI109" s="187">
        <v>2500</v>
      </c>
      <c r="BJ109" s="187">
        <v>2500</v>
      </c>
      <c r="BK109" s="187">
        <v>2500</v>
      </c>
      <c r="BL109" s="187">
        <v>2500</v>
      </c>
      <c r="BM109" s="187">
        <v>2500</v>
      </c>
      <c r="BN109" s="186">
        <f t="shared" si="99"/>
        <v>30000</v>
      </c>
      <c r="BP109"/>
      <c r="BQ109"/>
      <c r="BR109"/>
      <c r="BS109"/>
      <c r="BT109"/>
      <c r="BU109"/>
      <c r="BV109"/>
      <c r="BW109"/>
      <c r="BX109"/>
      <c r="BY109"/>
      <c r="BZ109"/>
      <c r="CA109"/>
      <c r="CB109"/>
    </row>
    <row r="110" spans="1:80" ht="11.95" outlineLevel="1" thickBot="1" x14ac:dyDescent="0.3">
      <c r="E110" s="3"/>
      <c r="F110" s="3"/>
      <c r="G110" s="256" t="s">
        <v>111</v>
      </c>
      <c r="H110" s="3"/>
      <c r="I110" s="18"/>
      <c r="J110" s="18"/>
      <c r="K110" s="18"/>
      <c r="L110" s="185">
        <v>33330</v>
      </c>
      <c r="M110" s="185">
        <v>33331</v>
      </c>
      <c r="N110" s="185">
        <v>34988.379999999997</v>
      </c>
      <c r="O110" s="185">
        <v>33353.56</v>
      </c>
      <c r="P110" s="185">
        <v>48732.25</v>
      </c>
      <c r="Q110" s="185">
        <v>60</v>
      </c>
      <c r="R110" s="185">
        <v>190.56</v>
      </c>
      <c r="S110" s="185">
        <v>-1979.57</v>
      </c>
      <c r="T110" s="185">
        <v>1179.7</v>
      </c>
      <c r="U110" s="185">
        <v>823.17</v>
      </c>
      <c r="V110" s="185">
        <v>6877.81</v>
      </c>
      <c r="W110" s="185">
        <v>13230.94</v>
      </c>
      <c r="X110" s="186">
        <f t="shared" si="56"/>
        <v>204117.80000000002</v>
      </c>
      <c r="Y110" s="219"/>
      <c r="Z110" s="185">
        <v>474.94</v>
      </c>
      <c r="AA110" s="185">
        <v>500</v>
      </c>
      <c r="AB110" s="185">
        <v>500</v>
      </c>
      <c r="AC110" s="185">
        <v>500</v>
      </c>
      <c r="AD110" s="185">
        <v>500</v>
      </c>
      <c r="AE110" s="185">
        <v>500</v>
      </c>
      <c r="AF110" s="185">
        <v>500</v>
      </c>
      <c r="AG110" s="185">
        <v>500</v>
      </c>
      <c r="AH110" s="185">
        <v>500</v>
      </c>
      <c r="AI110" s="185">
        <v>500</v>
      </c>
      <c r="AJ110" s="185">
        <v>500</v>
      </c>
      <c r="AK110" s="185">
        <v>500</v>
      </c>
      <c r="AL110" s="186">
        <f t="shared" si="57"/>
        <v>5974.9400000000005</v>
      </c>
      <c r="AM110" s="221"/>
      <c r="AN110" s="187">
        <v>500</v>
      </c>
      <c r="AO110" s="187">
        <v>500</v>
      </c>
      <c r="AP110" s="187">
        <v>500</v>
      </c>
      <c r="AQ110" s="187">
        <v>500</v>
      </c>
      <c r="AR110" s="187">
        <v>500</v>
      </c>
      <c r="AS110" s="187">
        <v>500</v>
      </c>
      <c r="AT110" s="187">
        <v>500</v>
      </c>
      <c r="AU110" s="187">
        <v>500</v>
      </c>
      <c r="AV110" s="187">
        <v>500</v>
      </c>
      <c r="AW110" s="187">
        <v>500</v>
      </c>
      <c r="AX110" s="187">
        <v>500</v>
      </c>
      <c r="AY110" s="187">
        <v>500</v>
      </c>
      <c r="AZ110" s="186">
        <f t="shared" si="58"/>
        <v>6000</v>
      </c>
      <c r="BA110" s="221"/>
      <c r="BB110" s="187">
        <v>500</v>
      </c>
      <c r="BC110" s="187">
        <v>500</v>
      </c>
      <c r="BD110" s="187">
        <v>500</v>
      </c>
      <c r="BE110" s="187">
        <v>500</v>
      </c>
      <c r="BF110" s="187">
        <v>500</v>
      </c>
      <c r="BG110" s="187">
        <v>500</v>
      </c>
      <c r="BH110" s="187">
        <v>500</v>
      </c>
      <c r="BI110" s="187">
        <v>500</v>
      </c>
      <c r="BJ110" s="187">
        <v>500</v>
      </c>
      <c r="BK110" s="187">
        <v>500</v>
      </c>
      <c r="BL110" s="187">
        <v>500</v>
      </c>
      <c r="BM110" s="187">
        <v>500</v>
      </c>
      <c r="BN110" s="186">
        <f t="shared" si="59"/>
        <v>6000</v>
      </c>
      <c r="BP110"/>
      <c r="BQ110"/>
      <c r="BR110"/>
      <c r="BS110"/>
      <c r="BT110"/>
      <c r="BU110"/>
      <c r="BV110"/>
      <c r="BW110"/>
      <c r="BX110"/>
      <c r="BY110"/>
      <c r="BZ110"/>
      <c r="CA110"/>
      <c r="CB110"/>
    </row>
    <row r="111" spans="1:80" ht="11.95" hidden="1" outlineLevel="2" thickBot="1" x14ac:dyDescent="0.3">
      <c r="A111" t="str">
        <f t="shared" ref="A111" si="100">IF(LEFT(G111,3)="Mul", "#hiderow", "#showrow")</f>
        <v>#hiderow</v>
      </c>
      <c r="E111" s="3"/>
      <c r="F111" s="3"/>
      <c r="G111" s="255" t="s">
        <v>6</v>
      </c>
      <c r="H111" s="3"/>
      <c r="I111" s="18"/>
      <c r="J111" s="18"/>
      <c r="K111" s="18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6">
        <f t="shared" si="56"/>
        <v>0</v>
      </c>
      <c r="Y111" s="219"/>
      <c r="Z111" s="185"/>
      <c r="AA111" s="185"/>
      <c r="AB111" s="185"/>
      <c r="AC111" s="185"/>
      <c r="AD111" s="185"/>
      <c r="AE111" s="185"/>
      <c r="AF111" s="185"/>
      <c r="AG111" s="185"/>
      <c r="AH111" s="185"/>
      <c r="AI111" s="185"/>
      <c r="AJ111" s="185"/>
      <c r="AK111" s="185"/>
      <c r="AL111" s="186">
        <f t="shared" si="57"/>
        <v>0</v>
      </c>
      <c r="AM111" s="221"/>
      <c r="AN111" s="187"/>
      <c r="AO111" s="187"/>
      <c r="AP111" s="187"/>
      <c r="AQ111" s="187"/>
      <c r="AR111" s="187"/>
      <c r="AS111" s="187"/>
      <c r="AT111" s="187"/>
      <c r="AU111" s="187"/>
      <c r="AV111" s="187"/>
      <c r="AW111" s="187"/>
      <c r="AX111" s="187"/>
      <c r="AY111" s="187"/>
      <c r="AZ111" s="186">
        <f t="shared" si="58"/>
        <v>0</v>
      </c>
      <c r="BA111" s="221"/>
      <c r="BB111" s="187"/>
      <c r="BC111" s="187"/>
      <c r="BD111" s="187"/>
      <c r="BE111" s="187"/>
      <c r="BF111" s="187"/>
      <c r="BG111" s="187"/>
      <c r="BH111" s="187"/>
      <c r="BI111" s="187"/>
      <c r="BJ111" s="187"/>
      <c r="BK111" s="187"/>
      <c r="BL111" s="187"/>
      <c r="BM111" s="187"/>
      <c r="BN111" s="186">
        <f t="shared" si="59"/>
        <v>0</v>
      </c>
      <c r="BP111"/>
      <c r="BQ111"/>
      <c r="BR111"/>
      <c r="BS111"/>
      <c r="BT111"/>
      <c r="BU111"/>
      <c r="BV111"/>
      <c r="BW111"/>
      <c r="BX111"/>
      <c r="BY111"/>
      <c r="BZ111"/>
      <c r="CA111"/>
      <c r="CB111"/>
    </row>
    <row r="112" spans="1:80" ht="11.95" outlineLevel="2" thickBot="1" x14ac:dyDescent="0.3">
      <c r="A112" t="str">
        <f t="shared" ref="A112:A114" si="101">IF(LEFT(G112,3)="Mul", "#hiderow", "#showrow")</f>
        <v>#showrow</v>
      </c>
      <c r="E112" s="3"/>
      <c r="F112" s="3"/>
      <c r="G112" s="255" t="s">
        <v>160</v>
      </c>
      <c r="H112" s="3"/>
      <c r="I112" s="18"/>
      <c r="J112" s="18"/>
      <c r="K112" s="18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>
        <v>500</v>
      </c>
      <c r="V112" s="185"/>
      <c r="W112" s="185"/>
      <c r="X112" s="186">
        <f t="shared" ref="X112:X114" si="102">SUM(L112:W112)</f>
        <v>500</v>
      </c>
      <c r="Y112" s="219"/>
      <c r="Z112" s="185"/>
      <c r="AA112" s="185"/>
      <c r="AB112" s="185"/>
      <c r="AC112" s="185"/>
      <c r="AD112" s="185"/>
      <c r="AE112" s="185"/>
      <c r="AF112" s="185"/>
      <c r="AG112" s="185"/>
      <c r="AH112" s="185"/>
      <c r="AI112" s="185"/>
      <c r="AJ112" s="185"/>
      <c r="AK112" s="185"/>
      <c r="AL112" s="186">
        <f t="shared" ref="AL112:AL114" si="103">SUM(Z112:AK112)</f>
        <v>0</v>
      </c>
      <c r="AM112" s="221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6">
        <f t="shared" ref="AZ112:AZ114" si="104">SUM(AN112:AY112)</f>
        <v>0</v>
      </c>
      <c r="BA112" s="221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6">
        <f t="shared" ref="BN112:BN114" si="105">SUM(BB112:BM112)</f>
        <v>0</v>
      </c>
      <c r="BP112"/>
      <c r="BQ112"/>
      <c r="BR112"/>
      <c r="BS112"/>
      <c r="BT112"/>
      <c r="BU112"/>
      <c r="BV112"/>
      <c r="BW112"/>
      <c r="BX112"/>
      <c r="BY112"/>
      <c r="BZ112"/>
      <c r="CA112"/>
      <c r="CB112"/>
    </row>
    <row r="113" spans="1:80" ht="11.95" outlineLevel="2" thickBot="1" x14ac:dyDescent="0.3">
      <c r="A113" t="str">
        <f t="shared" si="101"/>
        <v>#showrow</v>
      </c>
      <c r="E113" s="3"/>
      <c r="F113" s="3"/>
      <c r="G113" s="255" t="s">
        <v>161</v>
      </c>
      <c r="H113" s="3"/>
      <c r="I113" s="18"/>
      <c r="J113" s="18"/>
      <c r="K113" s="18"/>
      <c r="L113" s="185">
        <v>33330</v>
      </c>
      <c r="M113" s="185">
        <v>33330</v>
      </c>
      <c r="N113" s="185">
        <v>33330</v>
      </c>
      <c r="O113" s="185">
        <v>33330</v>
      </c>
      <c r="P113" s="185">
        <v>45830</v>
      </c>
      <c r="Q113" s="185"/>
      <c r="R113" s="185"/>
      <c r="S113" s="185"/>
      <c r="T113" s="185"/>
      <c r="U113" s="185"/>
      <c r="V113" s="185"/>
      <c r="W113" s="185"/>
      <c r="X113" s="186">
        <f t="shared" si="102"/>
        <v>179150</v>
      </c>
      <c r="Y113" s="219"/>
      <c r="Z113" s="185"/>
      <c r="AA113" s="185"/>
      <c r="AB113" s="185"/>
      <c r="AC113" s="185"/>
      <c r="AD113" s="185"/>
      <c r="AE113" s="185"/>
      <c r="AF113" s="185"/>
      <c r="AG113" s="185"/>
      <c r="AH113" s="185"/>
      <c r="AI113" s="185"/>
      <c r="AJ113" s="185"/>
      <c r="AK113" s="185"/>
      <c r="AL113" s="186">
        <f t="shared" si="103"/>
        <v>0</v>
      </c>
      <c r="AM113" s="221"/>
      <c r="AN113" s="187"/>
      <c r="AO113" s="187"/>
      <c r="AP113" s="187"/>
      <c r="AQ113" s="187"/>
      <c r="AR113" s="187"/>
      <c r="AS113" s="187"/>
      <c r="AT113" s="187"/>
      <c r="AU113" s="187"/>
      <c r="AV113" s="187"/>
      <c r="AW113" s="187"/>
      <c r="AX113" s="187"/>
      <c r="AY113" s="187"/>
      <c r="AZ113" s="186">
        <f t="shared" si="104"/>
        <v>0</v>
      </c>
      <c r="BA113" s="221"/>
      <c r="BB113" s="187"/>
      <c r="BC113" s="187"/>
      <c r="BD113" s="187"/>
      <c r="BE113" s="187"/>
      <c r="BF113" s="187"/>
      <c r="BG113" s="187"/>
      <c r="BH113" s="187"/>
      <c r="BI113" s="187"/>
      <c r="BJ113" s="187"/>
      <c r="BK113" s="187"/>
      <c r="BL113" s="187"/>
      <c r="BM113" s="187"/>
      <c r="BN113" s="186">
        <f t="shared" si="105"/>
        <v>0</v>
      </c>
      <c r="BP113"/>
      <c r="BQ113"/>
      <c r="BR113"/>
      <c r="BS113"/>
      <c r="BT113"/>
      <c r="BU113"/>
      <c r="BV113"/>
      <c r="BW113"/>
      <c r="BX113"/>
      <c r="BY113"/>
      <c r="BZ113"/>
      <c r="CA113"/>
      <c r="CB113"/>
    </row>
    <row r="114" spans="1:80" ht="11.95" outlineLevel="2" thickBot="1" x14ac:dyDescent="0.3">
      <c r="A114" t="str">
        <f t="shared" si="101"/>
        <v>#showrow</v>
      </c>
      <c r="E114" s="3"/>
      <c r="F114" s="3"/>
      <c r="G114" s="255" t="s">
        <v>162</v>
      </c>
      <c r="H114" s="3"/>
      <c r="I114" s="18"/>
      <c r="J114" s="18"/>
      <c r="K114" s="18"/>
      <c r="L114" s="185"/>
      <c r="M114" s="185">
        <v>1</v>
      </c>
      <c r="N114" s="185">
        <v>1658.38</v>
      </c>
      <c r="O114" s="185">
        <v>23.56</v>
      </c>
      <c r="P114" s="185">
        <v>2902.25</v>
      </c>
      <c r="Q114" s="185">
        <v>60</v>
      </c>
      <c r="R114" s="185">
        <v>190.56</v>
      </c>
      <c r="S114" s="185">
        <v>-1979.57</v>
      </c>
      <c r="T114" s="185">
        <v>1179.7</v>
      </c>
      <c r="U114" s="185">
        <v>323.17</v>
      </c>
      <c r="V114" s="185">
        <v>6877.81</v>
      </c>
      <c r="W114" s="185">
        <v>13230.94</v>
      </c>
      <c r="X114" s="186">
        <f t="shared" si="102"/>
        <v>24467.800000000003</v>
      </c>
      <c r="Y114" s="219"/>
      <c r="Z114" s="185">
        <v>474.94</v>
      </c>
      <c r="AA114" s="185">
        <v>500</v>
      </c>
      <c r="AB114" s="185">
        <v>500</v>
      </c>
      <c r="AC114" s="185">
        <v>500</v>
      </c>
      <c r="AD114" s="185">
        <v>500</v>
      </c>
      <c r="AE114" s="185">
        <v>500</v>
      </c>
      <c r="AF114" s="185">
        <v>500</v>
      </c>
      <c r="AG114" s="185">
        <v>500</v>
      </c>
      <c r="AH114" s="185">
        <v>500</v>
      </c>
      <c r="AI114" s="185">
        <v>500</v>
      </c>
      <c r="AJ114" s="185">
        <v>500</v>
      </c>
      <c r="AK114" s="185">
        <v>500</v>
      </c>
      <c r="AL114" s="186">
        <f t="shared" si="103"/>
        <v>5974.9400000000005</v>
      </c>
      <c r="AM114" s="221"/>
      <c r="AN114" s="187">
        <v>500</v>
      </c>
      <c r="AO114" s="187">
        <v>500</v>
      </c>
      <c r="AP114" s="187">
        <v>500</v>
      </c>
      <c r="AQ114" s="187">
        <v>500</v>
      </c>
      <c r="AR114" s="187">
        <v>500</v>
      </c>
      <c r="AS114" s="187">
        <v>500</v>
      </c>
      <c r="AT114" s="187">
        <v>500</v>
      </c>
      <c r="AU114" s="187">
        <v>500</v>
      </c>
      <c r="AV114" s="187">
        <v>500</v>
      </c>
      <c r="AW114" s="187">
        <v>500</v>
      </c>
      <c r="AX114" s="187">
        <v>500</v>
      </c>
      <c r="AY114" s="187">
        <v>500</v>
      </c>
      <c r="AZ114" s="186">
        <f t="shared" si="104"/>
        <v>6000</v>
      </c>
      <c r="BA114" s="221"/>
      <c r="BB114" s="187">
        <v>500</v>
      </c>
      <c r="BC114" s="187">
        <v>500</v>
      </c>
      <c r="BD114" s="187">
        <v>500</v>
      </c>
      <c r="BE114" s="187">
        <v>500</v>
      </c>
      <c r="BF114" s="187">
        <v>500</v>
      </c>
      <c r="BG114" s="187">
        <v>500</v>
      </c>
      <c r="BH114" s="187">
        <v>500</v>
      </c>
      <c r="BI114" s="187">
        <v>500</v>
      </c>
      <c r="BJ114" s="187">
        <v>500</v>
      </c>
      <c r="BK114" s="187">
        <v>500</v>
      </c>
      <c r="BL114" s="187">
        <v>500</v>
      </c>
      <c r="BM114" s="187">
        <v>500</v>
      </c>
      <c r="BN114" s="186">
        <f t="shared" si="105"/>
        <v>6000</v>
      </c>
      <c r="BP114"/>
      <c r="BQ114"/>
      <c r="BR114"/>
      <c r="BS114"/>
      <c r="BT114"/>
      <c r="BU114"/>
      <c r="BV114"/>
      <c r="BW114"/>
      <c r="BX114"/>
      <c r="BY114"/>
      <c r="BZ114"/>
      <c r="CA114"/>
      <c r="CB114"/>
    </row>
    <row r="115" spans="1:80" ht="11.95" outlineLevel="1" thickBot="1" x14ac:dyDescent="0.3">
      <c r="E115" s="3"/>
      <c r="F115" s="3"/>
      <c r="G115" s="256" t="s">
        <v>112</v>
      </c>
      <c r="H115" s="3"/>
      <c r="I115" s="18"/>
      <c r="J115" s="18"/>
      <c r="K115" s="18"/>
      <c r="L115" s="185">
        <v>0</v>
      </c>
      <c r="M115" s="185">
        <v>0</v>
      </c>
      <c r="N115" s="185">
        <v>0</v>
      </c>
      <c r="O115" s="185">
        <v>0</v>
      </c>
      <c r="P115" s="185">
        <v>0</v>
      </c>
      <c r="Q115" s="185">
        <v>0</v>
      </c>
      <c r="R115" s="185">
        <v>0</v>
      </c>
      <c r="S115" s="185">
        <v>0</v>
      </c>
      <c r="T115" s="185">
        <v>0</v>
      </c>
      <c r="U115" s="185">
        <v>0</v>
      </c>
      <c r="V115" s="185">
        <v>6562.87</v>
      </c>
      <c r="W115" s="185">
        <v>-0.03</v>
      </c>
      <c r="X115" s="186">
        <f t="shared" si="56"/>
        <v>6562.84</v>
      </c>
      <c r="Y115" s="219"/>
      <c r="Z115" s="185">
        <v>0</v>
      </c>
      <c r="AA115" s="185">
        <v>0</v>
      </c>
      <c r="AB115" s="185">
        <v>0</v>
      </c>
      <c r="AC115" s="185">
        <v>0</v>
      </c>
      <c r="AD115" s="185">
        <v>0</v>
      </c>
      <c r="AE115" s="185">
        <v>0</v>
      </c>
      <c r="AF115" s="185">
        <v>0</v>
      </c>
      <c r="AG115" s="185">
        <v>0</v>
      </c>
      <c r="AH115" s="185">
        <v>0</v>
      </c>
      <c r="AI115" s="185">
        <v>0</v>
      </c>
      <c r="AJ115" s="185">
        <v>0</v>
      </c>
      <c r="AK115" s="185">
        <v>0</v>
      </c>
      <c r="AL115" s="186">
        <f t="shared" si="57"/>
        <v>0</v>
      </c>
      <c r="AM115" s="221"/>
      <c r="AN115" s="187">
        <v>0</v>
      </c>
      <c r="AO115" s="187">
        <v>0</v>
      </c>
      <c r="AP115" s="187">
        <v>0</v>
      </c>
      <c r="AQ115" s="187">
        <v>0</v>
      </c>
      <c r="AR115" s="187">
        <v>0</v>
      </c>
      <c r="AS115" s="187">
        <v>0</v>
      </c>
      <c r="AT115" s="187">
        <v>0</v>
      </c>
      <c r="AU115" s="187">
        <v>0</v>
      </c>
      <c r="AV115" s="187">
        <v>0</v>
      </c>
      <c r="AW115" s="187">
        <v>0</v>
      </c>
      <c r="AX115" s="187">
        <v>0</v>
      </c>
      <c r="AY115" s="187">
        <v>0</v>
      </c>
      <c r="AZ115" s="186">
        <f t="shared" si="58"/>
        <v>0</v>
      </c>
      <c r="BA115" s="221"/>
      <c r="BB115" s="187">
        <v>0</v>
      </c>
      <c r="BC115" s="187">
        <v>0</v>
      </c>
      <c r="BD115" s="187">
        <v>0</v>
      </c>
      <c r="BE115" s="187">
        <v>0</v>
      </c>
      <c r="BF115" s="187">
        <v>0</v>
      </c>
      <c r="BG115" s="187">
        <v>0</v>
      </c>
      <c r="BH115" s="187">
        <v>0</v>
      </c>
      <c r="BI115" s="187">
        <v>0</v>
      </c>
      <c r="BJ115" s="187">
        <v>0</v>
      </c>
      <c r="BK115" s="187">
        <v>0</v>
      </c>
      <c r="BL115" s="187">
        <v>0</v>
      </c>
      <c r="BM115" s="187">
        <v>0</v>
      </c>
      <c r="BN115" s="186">
        <f t="shared" si="59"/>
        <v>0</v>
      </c>
      <c r="BP115"/>
      <c r="BQ115"/>
      <c r="BR115"/>
      <c r="BS115"/>
      <c r="BT115"/>
      <c r="BU115"/>
      <c r="BV115"/>
      <c r="BW115"/>
      <c r="BX115"/>
      <c r="BY115"/>
      <c r="BZ115"/>
      <c r="CA115"/>
      <c r="CB115"/>
    </row>
    <row r="116" spans="1:80" ht="11.95" hidden="1" outlineLevel="2" thickBot="1" x14ac:dyDescent="0.3">
      <c r="A116" t="str">
        <f t="shared" ref="A116" si="106">IF(LEFT(G116,3)="Mul", "#hiderow", "#showrow")</f>
        <v>#hiderow</v>
      </c>
      <c r="E116" s="3"/>
      <c r="F116" s="3"/>
      <c r="G116" s="255" t="s">
        <v>6</v>
      </c>
      <c r="H116" s="3"/>
      <c r="I116" s="18"/>
      <c r="J116" s="18"/>
      <c r="K116" s="18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6">
        <f t="shared" si="56"/>
        <v>0</v>
      </c>
      <c r="Y116" s="219"/>
      <c r="Z116" s="185"/>
      <c r="AA116" s="185"/>
      <c r="AB116" s="185"/>
      <c r="AC116" s="185"/>
      <c r="AD116" s="185"/>
      <c r="AE116" s="185"/>
      <c r="AF116" s="185"/>
      <c r="AG116" s="185"/>
      <c r="AH116" s="185"/>
      <c r="AI116" s="185"/>
      <c r="AJ116" s="185"/>
      <c r="AK116" s="185"/>
      <c r="AL116" s="186">
        <f t="shared" si="57"/>
        <v>0</v>
      </c>
      <c r="AM116" s="221"/>
      <c r="AN116" s="187"/>
      <c r="AO116" s="187"/>
      <c r="AP116" s="187"/>
      <c r="AQ116" s="187"/>
      <c r="AR116" s="187"/>
      <c r="AS116" s="187"/>
      <c r="AT116" s="187"/>
      <c r="AU116" s="187"/>
      <c r="AV116" s="187"/>
      <c r="AW116" s="187"/>
      <c r="AX116" s="187"/>
      <c r="AY116" s="187"/>
      <c r="AZ116" s="186">
        <f t="shared" si="58"/>
        <v>0</v>
      </c>
      <c r="BA116" s="221"/>
      <c r="BB116" s="187"/>
      <c r="BC116" s="187"/>
      <c r="BD116" s="187"/>
      <c r="BE116" s="187"/>
      <c r="BF116" s="187"/>
      <c r="BG116" s="187"/>
      <c r="BH116" s="187"/>
      <c r="BI116" s="187"/>
      <c r="BJ116" s="187"/>
      <c r="BK116" s="187"/>
      <c r="BL116" s="187"/>
      <c r="BM116" s="187"/>
      <c r="BN116" s="186">
        <f t="shared" si="59"/>
        <v>0</v>
      </c>
      <c r="BP116"/>
      <c r="BQ116"/>
      <c r="BR116"/>
      <c r="BS116"/>
      <c r="BT116"/>
      <c r="BU116"/>
      <c r="BV116"/>
      <c r="BW116"/>
      <c r="BX116"/>
      <c r="BY116"/>
      <c r="BZ116"/>
      <c r="CA116"/>
      <c r="CB116"/>
    </row>
    <row r="117" spans="1:80" ht="11.95" outlineLevel="2" thickBot="1" x14ac:dyDescent="0.3">
      <c r="A117" t="str">
        <f t="shared" ref="A117" si="107">IF(LEFT(G117,3)="Mul", "#hiderow", "#showrow")</f>
        <v>#showrow</v>
      </c>
      <c r="E117" s="3"/>
      <c r="F117" s="3"/>
      <c r="G117" s="255" t="s">
        <v>141</v>
      </c>
      <c r="H117" s="3"/>
      <c r="I117" s="18"/>
      <c r="J117" s="18"/>
      <c r="K117" s="18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>
        <v>6562.87</v>
      </c>
      <c r="W117" s="185">
        <v>-0.03</v>
      </c>
      <c r="X117" s="186">
        <f t="shared" ref="X117" si="108">SUM(L117:W117)</f>
        <v>6562.84</v>
      </c>
      <c r="Y117" s="219"/>
      <c r="Z117" s="185"/>
      <c r="AA117" s="185"/>
      <c r="AB117" s="185"/>
      <c r="AC117" s="185"/>
      <c r="AD117" s="185"/>
      <c r="AE117" s="185"/>
      <c r="AF117" s="185"/>
      <c r="AG117" s="185"/>
      <c r="AH117" s="185"/>
      <c r="AI117" s="185"/>
      <c r="AJ117" s="185"/>
      <c r="AK117" s="185"/>
      <c r="AL117" s="186">
        <f t="shared" ref="AL117" si="109">SUM(Z117:AK117)</f>
        <v>0</v>
      </c>
      <c r="AM117" s="221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6">
        <f t="shared" ref="AZ117" si="110">SUM(AN117:AY117)</f>
        <v>0</v>
      </c>
      <c r="BA117" s="221"/>
      <c r="BB117" s="187"/>
      <c r="BC117" s="187"/>
      <c r="BD117" s="187"/>
      <c r="BE117" s="187"/>
      <c r="BF117" s="187"/>
      <c r="BG117" s="187"/>
      <c r="BH117" s="187"/>
      <c r="BI117" s="187"/>
      <c r="BJ117" s="187"/>
      <c r="BK117" s="187"/>
      <c r="BL117" s="187"/>
      <c r="BM117" s="187"/>
      <c r="BN117" s="186">
        <f t="shared" ref="BN117" si="111">SUM(BB117:BM117)</f>
        <v>0</v>
      </c>
      <c r="BP117"/>
      <c r="BQ117"/>
      <c r="BR117"/>
      <c r="BS117"/>
      <c r="BT117"/>
      <c r="BU117"/>
      <c r="BV117"/>
      <c r="BW117"/>
      <c r="BX117"/>
      <c r="BY117"/>
      <c r="BZ117"/>
      <c r="CA117"/>
      <c r="CB117"/>
    </row>
    <row r="118" spans="1:80" ht="11.95" outlineLevel="1" thickBot="1" x14ac:dyDescent="0.3">
      <c r="E118" s="3"/>
      <c r="F118" s="3"/>
      <c r="G118" s="256" t="s">
        <v>113</v>
      </c>
      <c r="H118" s="3"/>
      <c r="I118" s="18"/>
      <c r="J118" s="18"/>
      <c r="K118" s="18"/>
      <c r="L118" s="185">
        <v>0</v>
      </c>
      <c r="M118" s="185">
        <v>772.8</v>
      </c>
      <c r="N118" s="185">
        <v>0</v>
      </c>
      <c r="O118" s="185">
        <v>0</v>
      </c>
      <c r="P118" s="185">
        <v>0</v>
      </c>
      <c r="Q118" s="185">
        <v>0</v>
      </c>
      <c r="R118" s="185">
        <v>0</v>
      </c>
      <c r="S118" s="185">
        <v>0</v>
      </c>
      <c r="T118" s="185">
        <v>1475</v>
      </c>
      <c r="U118" s="185">
        <v>0</v>
      </c>
      <c r="V118" s="185">
        <v>0</v>
      </c>
      <c r="W118" s="185">
        <v>-1475</v>
      </c>
      <c r="X118" s="186">
        <f t="shared" si="56"/>
        <v>772.80000000000018</v>
      </c>
      <c r="Y118" s="219"/>
      <c r="Z118" s="185">
        <v>0</v>
      </c>
      <c r="AA118" s="185">
        <v>0</v>
      </c>
      <c r="AB118" s="185">
        <v>0</v>
      </c>
      <c r="AC118" s="185">
        <v>0</v>
      </c>
      <c r="AD118" s="185">
        <v>0</v>
      </c>
      <c r="AE118" s="185">
        <v>0</v>
      </c>
      <c r="AF118" s="185">
        <v>0</v>
      </c>
      <c r="AG118" s="185">
        <v>0</v>
      </c>
      <c r="AH118" s="185">
        <v>0</v>
      </c>
      <c r="AI118" s="185">
        <v>0</v>
      </c>
      <c r="AJ118" s="185">
        <v>0</v>
      </c>
      <c r="AK118" s="185">
        <v>0</v>
      </c>
      <c r="AL118" s="186">
        <f t="shared" si="57"/>
        <v>0</v>
      </c>
      <c r="AM118" s="221"/>
      <c r="AN118" s="187">
        <v>0</v>
      </c>
      <c r="AO118" s="187">
        <v>0</v>
      </c>
      <c r="AP118" s="187">
        <v>0</v>
      </c>
      <c r="AQ118" s="187">
        <v>0</v>
      </c>
      <c r="AR118" s="187">
        <v>0</v>
      </c>
      <c r="AS118" s="187">
        <v>0</v>
      </c>
      <c r="AT118" s="187">
        <v>0</v>
      </c>
      <c r="AU118" s="187">
        <v>0</v>
      </c>
      <c r="AV118" s="187">
        <v>0</v>
      </c>
      <c r="AW118" s="187">
        <v>0</v>
      </c>
      <c r="AX118" s="187">
        <v>0</v>
      </c>
      <c r="AY118" s="187">
        <v>0</v>
      </c>
      <c r="AZ118" s="186">
        <f t="shared" si="58"/>
        <v>0</v>
      </c>
      <c r="BA118" s="221"/>
      <c r="BB118" s="187">
        <v>0</v>
      </c>
      <c r="BC118" s="187">
        <v>0</v>
      </c>
      <c r="BD118" s="187">
        <v>0</v>
      </c>
      <c r="BE118" s="187">
        <v>0</v>
      </c>
      <c r="BF118" s="187">
        <v>0</v>
      </c>
      <c r="BG118" s="187">
        <v>0</v>
      </c>
      <c r="BH118" s="187">
        <v>0</v>
      </c>
      <c r="BI118" s="187">
        <v>0</v>
      </c>
      <c r="BJ118" s="187">
        <v>0</v>
      </c>
      <c r="BK118" s="187">
        <v>0</v>
      </c>
      <c r="BL118" s="187">
        <v>0</v>
      </c>
      <c r="BM118" s="187">
        <v>0</v>
      </c>
      <c r="BN118" s="186">
        <f t="shared" si="59"/>
        <v>0</v>
      </c>
      <c r="BP118"/>
      <c r="BQ118"/>
      <c r="BR118"/>
      <c r="BS118"/>
      <c r="BT118"/>
      <c r="BU118"/>
      <c r="BV118"/>
      <c r="BW118"/>
      <c r="BX118"/>
      <c r="BY118"/>
      <c r="BZ118"/>
      <c r="CA118"/>
      <c r="CB118"/>
    </row>
    <row r="119" spans="1:80" ht="11.95" hidden="1" outlineLevel="2" thickBot="1" x14ac:dyDescent="0.3">
      <c r="A119" t="str">
        <f t="shared" ref="A119" si="112">IF(LEFT(G119,3)="Mul", "#hiderow", "#showrow")</f>
        <v>#hiderow</v>
      </c>
      <c r="E119" s="3"/>
      <c r="F119" s="3"/>
      <c r="G119" s="255" t="s">
        <v>6</v>
      </c>
      <c r="H119" s="3"/>
      <c r="I119" s="18"/>
      <c r="J119" s="18"/>
      <c r="K119" s="18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6">
        <f t="shared" si="56"/>
        <v>0</v>
      </c>
      <c r="Y119" s="219"/>
      <c r="Z119" s="185"/>
      <c r="AA119" s="185"/>
      <c r="AB119" s="185"/>
      <c r="AC119" s="185"/>
      <c r="AD119" s="185"/>
      <c r="AE119" s="185"/>
      <c r="AF119" s="185"/>
      <c r="AG119" s="185"/>
      <c r="AH119" s="185"/>
      <c r="AI119" s="185"/>
      <c r="AJ119" s="185"/>
      <c r="AK119" s="185"/>
      <c r="AL119" s="186">
        <f t="shared" si="57"/>
        <v>0</v>
      </c>
      <c r="AM119" s="221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6">
        <f t="shared" si="58"/>
        <v>0</v>
      </c>
      <c r="BA119" s="221"/>
      <c r="BB119" s="187"/>
      <c r="BC119" s="187"/>
      <c r="BD119" s="187"/>
      <c r="BE119" s="187"/>
      <c r="BF119" s="187"/>
      <c r="BG119" s="187"/>
      <c r="BH119" s="187"/>
      <c r="BI119" s="187"/>
      <c r="BJ119" s="187"/>
      <c r="BK119" s="187"/>
      <c r="BL119" s="187"/>
      <c r="BM119" s="187"/>
      <c r="BN119" s="186">
        <f t="shared" si="59"/>
        <v>0</v>
      </c>
      <c r="BP119"/>
      <c r="BQ119"/>
      <c r="BR119"/>
      <c r="BS119"/>
      <c r="BT119"/>
      <c r="BU119"/>
      <c r="BV119"/>
      <c r="BW119"/>
      <c r="BX119"/>
      <c r="BY119"/>
      <c r="BZ119"/>
      <c r="CA119"/>
      <c r="CB119"/>
    </row>
    <row r="120" spans="1:80" ht="11.95" outlineLevel="2" thickBot="1" x14ac:dyDescent="0.3">
      <c r="A120" t="str">
        <f t="shared" ref="A120" si="113">IF(LEFT(G120,3)="Mul", "#hiderow", "#showrow")</f>
        <v>#showrow</v>
      </c>
      <c r="E120" s="3"/>
      <c r="F120" s="3"/>
      <c r="G120" s="255" t="s">
        <v>180</v>
      </c>
      <c r="H120" s="3"/>
      <c r="I120" s="18"/>
      <c r="J120" s="18"/>
      <c r="K120" s="18"/>
      <c r="L120" s="185"/>
      <c r="M120" s="185">
        <v>772.8</v>
      </c>
      <c r="N120" s="185"/>
      <c r="O120" s="185"/>
      <c r="P120" s="185"/>
      <c r="Q120" s="185"/>
      <c r="R120" s="185"/>
      <c r="S120" s="185"/>
      <c r="T120" s="185">
        <v>1475</v>
      </c>
      <c r="U120" s="185"/>
      <c r="V120" s="185"/>
      <c r="W120" s="185">
        <v>-1475</v>
      </c>
      <c r="X120" s="186">
        <f t="shared" ref="X120" si="114">SUM(L120:W120)</f>
        <v>772.80000000000018</v>
      </c>
      <c r="Y120" s="219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6">
        <f t="shared" ref="AL120" si="115">SUM(Z120:AK120)</f>
        <v>0</v>
      </c>
      <c r="AM120" s="221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186">
        <f t="shared" ref="AZ120" si="116">SUM(AN120:AY120)</f>
        <v>0</v>
      </c>
      <c r="BA120" s="221"/>
      <c r="BB120" s="187"/>
      <c r="BC120" s="187"/>
      <c r="BD120" s="187"/>
      <c r="BE120" s="187"/>
      <c r="BF120" s="187"/>
      <c r="BG120" s="187"/>
      <c r="BH120" s="187"/>
      <c r="BI120" s="187"/>
      <c r="BJ120" s="187"/>
      <c r="BK120" s="187"/>
      <c r="BL120" s="187"/>
      <c r="BM120" s="187"/>
      <c r="BN120" s="186">
        <f t="shared" ref="BN120" si="117">SUM(BB120:BM120)</f>
        <v>0</v>
      </c>
      <c r="BP120"/>
      <c r="BQ120"/>
      <c r="BR120"/>
      <c r="BS120"/>
      <c r="BT120"/>
      <c r="BU120"/>
      <c r="BV120"/>
      <c r="BW120"/>
      <c r="BX120"/>
      <c r="BY120"/>
      <c r="BZ120"/>
      <c r="CA120"/>
      <c r="CB120"/>
    </row>
    <row r="121" spans="1:80" ht="11.95" outlineLevel="1" collapsed="1" thickBot="1" x14ac:dyDescent="0.3">
      <c r="E121" s="3"/>
      <c r="F121" s="3"/>
      <c r="G121" s="256" t="s">
        <v>114</v>
      </c>
      <c r="H121" s="3"/>
      <c r="I121" s="18"/>
      <c r="J121" s="18"/>
      <c r="K121" s="18"/>
      <c r="L121" s="185">
        <v>0</v>
      </c>
      <c r="M121" s="185">
        <v>0</v>
      </c>
      <c r="N121" s="185">
        <v>0</v>
      </c>
      <c r="O121" s="185">
        <v>0</v>
      </c>
      <c r="P121" s="185">
        <v>0</v>
      </c>
      <c r="Q121" s="185">
        <v>0</v>
      </c>
      <c r="R121" s="185">
        <v>0</v>
      </c>
      <c r="S121" s="185">
        <v>0</v>
      </c>
      <c r="T121" s="185">
        <v>0</v>
      </c>
      <c r="U121" s="185">
        <v>0</v>
      </c>
      <c r="V121" s="185">
        <v>0</v>
      </c>
      <c r="W121" s="185">
        <v>0</v>
      </c>
      <c r="X121" s="186">
        <f t="shared" si="56"/>
        <v>0</v>
      </c>
      <c r="Y121" s="219"/>
      <c r="Z121" s="185">
        <v>0</v>
      </c>
      <c r="AA121" s="185">
        <v>0</v>
      </c>
      <c r="AB121" s="185">
        <v>0</v>
      </c>
      <c r="AC121" s="185">
        <v>0</v>
      </c>
      <c r="AD121" s="185">
        <v>0</v>
      </c>
      <c r="AE121" s="185">
        <v>0</v>
      </c>
      <c r="AF121" s="185">
        <v>0</v>
      </c>
      <c r="AG121" s="185">
        <v>0</v>
      </c>
      <c r="AH121" s="185">
        <v>0</v>
      </c>
      <c r="AI121" s="185">
        <v>0</v>
      </c>
      <c r="AJ121" s="185">
        <v>0</v>
      </c>
      <c r="AK121" s="185">
        <v>0</v>
      </c>
      <c r="AL121" s="186">
        <f t="shared" si="57"/>
        <v>0</v>
      </c>
      <c r="AM121" s="221"/>
      <c r="AN121" s="187">
        <v>0</v>
      </c>
      <c r="AO121" s="187">
        <v>0</v>
      </c>
      <c r="AP121" s="187">
        <v>0</v>
      </c>
      <c r="AQ121" s="187">
        <v>0</v>
      </c>
      <c r="AR121" s="187">
        <v>0</v>
      </c>
      <c r="AS121" s="187">
        <v>0</v>
      </c>
      <c r="AT121" s="187">
        <v>0</v>
      </c>
      <c r="AU121" s="187">
        <v>0</v>
      </c>
      <c r="AV121" s="187">
        <v>0</v>
      </c>
      <c r="AW121" s="187">
        <v>0</v>
      </c>
      <c r="AX121" s="187">
        <v>0</v>
      </c>
      <c r="AY121" s="187">
        <v>0</v>
      </c>
      <c r="AZ121" s="186">
        <f t="shared" si="58"/>
        <v>0</v>
      </c>
      <c r="BA121" s="221"/>
      <c r="BB121" s="187">
        <v>0</v>
      </c>
      <c r="BC121" s="187">
        <v>0</v>
      </c>
      <c r="BD121" s="187">
        <v>0</v>
      </c>
      <c r="BE121" s="187">
        <v>0</v>
      </c>
      <c r="BF121" s="187">
        <v>0</v>
      </c>
      <c r="BG121" s="187">
        <v>0</v>
      </c>
      <c r="BH121" s="187">
        <v>0</v>
      </c>
      <c r="BI121" s="187">
        <v>0</v>
      </c>
      <c r="BJ121" s="187">
        <v>0</v>
      </c>
      <c r="BK121" s="187">
        <v>0</v>
      </c>
      <c r="BL121" s="187">
        <v>0</v>
      </c>
      <c r="BM121" s="187">
        <v>0</v>
      </c>
      <c r="BN121" s="186">
        <f t="shared" si="59"/>
        <v>0</v>
      </c>
      <c r="BP121"/>
      <c r="BQ121"/>
      <c r="BR121"/>
      <c r="BS121"/>
      <c r="BT121"/>
      <c r="BU121"/>
      <c r="BV121"/>
      <c r="BW121"/>
      <c r="BX121"/>
      <c r="BY121"/>
      <c r="BZ121"/>
      <c r="CA121"/>
      <c r="CB121"/>
    </row>
    <row r="122" spans="1:80" ht="11.95" hidden="1" outlineLevel="2" thickBot="1" x14ac:dyDescent="0.3">
      <c r="A122" t="str">
        <f t="shared" ref="A122" si="118">IF(LEFT(G122,3)="Mul", "#hiderow", "#showrow")</f>
        <v>#hiderow</v>
      </c>
      <c r="E122" s="3"/>
      <c r="F122" s="3"/>
      <c r="G122" s="255" t="s">
        <v>6</v>
      </c>
      <c r="H122" s="3"/>
      <c r="I122" s="18"/>
      <c r="J122" s="18"/>
      <c r="K122" s="18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6">
        <f t="shared" si="56"/>
        <v>0</v>
      </c>
      <c r="Y122" s="219"/>
      <c r="Z122" s="185"/>
      <c r="AA122" s="185"/>
      <c r="AB122" s="185"/>
      <c r="AC122" s="185"/>
      <c r="AD122" s="185"/>
      <c r="AE122" s="185"/>
      <c r="AF122" s="185"/>
      <c r="AG122" s="185"/>
      <c r="AH122" s="185"/>
      <c r="AI122" s="185"/>
      <c r="AJ122" s="185"/>
      <c r="AK122" s="185"/>
      <c r="AL122" s="186">
        <f t="shared" si="57"/>
        <v>0</v>
      </c>
      <c r="AM122" s="221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6">
        <f t="shared" si="58"/>
        <v>0</v>
      </c>
      <c r="BA122" s="221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87"/>
      <c r="BN122" s="186">
        <f t="shared" si="59"/>
        <v>0</v>
      </c>
      <c r="BP122"/>
      <c r="BQ122"/>
      <c r="BR122"/>
      <c r="BS122"/>
      <c r="BT122"/>
      <c r="BU122"/>
      <c r="BV122"/>
      <c r="BW122"/>
      <c r="BX122"/>
      <c r="BY122"/>
      <c r="BZ122"/>
      <c r="CA122"/>
      <c r="CB122"/>
    </row>
    <row r="123" spans="1:80" ht="11.95" x14ac:dyDescent="0.25">
      <c r="C123" s="19" t="str">
        <f>"Total "&amp;C54</f>
        <v>Total Operating Expenses</v>
      </c>
      <c r="D123" s="19"/>
      <c r="E123" s="19"/>
      <c r="F123" s="19"/>
      <c r="G123" s="19"/>
      <c r="H123" s="188"/>
      <c r="I123" s="188"/>
      <c r="J123" s="188"/>
      <c r="K123" s="188">
        <v>-1</v>
      </c>
      <c r="L123" s="188">
        <f t="shared" ref="L123:X123" si="119">SUMIF($G$5:$G$1075,"Operating Expenses",L5:L1075)</f>
        <v>0</v>
      </c>
      <c r="M123" s="188">
        <f t="shared" si="119"/>
        <v>772.8</v>
      </c>
      <c r="N123" s="188">
        <f t="shared" si="119"/>
        <v>-772.8</v>
      </c>
      <c r="O123" s="188">
        <f t="shared" si="119"/>
        <v>0</v>
      </c>
      <c r="P123" s="188">
        <f t="shared" si="119"/>
        <v>0</v>
      </c>
      <c r="Q123" s="188">
        <f t="shared" si="119"/>
        <v>0</v>
      </c>
      <c r="R123" s="188">
        <f t="shared" si="119"/>
        <v>0</v>
      </c>
      <c r="S123" s="188">
        <f t="shared" si="119"/>
        <v>0</v>
      </c>
      <c r="T123" s="188">
        <f t="shared" si="119"/>
        <v>-2600</v>
      </c>
      <c r="U123" s="188">
        <f t="shared" si="119"/>
        <v>0</v>
      </c>
      <c r="V123" s="188">
        <f t="shared" si="119"/>
        <v>0</v>
      </c>
      <c r="W123" s="188">
        <f t="shared" si="119"/>
        <v>2634.98</v>
      </c>
      <c r="X123" s="189">
        <f t="shared" si="119"/>
        <v>34.980000000000018</v>
      </c>
      <c r="Z123" s="188">
        <f t="shared" ref="Z123:AL123" si="120">SUMIF($G$5:$G$1075,"Operating Expenses",Z5:Z1075)</f>
        <v>0</v>
      </c>
      <c r="AA123" s="188">
        <f t="shared" si="120"/>
        <v>-2.17E-10</v>
      </c>
      <c r="AB123" s="188">
        <f t="shared" si="120"/>
        <v>-3.4999999999999998E-10</v>
      </c>
      <c r="AC123" s="188">
        <f t="shared" si="120"/>
        <v>-2.17E-10</v>
      </c>
      <c r="AD123" s="188">
        <f t="shared" si="120"/>
        <v>-2.17E-10</v>
      </c>
      <c r="AE123" s="188">
        <f t="shared" si="120"/>
        <v>-3.4999999999999998E-10</v>
      </c>
      <c r="AF123" s="188">
        <f t="shared" si="120"/>
        <v>-2.17E-10</v>
      </c>
      <c r="AG123" s="188">
        <f t="shared" si="120"/>
        <v>-2.17E-10</v>
      </c>
      <c r="AH123" s="188">
        <f t="shared" si="120"/>
        <v>-3.4999999999999998E-10</v>
      </c>
      <c r="AI123" s="188">
        <f t="shared" si="120"/>
        <v>-2.17E-10</v>
      </c>
      <c r="AJ123" s="188">
        <f t="shared" si="120"/>
        <v>-2.17E-10</v>
      </c>
      <c r="AK123" s="188">
        <f t="shared" si="120"/>
        <v>-3.4999999999999998E-10</v>
      </c>
      <c r="AL123" s="189">
        <f t="shared" si="120"/>
        <v>-2.9189999999999995E-9</v>
      </c>
      <c r="AN123" s="188">
        <f t="shared" ref="AN123:AZ123" si="121">SUMIF($G$5:$G$1075,"Operating Expenses",AN5:AN1075)</f>
        <v>-2.17E-10</v>
      </c>
      <c r="AO123" s="188">
        <f t="shared" si="121"/>
        <v>-2.17E-10</v>
      </c>
      <c r="AP123" s="188">
        <f t="shared" si="121"/>
        <v>-3.4999999999999998E-10</v>
      </c>
      <c r="AQ123" s="188">
        <f t="shared" si="121"/>
        <v>-2.17E-10</v>
      </c>
      <c r="AR123" s="188">
        <f t="shared" si="121"/>
        <v>-2.17E-10</v>
      </c>
      <c r="AS123" s="188">
        <f t="shared" si="121"/>
        <v>-3.4999999999999998E-10</v>
      </c>
      <c r="AT123" s="188">
        <f t="shared" si="121"/>
        <v>-2.17E-10</v>
      </c>
      <c r="AU123" s="188">
        <f t="shared" si="121"/>
        <v>-2.17E-10</v>
      </c>
      <c r="AV123" s="188">
        <f t="shared" si="121"/>
        <v>-3.4999999999999998E-10</v>
      </c>
      <c r="AW123" s="188">
        <f t="shared" si="121"/>
        <v>-2.17E-10</v>
      </c>
      <c r="AX123" s="188">
        <f t="shared" si="121"/>
        <v>-2.17E-10</v>
      </c>
      <c r="AY123" s="188">
        <f t="shared" si="121"/>
        <v>-3.4999999999999998E-10</v>
      </c>
      <c r="AZ123" s="189">
        <f t="shared" si="121"/>
        <v>-3.1359999999999995E-9</v>
      </c>
      <c r="BB123" s="188">
        <f t="shared" ref="BB123:BN123" si="122">SUMIF($G$5:$G$1075,"Operating Expenses",BB5:BB1075)</f>
        <v>-2.17E-10</v>
      </c>
      <c r="BC123" s="188">
        <f t="shared" si="122"/>
        <v>-2.17E-10</v>
      </c>
      <c r="BD123" s="188">
        <f t="shared" si="122"/>
        <v>-3.4999999999999998E-10</v>
      </c>
      <c r="BE123" s="188">
        <f t="shared" si="122"/>
        <v>-2.17E-10</v>
      </c>
      <c r="BF123" s="188">
        <f t="shared" si="122"/>
        <v>-2.17E-10</v>
      </c>
      <c r="BG123" s="188">
        <f t="shared" si="122"/>
        <v>-3.4999999999999998E-10</v>
      </c>
      <c r="BH123" s="188">
        <f t="shared" si="122"/>
        <v>-2.17E-10</v>
      </c>
      <c r="BI123" s="188">
        <f t="shared" si="122"/>
        <v>-2.17E-10</v>
      </c>
      <c r="BJ123" s="188">
        <f t="shared" si="122"/>
        <v>-3.4999999999999998E-10</v>
      </c>
      <c r="BK123" s="188">
        <f t="shared" si="122"/>
        <v>-2.17E-10</v>
      </c>
      <c r="BL123" s="188">
        <f t="shared" si="122"/>
        <v>-2.17E-10</v>
      </c>
      <c r="BM123" s="188">
        <f t="shared" si="122"/>
        <v>-3.4999999999999998E-10</v>
      </c>
      <c r="BN123" s="189">
        <f t="shared" si="122"/>
        <v>-3.1359999999999995E-9</v>
      </c>
      <c r="BP123" s="204">
        <f t="shared" ref="BP123:CB123" si="123">SUMIF($G$5:$G$1075,"[+] Operating Expenses",BP5:BP1075)</f>
        <v>0</v>
      </c>
      <c r="BQ123" s="204">
        <f t="shared" si="123"/>
        <v>0</v>
      </c>
      <c r="BR123" s="204">
        <f t="shared" si="123"/>
        <v>0</v>
      </c>
      <c r="BS123" s="204">
        <f t="shared" si="123"/>
        <v>0</v>
      </c>
      <c r="BT123" s="204">
        <f t="shared" si="123"/>
        <v>0</v>
      </c>
      <c r="BU123" s="204">
        <f t="shared" si="123"/>
        <v>0</v>
      </c>
      <c r="BV123" s="204">
        <f t="shared" si="123"/>
        <v>0</v>
      </c>
      <c r="BW123" s="204">
        <f t="shared" si="123"/>
        <v>0</v>
      </c>
      <c r="BX123" s="204">
        <f t="shared" si="123"/>
        <v>0</v>
      </c>
      <c r="BY123" s="204">
        <f t="shared" si="123"/>
        <v>0</v>
      </c>
      <c r="BZ123" s="204">
        <f t="shared" si="123"/>
        <v>0</v>
      </c>
      <c r="CA123" s="204">
        <f t="shared" si="123"/>
        <v>0</v>
      </c>
      <c r="CB123" s="204">
        <f t="shared" si="123"/>
        <v>0</v>
      </c>
    </row>
    <row r="125" spans="1:80" ht="12.45" thickBot="1" x14ac:dyDescent="0.3">
      <c r="C125" s="4" t="s">
        <v>18</v>
      </c>
      <c r="D125" s="4"/>
      <c r="E125" s="4"/>
      <c r="F125" s="4"/>
      <c r="G125" s="4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P125" s="133"/>
      <c r="BQ125" s="133"/>
      <c r="BR125" s="133"/>
      <c r="BS125" s="133"/>
      <c r="BT125" s="133"/>
      <c r="BU125" s="133"/>
      <c r="BV125" s="133"/>
      <c r="BW125" s="133"/>
      <c r="BX125" s="133"/>
      <c r="BY125" s="133"/>
      <c r="BZ125" s="133"/>
      <c r="CA125" s="133"/>
      <c r="CB125" s="133"/>
    </row>
    <row r="126" spans="1:80" ht="11.95" hidden="1" thickBot="1" x14ac:dyDescent="0.3">
      <c r="A126" t="s">
        <v>1</v>
      </c>
      <c r="E126" s="3"/>
      <c r="F126" s="3"/>
      <c r="G126" s="3"/>
      <c r="H126" s="3"/>
      <c r="I126" s="18"/>
      <c r="J126" s="18"/>
      <c r="K126" s="18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6">
        <f>SUM(L126:W126)</f>
        <v>0</v>
      </c>
      <c r="Y126" s="219"/>
      <c r="Z126" s="185"/>
      <c r="AA126" s="185"/>
      <c r="AB126" s="185"/>
      <c r="AC126" s="185"/>
      <c r="AD126" s="185"/>
      <c r="AE126" s="185"/>
      <c r="AF126" s="185"/>
      <c r="AG126" s="185"/>
      <c r="AH126" s="185"/>
      <c r="AI126" s="185"/>
      <c r="AJ126" s="185"/>
      <c r="AK126" s="185"/>
      <c r="AL126" s="186">
        <f>SUM(Z126:AK126)</f>
        <v>0</v>
      </c>
      <c r="AM126" s="221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186">
        <f>SUM(AN126:AY126)</f>
        <v>0</v>
      </c>
      <c r="BA126" s="221"/>
      <c r="BB126" s="187"/>
      <c r="BC126" s="187"/>
      <c r="BD126" s="187"/>
      <c r="BE126" s="187"/>
      <c r="BF126" s="187"/>
      <c r="BG126" s="187"/>
      <c r="BH126" s="187"/>
      <c r="BI126" s="187"/>
      <c r="BJ126" s="187"/>
      <c r="BK126" s="187"/>
      <c r="BL126" s="187"/>
      <c r="BM126" s="187"/>
      <c r="BN126" s="186">
        <f>SUM(BB126:BM126)</f>
        <v>0</v>
      </c>
      <c r="BP126"/>
      <c r="BQ126"/>
      <c r="BR126"/>
      <c r="BS126"/>
      <c r="BT126"/>
      <c r="BU126"/>
      <c r="BV126"/>
      <c r="BW126"/>
      <c r="BX126"/>
      <c r="BY126"/>
      <c r="BZ126"/>
      <c r="CA126"/>
      <c r="CB126">
        <f>SUM(BP126:CA126)</f>
        <v>0</v>
      </c>
    </row>
    <row r="127" spans="1:80" ht="11.95" thickBot="1" x14ac:dyDescent="0.3">
      <c r="E127" s="3"/>
      <c r="F127" s="3"/>
      <c r="G127" s="253" t="s">
        <v>18</v>
      </c>
      <c r="H127" s="3"/>
      <c r="I127" s="18"/>
      <c r="J127" s="18"/>
      <c r="K127" s="18"/>
      <c r="L127" s="185">
        <v>0</v>
      </c>
      <c r="M127" s="185">
        <v>0</v>
      </c>
      <c r="N127" s="185">
        <v>0</v>
      </c>
      <c r="O127" s="185">
        <v>0</v>
      </c>
      <c r="P127" s="185">
        <v>0</v>
      </c>
      <c r="Q127" s="185">
        <v>0</v>
      </c>
      <c r="R127" s="185">
        <v>0</v>
      </c>
      <c r="S127" s="185">
        <v>0</v>
      </c>
      <c r="T127" s="185">
        <v>0</v>
      </c>
      <c r="U127" s="185">
        <v>0</v>
      </c>
      <c r="V127" s="185">
        <v>0</v>
      </c>
      <c r="W127" s="185">
        <v>0</v>
      </c>
      <c r="X127" s="186">
        <f t="shared" ref="X127:X131" si="124">SUM(L127:W127)</f>
        <v>0</v>
      </c>
      <c r="Y127" s="220"/>
      <c r="Z127" s="185">
        <v>0</v>
      </c>
      <c r="AA127" s="185">
        <v>0</v>
      </c>
      <c r="AB127" s="185">
        <v>0</v>
      </c>
      <c r="AC127" s="185">
        <v>0</v>
      </c>
      <c r="AD127" s="185">
        <v>0</v>
      </c>
      <c r="AE127" s="185">
        <v>0</v>
      </c>
      <c r="AF127" s="185">
        <v>0</v>
      </c>
      <c r="AG127" s="185">
        <v>0</v>
      </c>
      <c r="AH127" s="185">
        <v>0</v>
      </c>
      <c r="AI127" s="185">
        <v>0</v>
      </c>
      <c r="AJ127" s="185">
        <v>0</v>
      </c>
      <c r="AK127" s="185">
        <v>0</v>
      </c>
      <c r="AL127" s="186">
        <f t="shared" ref="AL127:AL131" si="125">SUM(Z127:AK127)</f>
        <v>0</v>
      </c>
      <c r="AM127" s="221"/>
      <c r="AN127" s="187">
        <v>0</v>
      </c>
      <c r="AO127" s="187">
        <v>0</v>
      </c>
      <c r="AP127" s="187">
        <v>0</v>
      </c>
      <c r="AQ127" s="187">
        <v>0</v>
      </c>
      <c r="AR127" s="187">
        <v>0</v>
      </c>
      <c r="AS127" s="187">
        <v>0</v>
      </c>
      <c r="AT127" s="187">
        <v>0</v>
      </c>
      <c r="AU127" s="187">
        <v>0</v>
      </c>
      <c r="AV127" s="187">
        <v>0</v>
      </c>
      <c r="AW127" s="187">
        <v>0</v>
      </c>
      <c r="AX127" s="187">
        <v>0</v>
      </c>
      <c r="AY127" s="187">
        <v>0</v>
      </c>
      <c r="AZ127" s="186">
        <f t="shared" ref="AZ127:AZ131" si="126">SUM(AN127:AY127)</f>
        <v>0</v>
      </c>
      <c r="BA127" s="221"/>
      <c r="BB127" s="187">
        <v>0</v>
      </c>
      <c r="BC127" s="187">
        <v>0</v>
      </c>
      <c r="BD127" s="187">
        <v>0</v>
      </c>
      <c r="BE127" s="187">
        <v>0</v>
      </c>
      <c r="BF127" s="187">
        <v>0</v>
      </c>
      <c r="BG127" s="187">
        <v>0</v>
      </c>
      <c r="BH127" s="187">
        <v>0</v>
      </c>
      <c r="BI127" s="187">
        <v>0</v>
      </c>
      <c r="BJ127" s="187">
        <v>0</v>
      </c>
      <c r="BK127" s="187">
        <v>0</v>
      </c>
      <c r="BL127" s="187">
        <v>0</v>
      </c>
      <c r="BM127" s="187">
        <v>0</v>
      </c>
      <c r="BN127" s="186">
        <f t="shared" ref="BN127:BN131" si="127">SUM(BB127:BM127)</f>
        <v>0</v>
      </c>
      <c r="BP127"/>
      <c r="BQ127"/>
      <c r="BR127"/>
      <c r="BS127"/>
      <c r="BT127"/>
      <c r="BU127"/>
      <c r="BV127"/>
      <c r="BW127"/>
      <c r="BX127"/>
      <c r="BY127"/>
      <c r="BZ127"/>
      <c r="CA127"/>
      <c r="CB127"/>
    </row>
    <row r="128" spans="1:80" ht="11.95" outlineLevel="1" collapsed="1" thickBot="1" x14ac:dyDescent="0.3">
      <c r="E128" s="3"/>
      <c r="F128" s="3"/>
      <c r="G128" s="256" t="s">
        <v>115</v>
      </c>
      <c r="H128" s="3"/>
      <c r="I128" s="18"/>
      <c r="J128" s="18"/>
      <c r="K128" s="18"/>
      <c r="L128" s="185">
        <v>0</v>
      </c>
      <c r="M128" s="185">
        <v>0</v>
      </c>
      <c r="N128" s="185">
        <v>0</v>
      </c>
      <c r="O128" s="185">
        <v>0</v>
      </c>
      <c r="P128" s="185">
        <v>0</v>
      </c>
      <c r="Q128" s="185">
        <v>0</v>
      </c>
      <c r="R128" s="185">
        <v>0</v>
      </c>
      <c r="S128" s="185">
        <v>0</v>
      </c>
      <c r="T128" s="185">
        <v>0</v>
      </c>
      <c r="U128" s="185">
        <v>0</v>
      </c>
      <c r="V128" s="185">
        <v>0</v>
      </c>
      <c r="W128" s="185">
        <v>0</v>
      </c>
      <c r="X128" s="186">
        <f t="shared" si="124"/>
        <v>0</v>
      </c>
      <c r="Y128" s="220"/>
      <c r="Z128" s="185">
        <v>0</v>
      </c>
      <c r="AA128" s="185">
        <v>0</v>
      </c>
      <c r="AB128" s="185">
        <v>0</v>
      </c>
      <c r="AC128" s="185">
        <v>0</v>
      </c>
      <c r="AD128" s="185">
        <v>0</v>
      </c>
      <c r="AE128" s="185">
        <v>0</v>
      </c>
      <c r="AF128" s="185">
        <v>0</v>
      </c>
      <c r="AG128" s="185">
        <v>0</v>
      </c>
      <c r="AH128" s="185">
        <v>0</v>
      </c>
      <c r="AI128" s="185">
        <v>0</v>
      </c>
      <c r="AJ128" s="185">
        <v>0</v>
      </c>
      <c r="AK128" s="185">
        <v>0</v>
      </c>
      <c r="AL128" s="186">
        <f t="shared" si="125"/>
        <v>0</v>
      </c>
      <c r="AM128" s="221"/>
      <c r="AN128" s="187">
        <v>0</v>
      </c>
      <c r="AO128" s="187">
        <v>0</v>
      </c>
      <c r="AP128" s="187">
        <v>0</v>
      </c>
      <c r="AQ128" s="187">
        <v>0</v>
      </c>
      <c r="AR128" s="187">
        <v>0</v>
      </c>
      <c r="AS128" s="187">
        <v>0</v>
      </c>
      <c r="AT128" s="187">
        <v>0</v>
      </c>
      <c r="AU128" s="187">
        <v>0</v>
      </c>
      <c r="AV128" s="187">
        <v>0</v>
      </c>
      <c r="AW128" s="187">
        <v>0</v>
      </c>
      <c r="AX128" s="187">
        <v>0</v>
      </c>
      <c r="AY128" s="187">
        <v>0</v>
      </c>
      <c r="AZ128" s="186">
        <f t="shared" si="126"/>
        <v>0</v>
      </c>
      <c r="BA128" s="221"/>
      <c r="BB128" s="187">
        <v>0</v>
      </c>
      <c r="BC128" s="187">
        <v>0</v>
      </c>
      <c r="BD128" s="187">
        <v>0</v>
      </c>
      <c r="BE128" s="187">
        <v>0</v>
      </c>
      <c r="BF128" s="187">
        <v>0</v>
      </c>
      <c r="BG128" s="187">
        <v>0</v>
      </c>
      <c r="BH128" s="187">
        <v>0</v>
      </c>
      <c r="BI128" s="187">
        <v>0</v>
      </c>
      <c r="BJ128" s="187">
        <v>0</v>
      </c>
      <c r="BK128" s="187">
        <v>0</v>
      </c>
      <c r="BL128" s="187">
        <v>0</v>
      </c>
      <c r="BM128" s="187">
        <v>0</v>
      </c>
      <c r="BN128" s="186">
        <f t="shared" si="127"/>
        <v>0</v>
      </c>
      <c r="BP128"/>
      <c r="BQ128"/>
      <c r="BR128"/>
      <c r="BS128"/>
      <c r="BT128"/>
      <c r="BU128"/>
      <c r="BV128"/>
      <c r="BW128"/>
      <c r="BX128"/>
      <c r="BY128"/>
      <c r="BZ128"/>
      <c r="CA128"/>
      <c r="CB128"/>
    </row>
    <row r="129" spans="1:80" ht="11.95" hidden="1" outlineLevel="2" thickBot="1" x14ac:dyDescent="0.3">
      <c r="A129" t="str">
        <f>IF(LEFT(G129,3)="Mul", "#hiderow", "#showrow")</f>
        <v>#hiderow</v>
      </c>
      <c r="E129" s="3"/>
      <c r="F129" s="3"/>
      <c r="G129" s="255" t="s">
        <v>6</v>
      </c>
      <c r="H129" s="3"/>
      <c r="I129" s="18"/>
      <c r="J129" s="18"/>
      <c r="K129" s="18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6">
        <f t="shared" si="124"/>
        <v>0</v>
      </c>
      <c r="Y129" s="220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6">
        <f t="shared" si="125"/>
        <v>0</v>
      </c>
      <c r="AM129" s="221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186">
        <f t="shared" si="126"/>
        <v>0</v>
      </c>
      <c r="BA129" s="221"/>
      <c r="BB129" s="187"/>
      <c r="BC129" s="187"/>
      <c r="BD129" s="187"/>
      <c r="BE129" s="187"/>
      <c r="BF129" s="187"/>
      <c r="BG129" s="187"/>
      <c r="BH129" s="187"/>
      <c r="BI129" s="187"/>
      <c r="BJ129" s="187"/>
      <c r="BK129" s="187"/>
      <c r="BL129" s="187"/>
      <c r="BM129" s="187"/>
      <c r="BN129" s="186">
        <f t="shared" si="127"/>
        <v>0</v>
      </c>
      <c r="BP129"/>
      <c r="BQ129"/>
      <c r="BR129"/>
      <c r="BS129"/>
      <c r="BT129"/>
      <c r="BU129"/>
      <c r="BV129"/>
      <c r="BW129"/>
      <c r="BX129"/>
      <c r="BY129"/>
      <c r="BZ129"/>
      <c r="CA129"/>
      <c r="CB129"/>
    </row>
    <row r="130" spans="1:80" ht="11.95" outlineLevel="1" collapsed="1" thickBot="1" x14ac:dyDescent="0.3">
      <c r="E130" s="3"/>
      <c r="F130" s="3"/>
      <c r="G130" s="256" t="s">
        <v>116</v>
      </c>
      <c r="H130" s="3"/>
      <c r="I130" s="18"/>
      <c r="J130" s="18"/>
      <c r="K130" s="18"/>
      <c r="L130" s="185">
        <v>0</v>
      </c>
      <c r="M130" s="185">
        <v>0</v>
      </c>
      <c r="N130" s="185">
        <v>0</v>
      </c>
      <c r="O130" s="185">
        <v>0</v>
      </c>
      <c r="P130" s="185">
        <v>0</v>
      </c>
      <c r="Q130" s="185">
        <v>0</v>
      </c>
      <c r="R130" s="185">
        <v>0</v>
      </c>
      <c r="S130" s="185">
        <v>0</v>
      </c>
      <c r="T130" s="185">
        <v>0</v>
      </c>
      <c r="U130" s="185">
        <v>0</v>
      </c>
      <c r="V130" s="185">
        <v>0</v>
      </c>
      <c r="W130" s="185">
        <v>0</v>
      </c>
      <c r="X130" s="186">
        <f t="shared" si="124"/>
        <v>0</v>
      </c>
      <c r="Y130" s="220"/>
      <c r="Z130" s="185">
        <v>0</v>
      </c>
      <c r="AA130" s="185">
        <v>0</v>
      </c>
      <c r="AB130" s="185">
        <v>0</v>
      </c>
      <c r="AC130" s="185">
        <v>0</v>
      </c>
      <c r="AD130" s="185">
        <v>0</v>
      </c>
      <c r="AE130" s="185">
        <v>0</v>
      </c>
      <c r="AF130" s="185">
        <v>0</v>
      </c>
      <c r="AG130" s="185">
        <v>0</v>
      </c>
      <c r="AH130" s="185">
        <v>0</v>
      </c>
      <c r="AI130" s="185">
        <v>0</v>
      </c>
      <c r="AJ130" s="185">
        <v>0</v>
      </c>
      <c r="AK130" s="185">
        <v>0</v>
      </c>
      <c r="AL130" s="186">
        <f t="shared" si="125"/>
        <v>0</v>
      </c>
      <c r="AM130" s="221"/>
      <c r="AN130" s="187">
        <v>0</v>
      </c>
      <c r="AO130" s="187">
        <v>0</v>
      </c>
      <c r="AP130" s="187">
        <v>0</v>
      </c>
      <c r="AQ130" s="187">
        <v>0</v>
      </c>
      <c r="AR130" s="187">
        <v>0</v>
      </c>
      <c r="AS130" s="187">
        <v>0</v>
      </c>
      <c r="AT130" s="187">
        <v>0</v>
      </c>
      <c r="AU130" s="187">
        <v>0</v>
      </c>
      <c r="AV130" s="187">
        <v>0</v>
      </c>
      <c r="AW130" s="187">
        <v>0</v>
      </c>
      <c r="AX130" s="187">
        <v>0</v>
      </c>
      <c r="AY130" s="187">
        <v>0</v>
      </c>
      <c r="AZ130" s="186">
        <f t="shared" si="126"/>
        <v>0</v>
      </c>
      <c r="BA130" s="221"/>
      <c r="BB130" s="187">
        <v>0</v>
      </c>
      <c r="BC130" s="187">
        <v>0</v>
      </c>
      <c r="BD130" s="187">
        <v>0</v>
      </c>
      <c r="BE130" s="187">
        <v>0</v>
      </c>
      <c r="BF130" s="187">
        <v>0</v>
      </c>
      <c r="BG130" s="187">
        <v>0</v>
      </c>
      <c r="BH130" s="187">
        <v>0</v>
      </c>
      <c r="BI130" s="187">
        <v>0</v>
      </c>
      <c r="BJ130" s="187">
        <v>0</v>
      </c>
      <c r="BK130" s="187">
        <v>0</v>
      </c>
      <c r="BL130" s="187">
        <v>0</v>
      </c>
      <c r="BM130" s="187">
        <v>0</v>
      </c>
      <c r="BN130" s="186">
        <f t="shared" si="127"/>
        <v>0</v>
      </c>
      <c r="BP130"/>
      <c r="BQ130"/>
      <c r="BR130"/>
      <c r="BS130"/>
      <c r="BT130"/>
      <c r="BU130"/>
      <c r="BV130"/>
      <c r="BW130"/>
      <c r="BX130"/>
      <c r="BY130"/>
      <c r="BZ130"/>
      <c r="CA130"/>
      <c r="CB130"/>
    </row>
    <row r="131" spans="1:80" ht="11.95" hidden="1" outlineLevel="2" thickBot="1" x14ac:dyDescent="0.3">
      <c r="A131" t="str">
        <f>IF(LEFT(G131,3)="Mul", "#hiderow", "#showrow")</f>
        <v>#hiderow</v>
      </c>
      <c r="E131" s="3"/>
      <c r="F131" s="3"/>
      <c r="G131" s="255" t="s">
        <v>6</v>
      </c>
      <c r="H131" s="3"/>
      <c r="I131" s="18"/>
      <c r="J131" s="18"/>
      <c r="K131" s="18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6">
        <f t="shared" si="124"/>
        <v>0</v>
      </c>
      <c r="Y131" s="220"/>
      <c r="Z131" s="185"/>
      <c r="AA131" s="185"/>
      <c r="AB131" s="185"/>
      <c r="AC131" s="185"/>
      <c r="AD131" s="185"/>
      <c r="AE131" s="185"/>
      <c r="AF131" s="185"/>
      <c r="AG131" s="185"/>
      <c r="AH131" s="185"/>
      <c r="AI131" s="185"/>
      <c r="AJ131" s="185"/>
      <c r="AK131" s="185"/>
      <c r="AL131" s="186">
        <f t="shared" si="125"/>
        <v>0</v>
      </c>
      <c r="AM131" s="221"/>
      <c r="AN131" s="187"/>
      <c r="AO131" s="187"/>
      <c r="AP131" s="187"/>
      <c r="AQ131" s="187"/>
      <c r="AR131" s="187"/>
      <c r="AS131" s="187"/>
      <c r="AT131" s="187"/>
      <c r="AU131" s="187"/>
      <c r="AV131" s="187"/>
      <c r="AW131" s="187"/>
      <c r="AX131" s="187"/>
      <c r="AY131" s="187"/>
      <c r="AZ131" s="186">
        <f t="shared" si="126"/>
        <v>0</v>
      </c>
      <c r="BA131" s="221"/>
      <c r="BB131" s="187"/>
      <c r="BC131" s="187"/>
      <c r="BD131" s="187"/>
      <c r="BE131" s="187"/>
      <c r="BF131" s="187"/>
      <c r="BG131" s="187"/>
      <c r="BH131" s="187"/>
      <c r="BI131" s="187"/>
      <c r="BJ131" s="187"/>
      <c r="BK131" s="187"/>
      <c r="BL131" s="187"/>
      <c r="BM131" s="187"/>
      <c r="BN131" s="186">
        <f t="shared" si="127"/>
        <v>0</v>
      </c>
      <c r="BP131"/>
      <c r="BQ131"/>
      <c r="BR131"/>
      <c r="BS131"/>
      <c r="BT131"/>
      <c r="BU131"/>
      <c r="BV131"/>
      <c r="BW131"/>
      <c r="BX131"/>
      <c r="BY131"/>
      <c r="BZ131"/>
      <c r="CA131"/>
      <c r="CB131"/>
    </row>
    <row r="132" spans="1:80" ht="11.95" x14ac:dyDescent="0.25">
      <c r="C132" s="19" t="str">
        <f>"Total "&amp;C125</f>
        <v>Total Other Income/Expense</v>
      </c>
      <c r="D132" s="19"/>
      <c r="E132" s="19"/>
      <c r="F132" s="19"/>
      <c r="G132" s="19"/>
      <c r="H132" s="188"/>
      <c r="I132" s="188"/>
      <c r="J132" s="188"/>
      <c r="K132" s="188">
        <v>-1</v>
      </c>
      <c r="L132" s="188">
        <f t="shared" ref="L132:X132" si="128">SUMIF($G$5:$G$1075,"Other Income/Expense",L5:L1075)</f>
        <v>0</v>
      </c>
      <c r="M132" s="188">
        <f t="shared" si="128"/>
        <v>0</v>
      </c>
      <c r="N132" s="188">
        <f t="shared" si="128"/>
        <v>0</v>
      </c>
      <c r="O132" s="188">
        <f t="shared" si="128"/>
        <v>0</v>
      </c>
      <c r="P132" s="188">
        <f t="shared" si="128"/>
        <v>0</v>
      </c>
      <c r="Q132" s="188">
        <f t="shared" si="128"/>
        <v>0</v>
      </c>
      <c r="R132" s="188">
        <f t="shared" si="128"/>
        <v>0</v>
      </c>
      <c r="S132" s="188">
        <f t="shared" si="128"/>
        <v>0</v>
      </c>
      <c r="T132" s="188">
        <f t="shared" si="128"/>
        <v>0</v>
      </c>
      <c r="U132" s="188">
        <f t="shared" si="128"/>
        <v>0</v>
      </c>
      <c r="V132" s="188">
        <f t="shared" si="128"/>
        <v>0</v>
      </c>
      <c r="W132" s="188">
        <f t="shared" si="128"/>
        <v>0</v>
      </c>
      <c r="X132" s="189">
        <f t="shared" si="128"/>
        <v>0</v>
      </c>
      <c r="Z132" s="188">
        <f t="shared" ref="Z132:AL132" si="129">SUMIF($G$5:$G$1075,"Other Income/Expense",Z5:Z1075)</f>
        <v>0</v>
      </c>
      <c r="AA132" s="188">
        <f t="shared" si="129"/>
        <v>0</v>
      </c>
      <c r="AB132" s="188">
        <f t="shared" si="129"/>
        <v>0</v>
      </c>
      <c r="AC132" s="188">
        <f t="shared" si="129"/>
        <v>0</v>
      </c>
      <c r="AD132" s="188">
        <f t="shared" si="129"/>
        <v>0</v>
      </c>
      <c r="AE132" s="188">
        <f t="shared" si="129"/>
        <v>0</v>
      </c>
      <c r="AF132" s="188">
        <f t="shared" si="129"/>
        <v>0</v>
      </c>
      <c r="AG132" s="188">
        <f t="shared" si="129"/>
        <v>0</v>
      </c>
      <c r="AH132" s="188">
        <f t="shared" si="129"/>
        <v>0</v>
      </c>
      <c r="AI132" s="188">
        <f t="shared" si="129"/>
        <v>0</v>
      </c>
      <c r="AJ132" s="188">
        <f t="shared" si="129"/>
        <v>0</v>
      </c>
      <c r="AK132" s="188">
        <f t="shared" si="129"/>
        <v>0</v>
      </c>
      <c r="AL132" s="189">
        <f t="shared" si="129"/>
        <v>0</v>
      </c>
      <c r="AN132" s="188">
        <f t="shared" ref="AN132:AZ132" si="130">SUMIF($G$5:$G$1075,"Other Income/Expense",AN5:AN1075)</f>
        <v>0</v>
      </c>
      <c r="AO132" s="188">
        <f t="shared" si="130"/>
        <v>0</v>
      </c>
      <c r="AP132" s="188">
        <f t="shared" si="130"/>
        <v>0</v>
      </c>
      <c r="AQ132" s="188">
        <f t="shared" si="130"/>
        <v>0</v>
      </c>
      <c r="AR132" s="188">
        <f t="shared" si="130"/>
        <v>0</v>
      </c>
      <c r="AS132" s="188">
        <f t="shared" si="130"/>
        <v>0</v>
      </c>
      <c r="AT132" s="188">
        <f t="shared" si="130"/>
        <v>0</v>
      </c>
      <c r="AU132" s="188">
        <f t="shared" si="130"/>
        <v>0</v>
      </c>
      <c r="AV132" s="188">
        <f t="shared" si="130"/>
        <v>0</v>
      </c>
      <c r="AW132" s="188">
        <f t="shared" si="130"/>
        <v>0</v>
      </c>
      <c r="AX132" s="188">
        <f t="shared" si="130"/>
        <v>0</v>
      </c>
      <c r="AY132" s="188">
        <f t="shared" si="130"/>
        <v>0</v>
      </c>
      <c r="AZ132" s="189">
        <f t="shared" si="130"/>
        <v>0</v>
      </c>
      <c r="BB132" s="188">
        <f t="shared" ref="BB132:BN132" si="131">SUMIF($G$5:$G$1075,"Other Income/Expense",BB5:BB1075)</f>
        <v>0</v>
      </c>
      <c r="BC132" s="188">
        <f t="shared" si="131"/>
        <v>0</v>
      </c>
      <c r="BD132" s="188">
        <f t="shared" si="131"/>
        <v>0</v>
      </c>
      <c r="BE132" s="188">
        <f t="shared" si="131"/>
        <v>0</v>
      </c>
      <c r="BF132" s="188">
        <f t="shared" si="131"/>
        <v>0</v>
      </c>
      <c r="BG132" s="188">
        <f t="shared" si="131"/>
        <v>0</v>
      </c>
      <c r="BH132" s="188">
        <f t="shared" si="131"/>
        <v>0</v>
      </c>
      <c r="BI132" s="188">
        <f t="shared" si="131"/>
        <v>0</v>
      </c>
      <c r="BJ132" s="188">
        <f t="shared" si="131"/>
        <v>0</v>
      </c>
      <c r="BK132" s="188">
        <f t="shared" si="131"/>
        <v>0</v>
      </c>
      <c r="BL132" s="188">
        <f t="shared" si="131"/>
        <v>0</v>
      </c>
      <c r="BM132" s="188">
        <f t="shared" si="131"/>
        <v>0</v>
      </c>
      <c r="BN132" s="189">
        <f t="shared" si="131"/>
        <v>0</v>
      </c>
      <c r="BP132" s="203">
        <f t="shared" ref="BP132:CB132" si="132">SUMIF($G$5:$G$1075,"[+] Other Income/Expense",BP5:BP1075)</f>
        <v>0</v>
      </c>
      <c r="BQ132" s="203">
        <f t="shared" si="132"/>
        <v>0</v>
      </c>
      <c r="BR132" s="203">
        <f t="shared" si="132"/>
        <v>0</v>
      </c>
      <c r="BS132" s="203">
        <f t="shared" si="132"/>
        <v>0</v>
      </c>
      <c r="BT132" s="203">
        <f t="shared" si="132"/>
        <v>0</v>
      </c>
      <c r="BU132" s="203">
        <f t="shared" si="132"/>
        <v>0</v>
      </c>
      <c r="BV132" s="203">
        <f t="shared" si="132"/>
        <v>0</v>
      </c>
      <c r="BW132" s="203">
        <f t="shared" si="132"/>
        <v>0</v>
      </c>
      <c r="BX132" s="203">
        <f t="shared" si="132"/>
        <v>0</v>
      </c>
      <c r="BY132" s="203">
        <f t="shared" si="132"/>
        <v>0</v>
      </c>
      <c r="BZ132" s="203">
        <f t="shared" si="132"/>
        <v>0</v>
      </c>
      <c r="CA132" s="203">
        <f t="shared" si="132"/>
        <v>0</v>
      </c>
      <c r="CB132" s="204">
        <f t="shared" si="132"/>
        <v>0</v>
      </c>
    </row>
    <row r="134" spans="1:80" ht="12.45" thickBot="1" x14ac:dyDescent="0.3">
      <c r="C134" s="4" t="s">
        <v>19</v>
      </c>
      <c r="D134" s="4"/>
      <c r="E134" s="4"/>
      <c r="F134" s="4"/>
      <c r="G134" s="4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P134" s="133"/>
      <c r="BQ134" s="133"/>
      <c r="BR134" s="133"/>
      <c r="BS134" s="133"/>
      <c r="BT134" s="133"/>
      <c r="BU134" s="133"/>
      <c r="BV134" s="133"/>
      <c r="BW134" s="133"/>
      <c r="BX134" s="133"/>
      <c r="BY134" s="133"/>
      <c r="BZ134" s="133"/>
      <c r="CA134" s="133"/>
      <c r="CB134" s="133"/>
    </row>
    <row r="135" spans="1:80" ht="11.95" hidden="1" thickBot="1" x14ac:dyDescent="0.3">
      <c r="A135" t="s">
        <v>1</v>
      </c>
      <c r="E135" s="3"/>
      <c r="F135" s="3"/>
      <c r="G135" s="3" t="s">
        <v>19</v>
      </c>
      <c r="H135" s="18"/>
      <c r="I135" s="18"/>
      <c r="J135" s="18"/>
      <c r="K135" s="185"/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f>SUM(L135:W135)</f>
        <v>0</v>
      </c>
      <c r="Z135" s="185">
        <v>0</v>
      </c>
      <c r="AA135" s="185">
        <v>0</v>
      </c>
      <c r="AB135" s="185">
        <v>0</v>
      </c>
      <c r="AC135" s="185">
        <v>0</v>
      </c>
      <c r="AD135" s="185">
        <v>0</v>
      </c>
      <c r="AE135" s="185">
        <v>0</v>
      </c>
      <c r="AF135" s="185">
        <v>0</v>
      </c>
      <c r="AG135" s="185">
        <v>0</v>
      </c>
      <c r="AH135" s="185">
        <v>0</v>
      </c>
      <c r="AI135" s="185">
        <v>0</v>
      </c>
      <c r="AJ135" s="185">
        <v>0</v>
      </c>
      <c r="AK135" s="185">
        <v>0</v>
      </c>
      <c r="AL135" s="186">
        <f>SUM(Z135:AK135)</f>
        <v>0</v>
      </c>
      <c r="AN135" s="187">
        <v>0</v>
      </c>
      <c r="AO135" s="187">
        <v>0</v>
      </c>
      <c r="AP135" s="187">
        <v>0</v>
      </c>
      <c r="AQ135" s="187">
        <v>0</v>
      </c>
      <c r="AR135" s="187">
        <v>0</v>
      </c>
      <c r="AS135" s="187">
        <v>0</v>
      </c>
      <c r="AT135" s="187">
        <v>0</v>
      </c>
      <c r="AU135" s="187">
        <v>0</v>
      </c>
      <c r="AV135" s="187">
        <v>0</v>
      </c>
      <c r="AW135" s="187">
        <v>0</v>
      </c>
      <c r="AX135" s="187">
        <v>0</v>
      </c>
      <c r="AY135" s="187">
        <v>0</v>
      </c>
      <c r="AZ135" s="186">
        <f>SUM(AN135:AY135)</f>
        <v>0</v>
      </c>
      <c r="BB135" s="187">
        <v>0</v>
      </c>
      <c r="BC135" s="187">
        <v>0</v>
      </c>
      <c r="BD135" s="187">
        <v>0</v>
      </c>
      <c r="BE135" s="187">
        <v>0</v>
      </c>
      <c r="BF135" s="187">
        <v>0</v>
      </c>
      <c r="BG135" s="187">
        <v>0</v>
      </c>
      <c r="BH135" s="187">
        <v>0</v>
      </c>
      <c r="BI135" s="187">
        <v>0</v>
      </c>
      <c r="BJ135" s="187">
        <v>0</v>
      </c>
      <c r="BK135" s="187">
        <v>0</v>
      </c>
      <c r="BL135" s="187">
        <v>0</v>
      </c>
      <c r="BM135" s="187">
        <v>0</v>
      </c>
      <c r="BN135" s="186">
        <f>SUM(BB135:BM135)</f>
        <v>0</v>
      </c>
      <c r="BP135" s="202"/>
      <c r="BQ135" s="202"/>
      <c r="BR135" s="202"/>
      <c r="BS135" s="202"/>
      <c r="BT135" s="202"/>
      <c r="BU135" s="202"/>
      <c r="BV135" s="202"/>
      <c r="BW135" s="202"/>
      <c r="BX135" s="202"/>
      <c r="BY135" s="202"/>
      <c r="BZ135" s="202"/>
      <c r="CA135" s="202"/>
      <c r="CB135" s="201">
        <f>SUM(BP135:CA135)</f>
        <v>0</v>
      </c>
    </row>
    <row r="136" spans="1:80" ht="11.95" hidden="1" thickBot="1" x14ac:dyDescent="0.3">
      <c r="A136" t="str">
        <f>IF(LEFT(G136,3)="Mul", "#hiderow", "#showrow")</f>
        <v>#hiderow</v>
      </c>
      <c r="E136" s="3"/>
      <c r="F136" s="3"/>
      <c r="G136" s="3" t="s">
        <v>6</v>
      </c>
      <c r="H136" s="18"/>
      <c r="I136" s="18"/>
      <c r="J136" s="18"/>
      <c r="K136" s="185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>
        <f>SUM(L136:W136)</f>
        <v>0</v>
      </c>
      <c r="Z136" s="185"/>
      <c r="AA136" s="185"/>
      <c r="AB136" s="185"/>
      <c r="AC136" s="185"/>
      <c r="AD136" s="185"/>
      <c r="AE136" s="185"/>
      <c r="AF136" s="185"/>
      <c r="AG136" s="185"/>
      <c r="AH136" s="185"/>
      <c r="AI136" s="185"/>
      <c r="AJ136" s="185"/>
      <c r="AK136" s="185"/>
      <c r="AL136" s="186">
        <f>SUM(Z136:AK136)</f>
        <v>0</v>
      </c>
      <c r="AN136" s="187"/>
      <c r="AO136" s="187"/>
      <c r="AP136" s="187"/>
      <c r="AQ136" s="187"/>
      <c r="AR136" s="187"/>
      <c r="AS136" s="187"/>
      <c r="AT136" s="187"/>
      <c r="AU136" s="187"/>
      <c r="AV136" s="187"/>
      <c r="AW136" s="187"/>
      <c r="AX136" s="187"/>
      <c r="AY136" s="187"/>
      <c r="AZ136" s="186">
        <f>SUM(AN136:AY136)</f>
        <v>0</v>
      </c>
      <c r="BB136" s="187"/>
      <c r="BC136" s="187"/>
      <c r="BD136" s="187"/>
      <c r="BE136" s="187"/>
      <c r="BF136" s="187"/>
      <c r="BG136" s="187"/>
      <c r="BH136" s="187"/>
      <c r="BI136" s="187"/>
      <c r="BJ136" s="187"/>
      <c r="BK136" s="187"/>
      <c r="BL136" s="187"/>
      <c r="BM136" s="187"/>
      <c r="BN136" s="186">
        <f>SUM(BB136:BM136)</f>
        <v>0</v>
      </c>
      <c r="BP136" s="202"/>
      <c r="BQ136" s="202"/>
      <c r="BR136" s="202"/>
      <c r="BS136" s="202"/>
      <c r="BT136" s="202"/>
      <c r="BU136" s="202"/>
      <c r="BV136" s="202"/>
      <c r="BW136" s="202"/>
      <c r="BX136" s="202"/>
      <c r="BY136" s="202"/>
      <c r="BZ136" s="202"/>
      <c r="CA136" s="202"/>
      <c r="CB136" s="201"/>
    </row>
    <row r="137" spans="1:80" ht="11.95" x14ac:dyDescent="0.25">
      <c r="C137" s="19" t="str">
        <f>"Total "&amp;C134</f>
        <v>Total Income Tax Expense/Benefit</v>
      </c>
      <c r="D137" s="19"/>
      <c r="E137" s="19"/>
      <c r="F137" s="19"/>
      <c r="G137" s="19"/>
      <c r="H137" s="188"/>
      <c r="I137" s="188"/>
      <c r="J137" s="188"/>
      <c r="K137" s="188">
        <v>-1</v>
      </c>
      <c r="L137" s="188">
        <f t="shared" ref="L137:X137" si="133">SUMIFS(L135:L136,$H135:$H136,"&lt;&gt;"&amp;$H$18,$D135:$D136,"&lt;&gt;*[-]*",$E135:$E136,"&lt;&gt;*[-]*",$F135:$F136,"&lt;&gt;*[-]*",$G135:$G136,"Income Tax Expense/Benefit")</f>
        <v>0</v>
      </c>
      <c r="M137" s="188">
        <f t="shared" si="133"/>
        <v>0</v>
      </c>
      <c r="N137" s="188">
        <f t="shared" si="133"/>
        <v>0</v>
      </c>
      <c r="O137" s="188">
        <f t="shared" si="133"/>
        <v>0</v>
      </c>
      <c r="P137" s="188">
        <f t="shared" si="133"/>
        <v>0</v>
      </c>
      <c r="Q137" s="188">
        <f t="shared" si="133"/>
        <v>0</v>
      </c>
      <c r="R137" s="188">
        <f t="shared" si="133"/>
        <v>0</v>
      </c>
      <c r="S137" s="188">
        <f t="shared" si="133"/>
        <v>0</v>
      </c>
      <c r="T137" s="188">
        <f t="shared" si="133"/>
        <v>0</v>
      </c>
      <c r="U137" s="188">
        <f t="shared" si="133"/>
        <v>0</v>
      </c>
      <c r="V137" s="188">
        <f t="shared" si="133"/>
        <v>0</v>
      </c>
      <c r="W137" s="188">
        <f t="shared" si="133"/>
        <v>0</v>
      </c>
      <c r="X137" s="189">
        <f t="shared" si="133"/>
        <v>0</v>
      </c>
      <c r="Z137" s="188">
        <f t="shared" ref="Z137:AL137" si="134">SUMIFS(Z135:Z136,$H135:$H136,"&lt;&gt;"&amp;$H$18,$D135:$D136,"&lt;&gt;*[-]*",$E135:$E136,"&lt;&gt;*[-]*",$F135:$F136,"&lt;&gt;*[-]*",$G135:$G136,"Income Tax Expense/Benefit")</f>
        <v>0</v>
      </c>
      <c r="AA137" s="188">
        <f t="shared" si="134"/>
        <v>0</v>
      </c>
      <c r="AB137" s="188">
        <f t="shared" si="134"/>
        <v>0</v>
      </c>
      <c r="AC137" s="188">
        <f t="shared" si="134"/>
        <v>0</v>
      </c>
      <c r="AD137" s="188">
        <f t="shared" si="134"/>
        <v>0</v>
      </c>
      <c r="AE137" s="188">
        <f t="shared" si="134"/>
        <v>0</v>
      </c>
      <c r="AF137" s="188">
        <f t="shared" si="134"/>
        <v>0</v>
      </c>
      <c r="AG137" s="188">
        <f t="shared" si="134"/>
        <v>0</v>
      </c>
      <c r="AH137" s="188">
        <f t="shared" si="134"/>
        <v>0</v>
      </c>
      <c r="AI137" s="188">
        <f t="shared" si="134"/>
        <v>0</v>
      </c>
      <c r="AJ137" s="188">
        <f t="shared" si="134"/>
        <v>0</v>
      </c>
      <c r="AK137" s="188">
        <f t="shared" si="134"/>
        <v>0</v>
      </c>
      <c r="AL137" s="189">
        <f t="shared" si="134"/>
        <v>0</v>
      </c>
      <c r="AN137" s="188">
        <f t="shared" ref="AN137:AZ137" si="135">SUMIFS(AN135:AN136,$H135:$H136,"&lt;&gt;"&amp;$H$18,$D135:$D136,"&lt;&gt;*[-]*",$E135:$E136,"&lt;&gt;*[-]*",$F135:$F136,"&lt;&gt;*[-]*",$G135:$G136,"Income Tax Expense/Benefit")</f>
        <v>0</v>
      </c>
      <c r="AO137" s="188">
        <f t="shared" si="135"/>
        <v>0</v>
      </c>
      <c r="AP137" s="188">
        <f t="shared" si="135"/>
        <v>0</v>
      </c>
      <c r="AQ137" s="188">
        <f t="shared" si="135"/>
        <v>0</v>
      </c>
      <c r="AR137" s="188">
        <f t="shared" si="135"/>
        <v>0</v>
      </c>
      <c r="AS137" s="188">
        <f t="shared" si="135"/>
        <v>0</v>
      </c>
      <c r="AT137" s="188">
        <f t="shared" si="135"/>
        <v>0</v>
      </c>
      <c r="AU137" s="188">
        <f t="shared" si="135"/>
        <v>0</v>
      </c>
      <c r="AV137" s="188">
        <f t="shared" si="135"/>
        <v>0</v>
      </c>
      <c r="AW137" s="188">
        <f t="shared" si="135"/>
        <v>0</v>
      </c>
      <c r="AX137" s="188">
        <f t="shared" si="135"/>
        <v>0</v>
      </c>
      <c r="AY137" s="188">
        <f t="shared" si="135"/>
        <v>0</v>
      </c>
      <c r="AZ137" s="189">
        <f t="shared" si="135"/>
        <v>0</v>
      </c>
      <c r="BB137" s="188">
        <f t="shared" ref="BB137:BN137" si="136">SUMIFS(BB135:BB136,$H135:$H136,"&lt;&gt;"&amp;$H$18,$D135:$D136,"&lt;&gt;*[-]*",$E135:$E136,"&lt;&gt;*[-]*",$F135:$F136,"&lt;&gt;*[-]*",$G135:$G136,"Income Tax Expense/Benefit")</f>
        <v>0</v>
      </c>
      <c r="BC137" s="188">
        <f t="shared" si="136"/>
        <v>0</v>
      </c>
      <c r="BD137" s="188">
        <f t="shared" si="136"/>
        <v>0</v>
      </c>
      <c r="BE137" s="188">
        <f t="shared" si="136"/>
        <v>0</v>
      </c>
      <c r="BF137" s="188">
        <f t="shared" si="136"/>
        <v>0</v>
      </c>
      <c r="BG137" s="188">
        <f t="shared" si="136"/>
        <v>0</v>
      </c>
      <c r="BH137" s="188">
        <f t="shared" si="136"/>
        <v>0</v>
      </c>
      <c r="BI137" s="188">
        <f t="shared" si="136"/>
        <v>0</v>
      </c>
      <c r="BJ137" s="188">
        <f t="shared" si="136"/>
        <v>0</v>
      </c>
      <c r="BK137" s="188">
        <f t="shared" si="136"/>
        <v>0</v>
      </c>
      <c r="BL137" s="188">
        <f t="shared" si="136"/>
        <v>0</v>
      </c>
      <c r="BM137" s="188">
        <f t="shared" si="136"/>
        <v>0</v>
      </c>
      <c r="BN137" s="189">
        <f t="shared" si="136"/>
        <v>0</v>
      </c>
      <c r="BP137" s="203">
        <f t="shared" ref="BP137:CB137" si="137">SUMIFS(BP135:BP136,$H135:$H136,"&lt;&gt;"&amp;$H$18,$D135:$D136,"&lt;&gt;*[-]*",$E135:$E136,"&lt;&gt;*[-]*",$F135:$F136,"&lt;&gt;*[-]*",$G135:$G136,"&lt;&gt;*[-]*")</f>
        <v>0</v>
      </c>
      <c r="BQ137" s="203">
        <f t="shared" si="137"/>
        <v>0</v>
      </c>
      <c r="BR137" s="203">
        <f t="shared" si="137"/>
        <v>0</v>
      </c>
      <c r="BS137" s="203">
        <f t="shared" si="137"/>
        <v>0</v>
      </c>
      <c r="BT137" s="203">
        <f t="shared" si="137"/>
        <v>0</v>
      </c>
      <c r="BU137" s="203">
        <f t="shared" si="137"/>
        <v>0</v>
      </c>
      <c r="BV137" s="203">
        <f t="shared" si="137"/>
        <v>0</v>
      </c>
      <c r="BW137" s="203">
        <f t="shared" si="137"/>
        <v>0</v>
      </c>
      <c r="BX137" s="203">
        <f t="shared" si="137"/>
        <v>0</v>
      </c>
      <c r="BY137" s="203">
        <f t="shared" si="137"/>
        <v>0</v>
      </c>
      <c r="BZ137" s="203">
        <f t="shared" si="137"/>
        <v>0</v>
      </c>
      <c r="CA137" s="203">
        <f t="shared" si="137"/>
        <v>0</v>
      </c>
      <c r="CB137" s="204">
        <f t="shared" si="137"/>
        <v>0</v>
      </c>
    </row>
    <row r="139" spans="1:80" ht="12.45" thickBot="1" x14ac:dyDescent="0.3">
      <c r="C139" s="4" t="s">
        <v>28</v>
      </c>
      <c r="D139" s="4"/>
      <c r="E139" s="4"/>
      <c r="F139" s="4"/>
      <c r="G139" s="4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P139" s="133"/>
      <c r="BQ139" s="133"/>
      <c r="BR139" s="133"/>
      <c r="BS139" s="133"/>
      <c r="BT139" s="133"/>
      <c r="BU139" s="133"/>
      <c r="BV139" s="133"/>
      <c r="BW139" s="133"/>
      <c r="BX139" s="133"/>
      <c r="BY139" s="133"/>
      <c r="BZ139" s="133"/>
      <c r="CA139" s="133"/>
      <c r="CB139" s="133"/>
    </row>
    <row r="140" spans="1:80" ht="11.95" hidden="1" thickBot="1" x14ac:dyDescent="0.3">
      <c r="A140" t="s">
        <v>1</v>
      </c>
      <c r="E140" s="3"/>
      <c r="F140" s="3"/>
      <c r="G140" s="3" t="s">
        <v>28</v>
      </c>
      <c r="H140" s="18"/>
      <c r="I140" s="18"/>
      <c r="J140" s="18"/>
      <c r="K140" s="185"/>
      <c r="L140" s="78">
        <v>30811.37</v>
      </c>
      <c r="M140" s="78">
        <v>29861.69</v>
      </c>
      <c r="N140" s="78">
        <v>32170.12</v>
      </c>
      <c r="O140" s="78">
        <v>29777</v>
      </c>
      <c r="P140" s="78">
        <v>29603.67</v>
      </c>
      <c r="Q140" s="78">
        <v>31932.9</v>
      </c>
      <c r="R140" s="78">
        <v>29506.86</v>
      </c>
      <c r="S140" s="78">
        <v>29507.06</v>
      </c>
      <c r="T140" s="78">
        <v>29015.67</v>
      </c>
      <c r="U140" s="78">
        <v>29883.58</v>
      </c>
      <c r="V140" s="78">
        <v>31174.86</v>
      </c>
      <c r="W140" s="78">
        <v>36881.449999999997</v>
      </c>
      <c r="X140" s="78">
        <f>SUM(L140:W140)</f>
        <v>370126.23</v>
      </c>
      <c r="Z140" s="185">
        <v>32278.14</v>
      </c>
      <c r="AA140" s="185">
        <v>0</v>
      </c>
      <c r="AB140" s="185">
        <v>0</v>
      </c>
      <c r="AC140" s="185">
        <v>0</v>
      </c>
      <c r="AD140" s="185">
        <v>0</v>
      </c>
      <c r="AE140" s="185">
        <v>0</v>
      </c>
      <c r="AF140" s="185">
        <v>0</v>
      </c>
      <c r="AG140" s="185">
        <v>0</v>
      </c>
      <c r="AH140" s="185">
        <v>0</v>
      </c>
      <c r="AI140" s="185">
        <v>0</v>
      </c>
      <c r="AJ140" s="185">
        <v>0</v>
      </c>
      <c r="AK140" s="185">
        <v>0</v>
      </c>
      <c r="AL140" s="186">
        <f>SUM(Z140:AK140)</f>
        <v>32278.14</v>
      </c>
      <c r="AN140" s="187">
        <v>0</v>
      </c>
      <c r="AO140" s="187">
        <v>0</v>
      </c>
      <c r="AP140" s="187">
        <v>0</v>
      </c>
      <c r="AQ140" s="187">
        <v>0</v>
      </c>
      <c r="AR140" s="187">
        <v>0</v>
      </c>
      <c r="AS140" s="187">
        <v>0</v>
      </c>
      <c r="AT140" s="187">
        <v>0</v>
      </c>
      <c r="AU140" s="187">
        <v>0</v>
      </c>
      <c r="AV140" s="187">
        <v>0</v>
      </c>
      <c r="AW140" s="187">
        <v>0</v>
      </c>
      <c r="AX140" s="187">
        <v>0</v>
      </c>
      <c r="AY140" s="187">
        <v>0</v>
      </c>
      <c r="AZ140" s="186">
        <f>SUM(AN140:AY140)</f>
        <v>0</v>
      </c>
      <c r="BB140" s="187">
        <v>0</v>
      </c>
      <c r="BC140" s="187">
        <v>0</v>
      </c>
      <c r="BD140" s="187">
        <v>0</v>
      </c>
      <c r="BE140" s="187">
        <v>0</v>
      </c>
      <c r="BF140" s="187">
        <v>0</v>
      </c>
      <c r="BG140" s="187">
        <v>0</v>
      </c>
      <c r="BH140" s="187">
        <v>0</v>
      </c>
      <c r="BI140" s="187">
        <v>0</v>
      </c>
      <c r="BJ140" s="187">
        <v>0</v>
      </c>
      <c r="BK140" s="187">
        <v>0</v>
      </c>
      <c r="BL140" s="187">
        <v>0</v>
      </c>
      <c r="BM140" s="187">
        <v>0</v>
      </c>
      <c r="BN140" s="186">
        <f>SUM(BB140:BM140)</f>
        <v>0</v>
      </c>
      <c r="BP140" s="202"/>
      <c r="BQ140" s="202"/>
      <c r="BR140" s="202"/>
      <c r="BS140" s="202"/>
      <c r="BT140" s="202"/>
      <c r="BU140" s="202"/>
      <c r="BV140" s="202"/>
      <c r="BW140" s="202"/>
      <c r="BX140" s="202"/>
      <c r="BY140" s="202"/>
      <c r="BZ140" s="202"/>
      <c r="CA140" s="202"/>
      <c r="CB140" s="201">
        <f>SUM(BP140:CA140)</f>
        <v>0</v>
      </c>
    </row>
    <row r="141" spans="1:80" ht="11.95" hidden="1" thickBot="1" x14ac:dyDescent="0.3">
      <c r="A141" t="str">
        <f t="shared" ref="A141" si="138">IF(LEFT(G141,3)="Mul", "#hiderow", "#showrow")</f>
        <v>#hiderow</v>
      </c>
      <c r="E141" s="3"/>
      <c r="F141" s="3"/>
      <c r="G141" s="3" t="s">
        <v>6</v>
      </c>
      <c r="H141" s="18"/>
      <c r="I141" s="18"/>
      <c r="J141" s="18"/>
      <c r="K141" s="185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>
        <f>SUM(L141:W141)</f>
        <v>0</v>
      </c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6"/>
      <c r="AN141" s="187"/>
      <c r="AO141" s="187"/>
      <c r="AP141" s="187"/>
      <c r="AQ141" s="187"/>
      <c r="AR141" s="187"/>
      <c r="AS141" s="187"/>
      <c r="AT141" s="187"/>
      <c r="AU141" s="187"/>
      <c r="AV141" s="187"/>
      <c r="AW141" s="187"/>
      <c r="AX141" s="187"/>
      <c r="AY141" s="187"/>
      <c r="AZ141" s="186"/>
      <c r="BB141" s="187"/>
      <c r="BC141" s="187"/>
      <c r="BD141" s="187"/>
      <c r="BE141" s="187"/>
      <c r="BF141" s="187"/>
      <c r="BG141" s="187"/>
      <c r="BH141" s="187"/>
      <c r="BI141" s="187"/>
      <c r="BJ141" s="187"/>
      <c r="BK141" s="187"/>
      <c r="BL141" s="187"/>
      <c r="BM141" s="187"/>
      <c r="BN141" s="186"/>
      <c r="BP141" s="202"/>
      <c r="BQ141" s="202"/>
      <c r="BR141" s="202"/>
      <c r="BS141" s="202"/>
      <c r="BT141" s="202"/>
      <c r="BU141" s="202"/>
      <c r="BV141" s="202"/>
      <c r="BW141" s="202"/>
      <c r="BX141" s="202"/>
      <c r="BY141" s="202"/>
      <c r="BZ141" s="202"/>
      <c r="CA141" s="202"/>
      <c r="CB141" s="201"/>
    </row>
    <row r="142" spans="1:80" ht="11.95" thickBot="1" x14ac:dyDescent="0.3">
      <c r="A142" t="str">
        <f t="shared" ref="A142:A146" si="139">IF(LEFT(G142,3)="Mul", "#hiderow", "#showrow")</f>
        <v>#showrow</v>
      </c>
      <c r="E142" s="3"/>
      <c r="F142" s="3"/>
      <c r="G142" s="3" t="s">
        <v>175</v>
      </c>
      <c r="H142" s="18"/>
      <c r="I142" s="18"/>
      <c r="J142" s="18"/>
      <c r="K142" s="185"/>
      <c r="L142" s="78">
        <v>2280.38</v>
      </c>
      <c r="M142" s="78">
        <v>2280.4</v>
      </c>
      <c r="N142" s="78">
        <v>2765.1</v>
      </c>
      <c r="O142" s="78">
        <v>2195.87</v>
      </c>
      <c r="P142" s="78">
        <v>2022.31</v>
      </c>
      <c r="Q142" s="78">
        <v>2527.92</v>
      </c>
      <c r="R142" s="78">
        <v>1925.68</v>
      </c>
      <c r="S142" s="78">
        <v>1925.71</v>
      </c>
      <c r="T142" s="78">
        <v>2442.7199999999998</v>
      </c>
      <c r="U142" s="78">
        <v>2000.91</v>
      </c>
      <c r="V142" s="78">
        <v>3065.54</v>
      </c>
      <c r="W142" s="78">
        <v>2498.16</v>
      </c>
      <c r="X142" s="78">
        <f t="shared" ref="X142:X146" si="140">SUM(L142:W142)</f>
        <v>27930.7</v>
      </c>
      <c r="Z142" s="185">
        <v>1724.94</v>
      </c>
      <c r="AA142" s="185"/>
      <c r="AB142" s="185"/>
      <c r="AC142" s="185"/>
      <c r="AD142" s="185"/>
      <c r="AE142" s="185"/>
      <c r="AF142" s="185"/>
      <c r="AG142" s="185"/>
      <c r="AH142" s="185"/>
      <c r="AI142" s="185"/>
      <c r="AJ142" s="185"/>
      <c r="AK142" s="185"/>
      <c r="AL142" s="186"/>
      <c r="AN142" s="187"/>
      <c r="AO142" s="187"/>
      <c r="AP142" s="187"/>
      <c r="AQ142" s="187"/>
      <c r="AR142" s="187"/>
      <c r="AS142" s="187"/>
      <c r="AT142" s="187"/>
      <c r="AU142" s="187"/>
      <c r="AV142" s="187"/>
      <c r="AW142" s="187"/>
      <c r="AX142" s="187"/>
      <c r="AY142" s="187"/>
      <c r="AZ142" s="186"/>
      <c r="BB142" s="187"/>
      <c r="BC142" s="187"/>
      <c r="BD142" s="187"/>
      <c r="BE142" s="187"/>
      <c r="BF142" s="187"/>
      <c r="BG142" s="187"/>
      <c r="BH142" s="187"/>
      <c r="BI142" s="187"/>
      <c r="BJ142" s="187"/>
      <c r="BK142" s="187"/>
      <c r="BL142" s="187"/>
      <c r="BM142" s="187"/>
      <c r="BN142" s="186"/>
      <c r="BP142" s="202"/>
      <c r="BQ142" s="202"/>
      <c r="BR142" s="202"/>
      <c r="BS142" s="202"/>
      <c r="BT142" s="202"/>
      <c r="BU142" s="202"/>
      <c r="BV142" s="202"/>
      <c r="BW142" s="202"/>
      <c r="BX142" s="202"/>
      <c r="BY142" s="202"/>
      <c r="BZ142" s="202"/>
      <c r="CA142" s="202"/>
      <c r="CB142" s="201"/>
    </row>
    <row r="143" spans="1:80" ht="11.95" thickBot="1" x14ac:dyDescent="0.3">
      <c r="A143" t="str">
        <f t="shared" si="139"/>
        <v>#showrow</v>
      </c>
      <c r="E143" s="3"/>
      <c r="F143" s="3"/>
      <c r="G143" s="3" t="s">
        <v>176</v>
      </c>
      <c r="H143" s="18"/>
      <c r="I143" s="18"/>
      <c r="J143" s="18"/>
      <c r="K143" s="185"/>
      <c r="L143" s="78">
        <v>425.71</v>
      </c>
      <c r="M143" s="78">
        <v>425.7</v>
      </c>
      <c r="N143" s="78">
        <v>532.13</v>
      </c>
      <c r="O143" s="78">
        <v>425.69</v>
      </c>
      <c r="P143" s="78">
        <v>425.71</v>
      </c>
      <c r="Q143" s="78">
        <v>532.13</v>
      </c>
      <c r="R143" s="78">
        <v>425.7</v>
      </c>
      <c r="S143" s="78">
        <v>425.7</v>
      </c>
      <c r="T143" s="78">
        <v>532.14</v>
      </c>
      <c r="U143" s="78">
        <v>425.69</v>
      </c>
      <c r="V143" s="78">
        <v>450.37</v>
      </c>
      <c r="W143" s="78">
        <v>621.12</v>
      </c>
      <c r="X143" s="78">
        <f t="shared" si="140"/>
        <v>5647.7899999999991</v>
      </c>
      <c r="Z143" s="185">
        <v>456.66</v>
      </c>
      <c r="AA143" s="185"/>
      <c r="AB143" s="185"/>
      <c r="AC143" s="185"/>
      <c r="AD143" s="185"/>
      <c r="AE143" s="185"/>
      <c r="AF143" s="185"/>
      <c r="AG143" s="185"/>
      <c r="AH143" s="185"/>
      <c r="AI143" s="185"/>
      <c r="AJ143" s="185"/>
      <c r="AK143" s="185"/>
      <c r="AL143" s="186"/>
      <c r="AN143" s="187"/>
      <c r="AO143" s="187"/>
      <c r="AP143" s="187"/>
      <c r="AQ143" s="187"/>
      <c r="AR143" s="187"/>
      <c r="AS143" s="187"/>
      <c r="AT143" s="187"/>
      <c r="AU143" s="187"/>
      <c r="AV143" s="187"/>
      <c r="AW143" s="187"/>
      <c r="AX143" s="187"/>
      <c r="AY143" s="187"/>
      <c r="AZ143" s="186"/>
      <c r="BB143" s="187"/>
      <c r="BC143" s="187"/>
      <c r="BD143" s="187"/>
      <c r="BE143" s="187"/>
      <c r="BF143" s="187"/>
      <c r="BG143" s="187"/>
      <c r="BH143" s="187"/>
      <c r="BI143" s="187"/>
      <c r="BJ143" s="187"/>
      <c r="BK143" s="187"/>
      <c r="BL143" s="187"/>
      <c r="BM143" s="187"/>
      <c r="BN143" s="186"/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1"/>
    </row>
    <row r="144" spans="1:80" ht="11.95" thickBot="1" x14ac:dyDescent="0.3">
      <c r="A144" t="str">
        <f t="shared" si="139"/>
        <v>#showrow</v>
      </c>
      <c r="E144" s="3"/>
      <c r="F144" s="3"/>
      <c r="G144" s="3" t="s">
        <v>177</v>
      </c>
      <c r="H144" s="18"/>
      <c r="I144" s="18"/>
      <c r="J144" s="18"/>
      <c r="K144" s="185"/>
      <c r="L144" s="78">
        <v>1828.85</v>
      </c>
      <c r="M144" s="78">
        <v>1828.86</v>
      </c>
      <c r="N144" s="78">
        <v>2286.12</v>
      </c>
      <c r="O144" s="78">
        <v>1828.79</v>
      </c>
      <c r="P144" s="78">
        <v>1828.89</v>
      </c>
      <c r="Q144" s="78">
        <v>2286.09</v>
      </c>
      <c r="R144" s="78">
        <v>1828.82</v>
      </c>
      <c r="S144" s="78">
        <v>1828.87</v>
      </c>
      <c r="T144" s="78">
        <v>2643.92</v>
      </c>
      <c r="U144" s="78">
        <v>2130.3200000000002</v>
      </c>
      <c r="V144" s="78">
        <v>2279.98</v>
      </c>
      <c r="W144" s="78">
        <v>2680.63</v>
      </c>
      <c r="X144" s="78">
        <f t="shared" si="140"/>
        <v>25280.14</v>
      </c>
      <c r="Z144" s="185">
        <v>2524.13</v>
      </c>
      <c r="AA144" s="185"/>
      <c r="AB144" s="185"/>
      <c r="AC144" s="185"/>
      <c r="AD144" s="185"/>
      <c r="AE144" s="185"/>
      <c r="AF144" s="185"/>
      <c r="AG144" s="185"/>
      <c r="AH144" s="185"/>
      <c r="AI144" s="185"/>
      <c r="AJ144" s="185"/>
      <c r="AK144" s="185"/>
      <c r="AL144" s="186"/>
      <c r="AN144" s="187"/>
      <c r="AO144" s="187"/>
      <c r="AP144" s="187"/>
      <c r="AQ144" s="187"/>
      <c r="AR144" s="187"/>
      <c r="AS144" s="187"/>
      <c r="AT144" s="187"/>
      <c r="AU144" s="187"/>
      <c r="AV144" s="187"/>
      <c r="AW144" s="187"/>
      <c r="AX144" s="187"/>
      <c r="AY144" s="187"/>
      <c r="AZ144" s="186"/>
      <c r="BB144" s="187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187"/>
      <c r="BM144" s="187"/>
      <c r="BN144" s="186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1"/>
    </row>
    <row r="145" spans="1:80" ht="11.95" thickBot="1" x14ac:dyDescent="0.3">
      <c r="A145" t="str">
        <f t="shared" si="139"/>
        <v>#showrow</v>
      </c>
      <c r="E145" s="3"/>
      <c r="F145" s="3"/>
      <c r="G145" s="3" t="s">
        <v>178</v>
      </c>
      <c r="H145" s="18"/>
      <c r="I145" s="18"/>
      <c r="J145" s="18"/>
      <c r="K145" s="185"/>
      <c r="L145" s="78">
        <v>21236.58</v>
      </c>
      <c r="M145" s="78">
        <v>20286.89</v>
      </c>
      <c r="N145" s="78">
        <v>20286.89</v>
      </c>
      <c r="O145" s="78">
        <v>20286.89</v>
      </c>
      <c r="P145" s="78">
        <v>20286.89</v>
      </c>
      <c r="Q145" s="78">
        <v>20286.89</v>
      </c>
      <c r="R145" s="78">
        <v>20286.89</v>
      </c>
      <c r="S145" s="78">
        <v>20286.89</v>
      </c>
      <c r="T145" s="78">
        <v>17097.07</v>
      </c>
      <c r="U145" s="78">
        <v>20286.89</v>
      </c>
      <c r="V145" s="78">
        <v>20286.89</v>
      </c>
      <c r="W145" s="78">
        <v>24766.37</v>
      </c>
      <c r="X145" s="78">
        <f t="shared" si="140"/>
        <v>245682.03000000003</v>
      </c>
      <c r="Z145" s="185">
        <v>22526.63</v>
      </c>
      <c r="AA145" s="185"/>
      <c r="AB145" s="185"/>
      <c r="AC145" s="185"/>
      <c r="AD145" s="185"/>
      <c r="AE145" s="185"/>
      <c r="AF145" s="185"/>
      <c r="AG145" s="185"/>
      <c r="AH145" s="185"/>
      <c r="AI145" s="185"/>
      <c r="AJ145" s="185"/>
      <c r="AK145" s="185"/>
      <c r="AL145" s="186"/>
      <c r="AN145" s="187"/>
      <c r="AO145" s="187"/>
      <c r="AP145" s="187"/>
      <c r="AQ145" s="187"/>
      <c r="AR145" s="187"/>
      <c r="AS145" s="187"/>
      <c r="AT145" s="187"/>
      <c r="AU145" s="187"/>
      <c r="AV145" s="187"/>
      <c r="AW145" s="187"/>
      <c r="AX145" s="187"/>
      <c r="AY145" s="187"/>
      <c r="AZ145" s="186"/>
      <c r="BB145" s="187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187"/>
      <c r="BM145" s="187"/>
      <c r="BN145" s="186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1"/>
    </row>
    <row r="146" spans="1:80" ht="11.95" thickBot="1" x14ac:dyDescent="0.3">
      <c r="A146" t="str">
        <f t="shared" si="139"/>
        <v>#showrow</v>
      </c>
      <c r="E146" s="3"/>
      <c r="F146" s="3"/>
      <c r="G146" s="3" t="s">
        <v>179</v>
      </c>
      <c r="H146" s="18"/>
      <c r="I146" s="18"/>
      <c r="J146" s="18"/>
      <c r="K146" s="185"/>
      <c r="L146" s="78">
        <v>5039.8500000000004</v>
      </c>
      <c r="M146" s="78">
        <v>5039.84</v>
      </c>
      <c r="N146" s="78">
        <v>6299.88</v>
      </c>
      <c r="O146" s="78">
        <v>5039.76</v>
      </c>
      <c r="P146" s="78">
        <v>5039.87</v>
      </c>
      <c r="Q146" s="78">
        <v>6299.87</v>
      </c>
      <c r="R146" s="78">
        <v>5039.7700000000004</v>
      </c>
      <c r="S146" s="78">
        <v>5039.8900000000003</v>
      </c>
      <c r="T146" s="78">
        <v>6299.82</v>
      </c>
      <c r="U146" s="78">
        <v>5039.7700000000004</v>
      </c>
      <c r="V146" s="78">
        <v>5092.08</v>
      </c>
      <c r="W146" s="78">
        <v>6315.17</v>
      </c>
      <c r="X146" s="78">
        <f t="shared" si="140"/>
        <v>65585.569999999992</v>
      </c>
      <c r="Z146" s="185">
        <v>5045.78</v>
      </c>
      <c r="AA146" s="185"/>
      <c r="AB146" s="185"/>
      <c r="AC146" s="185"/>
      <c r="AD146" s="185"/>
      <c r="AE146" s="185"/>
      <c r="AF146" s="185"/>
      <c r="AG146" s="185"/>
      <c r="AH146" s="185"/>
      <c r="AI146" s="185"/>
      <c r="AJ146" s="185"/>
      <c r="AK146" s="185"/>
      <c r="AL146" s="186"/>
      <c r="AN146" s="187"/>
      <c r="AO146" s="187"/>
      <c r="AP146" s="187"/>
      <c r="AQ146" s="187"/>
      <c r="AR146" s="187"/>
      <c r="AS146" s="187"/>
      <c r="AT146" s="187"/>
      <c r="AU146" s="187"/>
      <c r="AV146" s="187"/>
      <c r="AW146" s="187"/>
      <c r="AX146" s="187"/>
      <c r="AY146" s="187"/>
      <c r="AZ146" s="186"/>
      <c r="BB146" s="187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187"/>
      <c r="BM146" s="187"/>
      <c r="BN146" s="186"/>
      <c r="BP146" s="202"/>
      <c r="BQ146" s="202"/>
      <c r="BR146" s="202"/>
      <c r="BS146" s="202"/>
      <c r="BT146" s="202"/>
      <c r="BU146" s="202"/>
      <c r="BV146" s="202"/>
      <c r="BW146" s="202"/>
      <c r="BX146" s="202"/>
      <c r="BY146" s="202"/>
      <c r="BZ146" s="202"/>
      <c r="CA146" s="202"/>
      <c r="CB146" s="201"/>
    </row>
    <row r="147" spans="1:80" ht="11.95" x14ac:dyDescent="0.25">
      <c r="C147" s="19" t="str">
        <f>"Total "&amp;C139</f>
        <v>Total Depreciation &amp; Amortization</v>
      </c>
      <c r="D147" s="19"/>
      <c r="E147" s="19"/>
      <c r="F147" s="19"/>
      <c r="G147" s="19"/>
      <c r="H147" s="188"/>
      <c r="I147" s="188"/>
      <c r="J147" s="188"/>
      <c r="K147" s="188">
        <v>-1</v>
      </c>
      <c r="L147" s="188">
        <f t="shared" ref="L147:X147" si="141">SUMIFS(L140:L141,$H140:$H141,"&lt;&gt;"&amp;$H$18,$D140:$D141,"&lt;&gt;*[-]*",$E140:$E141,"&lt;&gt;*[-]*",$F140:$F141,"&lt;&gt;*[-]*",$G140:$G141,"Depreciation &amp; Amortization")</f>
        <v>30811.37</v>
      </c>
      <c r="M147" s="188">
        <f t="shared" si="141"/>
        <v>29861.69</v>
      </c>
      <c r="N147" s="188">
        <f t="shared" si="141"/>
        <v>32170.12</v>
      </c>
      <c r="O147" s="188">
        <f t="shared" si="141"/>
        <v>29777</v>
      </c>
      <c r="P147" s="188">
        <f t="shared" si="141"/>
        <v>29603.67</v>
      </c>
      <c r="Q147" s="188">
        <f t="shared" si="141"/>
        <v>31932.9</v>
      </c>
      <c r="R147" s="188">
        <f t="shared" si="141"/>
        <v>29506.86</v>
      </c>
      <c r="S147" s="188">
        <f t="shared" si="141"/>
        <v>29507.06</v>
      </c>
      <c r="T147" s="188">
        <f t="shared" si="141"/>
        <v>29015.67</v>
      </c>
      <c r="U147" s="188">
        <f t="shared" si="141"/>
        <v>29883.58</v>
      </c>
      <c r="V147" s="188">
        <f t="shared" si="141"/>
        <v>31174.86</v>
      </c>
      <c r="W147" s="188">
        <f t="shared" si="141"/>
        <v>36881.449999999997</v>
      </c>
      <c r="X147" s="189">
        <f t="shared" si="141"/>
        <v>370126.23</v>
      </c>
      <c r="Z147" s="188">
        <f t="shared" ref="Z147:AL147" si="142">SUMIFS(Z140:Z141,$H140:$H141,"&lt;&gt;"&amp;$H$18,$D140:$D141,"&lt;&gt;*[-]*",$E140:$E141,"&lt;&gt;*[-]*",$F140:$F141,"&lt;&gt;*[-]*",$G140:$G141,"Depreciation &amp; Amortization")</f>
        <v>32278.14</v>
      </c>
      <c r="AA147" s="188">
        <f t="shared" si="142"/>
        <v>0</v>
      </c>
      <c r="AB147" s="188">
        <f t="shared" si="142"/>
        <v>0</v>
      </c>
      <c r="AC147" s="188">
        <f t="shared" si="142"/>
        <v>0</v>
      </c>
      <c r="AD147" s="188">
        <f t="shared" si="142"/>
        <v>0</v>
      </c>
      <c r="AE147" s="188">
        <f t="shared" si="142"/>
        <v>0</v>
      </c>
      <c r="AF147" s="188">
        <f t="shared" si="142"/>
        <v>0</v>
      </c>
      <c r="AG147" s="188">
        <f t="shared" si="142"/>
        <v>0</v>
      </c>
      <c r="AH147" s="188">
        <f t="shared" si="142"/>
        <v>0</v>
      </c>
      <c r="AI147" s="188">
        <f t="shared" si="142"/>
        <v>0</v>
      </c>
      <c r="AJ147" s="188">
        <f t="shared" si="142"/>
        <v>0</v>
      </c>
      <c r="AK147" s="188">
        <f t="shared" si="142"/>
        <v>0</v>
      </c>
      <c r="AL147" s="189">
        <f t="shared" si="142"/>
        <v>32278.14</v>
      </c>
      <c r="AN147" s="188">
        <f t="shared" ref="AN147:AZ147" si="143">SUMIFS(AN140:AN141,$H140:$H141,"&lt;&gt;"&amp;$H$18,$D140:$D141,"&lt;&gt;*[-]*",$E140:$E141,"&lt;&gt;*[-]*",$F140:$F141,"&lt;&gt;*[-]*",$G140:$G141,"Depreciation &amp; Amortization")</f>
        <v>0</v>
      </c>
      <c r="AO147" s="188">
        <f t="shared" si="143"/>
        <v>0</v>
      </c>
      <c r="AP147" s="188">
        <f t="shared" si="143"/>
        <v>0</v>
      </c>
      <c r="AQ147" s="188">
        <f t="shared" si="143"/>
        <v>0</v>
      </c>
      <c r="AR147" s="188">
        <f t="shared" si="143"/>
        <v>0</v>
      </c>
      <c r="AS147" s="188">
        <f t="shared" si="143"/>
        <v>0</v>
      </c>
      <c r="AT147" s="188">
        <f t="shared" si="143"/>
        <v>0</v>
      </c>
      <c r="AU147" s="188">
        <f t="shared" si="143"/>
        <v>0</v>
      </c>
      <c r="AV147" s="188">
        <f t="shared" si="143"/>
        <v>0</v>
      </c>
      <c r="AW147" s="188">
        <f t="shared" si="143"/>
        <v>0</v>
      </c>
      <c r="AX147" s="188">
        <f t="shared" si="143"/>
        <v>0</v>
      </c>
      <c r="AY147" s="188">
        <f t="shared" si="143"/>
        <v>0</v>
      </c>
      <c r="AZ147" s="189">
        <f t="shared" si="143"/>
        <v>0</v>
      </c>
      <c r="BB147" s="188">
        <f t="shared" ref="BB147:BN147" si="144">SUMIFS(BB140:BB141,$H140:$H141,"&lt;&gt;"&amp;$H$18,$D140:$D141,"&lt;&gt;*[-]*",$E140:$E141,"&lt;&gt;*[-]*",$F140:$F141,"&lt;&gt;*[-]*",$G140:$G141,"Depreciation &amp; Amortization")</f>
        <v>0</v>
      </c>
      <c r="BC147" s="188">
        <f t="shared" si="144"/>
        <v>0</v>
      </c>
      <c r="BD147" s="188">
        <f t="shared" si="144"/>
        <v>0</v>
      </c>
      <c r="BE147" s="188">
        <f t="shared" si="144"/>
        <v>0</v>
      </c>
      <c r="BF147" s="188">
        <f t="shared" si="144"/>
        <v>0</v>
      </c>
      <c r="BG147" s="188">
        <f t="shared" si="144"/>
        <v>0</v>
      </c>
      <c r="BH147" s="188">
        <f t="shared" si="144"/>
        <v>0</v>
      </c>
      <c r="BI147" s="188">
        <f t="shared" si="144"/>
        <v>0</v>
      </c>
      <c r="BJ147" s="188">
        <f t="shared" si="144"/>
        <v>0</v>
      </c>
      <c r="BK147" s="188">
        <f t="shared" si="144"/>
        <v>0</v>
      </c>
      <c r="BL147" s="188">
        <f t="shared" si="144"/>
        <v>0</v>
      </c>
      <c r="BM147" s="188">
        <f t="shared" si="144"/>
        <v>0</v>
      </c>
      <c r="BN147" s="189">
        <f t="shared" si="144"/>
        <v>0</v>
      </c>
      <c r="BP147" s="203">
        <f t="shared" ref="BP147:CB147" si="145">SUMIFS(BP140:BP141,$H140:$H141,"&lt;&gt;"&amp;$H$18,$D140:$D141,"&lt;&gt;*[-]*",$E140:$E141,"&lt;&gt;*[-]*",$F140:$F141,"&lt;&gt;*[-]*",$G140:$G141,"&lt;&gt;*[-]*")</f>
        <v>0</v>
      </c>
      <c r="BQ147" s="203">
        <f t="shared" si="145"/>
        <v>0</v>
      </c>
      <c r="BR147" s="203">
        <f t="shared" si="145"/>
        <v>0</v>
      </c>
      <c r="BS147" s="203">
        <f t="shared" si="145"/>
        <v>0</v>
      </c>
      <c r="BT147" s="203">
        <f t="shared" si="145"/>
        <v>0</v>
      </c>
      <c r="BU147" s="203">
        <f t="shared" si="145"/>
        <v>0</v>
      </c>
      <c r="BV147" s="203">
        <f t="shared" si="145"/>
        <v>0</v>
      </c>
      <c r="BW147" s="203">
        <f t="shared" si="145"/>
        <v>0</v>
      </c>
      <c r="BX147" s="203">
        <f t="shared" si="145"/>
        <v>0</v>
      </c>
      <c r="BY147" s="203">
        <f t="shared" si="145"/>
        <v>0</v>
      </c>
      <c r="BZ147" s="203">
        <f t="shared" si="145"/>
        <v>0</v>
      </c>
      <c r="CA147" s="203">
        <f t="shared" si="145"/>
        <v>0</v>
      </c>
      <c r="CB147" s="204">
        <f t="shared" si="145"/>
        <v>0</v>
      </c>
    </row>
    <row r="149" spans="1:80" ht="12.45" thickBot="1" x14ac:dyDescent="0.3">
      <c r="C149" s="4" t="s">
        <v>29</v>
      </c>
      <c r="D149" s="4"/>
      <c r="E149" s="4"/>
      <c r="F149" s="4"/>
      <c r="G149" s="4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P149" s="133"/>
      <c r="BQ149" s="133"/>
      <c r="BR149" s="133"/>
      <c r="BS149" s="133"/>
      <c r="BT149" s="133"/>
      <c r="BU149" s="133"/>
      <c r="BV149" s="133"/>
      <c r="BW149" s="133"/>
      <c r="BX149" s="133"/>
      <c r="BY149" s="133"/>
      <c r="BZ149" s="133"/>
      <c r="CA149" s="133"/>
      <c r="CB149" s="133"/>
    </row>
    <row r="150" spans="1:80" ht="11.95" hidden="1" thickBot="1" x14ac:dyDescent="0.3">
      <c r="A150" t="s">
        <v>1</v>
      </c>
      <c r="E150" s="3"/>
      <c r="F150" s="3"/>
      <c r="G150" s="3" t="s">
        <v>119</v>
      </c>
      <c r="H150" s="18"/>
      <c r="I150" s="18"/>
      <c r="J150" s="18"/>
      <c r="K150" s="185"/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f>SUM(L150:W150)</f>
        <v>0</v>
      </c>
      <c r="Z150" s="185">
        <v>0</v>
      </c>
      <c r="AA150" s="185">
        <v>0</v>
      </c>
      <c r="AB150" s="185">
        <v>0</v>
      </c>
      <c r="AC150" s="185">
        <v>0</v>
      </c>
      <c r="AD150" s="185">
        <v>0</v>
      </c>
      <c r="AE150" s="185">
        <v>0</v>
      </c>
      <c r="AF150" s="185">
        <v>0</v>
      </c>
      <c r="AG150" s="185">
        <v>0</v>
      </c>
      <c r="AH150" s="185">
        <v>0</v>
      </c>
      <c r="AI150" s="185">
        <v>0</v>
      </c>
      <c r="AJ150" s="185">
        <v>0</v>
      </c>
      <c r="AK150" s="185">
        <v>0</v>
      </c>
      <c r="AL150" s="186">
        <f>SUM(Z150:AK150)</f>
        <v>0</v>
      </c>
      <c r="AN150" s="187">
        <v>0</v>
      </c>
      <c r="AO150" s="187">
        <v>0</v>
      </c>
      <c r="AP150" s="187">
        <v>0</v>
      </c>
      <c r="AQ150" s="187">
        <v>0</v>
      </c>
      <c r="AR150" s="187">
        <v>0</v>
      </c>
      <c r="AS150" s="187">
        <v>0</v>
      </c>
      <c r="AT150" s="187">
        <v>0</v>
      </c>
      <c r="AU150" s="187">
        <v>0</v>
      </c>
      <c r="AV150" s="187">
        <v>0</v>
      </c>
      <c r="AW150" s="187">
        <v>0</v>
      </c>
      <c r="AX150" s="187">
        <v>0</v>
      </c>
      <c r="AY150" s="187">
        <v>0</v>
      </c>
      <c r="AZ150" s="186">
        <f>SUM(AN150:AY150)</f>
        <v>0</v>
      </c>
      <c r="BB150" s="187">
        <v>0</v>
      </c>
      <c r="BC150" s="187">
        <v>0</v>
      </c>
      <c r="BD150" s="187">
        <v>0</v>
      </c>
      <c r="BE150" s="187">
        <v>0</v>
      </c>
      <c r="BF150" s="187">
        <v>0</v>
      </c>
      <c r="BG150" s="187">
        <v>0</v>
      </c>
      <c r="BH150" s="187">
        <v>0</v>
      </c>
      <c r="BI150" s="187">
        <v>0</v>
      </c>
      <c r="BJ150" s="187">
        <v>0</v>
      </c>
      <c r="BK150" s="187">
        <v>0</v>
      </c>
      <c r="BL150" s="187">
        <v>0</v>
      </c>
      <c r="BM150" s="187">
        <v>0</v>
      </c>
      <c r="BN150" s="186">
        <f>SUM(BB150:BM150)</f>
        <v>0</v>
      </c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1">
        <f>SUM(BP150:CA150)</f>
        <v>0</v>
      </c>
    </row>
    <row r="151" spans="1:80" ht="11.95" hidden="1" thickBot="1" x14ac:dyDescent="0.3">
      <c r="A151" t="str">
        <f>IF(LEFT(G151,3)="Mul", "#hiderow", "#showrow")</f>
        <v>#hiderow</v>
      </c>
      <c r="E151" s="3"/>
      <c r="F151" s="3"/>
      <c r="G151" s="3" t="s">
        <v>6</v>
      </c>
      <c r="H151" s="18"/>
      <c r="I151" s="18"/>
      <c r="J151" s="18"/>
      <c r="K151" s="185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6"/>
      <c r="AN151" s="187"/>
      <c r="AO151" s="187"/>
      <c r="AP151" s="187"/>
      <c r="AQ151" s="187"/>
      <c r="AR151" s="187"/>
      <c r="AS151" s="187"/>
      <c r="AT151" s="187"/>
      <c r="AU151" s="187"/>
      <c r="AV151" s="187"/>
      <c r="AW151" s="187"/>
      <c r="AX151" s="187"/>
      <c r="AY151" s="187"/>
      <c r="AZ151" s="186"/>
      <c r="BB151" s="187"/>
      <c r="BC151" s="187"/>
      <c r="BD151" s="187"/>
      <c r="BE151" s="187"/>
      <c r="BF151" s="187"/>
      <c r="BG151" s="187"/>
      <c r="BH151" s="187"/>
      <c r="BI151" s="187"/>
      <c r="BJ151" s="187"/>
      <c r="BK151" s="187"/>
      <c r="BL151" s="187"/>
      <c r="BM151" s="187"/>
      <c r="BN151" s="186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1"/>
    </row>
    <row r="152" spans="1:80" ht="11.95" x14ac:dyDescent="0.25">
      <c r="C152" s="19" t="str">
        <f>"Total "&amp;C149</f>
        <v>Total 6895 (Restructuring)</v>
      </c>
      <c r="D152" s="19"/>
      <c r="E152" s="19"/>
      <c r="F152" s="19"/>
      <c r="G152" s="19"/>
      <c r="H152" s="188"/>
      <c r="I152" s="188"/>
      <c r="J152" s="188"/>
      <c r="K152" s="188">
        <v>-1</v>
      </c>
      <c r="L152" s="188">
        <f t="shared" ref="L152:X152" si="146">SUMIFS(L150:L151,$H150:$H151,"&lt;&gt;"&amp;$H$18,$D150:$D151,"&lt;&gt;*[-]*",$E150:$E151,"&lt;&gt;*[-]*",$F150:$F151,"&lt;&gt;*[-]*",$G150:$G151,"Restructuring")</f>
        <v>0</v>
      </c>
      <c r="M152" s="188">
        <f t="shared" si="146"/>
        <v>0</v>
      </c>
      <c r="N152" s="188">
        <f t="shared" si="146"/>
        <v>0</v>
      </c>
      <c r="O152" s="188">
        <f t="shared" si="146"/>
        <v>0</v>
      </c>
      <c r="P152" s="188">
        <f t="shared" si="146"/>
        <v>0</v>
      </c>
      <c r="Q152" s="188">
        <f t="shared" si="146"/>
        <v>0</v>
      </c>
      <c r="R152" s="188">
        <f t="shared" si="146"/>
        <v>0</v>
      </c>
      <c r="S152" s="188">
        <f t="shared" si="146"/>
        <v>0</v>
      </c>
      <c r="T152" s="188">
        <f t="shared" si="146"/>
        <v>0</v>
      </c>
      <c r="U152" s="188">
        <f t="shared" si="146"/>
        <v>0</v>
      </c>
      <c r="V152" s="188">
        <f t="shared" si="146"/>
        <v>0</v>
      </c>
      <c r="W152" s="188">
        <f t="shared" si="146"/>
        <v>0</v>
      </c>
      <c r="X152" s="189">
        <f t="shared" si="146"/>
        <v>0</v>
      </c>
      <c r="Z152" s="188">
        <f t="shared" ref="Z152:AL152" si="147">SUMIFS(Z150:Z151,$H150:$H151,"&lt;&gt;"&amp;$H$18,$D150:$D151,"&lt;&gt;*[-]*",$E150:$E151,"&lt;&gt;*[-]*",$F150:$F151,"&lt;&gt;*[-]*",$G150:$G151,"Restructuring")</f>
        <v>0</v>
      </c>
      <c r="AA152" s="188">
        <f t="shared" si="147"/>
        <v>0</v>
      </c>
      <c r="AB152" s="188">
        <f t="shared" si="147"/>
        <v>0</v>
      </c>
      <c r="AC152" s="188">
        <f t="shared" si="147"/>
        <v>0</v>
      </c>
      <c r="AD152" s="188">
        <f t="shared" si="147"/>
        <v>0</v>
      </c>
      <c r="AE152" s="188">
        <f t="shared" si="147"/>
        <v>0</v>
      </c>
      <c r="AF152" s="188">
        <f t="shared" si="147"/>
        <v>0</v>
      </c>
      <c r="AG152" s="188">
        <f t="shared" si="147"/>
        <v>0</v>
      </c>
      <c r="AH152" s="188">
        <f t="shared" si="147"/>
        <v>0</v>
      </c>
      <c r="AI152" s="188">
        <f t="shared" si="147"/>
        <v>0</v>
      </c>
      <c r="AJ152" s="188">
        <f t="shared" si="147"/>
        <v>0</v>
      </c>
      <c r="AK152" s="188">
        <f t="shared" si="147"/>
        <v>0</v>
      </c>
      <c r="AL152" s="189">
        <f t="shared" si="147"/>
        <v>0</v>
      </c>
      <c r="AN152" s="188">
        <f t="shared" ref="AN152:AZ152" si="148">SUMIFS(AN150:AN151,$H150:$H151,"&lt;&gt;"&amp;$H$18,$D150:$D151,"&lt;&gt;*[-]*",$E150:$E151,"&lt;&gt;*[-]*",$F150:$F151,"&lt;&gt;*[-]*",$G150:$G151,"Restructuring")</f>
        <v>0</v>
      </c>
      <c r="AO152" s="188">
        <f t="shared" si="148"/>
        <v>0</v>
      </c>
      <c r="AP152" s="188">
        <f t="shared" si="148"/>
        <v>0</v>
      </c>
      <c r="AQ152" s="188">
        <f t="shared" si="148"/>
        <v>0</v>
      </c>
      <c r="AR152" s="188">
        <f t="shared" si="148"/>
        <v>0</v>
      </c>
      <c r="AS152" s="188">
        <f t="shared" si="148"/>
        <v>0</v>
      </c>
      <c r="AT152" s="188">
        <f t="shared" si="148"/>
        <v>0</v>
      </c>
      <c r="AU152" s="188">
        <f t="shared" si="148"/>
        <v>0</v>
      </c>
      <c r="AV152" s="188">
        <f t="shared" si="148"/>
        <v>0</v>
      </c>
      <c r="AW152" s="188">
        <f t="shared" si="148"/>
        <v>0</v>
      </c>
      <c r="AX152" s="188">
        <f t="shared" si="148"/>
        <v>0</v>
      </c>
      <c r="AY152" s="188">
        <f t="shared" si="148"/>
        <v>0</v>
      </c>
      <c r="AZ152" s="189">
        <f t="shared" si="148"/>
        <v>0</v>
      </c>
      <c r="BB152" s="188">
        <f t="shared" ref="BB152:BN152" si="149">SUMIFS(BB150:BB151,$H150:$H151,"&lt;&gt;"&amp;$H$18,$D150:$D151,"&lt;&gt;*[-]*",$E150:$E151,"&lt;&gt;*[-]*",$F150:$F151,"&lt;&gt;*[-]*",$G150:$G151,"Restructuring")</f>
        <v>0</v>
      </c>
      <c r="BC152" s="188">
        <f t="shared" si="149"/>
        <v>0</v>
      </c>
      <c r="BD152" s="188">
        <f t="shared" si="149"/>
        <v>0</v>
      </c>
      <c r="BE152" s="188">
        <f t="shared" si="149"/>
        <v>0</v>
      </c>
      <c r="BF152" s="188">
        <f t="shared" si="149"/>
        <v>0</v>
      </c>
      <c r="BG152" s="188">
        <f t="shared" si="149"/>
        <v>0</v>
      </c>
      <c r="BH152" s="188">
        <f t="shared" si="149"/>
        <v>0</v>
      </c>
      <c r="BI152" s="188">
        <f t="shared" si="149"/>
        <v>0</v>
      </c>
      <c r="BJ152" s="188">
        <f t="shared" si="149"/>
        <v>0</v>
      </c>
      <c r="BK152" s="188">
        <f t="shared" si="149"/>
        <v>0</v>
      </c>
      <c r="BL152" s="188">
        <f t="shared" si="149"/>
        <v>0</v>
      </c>
      <c r="BM152" s="188">
        <f t="shared" si="149"/>
        <v>0</v>
      </c>
      <c r="BN152" s="189">
        <f t="shared" si="149"/>
        <v>0</v>
      </c>
      <c r="BP152" s="203">
        <f t="shared" ref="BP152:CB152" si="150">SUMIFS(BP150:BP151,$H150:$H151,"&lt;&gt;"&amp;$H$18,$D150:$D151,"&lt;&gt;*[-]*",$E150:$E151,"&lt;&gt;*[-]*",$F150:$F151,"&lt;&gt;*[-]*",$G150:$G151,"&lt;&gt;*[-]*")</f>
        <v>0</v>
      </c>
      <c r="BQ152" s="203">
        <f t="shared" si="150"/>
        <v>0</v>
      </c>
      <c r="BR152" s="203">
        <f t="shared" si="150"/>
        <v>0</v>
      </c>
      <c r="BS152" s="203">
        <f t="shared" si="150"/>
        <v>0</v>
      </c>
      <c r="BT152" s="203">
        <f t="shared" si="150"/>
        <v>0</v>
      </c>
      <c r="BU152" s="203">
        <f t="shared" si="150"/>
        <v>0</v>
      </c>
      <c r="BV152" s="203">
        <f t="shared" si="150"/>
        <v>0</v>
      </c>
      <c r="BW152" s="203">
        <f t="shared" si="150"/>
        <v>0</v>
      </c>
      <c r="BX152" s="203">
        <f t="shared" si="150"/>
        <v>0</v>
      </c>
      <c r="BY152" s="203">
        <f t="shared" si="150"/>
        <v>0</v>
      </c>
      <c r="BZ152" s="203">
        <f t="shared" si="150"/>
        <v>0</v>
      </c>
      <c r="CA152" s="203">
        <f t="shared" si="150"/>
        <v>0</v>
      </c>
      <c r="CB152" s="204">
        <f t="shared" si="150"/>
        <v>0</v>
      </c>
    </row>
    <row r="154" spans="1:80" ht="12.45" thickBot="1" x14ac:dyDescent="0.3">
      <c r="C154" s="4" t="s">
        <v>30</v>
      </c>
      <c r="D154" s="4"/>
      <c r="E154" s="4"/>
      <c r="F154" s="4"/>
      <c r="G154" s="4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P154" s="133"/>
      <c r="BQ154" s="133"/>
      <c r="BR154" s="133"/>
      <c r="BS154" s="133"/>
      <c r="BT154" s="133"/>
      <c r="BU154" s="133"/>
      <c r="BV154" s="133"/>
      <c r="BW154" s="133"/>
      <c r="BX154" s="133"/>
      <c r="BY154" s="133"/>
      <c r="BZ154" s="133"/>
      <c r="CA154" s="133"/>
      <c r="CB154" s="133"/>
    </row>
    <row r="155" spans="1:80" ht="11.95" hidden="1" thickBot="1" x14ac:dyDescent="0.3">
      <c r="A155" t="s">
        <v>1</v>
      </c>
      <c r="E155" s="3"/>
      <c r="F155" s="3"/>
      <c r="G155" s="3" t="s">
        <v>30</v>
      </c>
      <c r="H155" s="18"/>
      <c r="I155" s="18"/>
      <c r="J155" s="18"/>
      <c r="K155" s="185"/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f>SUM(L155:W155)</f>
        <v>0</v>
      </c>
      <c r="Z155" s="185">
        <v>0</v>
      </c>
      <c r="AA155" s="185">
        <v>0</v>
      </c>
      <c r="AB155" s="185">
        <v>0</v>
      </c>
      <c r="AC155" s="185">
        <v>0</v>
      </c>
      <c r="AD155" s="185">
        <v>0</v>
      </c>
      <c r="AE155" s="185">
        <v>0</v>
      </c>
      <c r="AF155" s="185">
        <v>0</v>
      </c>
      <c r="AG155" s="185">
        <v>0</v>
      </c>
      <c r="AH155" s="185">
        <v>0</v>
      </c>
      <c r="AI155" s="185">
        <v>0</v>
      </c>
      <c r="AJ155" s="185">
        <v>0</v>
      </c>
      <c r="AK155" s="185">
        <v>0</v>
      </c>
      <c r="AL155" s="186">
        <f>SUM(Z155:AK155)</f>
        <v>0</v>
      </c>
      <c r="AN155" s="187">
        <v>0</v>
      </c>
      <c r="AO155" s="187">
        <v>0</v>
      </c>
      <c r="AP155" s="187">
        <v>0</v>
      </c>
      <c r="AQ155" s="187">
        <v>0</v>
      </c>
      <c r="AR155" s="187">
        <v>0</v>
      </c>
      <c r="AS155" s="187">
        <v>0</v>
      </c>
      <c r="AT155" s="187">
        <v>0</v>
      </c>
      <c r="AU155" s="187">
        <v>0</v>
      </c>
      <c r="AV155" s="187">
        <v>0</v>
      </c>
      <c r="AW155" s="187">
        <v>0</v>
      </c>
      <c r="AX155" s="187">
        <v>0</v>
      </c>
      <c r="AY155" s="187">
        <v>0</v>
      </c>
      <c r="AZ155" s="186">
        <f>SUM(AN155:AY155)</f>
        <v>0</v>
      </c>
      <c r="BB155" s="187">
        <v>0</v>
      </c>
      <c r="BC155" s="187">
        <v>0</v>
      </c>
      <c r="BD155" s="187">
        <v>0</v>
      </c>
      <c r="BE155" s="187">
        <v>0</v>
      </c>
      <c r="BF155" s="187">
        <v>0</v>
      </c>
      <c r="BG155" s="187">
        <v>0</v>
      </c>
      <c r="BH155" s="187">
        <v>0</v>
      </c>
      <c r="BI155" s="187">
        <v>0</v>
      </c>
      <c r="BJ155" s="187">
        <v>0</v>
      </c>
      <c r="BK155" s="187">
        <v>0</v>
      </c>
      <c r="BL155" s="187">
        <v>0</v>
      </c>
      <c r="BM155" s="187">
        <v>0</v>
      </c>
      <c r="BN155" s="186">
        <f>SUM(BB155:BM155)</f>
        <v>0</v>
      </c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1">
        <f>SUM(BP155:CA155)</f>
        <v>0</v>
      </c>
    </row>
    <row r="156" spans="1:80" ht="11.95" hidden="1" thickBot="1" x14ac:dyDescent="0.3">
      <c r="A156" t="str">
        <f>IF(LEFT(G156,3)="Mul", "#hiderow", "#showrow")</f>
        <v>#hiderow</v>
      </c>
      <c r="E156" s="3"/>
      <c r="F156" s="3"/>
      <c r="G156" s="3" t="s">
        <v>6</v>
      </c>
      <c r="H156" s="18"/>
      <c r="I156" s="18"/>
      <c r="J156" s="18"/>
      <c r="K156" s="185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Z156" s="185"/>
      <c r="AA156" s="185"/>
      <c r="AB156" s="185"/>
      <c r="AC156" s="185"/>
      <c r="AD156" s="185"/>
      <c r="AE156" s="185"/>
      <c r="AF156" s="185"/>
      <c r="AG156" s="185"/>
      <c r="AH156" s="185"/>
      <c r="AI156" s="185"/>
      <c r="AJ156" s="185"/>
      <c r="AK156" s="185"/>
      <c r="AL156" s="186"/>
      <c r="AN156" s="187"/>
      <c r="AO156" s="187"/>
      <c r="AP156" s="187"/>
      <c r="AQ156" s="187"/>
      <c r="AR156" s="187"/>
      <c r="AS156" s="187"/>
      <c r="AT156" s="187"/>
      <c r="AU156" s="187"/>
      <c r="AV156" s="187"/>
      <c r="AW156" s="187"/>
      <c r="AX156" s="187"/>
      <c r="AY156" s="187"/>
      <c r="AZ156" s="186"/>
      <c r="BB156" s="187"/>
      <c r="BC156" s="187"/>
      <c r="BD156" s="187"/>
      <c r="BE156" s="187"/>
      <c r="BF156" s="187"/>
      <c r="BG156" s="187"/>
      <c r="BH156" s="187"/>
      <c r="BI156" s="187"/>
      <c r="BJ156" s="187"/>
      <c r="BK156" s="187"/>
      <c r="BL156" s="187"/>
      <c r="BM156" s="187"/>
      <c r="BN156" s="186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1"/>
    </row>
    <row r="157" spans="1:80" ht="11.95" x14ac:dyDescent="0.25">
      <c r="C157" s="19" t="str">
        <f>"Total "&amp;C154</f>
        <v>Total Pension</v>
      </c>
      <c r="D157" s="19"/>
      <c r="E157" s="19"/>
      <c r="F157" s="19"/>
      <c r="G157" s="19"/>
      <c r="H157" s="188"/>
      <c r="I157" s="188"/>
      <c r="J157" s="188"/>
      <c r="K157" s="188">
        <v>-1</v>
      </c>
      <c r="L157" s="188">
        <f t="shared" ref="L157:X157" si="151">SUMIFS(L155:L156,$H155:$H156,"&lt;&gt;"&amp;$H$18,$D155:$D156,"&lt;&gt;*[-]*",$E155:$E156,"&lt;&gt;*[-]*",$F155:$F156,"&lt;&gt;*[-]*",$G155:$G156,"Pension")</f>
        <v>0</v>
      </c>
      <c r="M157" s="188">
        <f t="shared" si="151"/>
        <v>0</v>
      </c>
      <c r="N157" s="188">
        <f t="shared" si="151"/>
        <v>0</v>
      </c>
      <c r="O157" s="188">
        <f t="shared" si="151"/>
        <v>0</v>
      </c>
      <c r="P157" s="188">
        <f t="shared" si="151"/>
        <v>0</v>
      </c>
      <c r="Q157" s="188">
        <f t="shared" si="151"/>
        <v>0</v>
      </c>
      <c r="R157" s="188">
        <f t="shared" si="151"/>
        <v>0</v>
      </c>
      <c r="S157" s="188">
        <f t="shared" si="151"/>
        <v>0</v>
      </c>
      <c r="T157" s="188">
        <f t="shared" si="151"/>
        <v>0</v>
      </c>
      <c r="U157" s="188">
        <f t="shared" si="151"/>
        <v>0</v>
      </c>
      <c r="V157" s="188">
        <f t="shared" si="151"/>
        <v>0</v>
      </c>
      <c r="W157" s="188">
        <f t="shared" si="151"/>
        <v>0</v>
      </c>
      <c r="X157" s="189">
        <f t="shared" si="151"/>
        <v>0</v>
      </c>
      <c r="Z157" s="188">
        <f t="shared" ref="Z157:AL157" si="152">SUMIFS(Z155:Z156,$H155:$H156,"&lt;&gt;"&amp;$H$18,$D155:$D156,"&lt;&gt;*[-]*",$E155:$E156,"&lt;&gt;*[-]*",$F155:$F156,"&lt;&gt;*[-]*",$G155:$G156,"Pension")</f>
        <v>0</v>
      </c>
      <c r="AA157" s="188">
        <f t="shared" si="152"/>
        <v>0</v>
      </c>
      <c r="AB157" s="188">
        <f t="shared" si="152"/>
        <v>0</v>
      </c>
      <c r="AC157" s="188">
        <f t="shared" si="152"/>
        <v>0</v>
      </c>
      <c r="AD157" s="188">
        <f t="shared" si="152"/>
        <v>0</v>
      </c>
      <c r="AE157" s="188">
        <f t="shared" si="152"/>
        <v>0</v>
      </c>
      <c r="AF157" s="188">
        <f t="shared" si="152"/>
        <v>0</v>
      </c>
      <c r="AG157" s="188">
        <f t="shared" si="152"/>
        <v>0</v>
      </c>
      <c r="AH157" s="188">
        <f t="shared" si="152"/>
        <v>0</v>
      </c>
      <c r="AI157" s="188">
        <f t="shared" si="152"/>
        <v>0</v>
      </c>
      <c r="AJ157" s="188">
        <f t="shared" si="152"/>
        <v>0</v>
      </c>
      <c r="AK157" s="188">
        <f t="shared" si="152"/>
        <v>0</v>
      </c>
      <c r="AL157" s="189">
        <f t="shared" si="152"/>
        <v>0</v>
      </c>
      <c r="AN157" s="188">
        <f t="shared" ref="AN157:AZ157" si="153">SUMIFS(AN155:AN156,$H155:$H156,"&lt;&gt;"&amp;$H$18,$D155:$D156,"&lt;&gt;*[-]*",$E155:$E156,"&lt;&gt;*[-]*",$F155:$F156,"&lt;&gt;*[-]*",$G155:$G156,"Pension")</f>
        <v>0</v>
      </c>
      <c r="AO157" s="188">
        <f t="shared" si="153"/>
        <v>0</v>
      </c>
      <c r="AP157" s="188">
        <f t="shared" si="153"/>
        <v>0</v>
      </c>
      <c r="AQ157" s="188">
        <f t="shared" si="153"/>
        <v>0</v>
      </c>
      <c r="AR157" s="188">
        <f t="shared" si="153"/>
        <v>0</v>
      </c>
      <c r="AS157" s="188">
        <f t="shared" si="153"/>
        <v>0</v>
      </c>
      <c r="AT157" s="188">
        <f t="shared" si="153"/>
        <v>0</v>
      </c>
      <c r="AU157" s="188">
        <f t="shared" si="153"/>
        <v>0</v>
      </c>
      <c r="AV157" s="188">
        <f t="shared" si="153"/>
        <v>0</v>
      </c>
      <c r="AW157" s="188">
        <f t="shared" si="153"/>
        <v>0</v>
      </c>
      <c r="AX157" s="188">
        <f t="shared" si="153"/>
        <v>0</v>
      </c>
      <c r="AY157" s="188">
        <f t="shared" si="153"/>
        <v>0</v>
      </c>
      <c r="AZ157" s="189">
        <f t="shared" si="153"/>
        <v>0</v>
      </c>
      <c r="BB157" s="188">
        <f t="shared" ref="BB157:BN157" si="154">SUMIFS(BB155:BB156,$H155:$H156,"&lt;&gt;"&amp;$H$18,$D155:$D156,"&lt;&gt;*[-]*",$E155:$E156,"&lt;&gt;*[-]*",$F155:$F156,"&lt;&gt;*[-]*",$G155:$G156,"Pension")</f>
        <v>0</v>
      </c>
      <c r="BC157" s="188">
        <f t="shared" si="154"/>
        <v>0</v>
      </c>
      <c r="BD157" s="188">
        <f t="shared" si="154"/>
        <v>0</v>
      </c>
      <c r="BE157" s="188">
        <f t="shared" si="154"/>
        <v>0</v>
      </c>
      <c r="BF157" s="188">
        <f t="shared" si="154"/>
        <v>0</v>
      </c>
      <c r="BG157" s="188">
        <f t="shared" si="154"/>
        <v>0</v>
      </c>
      <c r="BH157" s="188">
        <f t="shared" si="154"/>
        <v>0</v>
      </c>
      <c r="BI157" s="188">
        <f t="shared" si="154"/>
        <v>0</v>
      </c>
      <c r="BJ157" s="188">
        <f t="shared" si="154"/>
        <v>0</v>
      </c>
      <c r="BK157" s="188">
        <f t="shared" si="154"/>
        <v>0</v>
      </c>
      <c r="BL157" s="188">
        <f t="shared" si="154"/>
        <v>0</v>
      </c>
      <c r="BM157" s="188">
        <f t="shared" si="154"/>
        <v>0</v>
      </c>
      <c r="BN157" s="189">
        <f t="shared" si="154"/>
        <v>0</v>
      </c>
      <c r="BP157" s="203">
        <f t="shared" ref="BP157:CB157" si="155">SUMIFS(BP155:BP156,$H155:$H156,"&lt;&gt;"&amp;$H$18,$D155:$D156,"&lt;&gt;*[-]*",$E155:$E156,"&lt;&gt;*[-]*",$F155:$F156,"&lt;&gt;*[-]*",$G155:$G156,"&lt;&gt;*[-]*")</f>
        <v>0</v>
      </c>
      <c r="BQ157" s="203">
        <f t="shared" si="155"/>
        <v>0</v>
      </c>
      <c r="BR157" s="203">
        <f t="shared" si="155"/>
        <v>0</v>
      </c>
      <c r="BS157" s="203">
        <f t="shared" si="155"/>
        <v>0</v>
      </c>
      <c r="BT157" s="203">
        <f t="shared" si="155"/>
        <v>0</v>
      </c>
      <c r="BU157" s="203">
        <f t="shared" si="155"/>
        <v>0</v>
      </c>
      <c r="BV157" s="203">
        <f t="shared" si="155"/>
        <v>0</v>
      </c>
      <c r="BW157" s="203">
        <f t="shared" si="155"/>
        <v>0</v>
      </c>
      <c r="BX157" s="203">
        <f t="shared" si="155"/>
        <v>0</v>
      </c>
      <c r="BY157" s="203">
        <f t="shared" si="155"/>
        <v>0</v>
      </c>
      <c r="BZ157" s="203">
        <f t="shared" si="155"/>
        <v>0</v>
      </c>
      <c r="CA157" s="203">
        <f t="shared" si="155"/>
        <v>0</v>
      </c>
      <c r="CB157" s="204">
        <f t="shared" si="155"/>
        <v>0</v>
      </c>
    </row>
    <row r="159" spans="1:80" ht="12.45" thickBot="1" x14ac:dyDescent="0.3">
      <c r="C159" s="4" t="s">
        <v>45</v>
      </c>
      <c r="D159" s="4"/>
      <c r="E159" s="4"/>
      <c r="F159" s="4"/>
      <c r="G159" s="4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P159" s="133"/>
      <c r="BQ159" s="133"/>
      <c r="BR159" s="133"/>
      <c r="BS159" s="133"/>
      <c r="BT159" s="133"/>
      <c r="BU159" s="133"/>
      <c r="BV159" s="133"/>
      <c r="BW159" s="133"/>
      <c r="BX159" s="133"/>
      <c r="BY159" s="133"/>
      <c r="BZ159" s="133"/>
      <c r="CA159" s="133"/>
      <c r="CB159" s="133"/>
    </row>
    <row r="160" spans="1:80" ht="11.95" hidden="1" thickBot="1" x14ac:dyDescent="0.3">
      <c r="A160" t="s">
        <v>1</v>
      </c>
      <c r="D160" s="3"/>
      <c r="E160" s="3"/>
      <c r="F160" s="3"/>
      <c r="G160" s="3" t="s">
        <v>45</v>
      </c>
      <c r="H160" s="18"/>
      <c r="I160" s="18"/>
      <c r="J160" s="18"/>
      <c r="K160" s="185"/>
      <c r="L160" s="185">
        <v>0</v>
      </c>
      <c r="M160" s="185">
        <v>0</v>
      </c>
      <c r="N160" s="185">
        <v>0</v>
      </c>
      <c r="O160" s="185">
        <v>0</v>
      </c>
      <c r="P160" s="185">
        <v>0</v>
      </c>
      <c r="Q160" s="185">
        <v>0</v>
      </c>
      <c r="R160" s="185">
        <v>0</v>
      </c>
      <c r="S160" s="185">
        <v>0</v>
      </c>
      <c r="T160" s="185">
        <v>0</v>
      </c>
      <c r="U160" s="185">
        <v>0</v>
      </c>
      <c r="V160" s="185">
        <v>0</v>
      </c>
      <c r="W160" s="185">
        <v>0</v>
      </c>
      <c r="X160" s="186">
        <f>SUM(L160:W160)</f>
        <v>0</v>
      </c>
      <c r="Z160" s="185">
        <v>0</v>
      </c>
      <c r="AA160" s="185">
        <v>0</v>
      </c>
      <c r="AB160" s="185">
        <v>0</v>
      </c>
      <c r="AC160" s="185">
        <v>0</v>
      </c>
      <c r="AD160" s="185">
        <v>0</v>
      </c>
      <c r="AE160" s="185">
        <v>0</v>
      </c>
      <c r="AF160" s="185">
        <v>0</v>
      </c>
      <c r="AG160" s="185">
        <v>0</v>
      </c>
      <c r="AH160" s="185">
        <v>0</v>
      </c>
      <c r="AI160" s="185">
        <v>0</v>
      </c>
      <c r="AJ160" s="185">
        <v>0</v>
      </c>
      <c r="AK160" s="185">
        <v>0</v>
      </c>
      <c r="AL160" s="186">
        <f>SUM(Z160:AK160)</f>
        <v>0</v>
      </c>
      <c r="AN160" s="187">
        <v>0</v>
      </c>
      <c r="AO160" s="187">
        <v>0</v>
      </c>
      <c r="AP160" s="187">
        <v>0</v>
      </c>
      <c r="AQ160" s="187">
        <v>0</v>
      </c>
      <c r="AR160" s="187">
        <v>0</v>
      </c>
      <c r="AS160" s="187">
        <v>0</v>
      </c>
      <c r="AT160" s="187">
        <v>0</v>
      </c>
      <c r="AU160" s="187">
        <v>0</v>
      </c>
      <c r="AV160" s="187">
        <v>0</v>
      </c>
      <c r="AW160" s="187">
        <v>0</v>
      </c>
      <c r="AX160" s="187">
        <v>0</v>
      </c>
      <c r="AY160" s="187">
        <v>0</v>
      </c>
      <c r="AZ160" s="186">
        <f>SUM(AN160:AY160)</f>
        <v>0</v>
      </c>
      <c r="BB160" s="187">
        <v>0</v>
      </c>
      <c r="BC160" s="187">
        <v>0</v>
      </c>
      <c r="BD160" s="187">
        <v>0</v>
      </c>
      <c r="BE160" s="187">
        <v>0</v>
      </c>
      <c r="BF160" s="187">
        <v>0</v>
      </c>
      <c r="BG160" s="187">
        <v>0</v>
      </c>
      <c r="BH160" s="187">
        <v>0</v>
      </c>
      <c r="BI160" s="187">
        <v>0</v>
      </c>
      <c r="BJ160" s="187">
        <v>0</v>
      </c>
      <c r="BK160" s="187">
        <v>0</v>
      </c>
      <c r="BL160" s="187">
        <v>0</v>
      </c>
      <c r="BM160" s="187">
        <v>0</v>
      </c>
      <c r="BN160" s="186">
        <f>SUM(BB160:BM160)</f>
        <v>0</v>
      </c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1">
        <f>SUM(BP160:CA160)</f>
        <v>0</v>
      </c>
    </row>
    <row r="161" spans="1:80" ht="11.95" hidden="1" thickBot="1" x14ac:dyDescent="0.3">
      <c r="A161" t="str">
        <f>IF(LEFT(G161,3)="Mul", "#hiderow", "#showrow")</f>
        <v>#hiderow</v>
      </c>
      <c r="E161" s="3"/>
      <c r="F161" s="3"/>
      <c r="G161" s="3" t="s">
        <v>6</v>
      </c>
      <c r="H161" s="18"/>
      <c r="I161" s="18"/>
      <c r="J161" s="18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6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6"/>
      <c r="AN161" s="187"/>
      <c r="AO161" s="187"/>
      <c r="AP161" s="187"/>
      <c r="AQ161" s="187"/>
      <c r="AR161" s="187"/>
      <c r="AS161" s="187"/>
      <c r="AT161" s="187"/>
      <c r="AU161" s="187"/>
      <c r="AV161" s="187"/>
      <c r="AW161" s="187"/>
      <c r="AX161" s="187"/>
      <c r="AY161" s="187"/>
      <c r="AZ161" s="186"/>
      <c r="BB161" s="187"/>
      <c r="BC161" s="187"/>
      <c r="BD161" s="187"/>
      <c r="BE161" s="187"/>
      <c r="BF161" s="187"/>
      <c r="BG161" s="187"/>
      <c r="BH161" s="187"/>
      <c r="BI161" s="187"/>
      <c r="BJ161" s="187"/>
      <c r="BK161" s="187"/>
      <c r="BL161" s="187"/>
      <c r="BM161" s="187"/>
      <c r="BN161" s="186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1"/>
    </row>
    <row r="162" spans="1:80" ht="11.95" x14ac:dyDescent="0.25">
      <c r="C162" s="19" t="str">
        <f>"Total "&amp;C159</f>
        <v>Total Interest Expense</v>
      </c>
      <c r="D162" s="19"/>
      <c r="E162" s="19"/>
      <c r="F162" s="19"/>
      <c r="G162" s="19"/>
      <c r="H162" s="188"/>
      <c r="I162" s="188"/>
      <c r="J162" s="188"/>
      <c r="K162" s="188">
        <v>-1</v>
      </c>
      <c r="L162" s="188">
        <f t="shared" ref="L162:X162" si="156">SUMIFS(L160:L161,$H160:$H161,"&lt;&gt;"&amp;$H$18,$D160:$D161,"&lt;&gt;*[-]*",$E160:$E161,"&lt;&gt;*[-]*",$F160:$F161,"&lt;&gt;*[-]*",$G160:$G161,"Interest Expense")</f>
        <v>0</v>
      </c>
      <c r="M162" s="188">
        <f t="shared" si="156"/>
        <v>0</v>
      </c>
      <c r="N162" s="188">
        <f t="shared" si="156"/>
        <v>0</v>
      </c>
      <c r="O162" s="188">
        <f t="shared" si="156"/>
        <v>0</v>
      </c>
      <c r="P162" s="188">
        <f t="shared" si="156"/>
        <v>0</v>
      </c>
      <c r="Q162" s="188">
        <f t="shared" si="156"/>
        <v>0</v>
      </c>
      <c r="R162" s="188">
        <f t="shared" si="156"/>
        <v>0</v>
      </c>
      <c r="S162" s="188">
        <f t="shared" si="156"/>
        <v>0</v>
      </c>
      <c r="T162" s="188">
        <f t="shared" si="156"/>
        <v>0</v>
      </c>
      <c r="U162" s="188">
        <f t="shared" si="156"/>
        <v>0</v>
      </c>
      <c r="V162" s="188">
        <f t="shared" si="156"/>
        <v>0</v>
      </c>
      <c r="W162" s="188">
        <f t="shared" si="156"/>
        <v>0</v>
      </c>
      <c r="X162" s="189">
        <f t="shared" si="156"/>
        <v>0</v>
      </c>
      <c r="Z162" s="188">
        <f t="shared" ref="Z162:AL162" si="157">SUMIFS(Z160:Z161,$H160:$H161,"&lt;&gt;"&amp;$H$18,$D160:$D161,"&lt;&gt;*[-]*",$E160:$E161,"&lt;&gt;*[-]*",$F160:$F161,"&lt;&gt;*[-]*",$G160:$G161,"Interest Expense")</f>
        <v>0</v>
      </c>
      <c r="AA162" s="188">
        <f t="shared" si="157"/>
        <v>0</v>
      </c>
      <c r="AB162" s="188">
        <f t="shared" si="157"/>
        <v>0</v>
      </c>
      <c r="AC162" s="188">
        <f t="shared" si="157"/>
        <v>0</v>
      </c>
      <c r="AD162" s="188">
        <f t="shared" si="157"/>
        <v>0</v>
      </c>
      <c r="AE162" s="188">
        <f t="shared" si="157"/>
        <v>0</v>
      </c>
      <c r="AF162" s="188">
        <f t="shared" si="157"/>
        <v>0</v>
      </c>
      <c r="AG162" s="188">
        <f t="shared" si="157"/>
        <v>0</v>
      </c>
      <c r="AH162" s="188">
        <f t="shared" si="157"/>
        <v>0</v>
      </c>
      <c r="AI162" s="188">
        <f t="shared" si="157"/>
        <v>0</v>
      </c>
      <c r="AJ162" s="188">
        <f t="shared" si="157"/>
        <v>0</v>
      </c>
      <c r="AK162" s="188">
        <f t="shared" si="157"/>
        <v>0</v>
      </c>
      <c r="AL162" s="189">
        <f t="shared" si="157"/>
        <v>0</v>
      </c>
      <c r="AN162" s="188">
        <f t="shared" ref="AN162:AZ162" si="158">SUMIFS(AN160:AN161,$H160:$H161,"&lt;&gt;"&amp;$H$18,$D160:$D161,"&lt;&gt;*[-]*",$E160:$E161,"&lt;&gt;*[-]*",$F160:$F161,"&lt;&gt;*[-]*",$G160:$G161,"Interest Expense")</f>
        <v>0</v>
      </c>
      <c r="AO162" s="188">
        <f t="shared" si="158"/>
        <v>0</v>
      </c>
      <c r="AP162" s="188">
        <f t="shared" si="158"/>
        <v>0</v>
      </c>
      <c r="AQ162" s="188">
        <f t="shared" si="158"/>
        <v>0</v>
      </c>
      <c r="AR162" s="188">
        <f t="shared" si="158"/>
        <v>0</v>
      </c>
      <c r="AS162" s="188">
        <f t="shared" si="158"/>
        <v>0</v>
      </c>
      <c r="AT162" s="188">
        <f t="shared" si="158"/>
        <v>0</v>
      </c>
      <c r="AU162" s="188">
        <f t="shared" si="158"/>
        <v>0</v>
      </c>
      <c r="AV162" s="188">
        <f t="shared" si="158"/>
        <v>0</v>
      </c>
      <c r="AW162" s="188">
        <f t="shared" si="158"/>
        <v>0</v>
      </c>
      <c r="AX162" s="188">
        <f t="shared" si="158"/>
        <v>0</v>
      </c>
      <c r="AY162" s="188">
        <f t="shared" si="158"/>
        <v>0</v>
      </c>
      <c r="AZ162" s="189">
        <f t="shared" si="158"/>
        <v>0</v>
      </c>
      <c r="BB162" s="188">
        <f t="shared" ref="BB162:BN162" si="159">SUMIFS(BB160:BB161,$H160:$H161,"&lt;&gt;"&amp;$H$18,$D160:$D161,"&lt;&gt;*[-]*",$E160:$E161,"&lt;&gt;*[-]*",$F160:$F161,"&lt;&gt;*[-]*",$G160:$G161,"Interest Expense")</f>
        <v>0</v>
      </c>
      <c r="BC162" s="188">
        <f t="shared" si="159"/>
        <v>0</v>
      </c>
      <c r="BD162" s="188">
        <f t="shared" si="159"/>
        <v>0</v>
      </c>
      <c r="BE162" s="188">
        <f t="shared" si="159"/>
        <v>0</v>
      </c>
      <c r="BF162" s="188">
        <f t="shared" si="159"/>
        <v>0</v>
      </c>
      <c r="BG162" s="188">
        <f t="shared" si="159"/>
        <v>0</v>
      </c>
      <c r="BH162" s="188">
        <f t="shared" si="159"/>
        <v>0</v>
      </c>
      <c r="BI162" s="188">
        <f t="shared" si="159"/>
        <v>0</v>
      </c>
      <c r="BJ162" s="188">
        <f t="shared" si="159"/>
        <v>0</v>
      </c>
      <c r="BK162" s="188">
        <f t="shared" si="159"/>
        <v>0</v>
      </c>
      <c r="BL162" s="188">
        <f t="shared" si="159"/>
        <v>0</v>
      </c>
      <c r="BM162" s="188">
        <f t="shared" si="159"/>
        <v>0</v>
      </c>
      <c r="BN162" s="189">
        <f t="shared" si="159"/>
        <v>0</v>
      </c>
      <c r="BP162" s="203">
        <f t="shared" ref="BP162:CB162" si="160">SUMIFS(BP160:BP161,$H160:$H161,"&lt;&gt;"&amp;$H$18,$D160:$D161,"&lt;&gt;*[-]*",$E160:$E161,"&lt;&gt;*[-]*",$F160:$F161,"&lt;&gt;*[-]*",$G160:$G161,"&lt;&gt;*[-]*")</f>
        <v>0</v>
      </c>
      <c r="BQ162" s="203">
        <f t="shared" si="160"/>
        <v>0</v>
      </c>
      <c r="BR162" s="203">
        <f t="shared" si="160"/>
        <v>0</v>
      </c>
      <c r="BS162" s="203">
        <f t="shared" si="160"/>
        <v>0</v>
      </c>
      <c r="BT162" s="203">
        <f t="shared" si="160"/>
        <v>0</v>
      </c>
      <c r="BU162" s="203">
        <f t="shared" si="160"/>
        <v>0</v>
      </c>
      <c r="BV162" s="203">
        <f t="shared" si="160"/>
        <v>0</v>
      </c>
      <c r="BW162" s="203">
        <f t="shared" si="160"/>
        <v>0</v>
      </c>
      <c r="BX162" s="203">
        <f t="shared" si="160"/>
        <v>0</v>
      </c>
      <c r="BY162" s="203">
        <f t="shared" si="160"/>
        <v>0</v>
      </c>
      <c r="BZ162" s="203">
        <f t="shared" si="160"/>
        <v>0</v>
      </c>
      <c r="CA162" s="203">
        <f t="shared" si="160"/>
        <v>0</v>
      </c>
      <c r="CB162" s="204">
        <f t="shared" si="160"/>
        <v>0</v>
      </c>
    </row>
    <row r="164" spans="1:80" ht="12.45" thickBot="1" x14ac:dyDescent="0.3">
      <c r="C164" s="4" t="s">
        <v>117</v>
      </c>
      <c r="D164" s="4"/>
      <c r="E164" s="4"/>
      <c r="F164" s="4"/>
      <c r="G164" s="4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P164" s="133"/>
      <c r="BQ164" s="133"/>
      <c r="BR164" s="133"/>
      <c r="BS164" s="133"/>
      <c r="BT164" s="133"/>
      <c r="BU164" s="133"/>
      <c r="BV164" s="133"/>
      <c r="BW164" s="133"/>
      <c r="BX164" s="133"/>
      <c r="BY164" s="133"/>
      <c r="BZ164" s="133"/>
      <c r="CA164" s="133"/>
      <c r="CB164" s="133"/>
    </row>
    <row r="165" spans="1:80" ht="11.95" hidden="1" thickBot="1" x14ac:dyDescent="0.3">
      <c r="A165" t="s">
        <v>1</v>
      </c>
      <c r="D165" s="3"/>
      <c r="E165" s="3"/>
      <c r="F165" s="3"/>
      <c r="G165" s="3" t="s">
        <v>117</v>
      </c>
      <c r="H165" s="18"/>
      <c r="I165" s="18"/>
      <c r="J165" s="18"/>
      <c r="K165" s="185"/>
      <c r="L165" s="185">
        <v>0</v>
      </c>
      <c r="M165" s="185">
        <v>0</v>
      </c>
      <c r="N165" s="185">
        <v>0</v>
      </c>
      <c r="O165" s="185">
        <v>0</v>
      </c>
      <c r="P165" s="185">
        <v>0</v>
      </c>
      <c r="Q165" s="185">
        <v>0</v>
      </c>
      <c r="R165" s="185">
        <v>0</v>
      </c>
      <c r="S165" s="185">
        <v>0</v>
      </c>
      <c r="T165" s="185">
        <v>0</v>
      </c>
      <c r="U165" s="185">
        <v>0</v>
      </c>
      <c r="V165" s="185">
        <v>0</v>
      </c>
      <c r="W165" s="185">
        <v>0</v>
      </c>
      <c r="X165" s="186">
        <f>SUM(L165:W165)</f>
        <v>0</v>
      </c>
      <c r="Z165" s="185">
        <v>0</v>
      </c>
      <c r="AA165" s="185">
        <v>0</v>
      </c>
      <c r="AB165" s="185">
        <v>0</v>
      </c>
      <c r="AC165" s="185">
        <v>0</v>
      </c>
      <c r="AD165" s="185">
        <v>0</v>
      </c>
      <c r="AE165" s="185">
        <v>0</v>
      </c>
      <c r="AF165" s="185">
        <v>0</v>
      </c>
      <c r="AG165" s="185">
        <v>0</v>
      </c>
      <c r="AH165" s="185">
        <v>0</v>
      </c>
      <c r="AI165" s="185">
        <v>0</v>
      </c>
      <c r="AJ165" s="185">
        <v>0</v>
      </c>
      <c r="AK165" s="185">
        <v>0</v>
      </c>
      <c r="AL165" s="186">
        <f>SUM(Z165:AK165)</f>
        <v>0</v>
      </c>
      <c r="AN165" s="187">
        <v>0</v>
      </c>
      <c r="AO165" s="187">
        <v>0</v>
      </c>
      <c r="AP165" s="187">
        <v>0</v>
      </c>
      <c r="AQ165" s="187">
        <v>0</v>
      </c>
      <c r="AR165" s="187">
        <v>0</v>
      </c>
      <c r="AS165" s="187">
        <v>0</v>
      </c>
      <c r="AT165" s="187">
        <v>0</v>
      </c>
      <c r="AU165" s="187">
        <v>0</v>
      </c>
      <c r="AV165" s="187">
        <v>0</v>
      </c>
      <c r="AW165" s="187">
        <v>0</v>
      </c>
      <c r="AX165" s="187">
        <v>0</v>
      </c>
      <c r="AY165" s="187">
        <v>0</v>
      </c>
      <c r="AZ165" s="186">
        <f>SUM(AN165:AY165)</f>
        <v>0</v>
      </c>
      <c r="BB165" s="187">
        <v>0</v>
      </c>
      <c r="BC165" s="187">
        <v>0</v>
      </c>
      <c r="BD165" s="187">
        <v>0</v>
      </c>
      <c r="BE165" s="187">
        <v>0</v>
      </c>
      <c r="BF165" s="187">
        <v>0</v>
      </c>
      <c r="BG165" s="187">
        <v>0</v>
      </c>
      <c r="BH165" s="187">
        <v>0</v>
      </c>
      <c r="BI165" s="187">
        <v>0</v>
      </c>
      <c r="BJ165" s="187">
        <v>0</v>
      </c>
      <c r="BK165" s="187">
        <v>0</v>
      </c>
      <c r="BL165" s="187">
        <v>0</v>
      </c>
      <c r="BM165" s="187">
        <v>0</v>
      </c>
      <c r="BN165" s="186">
        <f>SUM(BB165:BM165)</f>
        <v>0</v>
      </c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1">
        <f>SUM(BP165:CA165)</f>
        <v>0</v>
      </c>
    </row>
    <row r="166" spans="1:80" ht="11.95" hidden="1" thickBot="1" x14ac:dyDescent="0.3">
      <c r="A166" t="str">
        <f>IF(LEFT(G166,3)="Mul", "#hiderow", "#showrow")</f>
        <v>#hiderow</v>
      </c>
      <c r="E166" s="3"/>
      <c r="F166" s="3"/>
      <c r="G166" s="3" t="s">
        <v>6</v>
      </c>
      <c r="H166" s="18"/>
      <c r="I166" s="18"/>
      <c r="J166" s="18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6"/>
      <c r="Z166" s="185"/>
      <c r="AA166" s="185"/>
      <c r="AB166" s="185"/>
      <c r="AC166" s="185"/>
      <c r="AD166" s="185"/>
      <c r="AE166" s="185"/>
      <c r="AF166" s="185"/>
      <c r="AG166" s="185"/>
      <c r="AH166" s="185"/>
      <c r="AI166" s="185"/>
      <c r="AJ166" s="185"/>
      <c r="AK166" s="185"/>
      <c r="AL166" s="186"/>
      <c r="AN166" s="187"/>
      <c r="AO166" s="187"/>
      <c r="AP166" s="187"/>
      <c r="AQ166" s="187"/>
      <c r="AR166" s="187"/>
      <c r="AS166" s="187"/>
      <c r="AT166" s="187"/>
      <c r="AU166" s="187"/>
      <c r="AV166" s="187"/>
      <c r="AW166" s="187"/>
      <c r="AX166" s="187"/>
      <c r="AY166" s="187"/>
      <c r="AZ166" s="186"/>
      <c r="BB166" s="187"/>
      <c r="BC166" s="187"/>
      <c r="BD166" s="187"/>
      <c r="BE166" s="187"/>
      <c r="BF166" s="187"/>
      <c r="BG166" s="187"/>
      <c r="BH166" s="187"/>
      <c r="BI166" s="187"/>
      <c r="BJ166" s="187"/>
      <c r="BK166" s="187"/>
      <c r="BL166" s="187"/>
      <c r="BM166" s="187"/>
      <c r="BN166" s="186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1"/>
    </row>
    <row r="167" spans="1:80" ht="11.95" x14ac:dyDescent="0.25">
      <c r="C167" s="19" t="str">
        <f>"Total "&amp;C164</f>
        <v>Total Gain/Loss on Swap MTM</v>
      </c>
      <c r="D167" s="19"/>
      <c r="E167" s="19"/>
      <c r="F167" s="19"/>
      <c r="G167" s="19"/>
      <c r="H167" s="188"/>
      <c r="I167" s="188"/>
      <c r="J167" s="188"/>
      <c r="K167" s="188">
        <v>-1</v>
      </c>
      <c r="L167" s="188">
        <f t="shared" ref="L167:X167" si="161">SUMIFS(L165:L166,$H165:$H166,"&lt;&gt;"&amp;$H$18,$D165:$D166,"&lt;&gt;*[-]*",$E165:$E166,"&lt;&gt;*[-]*",$F165:$F166,"&lt;&gt;*[-]*",$G165:$G166,"Gain/Loss on Swap MTM")</f>
        <v>0</v>
      </c>
      <c r="M167" s="188">
        <f t="shared" si="161"/>
        <v>0</v>
      </c>
      <c r="N167" s="188">
        <f t="shared" si="161"/>
        <v>0</v>
      </c>
      <c r="O167" s="188">
        <f t="shared" si="161"/>
        <v>0</v>
      </c>
      <c r="P167" s="188">
        <f t="shared" si="161"/>
        <v>0</v>
      </c>
      <c r="Q167" s="188">
        <f t="shared" si="161"/>
        <v>0</v>
      </c>
      <c r="R167" s="188">
        <f t="shared" si="161"/>
        <v>0</v>
      </c>
      <c r="S167" s="188">
        <f t="shared" si="161"/>
        <v>0</v>
      </c>
      <c r="T167" s="188">
        <f t="shared" si="161"/>
        <v>0</v>
      </c>
      <c r="U167" s="188">
        <f t="shared" si="161"/>
        <v>0</v>
      </c>
      <c r="V167" s="188">
        <f t="shared" si="161"/>
        <v>0</v>
      </c>
      <c r="W167" s="188">
        <f t="shared" si="161"/>
        <v>0</v>
      </c>
      <c r="X167" s="189">
        <f t="shared" si="161"/>
        <v>0</v>
      </c>
      <c r="Z167" s="188">
        <f t="shared" ref="Z167:AL167" si="162">SUMIFS(Z165:Z166,$H165:$H166,"&lt;&gt;"&amp;$H$18,$D165:$D166,"&lt;&gt;*[-]*",$E165:$E166,"&lt;&gt;*[-]*",$F165:$F166,"&lt;&gt;*[-]*",$G165:$G166,"Gain/Loss on Swap MTM")</f>
        <v>0</v>
      </c>
      <c r="AA167" s="188">
        <f t="shared" si="162"/>
        <v>0</v>
      </c>
      <c r="AB167" s="188">
        <f t="shared" si="162"/>
        <v>0</v>
      </c>
      <c r="AC167" s="188">
        <f t="shared" si="162"/>
        <v>0</v>
      </c>
      <c r="AD167" s="188">
        <f t="shared" si="162"/>
        <v>0</v>
      </c>
      <c r="AE167" s="188">
        <f t="shared" si="162"/>
        <v>0</v>
      </c>
      <c r="AF167" s="188">
        <f t="shared" si="162"/>
        <v>0</v>
      </c>
      <c r="AG167" s="188">
        <f t="shared" si="162"/>
        <v>0</v>
      </c>
      <c r="AH167" s="188">
        <f t="shared" si="162"/>
        <v>0</v>
      </c>
      <c r="AI167" s="188">
        <f t="shared" si="162"/>
        <v>0</v>
      </c>
      <c r="AJ167" s="188">
        <f t="shared" si="162"/>
        <v>0</v>
      </c>
      <c r="AK167" s="188">
        <f t="shared" si="162"/>
        <v>0</v>
      </c>
      <c r="AL167" s="189">
        <f t="shared" si="162"/>
        <v>0</v>
      </c>
      <c r="AN167" s="188">
        <f t="shared" ref="AN167:AZ167" si="163">SUMIFS(AN165:AN166,$H165:$H166,"&lt;&gt;"&amp;$H$18,$D165:$D166,"&lt;&gt;*[-]*",$E165:$E166,"&lt;&gt;*[-]*",$F165:$F166,"&lt;&gt;*[-]*",$G165:$G166,"Gain/Loss on Swap MTM")</f>
        <v>0</v>
      </c>
      <c r="AO167" s="188">
        <f t="shared" si="163"/>
        <v>0</v>
      </c>
      <c r="AP167" s="188">
        <f t="shared" si="163"/>
        <v>0</v>
      </c>
      <c r="AQ167" s="188">
        <f t="shared" si="163"/>
        <v>0</v>
      </c>
      <c r="AR167" s="188">
        <f t="shared" si="163"/>
        <v>0</v>
      </c>
      <c r="AS167" s="188">
        <f t="shared" si="163"/>
        <v>0</v>
      </c>
      <c r="AT167" s="188">
        <f t="shared" si="163"/>
        <v>0</v>
      </c>
      <c r="AU167" s="188">
        <f t="shared" si="163"/>
        <v>0</v>
      </c>
      <c r="AV167" s="188">
        <f t="shared" si="163"/>
        <v>0</v>
      </c>
      <c r="AW167" s="188">
        <f t="shared" si="163"/>
        <v>0</v>
      </c>
      <c r="AX167" s="188">
        <f t="shared" si="163"/>
        <v>0</v>
      </c>
      <c r="AY167" s="188">
        <f t="shared" si="163"/>
        <v>0</v>
      </c>
      <c r="AZ167" s="189">
        <f t="shared" si="163"/>
        <v>0</v>
      </c>
      <c r="BB167" s="188">
        <f t="shared" ref="BB167:BN167" si="164">SUMIFS(BB165:BB166,$H165:$H166,"&lt;&gt;"&amp;$H$18,$D165:$D166,"&lt;&gt;*[-]*",$E165:$E166,"&lt;&gt;*[-]*",$F165:$F166,"&lt;&gt;*[-]*",$G165:$G166,"Gain/Loss on Swap MTM")</f>
        <v>0</v>
      </c>
      <c r="BC167" s="188">
        <f t="shared" si="164"/>
        <v>0</v>
      </c>
      <c r="BD167" s="188">
        <f t="shared" si="164"/>
        <v>0</v>
      </c>
      <c r="BE167" s="188">
        <f t="shared" si="164"/>
        <v>0</v>
      </c>
      <c r="BF167" s="188">
        <f t="shared" si="164"/>
        <v>0</v>
      </c>
      <c r="BG167" s="188">
        <f t="shared" si="164"/>
        <v>0</v>
      </c>
      <c r="BH167" s="188">
        <f t="shared" si="164"/>
        <v>0</v>
      </c>
      <c r="BI167" s="188">
        <f t="shared" si="164"/>
        <v>0</v>
      </c>
      <c r="BJ167" s="188">
        <f t="shared" si="164"/>
        <v>0</v>
      </c>
      <c r="BK167" s="188">
        <f t="shared" si="164"/>
        <v>0</v>
      </c>
      <c r="BL167" s="188">
        <f t="shared" si="164"/>
        <v>0</v>
      </c>
      <c r="BM167" s="188">
        <f t="shared" si="164"/>
        <v>0</v>
      </c>
      <c r="BN167" s="189">
        <f t="shared" si="164"/>
        <v>0</v>
      </c>
      <c r="BP167" s="203">
        <f t="shared" ref="BP167:CB167" si="165">SUMIFS(BP165:BP166,$H165:$H166,"&lt;&gt;"&amp;$H$18,$D165:$D166,"&lt;&gt;*[-]*",$E165:$E166,"&lt;&gt;*[-]*",$F165:$F166,"&lt;&gt;*[-]*",$G165:$G166,"&lt;&gt;*[-]*")</f>
        <v>0</v>
      </c>
      <c r="BQ167" s="203">
        <f t="shared" si="165"/>
        <v>0</v>
      </c>
      <c r="BR167" s="203">
        <f t="shared" si="165"/>
        <v>0</v>
      </c>
      <c r="BS167" s="203">
        <f t="shared" si="165"/>
        <v>0</v>
      </c>
      <c r="BT167" s="203">
        <f t="shared" si="165"/>
        <v>0</v>
      </c>
      <c r="BU167" s="203">
        <f t="shared" si="165"/>
        <v>0</v>
      </c>
      <c r="BV167" s="203">
        <f t="shared" si="165"/>
        <v>0</v>
      </c>
      <c r="BW167" s="203">
        <f t="shared" si="165"/>
        <v>0</v>
      </c>
      <c r="BX167" s="203">
        <f t="shared" si="165"/>
        <v>0</v>
      </c>
      <c r="BY167" s="203">
        <f t="shared" si="165"/>
        <v>0</v>
      </c>
      <c r="BZ167" s="203">
        <f t="shared" si="165"/>
        <v>0</v>
      </c>
      <c r="CA167" s="203">
        <f t="shared" si="165"/>
        <v>0</v>
      </c>
      <c r="CB167" s="204">
        <f t="shared" si="165"/>
        <v>0</v>
      </c>
    </row>
    <row r="169" spans="1:80" s="47" customFormat="1" ht="12.45" hidden="1" thickBot="1" x14ac:dyDescent="0.3">
      <c r="A169" t="s">
        <v>1</v>
      </c>
      <c r="C169" s="132" t="s">
        <v>117</v>
      </c>
      <c r="D169" s="132"/>
      <c r="E169" s="132"/>
      <c r="F169" s="132"/>
      <c r="G169" s="132"/>
      <c r="H169" s="132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P169" s="133"/>
      <c r="BQ169" s="133"/>
      <c r="BR169" s="133"/>
      <c r="BS169" s="133"/>
      <c r="BT169" s="133"/>
      <c r="BU169" s="133"/>
      <c r="BV169" s="133"/>
      <c r="BW169" s="133"/>
      <c r="BX169" s="133"/>
      <c r="BY169" s="133"/>
      <c r="BZ169" s="133"/>
      <c r="CA169" s="133"/>
      <c r="CB169" s="133"/>
    </row>
    <row r="170" spans="1:80" s="47" customFormat="1" ht="11.95" hidden="1" thickBot="1" x14ac:dyDescent="0.3">
      <c r="A170" t="s">
        <v>1</v>
      </c>
      <c r="D170" s="135"/>
      <c r="E170" s="135"/>
      <c r="F170" s="135"/>
      <c r="G170" s="135" t="s">
        <v>117</v>
      </c>
      <c r="H170" s="136"/>
      <c r="I170" s="136"/>
      <c r="J170" s="136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1">
        <f>SUM(L170:W170)</f>
        <v>0</v>
      </c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0"/>
      <c r="AL170" s="201">
        <f>SUM(Z170:AK170)</f>
        <v>0</v>
      </c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1">
        <f>SUM(AN170:AY170)</f>
        <v>0</v>
      </c>
      <c r="BB170" s="202"/>
      <c r="BC170" s="202"/>
      <c r="BD170" s="202"/>
      <c r="BE170" s="202"/>
      <c r="BF170" s="202"/>
      <c r="BG170" s="202"/>
      <c r="BH170" s="202"/>
      <c r="BI170" s="202"/>
      <c r="BJ170" s="202"/>
      <c r="BK170" s="202"/>
      <c r="BL170" s="202"/>
      <c r="BM170" s="202"/>
      <c r="BN170" s="201">
        <f>SUM(BB170:BM170)</f>
        <v>0</v>
      </c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1">
        <f>SUM(BP170:CA170)</f>
        <v>0</v>
      </c>
    </row>
    <row r="171" spans="1:80" s="47" customFormat="1" ht="11.95" hidden="1" thickBot="1" x14ac:dyDescent="0.3">
      <c r="A171" t="s">
        <v>1</v>
      </c>
      <c r="E171" s="135"/>
      <c r="F171" s="135"/>
      <c r="G171" s="135" t="s">
        <v>6</v>
      </c>
      <c r="H171" s="136"/>
      <c r="I171" s="136"/>
      <c r="J171" s="136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1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0"/>
      <c r="AK171" s="200"/>
      <c r="AL171" s="201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1"/>
      <c r="BB171" s="202"/>
      <c r="BC171" s="202"/>
      <c r="BD171" s="202"/>
      <c r="BE171" s="202"/>
      <c r="BF171" s="202"/>
      <c r="BG171" s="202"/>
      <c r="BH171" s="202"/>
      <c r="BI171" s="202"/>
      <c r="BJ171" s="202"/>
      <c r="BK171" s="202"/>
      <c r="BL171" s="202"/>
      <c r="BM171" s="202"/>
      <c r="BN171" s="201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1"/>
    </row>
    <row r="172" spans="1:80" s="47" customFormat="1" ht="11.95" hidden="1" x14ac:dyDescent="0.25">
      <c r="A172" t="s">
        <v>1</v>
      </c>
      <c r="C172" s="141" t="str">
        <f>"Total "&amp;C169</f>
        <v>Total Gain/Loss on Swap MTM</v>
      </c>
      <c r="D172" s="141"/>
      <c r="E172" s="141"/>
      <c r="F172" s="141"/>
      <c r="G172" s="141"/>
      <c r="H172" s="203"/>
      <c r="I172" s="203"/>
      <c r="J172" s="203"/>
      <c r="K172" s="203">
        <v>-1</v>
      </c>
      <c r="L172" s="203">
        <f t="shared" ref="L172:X172" si="166">SUMIFS(L170:L171,$H170:$H171,"&lt;&gt;"&amp;$H$18,$D170:$D171,"&lt;&gt;*[-]*",$E170:$E171,"&lt;&gt;*[-]*",$F170:$F171,"&lt;&gt;*[-]*",$G170:$G171,"&lt;&gt;*[-]*")</f>
        <v>0</v>
      </c>
      <c r="M172" s="203">
        <f t="shared" si="166"/>
        <v>0</v>
      </c>
      <c r="N172" s="203">
        <f t="shared" si="166"/>
        <v>0</v>
      </c>
      <c r="O172" s="203">
        <f t="shared" si="166"/>
        <v>0</v>
      </c>
      <c r="P172" s="203">
        <f t="shared" si="166"/>
        <v>0</v>
      </c>
      <c r="Q172" s="203">
        <f t="shared" si="166"/>
        <v>0</v>
      </c>
      <c r="R172" s="203">
        <f t="shared" si="166"/>
        <v>0</v>
      </c>
      <c r="S172" s="203">
        <f t="shared" si="166"/>
        <v>0</v>
      </c>
      <c r="T172" s="203">
        <f t="shared" si="166"/>
        <v>0</v>
      </c>
      <c r="U172" s="203">
        <f t="shared" si="166"/>
        <v>0</v>
      </c>
      <c r="V172" s="203">
        <f t="shared" si="166"/>
        <v>0</v>
      </c>
      <c r="W172" s="203">
        <f t="shared" si="166"/>
        <v>0</v>
      </c>
      <c r="X172" s="204">
        <f t="shared" si="166"/>
        <v>0</v>
      </c>
      <c r="Z172" s="203">
        <f t="shared" ref="Z172:AL172" si="167">SUMIFS(Z170:Z171,$H170:$H171,"&lt;&gt;"&amp;$H$18,$D170:$D171,"&lt;&gt;*[-]*",$E170:$E171,"&lt;&gt;*[-]*",$F170:$F171,"&lt;&gt;*[-]*",$G170:$G171,"&lt;&gt;*[-]*")</f>
        <v>0</v>
      </c>
      <c r="AA172" s="203">
        <f t="shared" si="167"/>
        <v>0</v>
      </c>
      <c r="AB172" s="203">
        <f t="shared" si="167"/>
        <v>0</v>
      </c>
      <c r="AC172" s="203">
        <f t="shared" si="167"/>
        <v>0</v>
      </c>
      <c r="AD172" s="203">
        <f t="shared" si="167"/>
        <v>0</v>
      </c>
      <c r="AE172" s="203">
        <f t="shared" si="167"/>
        <v>0</v>
      </c>
      <c r="AF172" s="203">
        <f t="shared" si="167"/>
        <v>0</v>
      </c>
      <c r="AG172" s="203">
        <f t="shared" si="167"/>
        <v>0</v>
      </c>
      <c r="AH172" s="203">
        <f t="shared" si="167"/>
        <v>0</v>
      </c>
      <c r="AI172" s="203">
        <f t="shared" si="167"/>
        <v>0</v>
      </c>
      <c r="AJ172" s="203">
        <f t="shared" si="167"/>
        <v>0</v>
      </c>
      <c r="AK172" s="203">
        <f t="shared" si="167"/>
        <v>0</v>
      </c>
      <c r="AL172" s="204">
        <f t="shared" si="167"/>
        <v>0</v>
      </c>
      <c r="AN172" s="203">
        <f t="shared" ref="AN172:AZ172" si="168">SUMIFS(AN170:AN171,$H170:$H171,"&lt;&gt;"&amp;$H$18,$D170:$D171,"&lt;&gt;*[-]*",$E170:$E171,"&lt;&gt;*[-]*",$F170:$F171,"&lt;&gt;*[-]*",$G170:$G171,"&lt;&gt;*[-]*")</f>
        <v>0</v>
      </c>
      <c r="AO172" s="203">
        <f t="shared" si="168"/>
        <v>0</v>
      </c>
      <c r="AP172" s="203">
        <f t="shared" si="168"/>
        <v>0</v>
      </c>
      <c r="AQ172" s="203">
        <f t="shared" si="168"/>
        <v>0</v>
      </c>
      <c r="AR172" s="203">
        <f t="shared" si="168"/>
        <v>0</v>
      </c>
      <c r="AS172" s="203">
        <f t="shared" si="168"/>
        <v>0</v>
      </c>
      <c r="AT172" s="203">
        <f t="shared" si="168"/>
        <v>0</v>
      </c>
      <c r="AU172" s="203">
        <f t="shared" si="168"/>
        <v>0</v>
      </c>
      <c r="AV172" s="203">
        <f t="shared" si="168"/>
        <v>0</v>
      </c>
      <c r="AW172" s="203">
        <f t="shared" si="168"/>
        <v>0</v>
      </c>
      <c r="AX172" s="203">
        <f t="shared" si="168"/>
        <v>0</v>
      </c>
      <c r="AY172" s="203">
        <f t="shared" si="168"/>
        <v>0</v>
      </c>
      <c r="AZ172" s="204">
        <f t="shared" si="168"/>
        <v>0</v>
      </c>
      <c r="BB172" s="203">
        <f t="shared" ref="BB172:BN172" si="169">SUMIFS(BB170:BB171,$H170:$H171,"&lt;&gt;"&amp;$H$18,$D170:$D171,"&lt;&gt;*[-]*",$E170:$E171,"&lt;&gt;*[-]*",$F170:$F171,"&lt;&gt;*[-]*",$G170:$G171,"&lt;&gt;*[-]*")</f>
        <v>0</v>
      </c>
      <c r="BC172" s="203">
        <f t="shared" si="169"/>
        <v>0</v>
      </c>
      <c r="BD172" s="203">
        <f t="shared" si="169"/>
        <v>0</v>
      </c>
      <c r="BE172" s="203">
        <f t="shared" si="169"/>
        <v>0</v>
      </c>
      <c r="BF172" s="203">
        <f t="shared" si="169"/>
        <v>0</v>
      </c>
      <c r="BG172" s="203">
        <f t="shared" si="169"/>
        <v>0</v>
      </c>
      <c r="BH172" s="203">
        <f t="shared" si="169"/>
        <v>0</v>
      </c>
      <c r="BI172" s="203">
        <f t="shared" si="169"/>
        <v>0</v>
      </c>
      <c r="BJ172" s="203">
        <f t="shared" si="169"/>
        <v>0</v>
      </c>
      <c r="BK172" s="203">
        <f t="shared" si="169"/>
        <v>0</v>
      </c>
      <c r="BL172" s="203">
        <f t="shared" si="169"/>
        <v>0</v>
      </c>
      <c r="BM172" s="203">
        <f t="shared" si="169"/>
        <v>0</v>
      </c>
      <c r="BN172" s="204">
        <f t="shared" si="169"/>
        <v>0</v>
      </c>
      <c r="BP172" s="203">
        <f t="shared" ref="BP172:CB172" si="170">SUMIFS(BP170:BP171,$H170:$H171,"&lt;&gt;"&amp;$H$18,$D170:$D171,"&lt;&gt;*[-]*",$E170:$E171,"&lt;&gt;*[-]*",$F170:$F171,"&lt;&gt;*[-]*",$G170:$G171,"&lt;&gt;*[-]*")</f>
        <v>0</v>
      </c>
      <c r="BQ172" s="203">
        <f t="shared" si="170"/>
        <v>0</v>
      </c>
      <c r="BR172" s="203">
        <f t="shared" si="170"/>
        <v>0</v>
      </c>
      <c r="BS172" s="203">
        <f t="shared" si="170"/>
        <v>0</v>
      </c>
      <c r="BT172" s="203">
        <f t="shared" si="170"/>
        <v>0</v>
      </c>
      <c r="BU172" s="203">
        <f t="shared" si="170"/>
        <v>0</v>
      </c>
      <c r="BV172" s="203">
        <f t="shared" si="170"/>
        <v>0</v>
      </c>
      <c r="BW172" s="203">
        <f t="shared" si="170"/>
        <v>0</v>
      </c>
      <c r="BX172" s="203">
        <f t="shared" si="170"/>
        <v>0</v>
      </c>
      <c r="BY172" s="203">
        <f t="shared" si="170"/>
        <v>0</v>
      </c>
      <c r="BZ172" s="203">
        <f t="shared" si="170"/>
        <v>0</v>
      </c>
      <c r="CA172" s="203">
        <f t="shared" si="170"/>
        <v>0</v>
      </c>
      <c r="CB172" s="204">
        <f t="shared" si="170"/>
        <v>0</v>
      </c>
    </row>
    <row r="173" spans="1:80" s="47" customFormat="1" hidden="1" x14ac:dyDescent="0.25">
      <c r="A173" t="s">
        <v>1</v>
      </c>
    </row>
    <row r="174" spans="1:80" s="47" customFormat="1" ht="12.45" hidden="1" thickBot="1" x14ac:dyDescent="0.3">
      <c r="A174" t="s">
        <v>1</v>
      </c>
      <c r="C174" s="132" t="s">
        <v>117</v>
      </c>
      <c r="D174" s="132"/>
      <c r="E174" s="132"/>
      <c r="F174" s="132"/>
      <c r="G174" s="132"/>
      <c r="H174" s="132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P174" s="133"/>
      <c r="BQ174" s="133"/>
      <c r="BR174" s="133"/>
      <c r="BS174" s="133"/>
      <c r="BT174" s="133"/>
      <c r="BU174" s="133"/>
      <c r="BV174" s="133"/>
      <c r="BW174" s="133"/>
      <c r="BX174" s="133"/>
      <c r="BY174" s="133"/>
      <c r="BZ174" s="133"/>
      <c r="CA174" s="133"/>
      <c r="CB174" s="133"/>
    </row>
    <row r="175" spans="1:80" s="47" customFormat="1" ht="11.95" hidden="1" thickBot="1" x14ac:dyDescent="0.3">
      <c r="A175" t="s">
        <v>1</v>
      </c>
      <c r="D175" s="135"/>
      <c r="E175" s="135"/>
      <c r="F175" s="135"/>
      <c r="G175" s="135" t="s">
        <v>117</v>
      </c>
      <c r="H175" s="136"/>
      <c r="I175" s="136"/>
      <c r="J175" s="136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1">
        <f>SUM(L175:W175)</f>
        <v>0</v>
      </c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1">
        <f>SUM(Z175:AK175)</f>
        <v>0</v>
      </c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1">
        <f>SUM(AN175:AY175)</f>
        <v>0</v>
      </c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1">
        <f>SUM(BB175:BM175)</f>
        <v>0</v>
      </c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1">
        <f>SUM(BP175:CA175)</f>
        <v>0</v>
      </c>
    </row>
    <row r="176" spans="1:80" s="47" customFormat="1" ht="11.95" hidden="1" thickBot="1" x14ac:dyDescent="0.3">
      <c r="A176" t="s">
        <v>1</v>
      </c>
      <c r="E176" s="135"/>
      <c r="F176" s="135"/>
      <c r="G176" s="135" t="s">
        <v>6</v>
      </c>
      <c r="H176" s="136"/>
      <c r="I176" s="136"/>
      <c r="J176" s="136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1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1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1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1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1"/>
    </row>
    <row r="177" spans="1:80" s="47" customFormat="1" ht="11.95" hidden="1" x14ac:dyDescent="0.25">
      <c r="A177" t="s">
        <v>1</v>
      </c>
      <c r="C177" s="141" t="str">
        <f>"Total "&amp;C174</f>
        <v>Total Gain/Loss on Swap MTM</v>
      </c>
      <c r="D177" s="141"/>
      <c r="E177" s="141"/>
      <c r="F177" s="141"/>
      <c r="G177" s="141"/>
      <c r="H177" s="203"/>
      <c r="I177" s="203"/>
      <c r="J177" s="203"/>
      <c r="K177" s="203">
        <v>-1</v>
      </c>
      <c r="L177" s="203">
        <f t="shared" ref="L177:X177" si="171">SUMIFS(L175:L176,$H175:$H176,"&lt;&gt;"&amp;$H$18,$D175:$D176,"&lt;&gt;*[-]*",$E175:$E176,"&lt;&gt;*[-]*",$F175:$F176,"&lt;&gt;*[-]*",$G175:$G176,"&lt;&gt;*[-]*")</f>
        <v>0</v>
      </c>
      <c r="M177" s="203">
        <f t="shared" si="171"/>
        <v>0</v>
      </c>
      <c r="N177" s="203">
        <f t="shared" si="171"/>
        <v>0</v>
      </c>
      <c r="O177" s="203">
        <f t="shared" si="171"/>
        <v>0</v>
      </c>
      <c r="P177" s="203">
        <f t="shared" si="171"/>
        <v>0</v>
      </c>
      <c r="Q177" s="203">
        <f t="shared" si="171"/>
        <v>0</v>
      </c>
      <c r="R177" s="203">
        <f t="shared" si="171"/>
        <v>0</v>
      </c>
      <c r="S177" s="203">
        <f t="shared" si="171"/>
        <v>0</v>
      </c>
      <c r="T177" s="203">
        <f t="shared" si="171"/>
        <v>0</v>
      </c>
      <c r="U177" s="203">
        <f t="shared" si="171"/>
        <v>0</v>
      </c>
      <c r="V177" s="203">
        <f t="shared" si="171"/>
        <v>0</v>
      </c>
      <c r="W177" s="203">
        <f t="shared" si="171"/>
        <v>0</v>
      </c>
      <c r="X177" s="204">
        <f t="shared" si="171"/>
        <v>0</v>
      </c>
      <c r="Z177" s="203">
        <f t="shared" ref="Z177:AL177" si="172">SUMIFS(Z175:Z176,$H175:$H176,"&lt;&gt;"&amp;$H$18,$D175:$D176,"&lt;&gt;*[-]*",$E175:$E176,"&lt;&gt;*[-]*",$F175:$F176,"&lt;&gt;*[-]*",$G175:$G176,"&lt;&gt;*[-]*")</f>
        <v>0</v>
      </c>
      <c r="AA177" s="203">
        <f t="shared" si="172"/>
        <v>0</v>
      </c>
      <c r="AB177" s="203">
        <f t="shared" si="172"/>
        <v>0</v>
      </c>
      <c r="AC177" s="203">
        <f t="shared" si="172"/>
        <v>0</v>
      </c>
      <c r="AD177" s="203">
        <f t="shared" si="172"/>
        <v>0</v>
      </c>
      <c r="AE177" s="203">
        <f t="shared" si="172"/>
        <v>0</v>
      </c>
      <c r="AF177" s="203">
        <f t="shared" si="172"/>
        <v>0</v>
      </c>
      <c r="AG177" s="203">
        <f t="shared" si="172"/>
        <v>0</v>
      </c>
      <c r="AH177" s="203">
        <f t="shared" si="172"/>
        <v>0</v>
      </c>
      <c r="AI177" s="203">
        <f t="shared" si="172"/>
        <v>0</v>
      </c>
      <c r="AJ177" s="203">
        <f t="shared" si="172"/>
        <v>0</v>
      </c>
      <c r="AK177" s="203">
        <f t="shared" si="172"/>
        <v>0</v>
      </c>
      <c r="AL177" s="204">
        <f t="shared" si="172"/>
        <v>0</v>
      </c>
      <c r="AN177" s="203">
        <f t="shared" ref="AN177:AZ177" si="173">SUMIFS(AN175:AN176,$H175:$H176,"&lt;&gt;"&amp;$H$18,$D175:$D176,"&lt;&gt;*[-]*",$E175:$E176,"&lt;&gt;*[-]*",$F175:$F176,"&lt;&gt;*[-]*",$G175:$G176,"&lt;&gt;*[-]*")</f>
        <v>0</v>
      </c>
      <c r="AO177" s="203">
        <f t="shared" si="173"/>
        <v>0</v>
      </c>
      <c r="AP177" s="203">
        <f t="shared" si="173"/>
        <v>0</v>
      </c>
      <c r="AQ177" s="203">
        <f t="shared" si="173"/>
        <v>0</v>
      </c>
      <c r="AR177" s="203">
        <f t="shared" si="173"/>
        <v>0</v>
      </c>
      <c r="AS177" s="203">
        <f t="shared" si="173"/>
        <v>0</v>
      </c>
      <c r="AT177" s="203">
        <f t="shared" si="173"/>
        <v>0</v>
      </c>
      <c r="AU177" s="203">
        <f t="shared" si="173"/>
        <v>0</v>
      </c>
      <c r="AV177" s="203">
        <f t="shared" si="173"/>
        <v>0</v>
      </c>
      <c r="AW177" s="203">
        <f t="shared" si="173"/>
        <v>0</v>
      </c>
      <c r="AX177" s="203">
        <f t="shared" si="173"/>
        <v>0</v>
      </c>
      <c r="AY177" s="203">
        <f t="shared" si="173"/>
        <v>0</v>
      </c>
      <c r="AZ177" s="204">
        <f t="shared" si="173"/>
        <v>0</v>
      </c>
      <c r="BB177" s="203">
        <f t="shared" ref="BB177:BN177" si="174">SUMIFS(BB175:BB176,$H175:$H176,"&lt;&gt;"&amp;$H$18,$D175:$D176,"&lt;&gt;*[-]*",$E175:$E176,"&lt;&gt;*[-]*",$F175:$F176,"&lt;&gt;*[-]*",$G175:$G176,"&lt;&gt;*[-]*")</f>
        <v>0</v>
      </c>
      <c r="BC177" s="203">
        <f t="shared" si="174"/>
        <v>0</v>
      </c>
      <c r="BD177" s="203">
        <f t="shared" si="174"/>
        <v>0</v>
      </c>
      <c r="BE177" s="203">
        <f t="shared" si="174"/>
        <v>0</v>
      </c>
      <c r="BF177" s="203">
        <f t="shared" si="174"/>
        <v>0</v>
      </c>
      <c r="BG177" s="203">
        <f t="shared" si="174"/>
        <v>0</v>
      </c>
      <c r="BH177" s="203">
        <f t="shared" si="174"/>
        <v>0</v>
      </c>
      <c r="BI177" s="203">
        <f t="shared" si="174"/>
        <v>0</v>
      </c>
      <c r="BJ177" s="203">
        <f t="shared" si="174"/>
        <v>0</v>
      </c>
      <c r="BK177" s="203">
        <f t="shared" si="174"/>
        <v>0</v>
      </c>
      <c r="BL177" s="203">
        <f t="shared" si="174"/>
        <v>0</v>
      </c>
      <c r="BM177" s="203">
        <f t="shared" si="174"/>
        <v>0</v>
      </c>
      <c r="BN177" s="204">
        <f t="shared" si="174"/>
        <v>0</v>
      </c>
      <c r="BP177" s="203">
        <f t="shared" ref="BP177:CB177" si="175">SUMIFS(BP175:BP176,$H175:$H176,"&lt;&gt;"&amp;$H$18,$D175:$D176,"&lt;&gt;*[-]*",$E175:$E176,"&lt;&gt;*[-]*",$F175:$F176,"&lt;&gt;*[-]*",$G175:$G176,"&lt;&gt;*[-]*")</f>
        <v>0</v>
      </c>
      <c r="BQ177" s="203">
        <f t="shared" si="175"/>
        <v>0</v>
      </c>
      <c r="BR177" s="203">
        <f t="shared" si="175"/>
        <v>0</v>
      </c>
      <c r="BS177" s="203">
        <f t="shared" si="175"/>
        <v>0</v>
      </c>
      <c r="BT177" s="203">
        <f t="shared" si="175"/>
        <v>0</v>
      </c>
      <c r="BU177" s="203">
        <f t="shared" si="175"/>
        <v>0</v>
      </c>
      <c r="BV177" s="203">
        <f t="shared" si="175"/>
        <v>0</v>
      </c>
      <c r="BW177" s="203">
        <f t="shared" si="175"/>
        <v>0</v>
      </c>
      <c r="BX177" s="203">
        <f t="shared" si="175"/>
        <v>0</v>
      </c>
      <c r="BY177" s="203">
        <f t="shared" si="175"/>
        <v>0</v>
      </c>
      <c r="BZ177" s="203">
        <f t="shared" si="175"/>
        <v>0</v>
      </c>
      <c r="CA177" s="203">
        <f t="shared" si="175"/>
        <v>0</v>
      </c>
      <c r="CB177" s="204">
        <f t="shared" si="175"/>
        <v>0</v>
      </c>
    </row>
    <row r="178" spans="1:80" s="47" customFormat="1" hidden="1" x14ac:dyDescent="0.25">
      <c r="A178" t="s">
        <v>1</v>
      </c>
    </row>
    <row r="179" spans="1:80" s="47" customFormat="1" ht="12.45" hidden="1" thickBot="1" x14ac:dyDescent="0.3">
      <c r="A179" t="s">
        <v>1</v>
      </c>
      <c r="C179" s="132" t="s">
        <v>117</v>
      </c>
      <c r="D179" s="132"/>
      <c r="E179" s="132"/>
      <c r="F179" s="132"/>
      <c r="G179" s="132"/>
      <c r="H179" s="132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</row>
    <row r="180" spans="1:80" s="47" customFormat="1" ht="11.95" hidden="1" thickBot="1" x14ac:dyDescent="0.3">
      <c r="A180" t="s">
        <v>1</v>
      </c>
      <c r="D180" s="135"/>
      <c r="E180" s="135"/>
      <c r="F180" s="135"/>
      <c r="G180" s="135" t="s">
        <v>117</v>
      </c>
      <c r="H180" s="136"/>
      <c r="I180" s="136"/>
      <c r="J180" s="136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1">
        <f>SUM(L180:W180)</f>
        <v>0</v>
      </c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1">
        <f>SUM(Z180:AK180)</f>
        <v>0</v>
      </c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1">
        <f>SUM(AN180:AY180)</f>
        <v>0</v>
      </c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1">
        <f>SUM(BB180:BM180)</f>
        <v>0</v>
      </c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1">
        <f>SUM(BP180:CA180)</f>
        <v>0</v>
      </c>
    </row>
    <row r="181" spans="1:80" s="47" customFormat="1" ht="11.95" hidden="1" thickBot="1" x14ac:dyDescent="0.3">
      <c r="A181" t="s">
        <v>1</v>
      </c>
      <c r="E181" s="135"/>
      <c r="F181" s="135"/>
      <c r="G181" s="135" t="s">
        <v>6</v>
      </c>
      <c r="H181" s="136"/>
      <c r="I181" s="136"/>
      <c r="J181" s="136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1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1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1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1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1"/>
    </row>
    <row r="182" spans="1:80" s="47" customFormat="1" ht="11.95" hidden="1" x14ac:dyDescent="0.25">
      <c r="A182" t="s">
        <v>1</v>
      </c>
      <c r="C182" s="141" t="str">
        <f>"Total "&amp;C179</f>
        <v>Total Gain/Loss on Swap MTM</v>
      </c>
      <c r="D182" s="141"/>
      <c r="E182" s="141"/>
      <c r="F182" s="141"/>
      <c r="G182" s="141"/>
      <c r="H182" s="203"/>
      <c r="I182" s="203"/>
      <c r="J182" s="203"/>
      <c r="K182" s="203">
        <v>-1</v>
      </c>
      <c r="L182" s="203">
        <f t="shared" ref="L182:X182" si="176">SUMIFS(L180:L181,$H180:$H181,"&lt;&gt;"&amp;$H$18,$D180:$D181,"&lt;&gt;*[-]*",$E180:$E181,"&lt;&gt;*[-]*",$F180:$F181,"&lt;&gt;*[-]*",$G180:$G181,"&lt;&gt;*[-]*")</f>
        <v>0</v>
      </c>
      <c r="M182" s="203">
        <f t="shared" si="176"/>
        <v>0</v>
      </c>
      <c r="N182" s="203">
        <f t="shared" si="176"/>
        <v>0</v>
      </c>
      <c r="O182" s="203">
        <f t="shared" si="176"/>
        <v>0</v>
      </c>
      <c r="P182" s="203">
        <f t="shared" si="176"/>
        <v>0</v>
      </c>
      <c r="Q182" s="203">
        <f t="shared" si="176"/>
        <v>0</v>
      </c>
      <c r="R182" s="203">
        <f t="shared" si="176"/>
        <v>0</v>
      </c>
      <c r="S182" s="203">
        <f t="shared" si="176"/>
        <v>0</v>
      </c>
      <c r="T182" s="203">
        <f t="shared" si="176"/>
        <v>0</v>
      </c>
      <c r="U182" s="203">
        <f t="shared" si="176"/>
        <v>0</v>
      </c>
      <c r="V182" s="203">
        <f t="shared" si="176"/>
        <v>0</v>
      </c>
      <c r="W182" s="203">
        <f t="shared" si="176"/>
        <v>0</v>
      </c>
      <c r="X182" s="204">
        <f t="shared" si="176"/>
        <v>0</v>
      </c>
      <c r="Z182" s="203">
        <f t="shared" ref="Z182:AL182" si="177">SUMIFS(Z180:Z181,$H180:$H181,"&lt;&gt;"&amp;$H$18,$D180:$D181,"&lt;&gt;*[-]*",$E180:$E181,"&lt;&gt;*[-]*",$F180:$F181,"&lt;&gt;*[-]*",$G180:$G181,"&lt;&gt;*[-]*")</f>
        <v>0</v>
      </c>
      <c r="AA182" s="203">
        <f t="shared" si="177"/>
        <v>0</v>
      </c>
      <c r="AB182" s="203">
        <f t="shared" si="177"/>
        <v>0</v>
      </c>
      <c r="AC182" s="203">
        <f t="shared" si="177"/>
        <v>0</v>
      </c>
      <c r="AD182" s="203">
        <f t="shared" si="177"/>
        <v>0</v>
      </c>
      <c r="AE182" s="203">
        <f t="shared" si="177"/>
        <v>0</v>
      </c>
      <c r="AF182" s="203">
        <f t="shared" si="177"/>
        <v>0</v>
      </c>
      <c r="AG182" s="203">
        <f t="shared" si="177"/>
        <v>0</v>
      </c>
      <c r="AH182" s="203">
        <f t="shared" si="177"/>
        <v>0</v>
      </c>
      <c r="AI182" s="203">
        <f t="shared" si="177"/>
        <v>0</v>
      </c>
      <c r="AJ182" s="203">
        <f t="shared" si="177"/>
        <v>0</v>
      </c>
      <c r="AK182" s="203">
        <f t="shared" si="177"/>
        <v>0</v>
      </c>
      <c r="AL182" s="204">
        <f t="shared" si="177"/>
        <v>0</v>
      </c>
      <c r="AN182" s="203">
        <f t="shared" ref="AN182:AZ182" si="178">SUMIFS(AN180:AN181,$H180:$H181,"&lt;&gt;"&amp;$H$18,$D180:$D181,"&lt;&gt;*[-]*",$E180:$E181,"&lt;&gt;*[-]*",$F180:$F181,"&lt;&gt;*[-]*",$G180:$G181,"&lt;&gt;*[-]*")</f>
        <v>0</v>
      </c>
      <c r="AO182" s="203">
        <f t="shared" si="178"/>
        <v>0</v>
      </c>
      <c r="AP182" s="203">
        <f t="shared" si="178"/>
        <v>0</v>
      </c>
      <c r="AQ182" s="203">
        <f t="shared" si="178"/>
        <v>0</v>
      </c>
      <c r="AR182" s="203">
        <f t="shared" si="178"/>
        <v>0</v>
      </c>
      <c r="AS182" s="203">
        <f t="shared" si="178"/>
        <v>0</v>
      </c>
      <c r="AT182" s="203">
        <f t="shared" si="178"/>
        <v>0</v>
      </c>
      <c r="AU182" s="203">
        <f t="shared" si="178"/>
        <v>0</v>
      </c>
      <c r="AV182" s="203">
        <f t="shared" si="178"/>
        <v>0</v>
      </c>
      <c r="AW182" s="203">
        <f t="shared" si="178"/>
        <v>0</v>
      </c>
      <c r="AX182" s="203">
        <f t="shared" si="178"/>
        <v>0</v>
      </c>
      <c r="AY182" s="203">
        <f t="shared" si="178"/>
        <v>0</v>
      </c>
      <c r="AZ182" s="204">
        <f t="shared" si="178"/>
        <v>0</v>
      </c>
      <c r="BB182" s="203">
        <f t="shared" ref="BB182:BN182" si="179">SUMIFS(BB180:BB181,$H180:$H181,"&lt;&gt;"&amp;$H$18,$D180:$D181,"&lt;&gt;*[-]*",$E180:$E181,"&lt;&gt;*[-]*",$F180:$F181,"&lt;&gt;*[-]*",$G180:$G181,"&lt;&gt;*[-]*")</f>
        <v>0</v>
      </c>
      <c r="BC182" s="203">
        <f t="shared" si="179"/>
        <v>0</v>
      </c>
      <c r="BD182" s="203">
        <f t="shared" si="179"/>
        <v>0</v>
      </c>
      <c r="BE182" s="203">
        <f t="shared" si="179"/>
        <v>0</v>
      </c>
      <c r="BF182" s="203">
        <f t="shared" si="179"/>
        <v>0</v>
      </c>
      <c r="BG182" s="203">
        <f t="shared" si="179"/>
        <v>0</v>
      </c>
      <c r="BH182" s="203">
        <f t="shared" si="179"/>
        <v>0</v>
      </c>
      <c r="BI182" s="203">
        <f t="shared" si="179"/>
        <v>0</v>
      </c>
      <c r="BJ182" s="203">
        <f t="shared" si="179"/>
        <v>0</v>
      </c>
      <c r="BK182" s="203">
        <f t="shared" si="179"/>
        <v>0</v>
      </c>
      <c r="BL182" s="203">
        <f t="shared" si="179"/>
        <v>0</v>
      </c>
      <c r="BM182" s="203">
        <f t="shared" si="179"/>
        <v>0</v>
      </c>
      <c r="BN182" s="204">
        <f t="shared" si="179"/>
        <v>0</v>
      </c>
      <c r="BP182" s="203">
        <f t="shared" ref="BP182:CB182" si="180">SUMIFS(BP180:BP181,$H180:$H181,"&lt;&gt;"&amp;$H$18,$D180:$D181,"&lt;&gt;*[-]*",$E180:$E181,"&lt;&gt;*[-]*",$F180:$F181,"&lt;&gt;*[-]*",$G180:$G181,"&lt;&gt;*[-]*")</f>
        <v>0</v>
      </c>
      <c r="BQ182" s="203">
        <f t="shared" si="180"/>
        <v>0</v>
      </c>
      <c r="BR182" s="203">
        <f t="shared" si="180"/>
        <v>0</v>
      </c>
      <c r="BS182" s="203">
        <f t="shared" si="180"/>
        <v>0</v>
      </c>
      <c r="BT182" s="203">
        <f t="shared" si="180"/>
        <v>0</v>
      </c>
      <c r="BU182" s="203">
        <f t="shared" si="180"/>
        <v>0</v>
      </c>
      <c r="BV182" s="203">
        <f t="shared" si="180"/>
        <v>0</v>
      </c>
      <c r="BW182" s="203">
        <f t="shared" si="180"/>
        <v>0</v>
      </c>
      <c r="BX182" s="203">
        <f t="shared" si="180"/>
        <v>0</v>
      </c>
      <c r="BY182" s="203">
        <f t="shared" si="180"/>
        <v>0</v>
      </c>
      <c r="BZ182" s="203">
        <f t="shared" si="180"/>
        <v>0</v>
      </c>
      <c r="CA182" s="203">
        <f t="shared" si="180"/>
        <v>0</v>
      </c>
      <c r="CB182" s="204">
        <f t="shared" si="180"/>
        <v>0</v>
      </c>
    </row>
    <row r="183" spans="1:80" s="47" customFormat="1" hidden="1" x14ac:dyDescent="0.25">
      <c r="A183" t="s">
        <v>1</v>
      </c>
    </row>
    <row r="184" spans="1:80" s="47" customFormat="1" ht="12.45" hidden="1" thickBot="1" x14ac:dyDescent="0.3">
      <c r="A184" t="s">
        <v>1</v>
      </c>
      <c r="C184" s="132" t="s">
        <v>117</v>
      </c>
      <c r="D184" s="132"/>
      <c r="E184" s="132"/>
      <c r="F184" s="132"/>
      <c r="G184" s="132"/>
      <c r="H184" s="132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B184" s="133"/>
      <c r="BC184" s="133"/>
      <c r="BD184" s="133"/>
      <c r="BE184" s="133"/>
      <c r="BF184" s="133"/>
      <c r="BG184" s="133"/>
      <c r="BH184" s="133"/>
      <c r="BI184" s="133"/>
      <c r="BJ184" s="133"/>
      <c r="BK184" s="133"/>
      <c r="BL184" s="133"/>
      <c r="BM184" s="133"/>
      <c r="BN184" s="133"/>
      <c r="BP184" s="133"/>
      <c r="BQ184" s="133"/>
      <c r="BR184" s="133"/>
      <c r="BS184" s="133"/>
      <c r="BT184" s="133"/>
      <c r="BU184" s="133"/>
      <c r="BV184" s="133"/>
      <c r="BW184" s="133"/>
      <c r="BX184" s="133"/>
      <c r="BY184" s="133"/>
      <c r="BZ184" s="133"/>
      <c r="CA184" s="133"/>
      <c r="CB184" s="133"/>
    </row>
    <row r="185" spans="1:80" s="47" customFormat="1" ht="11.95" hidden="1" thickBot="1" x14ac:dyDescent="0.3">
      <c r="A185" t="s">
        <v>1</v>
      </c>
      <c r="D185" s="135"/>
      <c r="E185" s="135"/>
      <c r="F185" s="135"/>
      <c r="G185" s="135" t="s">
        <v>117</v>
      </c>
      <c r="H185" s="136"/>
      <c r="I185" s="136"/>
      <c r="J185" s="136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1">
        <f>SUM(L185:W185)</f>
        <v>0</v>
      </c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1">
        <f>SUM(Z185:AK185)</f>
        <v>0</v>
      </c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1">
        <f>SUM(AN185:AY185)</f>
        <v>0</v>
      </c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1">
        <f>SUM(BB185:BM185)</f>
        <v>0</v>
      </c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1">
        <f>SUM(BP185:CA185)</f>
        <v>0</v>
      </c>
    </row>
    <row r="186" spans="1:80" s="47" customFormat="1" ht="11.95" hidden="1" thickBot="1" x14ac:dyDescent="0.3">
      <c r="A186" t="s">
        <v>1</v>
      </c>
      <c r="E186" s="135"/>
      <c r="F186" s="135"/>
      <c r="G186" s="135" t="s">
        <v>6</v>
      </c>
      <c r="H186" s="136"/>
      <c r="I186" s="136"/>
      <c r="J186" s="136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1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1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1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1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1"/>
    </row>
    <row r="187" spans="1:80" s="47" customFormat="1" ht="11.95" hidden="1" x14ac:dyDescent="0.25">
      <c r="A187" t="s">
        <v>1</v>
      </c>
      <c r="C187" s="141" t="str">
        <f>"Total "&amp;C184</f>
        <v>Total Gain/Loss on Swap MTM</v>
      </c>
      <c r="D187" s="141"/>
      <c r="E187" s="141"/>
      <c r="F187" s="141"/>
      <c r="G187" s="141"/>
      <c r="H187" s="203"/>
      <c r="I187" s="203"/>
      <c r="J187" s="203"/>
      <c r="K187" s="203">
        <v>-1</v>
      </c>
      <c r="L187" s="203">
        <f t="shared" ref="L187:X187" si="181">SUMIFS(L185:L186,$H185:$H186,"&lt;&gt;"&amp;$H$18,$D185:$D186,"&lt;&gt;*[-]*",$E185:$E186,"&lt;&gt;*[-]*",$F185:$F186,"&lt;&gt;*[-]*",$G185:$G186,"&lt;&gt;*[-]*")</f>
        <v>0</v>
      </c>
      <c r="M187" s="203">
        <f t="shared" si="181"/>
        <v>0</v>
      </c>
      <c r="N187" s="203">
        <f t="shared" si="181"/>
        <v>0</v>
      </c>
      <c r="O187" s="203">
        <f t="shared" si="181"/>
        <v>0</v>
      </c>
      <c r="P187" s="203">
        <f t="shared" si="181"/>
        <v>0</v>
      </c>
      <c r="Q187" s="203">
        <f t="shared" si="181"/>
        <v>0</v>
      </c>
      <c r="R187" s="203">
        <f t="shared" si="181"/>
        <v>0</v>
      </c>
      <c r="S187" s="203">
        <f t="shared" si="181"/>
        <v>0</v>
      </c>
      <c r="T187" s="203">
        <f t="shared" si="181"/>
        <v>0</v>
      </c>
      <c r="U187" s="203">
        <f t="shared" si="181"/>
        <v>0</v>
      </c>
      <c r="V187" s="203">
        <f t="shared" si="181"/>
        <v>0</v>
      </c>
      <c r="W187" s="203">
        <f t="shared" si="181"/>
        <v>0</v>
      </c>
      <c r="X187" s="204">
        <f t="shared" si="181"/>
        <v>0</v>
      </c>
      <c r="Z187" s="203">
        <f t="shared" ref="Z187:AL187" si="182">SUMIFS(Z185:Z186,$H185:$H186,"&lt;&gt;"&amp;$H$18,$D185:$D186,"&lt;&gt;*[-]*",$E185:$E186,"&lt;&gt;*[-]*",$F185:$F186,"&lt;&gt;*[-]*",$G185:$G186,"&lt;&gt;*[-]*")</f>
        <v>0</v>
      </c>
      <c r="AA187" s="203">
        <f t="shared" si="182"/>
        <v>0</v>
      </c>
      <c r="AB187" s="203">
        <f t="shared" si="182"/>
        <v>0</v>
      </c>
      <c r="AC187" s="203">
        <f t="shared" si="182"/>
        <v>0</v>
      </c>
      <c r="AD187" s="203">
        <f t="shared" si="182"/>
        <v>0</v>
      </c>
      <c r="AE187" s="203">
        <f t="shared" si="182"/>
        <v>0</v>
      </c>
      <c r="AF187" s="203">
        <f t="shared" si="182"/>
        <v>0</v>
      </c>
      <c r="AG187" s="203">
        <f t="shared" si="182"/>
        <v>0</v>
      </c>
      <c r="AH187" s="203">
        <f t="shared" si="182"/>
        <v>0</v>
      </c>
      <c r="AI187" s="203">
        <f t="shared" si="182"/>
        <v>0</v>
      </c>
      <c r="AJ187" s="203">
        <f t="shared" si="182"/>
        <v>0</v>
      </c>
      <c r="AK187" s="203">
        <f t="shared" si="182"/>
        <v>0</v>
      </c>
      <c r="AL187" s="204">
        <f t="shared" si="182"/>
        <v>0</v>
      </c>
      <c r="AN187" s="203">
        <f t="shared" ref="AN187:AZ187" si="183">SUMIFS(AN185:AN186,$H185:$H186,"&lt;&gt;"&amp;$H$18,$D185:$D186,"&lt;&gt;*[-]*",$E185:$E186,"&lt;&gt;*[-]*",$F185:$F186,"&lt;&gt;*[-]*",$G185:$G186,"&lt;&gt;*[-]*")</f>
        <v>0</v>
      </c>
      <c r="AO187" s="203">
        <f t="shared" si="183"/>
        <v>0</v>
      </c>
      <c r="AP187" s="203">
        <f t="shared" si="183"/>
        <v>0</v>
      </c>
      <c r="AQ187" s="203">
        <f t="shared" si="183"/>
        <v>0</v>
      </c>
      <c r="AR187" s="203">
        <f t="shared" si="183"/>
        <v>0</v>
      </c>
      <c r="AS187" s="203">
        <f t="shared" si="183"/>
        <v>0</v>
      </c>
      <c r="AT187" s="203">
        <f t="shared" si="183"/>
        <v>0</v>
      </c>
      <c r="AU187" s="203">
        <f t="shared" si="183"/>
        <v>0</v>
      </c>
      <c r="AV187" s="203">
        <f t="shared" si="183"/>
        <v>0</v>
      </c>
      <c r="AW187" s="203">
        <f t="shared" si="183"/>
        <v>0</v>
      </c>
      <c r="AX187" s="203">
        <f t="shared" si="183"/>
        <v>0</v>
      </c>
      <c r="AY187" s="203">
        <f t="shared" si="183"/>
        <v>0</v>
      </c>
      <c r="AZ187" s="204">
        <f t="shared" si="183"/>
        <v>0</v>
      </c>
      <c r="BB187" s="203">
        <f t="shared" ref="BB187:BN187" si="184">SUMIFS(BB185:BB186,$H185:$H186,"&lt;&gt;"&amp;$H$18,$D185:$D186,"&lt;&gt;*[-]*",$E185:$E186,"&lt;&gt;*[-]*",$F185:$F186,"&lt;&gt;*[-]*",$G185:$G186,"&lt;&gt;*[-]*")</f>
        <v>0</v>
      </c>
      <c r="BC187" s="203">
        <f t="shared" si="184"/>
        <v>0</v>
      </c>
      <c r="BD187" s="203">
        <f t="shared" si="184"/>
        <v>0</v>
      </c>
      <c r="BE187" s="203">
        <f t="shared" si="184"/>
        <v>0</v>
      </c>
      <c r="BF187" s="203">
        <f t="shared" si="184"/>
        <v>0</v>
      </c>
      <c r="BG187" s="203">
        <f t="shared" si="184"/>
        <v>0</v>
      </c>
      <c r="BH187" s="203">
        <f t="shared" si="184"/>
        <v>0</v>
      </c>
      <c r="BI187" s="203">
        <f t="shared" si="184"/>
        <v>0</v>
      </c>
      <c r="BJ187" s="203">
        <f t="shared" si="184"/>
        <v>0</v>
      </c>
      <c r="BK187" s="203">
        <f t="shared" si="184"/>
        <v>0</v>
      </c>
      <c r="BL187" s="203">
        <f t="shared" si="184"/>
        <v>0</v>
      </c>
      <c r="BM187" s="203">
        <f t="shared" si="184"/>
        <v>0</v>
      </c>
      <c r="BN187" s="204">
        <f t="shared" si="184"/>
        <v>0</v>
      </c>
      <c r="BP187" s="203">
        <f t="shared" ref="BP187:CB187" si="185">SUMIFS(BP185:BP186,$H185:$H186,"&lt;&gt;"&amp;$H$18,$D185:$D186,"&lt;&gt;*[-]*",$E185:$E186,"&lt;&gt;*[-]*",$F185:$F186,"&lt;&gt;*[-]*",$G185:$G186,"&lt;&gt;*[-]*")</f>
        <v>0</v>
      </c>
      <c r="BQ187" s="203">
        <f t="shared" si="185"/>
        <v>0</v>
      </c>
      <c r="BR187" s="203">
        <f t="shared" si="185"/>
        <v>0</v>
      </c>
      <c r="BS187" s="203">
        <f t="shared" si="185"/>
        <v>0</v>
      </c>
      <c r="BT187" s="203">
        <f t="shared" si="185"/>
        <v>0</v>
      </c>
      <c r="BU187" s="203">
        <f t="shared" si="185"/>
        <v>0</v>
      </c>
      <c r="BV187" s="203">
        <f t="shared" si="185"/>
        <v>0</v>
      </c>
      <c r="BW187" s="203">
        <f t="shared" si="185"/>
        <v>0</v>
      </c>
      <c r="BX187" s="203">
        <f t="shared" si="185"/>
        <v>0</v>
      </c>
      <c r="BY187" s="203">
        <f t="shared" si="185"/>
        <v>0</v>
      </c>
      <c r="BZ187" s="203">
        <f t="shared" si="185"/>
        <v>0</v>
      </c>
      <c r="CA187" s="203">
        <f t="shared" si="185"/>
        <v>0</v>
      </c>
      <c r="CB187" s="204">
        <f t="shared" si="185"/>
        <v>0</v>
      </c>
    </row>
    <row r="188" spans="1:80" s="47" customFormat="1" hidden="1" x14ac:dyDescent="0.25">
      <c r="A188" t="s">
        <v>1</v>
      </c>
    </row>
    <row r="189" spans="1:80" s="47" customFormat="1" ht="12.45" hidden="1" thickBot="1" x14ac:dyDescent="0.3">
      <c r="A189" t="s">
        <v>1</v>
      </c>
      <c r="C189" s="132" t="s">
        <v>117</v>
      </c>
      <c r="D189" s="132"/>
      <c r="E189" s="132"/>
      <c r="F189" s="132"/>
      <c r="G189" s="132"/>
      <c r="H189" s="132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B189" s="133"/>
      <c r="BC189" s="133"/>
      <c r="BD189" s="133"/>
      <c r="BE189" s="133"/>
      <c r="BF189" s="133"/>
      <c r="BG189" s="133"/>
      <c r="BH189" s="133"/>
      <c r="BI189" s="133"/>
      <c r="BJ189" s="133"/>
      <c r="BK189" s="133"/>
      <c r="BL189" s="133"/>
      <c r="BM189" s="133"/>
      <c r="BN189" s="133"/>
      <c r="BP189" s="133"/>
      <c r="BQ189" s="133"/>
      <c r="BR189" s="133"/>
      <c r="BS189" s="133"/>
      <c r="BT189" s="133"/>
      <c r="BU189" s="133"/>
      <c r="BV189" s="133"/>
      <c r="BW189" s="133"/>
      <c r="BX189" s="133"/>
      <c r="BY189" s="133"/>
      <c r="BZ189" s="133"/>
      <c r="CA189" s="133"/>
      <c r="CB189" s="133"/>
    </row>
    <row r="190" spans="1:80" s="47" customFormat="1" ht="11.95" hidden="1" thickBot="1" x14ac:dyDescent="0.3">
      <c r="A190" t="s">
        <v>1</v>
      </c>
      <c r="D190" s="135"/>
      <c r="E190" s="135"/>
      <c r="F190" s="135"/>
      <c r="G190" s="135" t="s">
        <v>117</v>
      </c>
      <c r="H190" s="136"/>
      <c r="I190" s="136"/>
      <c r="J190" s="136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1">
        <f>SUM(L190:W190)</f>
        <v>0</v>
      </c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1">
        <f>SUM(Z190:AK190)</f>
        <v>0</v>
      </c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1">
        <f>SUM(AN190:AY190)</f>
        <v>0</v>
      </c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1">
        <f>SUM(BB190:BM190)</f>
        <v>0</v>
      </c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1">
        <f>SUM(BP190:CA190)</f>
        <v>0</v>
      </c>
    </row>
    <row r="191" spans="1:80" s="47" customFormat="1" ht="11.95" hidden="1" thickBot="1" x14ac:dyDescent="0.3">
      <c r="A191" t="s">
        <v>1</v>
      </c>
      <c r="E191" s="135"/>
      <c r="F191" s="135"/>
      <c r="G191" s="135" t="s">
        <v>6</v>
      </c>
      <c r="H191" s="136"/>
      <c r="I191" s="136"/>
      <c r="J191" s="136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1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1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1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1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1"/>
    </row>
    <row r="192" spans="1:80" s="47" customFormat="1" ht="11.95" hidden="1" x14ac:dyDescent="0.25">
      <c r="A192" t="s">
        <v>1</v>
      </c>
      <c r="C192" s="141" t="str">
        <f>"Total "&amp;C189</f>
        <v>Total Gain/Loss on Swap MTM</v>
      </c>
      <c r="D192" s="141"/>
      <c r="E192" s="141"/>
      <c r="F192" s="141"/>
      <c r="G192" s="141"/>
      <c r="H192" s="203"/>
      <c r="I192" s="203"/>
      <c r="J192" s="203"/>
      <c r="K192" s="203">
        <v>-1</v>
      </c>
      <c r="L192" s="203">
        <f t="shared" ref="L192:X192" si="186">SUMIFS(L190:L191,$H190:$H191,"&lt;&gt;"&amp;$H$18,$D190:$D191,"&lt;&gt;*[-]*",$E190:$E191,"&lt;&gt;*[-]*",$F190:$F191,"&lt;&gt;*[-]*",$G190:$G191,"&lt;&gt;*[-]*")</f>
        <v>0</v>
      </c>
      <c r="M192" s="203">
        <f t="shared" si="186"/>
        <v>0</v>
      </c>
      <c r="N192" s="203">
        <f t="shared" si="186"/>
        <v>0</v>
      </c>
      <c r="O192" s="203">
        <f t="shared" si="186"/>
        <v>0</v>
      </c>
      <c r="P192" s="203">
        <f t="shared" si="186"/>
        <v>0</v>
      </c>
      <c r="Q192" s="203">
        <f t="shared" si="186"/>
        <v>0</v>
      </c>
      <c r="R192" s="203">
        <f t="shared" si="186"/>
        <v>0</v>
      </c>
      <c r="S192" s="203">
        <f t="shared" si="186"/>
        <v>0</v>
      </c>
      <c r="T192" s="203">
        <f t="shared" si="186"/>
        <v>0</v>
      </c>
      <c r="U192" s="203">
        <f t="shared" si="186"/>
        <v>0</v>
      </c>
      <c r="V192" s="203">
        <f t="shared" si="186"/>
        <v>0</v>
      </c>
      <c r="W192" s="203">
        <f t="shared" si="186"/>
        <v>0</v>
      </c>
      <c r="X192" s="204">
        <f t="shared" si="186"/>
        <v>0</v>
      </c>
      <c r="Z192" s="203">
        <f t="shared" ref="Z192:AL192" si="187">SUMIFS(Z190:Z191,$H190:$H191,"&lt;&gt;"&amp;$H$18,$D190:$D191,"&lt;&gt;*[-]*",$E190:$E191,"&lt;&gt;*[-]*",$F190:$F191,"&lt;&gt;*[-]*",$G190:$G191,"&lt;&gt;*[-]*")</f>
        <v>0</v>
      </c>
      <c r="AA192" s="203">
        <f t="shared" si="187"/>
        <v>0</v>
      </c>
      <c r="AB192" s="203">
        <f t="shared" si="187"/>
        <v>0</v>
      </c>
      <c r="AC192" s="203">
        <f t="shared" si="187"/>
        <v>0</v>
      </c>
      <c r="AD192" s="203">
        <f t="shared" si="187"/>
        <v>0</v>
      </c>
      <c r="AE192" s="203">
        <f t="shared" si="187"/>
        <v>0</v>
      </c>
      <c r="AF192" s="203">
        <f t="shared" si="187"/>
        <v>0</v>
      </c>
      <c r="AG192" s="203">
        <f t="shared" si="187"/>
        <v>0</v>
      </c>
      <c r="AH192" s="203">
        <f t="shared" si="187"/>
        <v>0</v>
      </c>
      <c r="AI192" s="203">
        <f t="shared" si="187"/>
        <v>0</v>
      </c>
      <c r="AJ192" s="203">
        <f t="shared" si="187"/>
        <v>0</v>
      </c>
      <c r="AK192" s="203">
        <f t="shared" si="187"/>
        <v>0</v>
      </c>
      <c r="AL192" s="204">
        <f t="shared" si="187"/>
        <v>0</v>
      </c>
      <c r="AN192" s="203">
        <f t="shared" ref="AN192:AZ192" si="188">SUMIFS(AN190:AN191,$H190:$H191,"&lt;&gt;"&amp;$H$18,$D190:$D191,"&lt;&gt;*[-]*",$E190:$E191,"&lt;&gt;*[-]*",$F190:$F191,"&lt;&gt;*[-]*",$G190:$G191,"&lt;&gt;*[-]*")</f>
        <v>0</v>
      </c>
      <c r="AO192" s="203">
        <f t="shared" si="188"/>
        <v>0</v>
      </c>
      <c r="AP192" s="203">
        <f t="shared" si="188"/>
        <v>0</v>
      </c>
      <c r="AQ192" s="203">
        <f t="shared" si="188"/>
        <v>0</v>
      </c>
      <c r="AR192" s="203">
        <f t="shared" si="188"/>
        <v>0</v>
      </c>
      <c r="AS192" s="203">
        <f t="shared" si="188"/>
        <v>0</v>
      </c>
      <c r="AT192" s="203">
        <f t="shared" si="188"/>
        <v>0</v>
      </c>
      <c r="AU192" s="203">
        <f t="shared" si="188"/>
        <v>0</v>
      </c>
      <c r="AV192" s="203">
        <f t="shared" si="188"/>
        <v>0</v>
      </c>
      <c r="AW192" s="203">
        <f t="shared" si="188"/>
        <v>0</v>
      </c>
      <c r="AX192" s="203">
        <f t="shared" si="188"/>
        <v>0</v>
      </c>
      <c r="AY192" s="203">
        <f t="shared" si="188"/>
        <v>0</v>
      </c>
      <c r="AZ192" s="204">
        <f t="shared" si="188"/>
        <v>0</v>
      </c>
      <c r="BB192" s="203">
        <f t="shared" ref="BB192:BN192" si="189">SUMIFS(BB190:BB191,$H190:$H191,"&lt;&gt;"&amp;$H$18,$D190:$D191,"&lt;&gt;*[-]*",$E190:$E191,"&lt;&gt;*[-]*",$F190:$F191,"&lt;&gt;*[-]*",$G190:$G191,"&lt;&gt;*[-]*")</f>
        <v>0</v>
      </c>
      <c r="BC192" s="203">
        <f t="shared" si="189"/>
        <v>0</v>
      </c>
      <c r="BD192" s="203">
        <f t="shared" si="189"/>
        <v>0</v>
      </c>
      <c r="BE192" s="203">
        <f t="shared" si="189"/>
        <v>0</v>
      </c>
      <c r="BF192" s="203">
        <f t="shared" si="189"/>
        <v>0</v>
      </c>
      <c r="BG192" s="203">
        <f t="shared" si="189"/>
        <v>0</v>
      </c>
      <c r="BH192" s="203">
        <f t="shared" si="189"/>
        <v>0</v>
      </c>
      <c r="BI192" s="203">
        <f t="shared" si="189"/>
        <v>0</v>
      </c>
      <c r="BJ192" s="203">
        <f t="shared" si="189"/>
        <v>0</v>
      </c>
      <c r="BK192" s="203">
        <f t="shared" si="189"/>
        <v>0</v>
      </c>
      <c r="BL192" s="203">
        <f t="shared" si="189"/>
        <v>0</v>
      </c>
      <c r="BM192" s="203">
        <f t="shared" si="189"/>
        <v>0</v>
      </c>
      <c r="BN192" s="204">
        <f t="shared" si="189"/>
        <v>0</v>
      </c>
      <c r="BP192" s="203">
        <f t="shared" ref="BP192:CB192" si="190">SUMIFS(BP190:BP191,$H190:$H191,"&lt;&gt;"&amp;$H$18,$D190:$D191,"&lt;&gt;*[-]*",$E190:$E191,"&lt;&gt;*[-]*",$F190:$F191,"&lt;&gt;*[-]*",$G190:$G191,"&lt;&gt;*[-]*")</f>
        <v>0</v>
      </c>
      <c r="BQ192" s="203">
        <f t="shared" si="190"/>
        <v>0</v>
      </c>
      <c r="BR192" s="203">
        <f t="shared" si="190"/>
        <v>0</v>
      </c>
      <c r="BS192" s="203">
        <f t="shared" si="190"/>
        <v>0</v>
      </c>
      <c r="BT192" s="203">
        <f t="shared" si="190"/>
        <v>0</v>
      </c>
      <c r="BU192" s="203">
        <f t="shared" si="190"/>
        <v>0</v>
      </c>
      <c r="BV192" s="203">
        <f t="shared" si="190"/>
        <v>0</v>
      </c>
      <c r="BW192" s="203">
        <f t="shared" si="190"/>
        <v>0</v>
      </c>
      <c r="BX192" s="203">
        <f t="shared" si="190"/>
        <v>0</v>
      </c>
      <c r="BY192" s="203">
        <f t="shared" si="190"/>
        <v>0</v>
      </c>
      <c r="BZ192" s="203">
        <f t="shared" si="190"/>
        <v>0</v>
      </c>
      <c r="CA192" s="203">
        <f t="shared" si="190"/>
        <v>0</v>
      </c>
      <c r="CB192" s="204">
        <f t="shared" si="190"/>
        <v>0</v>
      </c>
    </row>
    <row r="193" spans="1:80" s="47" customFormat="1" hidden="1" x14ac:dyDescent="0.25">
      <c r="A193" t="s">
        <v>1</v>
      </c>
    </row>
    <row r="194" spans="1:80" s="47" customFormat="1" ht="12.45" hidden="1" thickBot="1" x14ac:dyDescent="0.3">
      <c r="A194" t="s">
        <v>1</v>
      </c>
      <c r="C194" s="132" t="s">
        <v>117</v>
      </c>
      <c r="D194" s="132"/>
      <c r="E194" s="132"/>
      <c r="F194" s="132"/>
      <c r="G194" s="132"/>
      <c r="H194" s="132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B194" s="133"/>
      <c r="BC194" s="133"/>
      <c r="BD194" s="133"/>
      <c r="BE194" s="133"/>
      <c r="BF194" s="133"/>
      <c r="BG194" s="133"/>
      <c r="BH194" s="133"/>
      <c r="BI194" s="133"/>
      <c r="BJ194" s="133"/>
      <c r="BK194" s="133"/>
      <c r="BL194" s="133"/>
      <c r="BM194" s="133"/>
      <c r="BN194" s="133"/>
      <c r="BP194" s="133"/>
      <c r="BQ194" s="133"/>
      <c r="BR194" s="133"/>
      <c r="BS194" s="133"/>
      <c r="BT194" s="133"/>
      <c r="BU194" s="133"/>
      <c r="BV194" s="133"/>
      <c r="BW194" s="133"/>
      <c r="BX194" s="133"/>
      <c r="BY194" s="133"/>
      <c r="BZ194" s="133"/>
      <c r="CA194" s="133"/>
      <c r="CB194" s="133"/>
    </row>
    <row r="195" spans="1:80" s="47" customFormat="1" ht="11.95" hidden="1" thickBot="1" x14ac:dyDescent="0.3">
      <c r="A195" t="s">
        <v>1</v>
      </c>
      <c r="D195" s="135"/>
      <c r="E195" s="135"/>
      <c r="F195" s="135"/>
      <c r="G195" s="135" t="s">
        <v>117</v>
      </c>
      <c r="H195" s="136"/>
      <c r="I195" s="136"/>
      <c r="J195" s="136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1">
        <f>SUM(L195:W195)</f>
        <v>0</v>
      </c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1">
        <f>SUM(Z195:AK195)</f>
        <v>0</v>
      </c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1">
        <f>SUM(AN195:AY195)</f>
        <v>0</v>
      </c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1">
        <f>SUM(BB195:BM195)</f>
        <v>0</v>
      </c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1">
        <f>SUM(BP195:CA195)</f>
        <v>0</v>
      </c>
    </row>
    <row r="196" spans="1:80" s="47" customFormat="1" ht="11.95" hidden="1" thickBot="1" x14ac:dyDescent="0.3">
      <c r="A196" t="s">
        <v>1</v>
      </c>
      <c r="E196" s="135"/>
      <c r="F196" s="135"/>
      <c r="G196" s="135" t="s">
        <v>6</v>
      </c>
      <c r="H196" s="136"/>
      <c r="I196" s="136"/>
      <c r="J196" s="136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1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1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1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1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1"/>
    </row>
    <row r="197" spans="1:80" s="47" customFormat="1" ht="11.95" hidden="1" x14ac:dyDescent="0.25">
      <c r="A197" t="s">
        <v>1</v>
      </c>
      <c r="C197" s="141" t="str">
        <f>"Total "&amp;C194</f>
        <v>Total Gain/Loss on Swap MTM</v>
      </c>
      <c r="D197" s="141"/>
      <c r="E197" s="141"/>
      <c r="F197" s="141"/>
      <c r="G197" s="141"/>
      <c r="H197" s="203"/>
      <c r="I197" s="203"/>
      <c r="J197" s="203"/>
      <c r="K197" s="203">
        <v>-1</v>
      </c>
      <c r="L197" s="203">
        <f t="shared" ref="L197:X197" si="191">SUMIFS(L195:L196,$H195:$H196,"&lt;&gt;"&amp;$H$18,$D195:$D196,"&lt;&gt;*[-]*",$E195:$E196,"&lt;&gt;*[-]*",$F195:$F196,"&lt;&gt;*[-]*",$G195:$G196,"&lt;&gt;*[-]*")</f>
        <v>0</v>
      </c>
      <c r="M197" s="203">
        <f t="shared" si="191"/>
        <v>0</v>
      </c>
      <c r="N197" s="203">
        <f t="shared" si="191"/>
        <v>0</v>
      </c>
      <c r="O197" s="203">
        <f t="shared" si="191"/>
        <v>0</v>
      </c>
      <c r="P197" s="203">
        <f t="shared" si="191"/>
        <v>0</v>
      </c>
      <c r="Q197" s="203">
        <f t="shared" si="191"/>
        <v>0</v>
      </c>
      <c r="R197" s="203">
        <f t="shared" si="191"/>
        <v>0</v>
      </c>
      <c r="S197" s="203">
        <f t="shared" si="191"/>
        <v>0</v>
      </c>
      <c r="T197" s="203">
        <f t="shared" si="191"/>
        <v>0</v>
      </c>
      <c r="U197" s="203">
        <f t="shared" si="191"/>
        <v>0</v>
      </c>
      <c r="V197" s="203">
        <f t="shared" si="191"/>
        <v>0</v>
      </c>
      <c r="W197" s="203">
        <f t="shared" si="191"/>
        <v>0</v>
      </c>
      <c r="X197" s="204">
        <f t="shared" si="191"/>
        <v>0</v>
      </c>
      <c r="Z197" s="203">
        <f t="shared" ref="Z197:AL197" si="192">SUMIFS(Z195:Z196,$H195:$H196,"&lt;&gt;"&amp;$H$18,$D195:$D196,"&lt;&gt;*[-]*",$E195:$E196,"&lt;&gt;*[-]*",$F195:$F196,"&lt;&gt;*[-]*",$G195:$G196,"&lt;&gt;*[-]*")</f>
        <v>0</v>
      </c>
      <c r="AA197" s="203">
        <f t="shared" si="192"/>
        <v>0</v>
      </c>
      <c r="AB197" s="203">
        <f t="shared" si="192"/>
        <v>0</v>
      </c>
      <c r="AC197" s="203">
        <f t="shared" si="192"/>
        <v>0</v>
      </c>
      <c r="AD197" s="203">
        <f t="shared" si="192"/>
        <v>0</v>
      </c>
      <c r="AE197" s="203">
        <f t="shared" si="192"/>
        <v>0</v>
      </c>
      <c r="AF197" s="203">
        <f t="shared" si="192"/>
        <v>0</v>
      </c>
      <c r="AG197" s="203">
        <f t="shared" si="192"/>
        <v>0</v>
      </c>
      <c r="AH197" s="203">
        <f t="shared" si="192"/>
        <v>0</v>
      </c>
      <c r="AI197" s="203">
        <f t="shared" si="192"/>
        <v>0</v>
      </c>
      <c r="AJ197" s="203">
        <f t="shared" si="192"/>
        <v>0</v>
      </c>
      <c r="AK197" s="203">
        <f t="shared" si="192"/>
        <v>0</v>
      </c>
      <c r="AL197" s="204">
        <f t="shared" si="192"/>
        <v>0</v>
      </c>
      <c r="AN197" s="203">
        <f t="shared" ref="AN197:AZ197" si="193">SUMIFS(AN195:AN196,$H195:$H196,"&lt;&gt;"&amp;$H$18,$D195:$D196,"&lt;&gt;*[-]*",$E195:$E196,"&lt;&gt;*[-]*",$F195:$F196,"&lt;&gt;*[-]*",$G195:$G196,"&lt;&gt;*[-]*")</f>
        <v>0</v>
      </c>
      <c r="AO197" s="203">
        <f t="shared" si="193"/>
        <v>0</v>
      </c>
      <c r="AP197" s="203">
        <f t="shared" si="193"/>
        <v>0</v>
      </c>
      <c r="AQ197" s="203">
        <f t="shared" si="193"/>
        <v>0</v>
      </c>
      <c r="AR197" s="203">
        <f t="shared" si="193"/>
        <v>0</v>
      </c>
      <c r="AS197" s="203">
        <f t="shared" si="193"/>
        <v>0</v>
      </c>
      <c r="AT197" s="203">
        <f t="shared" si="193"/>
        <v>0</v>
      </c>
      <c r="AU197" s="203">
        <f t="shared" si="193"/>
        <v>0</v>
      </c>
      <c r="AV197" s="203">
        <f t="shared" si="193"/>
        <v>0</v>
      </c>
      <c r="AW197" s="203">
        <f t="shared" si="193"/>
        <v>0</v>
      </c>
      <c r="AX197" s="203">
        <f t="shared" si="193"/>
        <v>0</v>
      </c>
      <c r="AY197" s="203">
        <f t="shared" si="193"/>
        <v>0</v>
      </c>
      <c r="AZ197" s="204">
        <f t="shared" si="193"/>
        <v>0</v>
      </c>
      <c r="BB197" s="203">
        <f t="shared" ref="BB197:BN197" si="194">SUMIFS(BB195:BB196,$H195:$H196,"&lt;&gt;"&amp;$H$18,$D195:$D196,"&lt;&gt;*[-]*",$E195:$E196,"&lt;&gt;*[-]*",$F195:$F196,"&lt;&gt;*[-]*",$G195:$G196,"&lt;&gt;*[-]*")</f>
        <v>0</v>
      </c>
      <c r="BC197" s="203">
        <f t="shared" si="194"/>
        <v>0</v>
      </c>
      <c r="BD197" s="203">
        <f t="shared" si="194"/>
        <v>0</v>
      </c>
      <c r="BE197" s="203">
        <f t="shared" si="194"/>
        <v>0</v>
      </c>
      <c r="BF197" s="203">
        <f t="shared" si="194"/>
        <v>0</v>
      </c>
      <c r="BG197" s="203">
        <f t="shared" si="194"/>
        <v>0</v>
      </c>
      <c r="BH197" s="203">
        <f t="shared" si="194"/>
        <v>0</v>
      </c>
      <c r="BI197" s="203">
        <f t="shared" si="194"/>
        <v>0</v>
      </c>
      <c r="BJ197" s="203">
        <f t="shared" si="194"/>
        <v>0</v>
      </c>
      <c r="BK197" s="203">
        <f t="shared" si="194"/>
        <v>0</v>
      </c>
      <c r="BL197" s="203">
        <f t="shared" si="194"/>
        <v>0</v>
      </c>
      <c r="BM197" s="203">
        <f t="shared" si="194"/>
        <v>0</v>
      </c>
      <c r="BN197" s="204">
        <f t="shared" si="194"/>
        <v>0</v>
      </c>
      <c r="BP197" s="203">
        <f t="shared" ref="BP197:CB197" si="195">SUMIFS(BP195:BP196,$H195:$H196,"&lt;&gt;"&amp;$H$18,$D195:$D196,"&lt;&gt;*[-]*",$E195:$E196,"&lt;&gt;*[-]*",$F195:$F196,"&lt;&gt;*[-]*",$G195:$G196,"&lt;&gt;*[-]*")</f>
        <v>0</v>
      </c>
      <c r="BQ197" s="203">
        <f t="shared" si="195"/>
        <v>0</v>
      </c>
      <c r="BR197" s="203">
        <f t="shared" si="195"/>
        <v>0</v>
      </c>
      <c r="BS197" s="203">
        <f t="shared" si="195"/>
        <v>0</v>
      </c>
      <c r="BT197" s="203">
        <f t="shared" si="195"/>
        <v>0</v>
      </c>
      <c r="BU197" s="203">
        <f t="shared" si="195"/>
        <v>0</v>
      </c>
      <c r="BV197" s="203">
        <f t="shared" si="195"/>
        <v>0</v>
      </c>
      <c r="BW197" s="203">
        <f t="shared" si="195"/>
        <v>0</v>
      </c>
      <c r="BX197" s="203">
        <f t="shared" si="195"/>
        <v>0</v>
      </c>
      <c r="BY197" s="203">
        <f t="shared" si="195"/>
        <v>0</v>
      </c>
      <c r="BZ197" s="203">
        <f t="shared" si="195"/>
        <v>0</v>
      </c>
      <c r="CA197" s="203">
        <f t="shared" si="195"/>
        <v>0</v>
      </c>
      <c r="CB197" s="204">
        <f t="shared" si="195"/>
        <v>0</v>
      </c>
    </row>
    <row r="198" spans="1:80" ht="11.95" thickBot="1" x14ac:dyDescent="0.3"/>
    <row r="199" spans="1:80" ht="12.45" thickBot="1" x14ac:dyDescent="0.3">
      <c r="A199" t="str">
        <f>IF(COUNTIF(A19:A198,"#showrow")&gt;0,"#showrow","#hiderow")</f>
        <v>#showrow</v>
      </c>
      <c r="C199" s="19" t="s">
        <v>91</v>
      </c>
      <c r="D199" s="19"/>
      <c r="E199" s="19"/>
      <c r="F199" s="19"/>
      <c r="G199" s="19"/>
      <c r="H199" s="188"/>
      <c r="I199" s="188"/>
      <c r="J199" s="188"/>
      <c r="K199" s="188"/>
      <c r="L199" s="188">
        <f t="shared" ref="L199:X199" si="196">SUMPRODUCT($K$19:$K$198,L$19:L$198)</f>
        <v>12983.360000000011</v>
      </c>
      <c r="M199" s="188">
        <f t="shared" si="196"/>
        <v>143422.64000000001</v>
      </c>
      <c r="N199" s="188">
        <f t="shared" si="196"/>
        <v>-10131.520000000011</v>
      </c>
      <c r="O199" s="188">
        <f t="shared" si="196"/>
        <v>34862.570000000007</v>
      </c>
      <c r="P199" s="188">
        <f t="shared" si="196"/>
        <v>-74331.269999999975</v>
      </c>
      <c r="Q199" s="188">
        <f t="shared" si="196"/>
        <v>114460.70000000001</v>
      </c>
      <c r="R199" s="188">
        <f t="shared" si="196"/>
        <v>73595.33</v>
      </c>
      <c r="S199" s="188">
        <f t="shared" si="196"/>
        <v>128572.20000000001</v>
      </c>
      <c r="T199" s="188">
        <f t="shared" si="196"/>
        <v>173928.90000000002</v>
      </c>
      <c r="U199" s="188">
        <f t="shared" si="196"/>
        <v>114602.37999999996</v>
      </c>
      <c r="V199" s="188">
        <f t="shared" si="196"/>
        <v>176520.53999999998</v>
      </c>
      <c r="W199" s="188">
        <f t="shared" si="196"/>
        <v>224089.40000000002</v>
      </c>
      <c r="X199" s="189">
        <f t="shared" si="196"/>
        <v>1112575.2300000004</v>
      </c>
      <c r="Z199" s="188">
        <f t="shared" ref="Z199:AL199" si="197">SUMPRODUCT($K$19:$K$198,Z$19:Z$198)</f>
        <v>221715.19</v>
      </c>
      <c r="AA199" s="188">
        <f t="shared" si="197"/>
        <v>212509.85095674926</v>
      </c>
      <c r="AB199" s="188">
        <f t="shared" si="197"/>
        <v>279417.56369593734</v>
      </c>
      <c r="AC199" s="188">
        <f t="shared" si="197"/>
        <v>212509.85095674926</v>
      </c>
      <c r="AD199" s="188">
        <f t="shared" si="197"/>
        <v>212509.85095674926</v>
      </c>
      <c r="AE199" s="188">
        <f t="shared" si="197"/>
        <v>279417.56369593734</v>
      </c>
      <c r="AF199" s="188">
        <f t="shared" si="197"/>
        <v>212509.85095674926</v>
      </c>
      <c r="AG199" s="188">
        <f t="shared" si="197"/>
        <v>212509.85095674926</v>
      </c>
      <c r="AH199" s="188">
        <f t="shared" si="197"/>
        <v>279417.56369593734</v>
      </c>
      <c r="AI199" s="188">
        <f t="shared" si="197"/>
        <v>212509.85095674926</v>
      </c>
      <c r="AJ199" s="188">
        <f t="shared" si="197"/>
        <v>212509.85095674926</v>
      </c>
      <c r="AK199" s="188">
        <f t="shared" si="197"/>
        <v>279417.56369593734</v>
      </c>
      <c r="AL199" s="189">
        <f t="shared" si="197"/>
        <v>2826954.4014809947</v>
      </c>
      <c r="AN199" s="188">
        <f t="shared" ref="AN199:AZ199" si="198">SUMPRODUCT($K$19:$K$198,AN$19:AN$198)</f>
        <v>212509.85095674926</v>
      </c>
      <c r="AO199" s="188">
        <f t="shared" si="198"/>
        <v>212509.85095674926</v>
      </c>
      <c r="AP199" s="188">
        <f t="shared" si="198"/>
        <v>279417.56369593734</v>
      </c>
      <c r="AQ199" s="188">
        <f t="shared" si="198"/>
        <v>212509.85095674926</v>
      </c>
      <c r="AR199" s="188">
        <f t="shared" si="198"/>
        <v>212509.85095674926</v>
      </c>
      <c r="AS199" s="188">
        <f t="shared" si="198"/>
        <v>279417.56369593734</v>
      </c>
      <c r="AT199" s="188">
        <f t="shared" si="198"/>
        <v>212509.85095674926</v>
      </c>
      <c r="AU199" s="188">
        <f t="shared" si="198"/>
        <v>212509.85095674926</v>
      </c>
      <c r="AV199" s="188">
        <f t="shared" si="198"/>
        <v>279417.56369593734</v>
      </c>
      <c r="AW199" s="188">
        <f t="shared" si="198"/>
        <v>212509.85095674926</v>
      </c>
      <c r="AX199" s="188">
        <f t="shared" si="198"/>
        <v>212509.85095674926</v>
      </c>
      <c r="AY199" s="188">
        <f t="shared" si="198"/>
        <v>279417.56369593734</v>
      </c>
      <c r="AZ199" s="189">
        <f t="shared" si="198"/>
        <v>2817749.0624377453</v>
      </c>
      <c r="BB199" s="188">
        <f t="shared" ref="BB199:BN199" si="199">SUMPRODUCT($K$19:$K$198,BB$19:BB$198)</f>
        <v>212509.85095674926</v>
      </c>
      <c r="BC199" s="188">
        <f t="shared" si="199"/>
        <v>212509.85095674926</v>
      </c>
      <c r="BD199" s="188">
        <f t="shared" si="199"/>
        <v>279417.56369593734</v>
      </c>
      <c r="BE199" s="188">
        <f t="shared" si="199"/>
        <v>212509.85095674926</v>
      </c>
      <c r="BF199" s="188">
        <f t="shared" si="199"/>
        <v>212509.85095674926</v>
      </c>
      <c r="BG199" s="188">
        <f t="shared" si="199"/>
        <v>279417.56369593734</v>
      </c>
      <c r="BH199" s="188">
        <f t="shared" si="199"/>
        <v>212509.85095674926</v>
      </c>
      <c r="BI199" s="188">
        <f t="shared" si="199"/>
        <v>212509.85095674926</v>
      </c>
      <c r="BJ199" s="188">
        <f t="shared" si="199"/>
        <v>279417.56369593734</v>
      </c>
      <c r="BK199" s="188">
        <f t="shared" si="199"/>
        <v>212509.85095674926</v>
      </c>
      <c r="BL199" s="188">
        <f t="shared" si="199"/>
        <v>212509.85095674926</v>
      </c>
      <c r="BM199" s="188">
        <f t="shared" si="199"/>
        <v>279417.56369593734</v>
      </c>
      <c r="BN199" s="189">
        <f t="shared" si="199"/>
        <v>2817749.0624377453</v>
      </c>
      <c r="BP199" s="203" t="e">
        <f t="shared" ref="BP199:CB199" si="200">SUMPRODUCT($K$19:$K$198,BP$19:BP$198)</f>
        <v>#DIV/0!</v>
      </c>
      <c r="BQ199" s="203" t="e">
        <f t="shared" si="200"/>
        <v>#DIV/0!</v>
      </c>
      <c r="BR199" s="203" t="e">
        <f t="shared" si="200"/>
        <v>#DIV/0!</v>
      </c>
      <c r="BS199" s="203" t="e">
        <f t="shared" si="200"/>
        <v>#DIV/0!</v>
      </c>
      <c r="BT199" s="203" t="e">
        <f t="shared" si="200"/>
        <v>#DIV/0!</v>
      </c>
      <c r="BU199" s="203" t="e">
        <f t="shared" si="200"/>
        <v>#DIV/0!</v>
      </c>
      <c r="BV199" s="203" t="e">
        <f t="shared" si="200"/>
        <v>#DIV/0!</v>
      </c>
      <c r="BW199" s="203" t="e">
        <f t="shared" si="200"/>
        <v>#DIV/0!</v>
      </c>
      <c r="BX199" s="203" t="e">
        <f t="shared" si="200"/>
        <v>#DIV/0!</v>
      </c>
      <c r="BY199" s="203" t="e">
        <f t="shared" si="200"/>
        <v>#DIV/0!</v>
      </c>
      <c r="BZ199" s="203" t="e">
        <f t="shared" si="200"/>
        <v>#DIV/0!</v>
      </c>
      <c r="CA199" s="203" t="e">
        <f t="shared" si="200"/>
        <v>#DIV/0!</v>
      </c>
      <c r="CB199" s="204" t="e">
        <f t="shared" si="200"/>
        <v>#DIV/0!</v>
      </c>
    </row>
    <row r="200" spans="1:80" ht="11.95" x14ac:dyDescent="0.25">
      <c r="A200" t="str">
        <f>A199</f>
        <v>#showrow</v>
      </c>
      <c r="C200" s="19" t="s">
        <v>129</v>
      </c>
      <c r="D200" s="19"/>
      <c r="E200" s="19"/>
      <c r="F200" s="19"/>
      <c r="G200" s="19"/>
      <c r="H200" s="188"/>
      <c r="I200" s="188"/>
      <c r="J200" s="188"/>
      <c r="K200" s="188"/>
      <c r="L200" s="188">
        <f>L199</f>
        <v>12983.360000000011</v>
      </c>
      <c r="M200" s="188">
        <f>L200+M199</f>
        <v>156406.00000000003</v>
      </c>
      <c r="N200" s="188">
        <f t="shared" ref="N200:W200" si="201">M200+N199</f>
        <v>146274.48000000001</v>
      </c>
      <c r="O200" s="188">
        <f t="shared" si="201"/>
        <v>181137.05000000002</v>
      </c>
      <c r="P200" s="188">
        <f t="shared" si="201"/>
        <v>106805.78000000004</v>
      </c>
      <c r="Q200" s="188">
        <f t="shared" si="201"/>
        <v>221266.48000000004</v>
      </c>
      <c r="R200" s="188">
        <f t="shared" si="201"/>
        <v>294861.81000000006</v>
      </c>
      <c r="S200" s="188">
        <f t="shared" si="201"/>
        <v>423434.01000000007</v>
      </c>
      <c r="T200" s="188">
        <f t="shared" si="201"/>
        <v>597362.91000000015</v>
      </c>
      <c r="U200" s="188">
        <f t="shared" si="201"/>
        <v>711965.29000000015</v>
      </c>
      <c r="V200" s="188">
        <f t="shared" si="201"/>
        <v>888485.83000000007</v>
      </c>
      <c r="W200" s="188">
        <f t="shared" si="201"/>
        <v>1112575.23</v>
      </c>
      <c r="X200" s="189">
        <f>W200</f>
        <v>1112575.23</v>
      </c>
      <c r="Z200" s="188">
        <f>Z199</f>
        <v>221715.19</v>
      </c>
      <c r="AA200" s="188">
        <f>Z200+AA199</f>
        <v>434225.04095674923</v>
      </c>
      <c r="AB200" s="188">
        <f t="shared" ref="AB200:AK200" si="202">AA200+AB199</f>
        <v>713642.60465268651</v>
      </c>
      <c r="AC200" s="188">
        <f t="shared" si="202"/>
        <v>926152.4556094358</v>
      </c>
      <c r="AD200" s="188">
        <f t="shared" si="202"/>
        <v>1138662.3065661851</v>
      </c>
      <c r="AE200" s="188">
        <f t="shared" si="202"/>
        <v>1418079.8702621225</v>
      </c>
      <c r="AF200" s="188">
        <f t="shared" si="202"/>
        <v>1630589.7212188717</v>
      </c>
      <c r="AG200" s="188">
        <f t="shared" si="202"/>
        <v>1843099.5721756208</v>
      </c>
      <c r="AH200" s="188">
        <f t="shared" si="202"/>
        <v>2122517.135871558</v>
      </c>
      <c r="AI200" s="188">
        <f t="shared" si="202"/>
        <v>2335026.9868283072</v>
      </c>
      <c r="AJ200" s="188">
        <f t="shared" si="202"/>
        <v>2547536.8377850563</v>
      </c>
      <c r="AK200" s="188">
        <f t="shared" si="202"/>
        <v>2826954.4014809937</v>
      </c>
      <c r="AL200" s="189" t="e">
        <f>#REF!</f>
        <v>#REF!</v>
      </c>
      <c r="AN200" s="188">
        <f>AN199</f>
        <v>212509.85095674926</v>
      </c>
      <c r="AO200" s="188">
        <f>AN200+AO199</f>
        <v>425019.70191349852</v>
      </c>
      <c r="AP200" s="188">
        <f t="shared" ref="AP200:AY200" si="203">AO200+AP199</f>
        <v>704437.26560943585</v>
      </c>
      <c r="AQ200" s="188">
        <f t="shared" si="203"/>
        <v>916947.11656618514</v>
      </c>
      <c r="AR200" s="188">
        <f t="shared" si="203"/>
        <v>1129456.9675229343</v>
      </c>
      <c r="AS200" s="188">
        <f t="shared" si="203"/>
        <v>1408874.5312188717</v>
      </c>
      <c r="AT200" s="188">
        <f t="shared" si="203"/>
        <v>1621384.3821756209</v>
      </c>
      <c r="AU200" s="188">
        <f t="shared" si="203"/>
        <v>1833894.23313237</v>
      </c>
      <c r="AV200" s="188">
        <f t="shared" si="203"/>
        <v>2113311.7968283072</v>
      </c>
      <c r="AW200" s="188">
        <f t="shared" si="203"/>
        <v>2325821.6477850564</v>
      </c>
      <c r="AX200" s="188">
        <f t="shared" si="203"/>
        <v>2538331.4987418056</v>
      </c>
      <c r="AY200" s="188">
        <f t="shared" si="203"/>
        <v>2817749.0624377429</v>
      </c>
      <c r="AZ200" s="189">
        <f>AY200</f>
        <v>2817749.0624377429</v>
      </c>
      <c r="BB200" s="188">
        <f>BB199</f>
        <v>212509.85095674926</v>
      </c>
      <c r="BC200" s="188">
        <f>BB200+BC199</f>
        <v>425019.70191349852</v>
      </c>
      <c r="BD200" s="188">
        <f t="shared" ref="BD200:BM200" si="204">BC200+BD199</f>
        <v>704437.26560943585</v>
      </c>
      <c r="BE200" s="188">
        <f t="shared" si="204"/>
        <v>916947.11656618514</v>
      </c>
      <c r="BF200" s="188">
        <f t="shared" si="204"/>
        <v>1129456.9675229343</v>
      </c>
      <c r="BG200" s="188">
        <f t="shared" si="204"/>
        <v>1408874.5312188717</v>
      </c>
      <c r="BH200" s="188">
        <f t="shared" si="204"/>
        <v>1621384.3821756209</v>
      </c>
      <c r="BI200" s="188">
        <f t="shared" si="204"/>
        <v>1833894.23313237</v>
      </c>
      <c r="BJ200" s="188">
        <f t="shared" si="204"/>
        <v>2113311.7968283072</v>
      </c>
      <c r="BK200" s="188">
        <f t="shared" si="204"/>
        <v>2325821.6477850564</v>
      </c>
      <c r="BL200" s="188">
        <f t="shared" si="204"/>
        <v>2538331.4987418056</v>
      </c>
      <c r="BM200" s="188">
        <f t="shared" si="204"/>
        <v>2817749.0624377429</v>
      </c>
      <c r="BN200" s="189">
        <f>BM200</f>
        <v>2817749.0624377429</v>
      </c>
      <c r="BP200" s="203" t="e">
        <f>BP199</f>
        <v>#DIV/0!</v>
      </c>
      <c r="BQ200" s="203" t="e">
        <f>BP200+BQ199</f>
        <v>#DIV/0!</v>
      </c>
      <c r="BR200" s="203" t="e">
        <f t="shared" ref="BR200:CA200" si="205">BQ200+BR199</f>
        <v>#DIV/0!</v>
      </c>
      <c r="BS200" s="203" t="e">
        <f t="shared" si="205"/>
        <v>#DIV/0!</v>
      </c>
      <c r="BT200" s="203" t="e">
        <f t="shared" si="205"/>
        <v>#DIV/0!</v>
      </c>
      <c r="BU200" s="203" t="e">
        <f t="shared" si="205"/>
        <v>#DIV/0!</v>
      </c>
      <c r="BV200" s="203" t="e">
        <f t="shared" si="205"/>
        <v>#DIV/0!</v>
      </c>
      <c r="BW200" s="203" t="e">
        <f t="shared" si="205"/>
        <v>#DIV/0!</v>
      </c>
      <c r="BX200" s="203" t="e">
        <f t="shared" si="205"/>
        <v>#DIV/0!</v>
      </c>
      <c r="BY200" s="203" t="e">
        <f t="shared" si="205"/>
        <v>#DIV/0!</v>
      </c>
      <c r="BZ200" s="203" t="e">
        <f t="shared" si="205"/>
        <v>#DIV/0!</v>
      </c>
      <c r="CA200" s="203" t="e">
        <f t="shared" si="205"/>
        <v>#DIV/0!</v>
      </c>
      <c r="CB200" s="204" t="e">
        <f>CA200</f>
        <v>#DIV/0!</v>
      </c>
    </row>
    <row r="201" spans="1:80" x14ac:dyDescent="0.25">
      <c r="A201" t="str">
        <f>A199</f>
        <v>#showrow</v>
      </c>
    </row>
    <row r="202" spans="1:80" ht="23.35" thickBot="1" x14ac:dyDescent="0.5">
      <c r="A202" t="str">
        <f>IF(COUNTIF(A204:A206,"#showrow")&gt;0,"#showrow","#hiderow")</f>
        <v>#showrow</v>
      </c>
      <c r="C202" s="2" t="s">
        <v>16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P202" s="216"/>
      <c r="BQ202" s="216"/>
      <c r="BR202" s="216"/>
      <c r="BS202" s="216"/>
      <c r="BT202" s="216"/>
      <c r="BU202" s="216"/>
      <c r="BV202" s="216"/>
      <c r="BW202" s="216"/>
      <c r="BX202" s="216"/>
      <c r="BY202" s="216"/>
      <c r="BZ202" s="216"/>
      <c r="CA202" s="216"/>
      <c r="CB202" s="216"/>
    </row>
    <row r="203" spans="1:80" ht="12.45" thickTop="1" thickBot="1" x14ac:dyDescent="0.3">
      <c r="A203" t="str">
        <f>A202</f>
        <v>#showrow</v>
      </c>
    </row>
    <row r="204" spans="1:80" ht="11.95" thickBot="1" x14ac:dyDescent="0.3">
      <c r="A204" t="str">
        <f>IF(G204="Empty","#hiderow","#showrow")</f>
        <v>#showrow</v>
      </c>
      <c r="D204" s="3"/>
      <c r="E204" s="3"/>
      <c r="F204" s="3"/>
      <c r="G204" s="3" t="s">
        <v>32</v>
      </c>
      <c r="H204" s="21"/>
      <c r="I204" s="21"/>
      <c r="J204" s="18"/>
      <c r="K204" s="185"/>
      <c r="L204" s="196">
        <v>43794.73</v>
      </c>
      <c r="M204" s="196">
        <v>173284.33</v>
      </c>
      <c r="N204" s="196">
        <v>22038.6</v>
      </c>
      <c r="O204" s="196">
        <v>64639.57</v>
      </c>
      <c r="P204" s="196">
        <v>-44727.6</v>
      </c>
      <c r="Q204" s="196">
        <v>146393.60000000001</v>
      </c>
      <c r="R204" s="196">
        <v>103102.19</v>
      </c>
      <c r="S204" s="196">
        <v>158079.26</v>
      </c>
      <c r="T204" s="196">
        <v>202944.57</v>
      </c>
      <c r="U204" s="196">
        <v>144485.96</v>
      </c>
      <c r="V204" s="196">
        <v>207695.4</v>
      </c>
      <c r="W204" s="196">
        <v>260970.85</v>
      </c>
      <c r="X204" s="186">
        <f t="shared" ref="X204:X205" si="206">SUM(L204:W204)</f>
        <v>1482701.46</v>
      </c>
      <c r="Z204" s="196">
        <v>253993.33</v>
      </c>
      <c r="AA204" s="196">
        <v>212509.850956749</v>
      </c>
      <c r="AB204" s="196">
        <v>279417.56369593699</v>
      </c>
      <c r="AC204" s="196">
        <v>212509.850956749</v>
      </c>
      <c r="AD204" s="196">
        <v>212509.850956749</v>
      </c>
      <c r="AE204" s="196">
        <v>279417.56369593699</v>
      </c>
      <c r="AF204" s="196">
        <v>212509.850956749</v>
      </c>
      <c r="AG204" s="196">
        <v>212509.850956749</v>
      </c>
      <c r="AH204" s="196">
        <v>279417.56369593699</v>
      </c>
      <c r="AI204" s="196">
        <v>212509.850956749</v>
      </c>
      <c r="AJ204" s="196">
        <v>212509.850956749</v>
      </c>
      <c r="AK204" s="196">
        <v>279417.56369593699</v>
      </c>
      <c r="AL204" s="186">
        <f t="shared" ref="AL204:AL205" si="207">SUM(Z204:AK204)</f>
        <v>2859232.5414809911</v>
      </c>
      <c r="AN204" s="197">
        <v>212509.850956749</v>
      </c>
      <c r="AO204" s="197">
        <v>212509.850956749</v>
      </c>
      <c r="AP204" s="197">
        <v>279417.56369593699</v>
      </c>
      <c r="AQ204" s="197">
        <v>212509.850956749</v>
      </c>
      <c r="AR204" s="197">
        <v>212509.850956749</v>
      </c>
      <c r="AS204" s="197">
        <v>279417.56369593699</v>
      </c>
      <c r="AT204" s="197">
        <v>212509.850956749</v>
      </c>
      <c r="AU204" s="197">
        <v>212509.850956749</v>
      </c>
      <c r="AV204" s="197">
        <v>279417.56369593699</v>
      </c>
      <c r="AW204" s="197">
        <v>212509.850956749</v>
      </c>
      <c r="AX204" s="197">
        <v>212509.850956749</v>
      </c>
      <c r="AY204" s="197">
        <v>279417.56369593699</v>
      </c>
      <c r="AZ204" s="186">
        <f t="shared" ref="AZ204:AZ205" si="208">SUM(AN204:AY204)</f>
        <v>2817749.0624377402</v>
      </c>
      <c r="BB204" s="197">
        <v>212509.850956749</v>
      </c>
      <c r="BC204" s="197">
        <v>212509.850956749</v>
      </c>
      <c r="BD204" s="197">
        <v>279417.56369593699</v>
      </c>
      <c r="BE204" s="197">
        <v>212509.850956749</v>
      </c>
      <c r="BF204" s="197">
        <v>212509.850956749</v>
      </c>
      <c r="BG204" s="197">
        <v>279417.56369593699</v>
      </c>
      <c r="BH204" s="197">
        <v>212509.850956749</v>
      </c>
      <c r="BI204" s="197">
        <v>212509.850956749</v>
      </c>
      <c r="BJ204" s="197">
        <v>279417.56369593699</v>
      </c>
      <c r="BK204" s="197">
        <v>212509.850956749</v>
      </c>
      <c r="BL204" s="197">
        <v>212509.850956749</v>
      </c>
      <c r="BM204" s="197">
        <v>279417.56369593699</v>
      </c>
      <c r="BN204" s="186">
        <f t="shared" ref="BN204:BN205" si="209">SUM(BB204:BM204)</f>
        <v>2817749.0624377402</v>
      </c>
      <c r="BP204" s="202">
        <v>2309226.3009778298</v>
      </c>
      <c r="BQ204" s="202">
        <v>3430409.0092343302</v>
      </c>
      <c r="BR204" s="202">
        <v>5653473.1803832296</v>
      </c>
      <c r="BS204" s="202">
        <v>4094476.2528634798</v>
      </c>
      <c r="BT204" s="202">
        <v>3385420.0846106</v>
      </c>
      <c r="BU204" s="202">
        <v>4432412.4458046202</v>
      </c>
      <c r="BV204" s="202">
        <v>3071161.4487707801</v>
      </c>
      <c r="BW204" s="202">
        <v>3451897.9834962301</v>
      </c>
      <c r="BX204" s="202">
        <v>5528291.7456952399</v>
      </c>
      <c r="BY204" s="202">
        <v>4273858.5189533299</v>
      </c>
      <c r="BZ204" s="202">
        <v>3736412.5656069401</v>
      </c>
      <c r="CA204" s="202">
        <v>3634625.10622918</v>
      </c>
      <c r="CB204" s="201">
        <f t="shared" ref="CB204:CB205" si="210">SUM(BP204:CA204)</f>
        <v>47001664.642625786</v>
      </c>
    </row>
    <row r="205" spans="1:80" ht="11.95" thickBot="1" x14ac:dyDescent="0.3">
      <c r="A205" t="str">
        <f t="shared" ref="A205" si="211">IF(G205="Empty","#hiderow","#showrow")</f>
        <v>#showrow</v>
      </c>
      <c r="D205" s="3"/>
      <c r="E205" s="3"/>
      <c r="F205" s="3"/>
      <c r="G205" s="3" t="s">
        <v>31</v>
      </c>
      <c r="H205" s="21"/>
      <c r="I205" s="21"/>
      <c r="J205" s="18"/>
      <c r="K205" s="185"/>
      <c r="L205" s="196">
        <v>43794.73</v>
      </c>
      <c r="M205" s="196">
        <v>174057.13</v>
      </c>
      <c r="N205" s="196">
        <v>21265.8</v>
      </c>
      <c r="O205" s="196">
        <v>64639.57</v>
      </c>
      <c r="P205" s="196">
        <v>-44727.6</v>
      </c>
      <c r="Q205" s="196">
        <v>146393.60000000001</v>
      </c>
      <c r="R205" s="196">
        <v>103102.19</v>
      </c>
      <c r="S205" s="196">
        <v>158079.26</v>
      </c>
      <c r="T205" s="196">
        <v>200344.57</v>
      </c>
      <c r="U205" s="196">
        <v>144485.96</v>
      </c>
      <c r="V205" s="196">
        <v>207695.4</v>
      </c>
      <c r="W205" s="196">
        <v>263605.83</v>
      </c>
      <c r="X205" s="186">
        <f t="shared" si="206"/>
        <v>1482736.44</v>
      </c>
      <c r="Z205" s="196">
        <v>253993.33</v>
      </c>
      <c r="AA205" s="196">
        <v>212509.85095674801</v>
      </c>
      <c r="AB205" s="196">
        <v>279417.563695936</v>
      </c>
      <c r="AC205" s="196">
        <v>212509.85095674801</v>
      </c>
      <c r="AD205" s="196">
        <v>212509.85095674801</v>
      </c>
      <c r="AE205" s="196">
        <v>279417.563695936</v>
      </c>
      <c r="AF205" s="196">
        <v>212509.85095674801</v>
      </c>
      <c r="AG205" s="196">
        <v>212509.85095674801</v>
      </c>
      <c r="AH205" s="196">
        <v>279417.563695936</v>
      </c>
      <c r="AI205" s="196">
        <v>212509.85095674801</v>
      </c>
      <c r="AJ205" s="196">
        <v>212509.85095674801</v>
      </c>
      <c r="AK205" s="196">
        <v>279417.563695936</v>
      </c>
      <c r="AL205" s="186">
        <f t="shared" si="207"/>
        <v>2859232.5414809803</v>
      </c>
      <c r="AN205" s="197">
        <v>212509.85095674801</v>
      </c>
      <c r="AO205" s="197">
        <v>212509.85095674801</v>
      </c>
      <c r="AP205" s="197">
        <v>279417.563695936</v>
      </c>
      <c r="AQ205" s="197">
        <v>212509.85095674801</v>
      </c>
      <c r="AR205" s="197">
        <v>212509.85095674801</v>
      </c>
      <c r="AS205" s="197">
        <v>279417.563695936</v>
      </c>
      <c r="AT205" s="197">
        <v>212509.85095674801</v>
      </c>
      <c r="AU205" s="197">
        <v>212509.85095674801</v>
      </c>
      <c r="AV205" s="197">
        <v>279417.563695936</v>
      </c>
      <c r="AW205" s="197">
        <v>212509.85095674801</v>
      </c>
      <c r="AX205" s="197">
        <v>212509.85095674801</v>
      </c>
      <c r="AY205" s="197">
        <v>279417.563695936</v>
      </c>
      <c r="AZ205" s="186">
        <f t="shared" si="208"/>
        <v>2817749.0624377285</v>
      </c>
      <c r="BB205" s="197">
        <v>212509.85095674801</v>
      </c>
      <c r="BC205" s="197">
        <v>212509.85095674801</v>
      </c>
      <c r="BD205" s="197">
        <v>279417.563695936</v>
      </c>
      <c r="BE205" s="197">
        <v>212509.85095674801</v>
      </c>
      <c r="BF205" s="197">
        <v>212509.85095674801</v>
      </c>
      <c r="BG205" s="197">
        <v>279417.563695936</v>
      </c>
      <c r="BH205" s="197">
        <v>212509.85095674801</v>
      </c>
      <c r="BI205" s="197">
        <v>212509.85095674801</v>
      </c>
      <c r="BJ205" s="197">
        <v>279417.563695936</v>
      </c>
      <c r="BK205" s="197">
        <v>212509.85095674801</v>
      </c>
      <c r="BL205" s="197">
        <v>212509.85095674801</v>
      </c>
      <c r="BM205" s="197">
        <v>279417.563695936</v>
      </c>
      <c r="BN205" s="186">
        <f t="shared" si="209"/>
        <v>2817749.0624377285</v>
      </c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1">
        <f t="shared" si="210"/>
        <v>0</v>
      </c>
    </row>
    <row r="208" spans="1:80" ht="12.45" thickBot="1" x14ac:dyDescent="0.3">
      <c r="D208" s="4"/>
      <c r="E208" s="4"/>
      <c r="F208" s="4"/>
      <c r="G208" s="4" t="s">
        <v>20</v>
      </c>
      <c r="H208" s="5"/>
      <c r="I208" s="5"/>
      <c r="J208" s="5"/>
      <c r="K208" s="5"/>
      <c r="L208" s="198">
        <v>12983.36</v>
      </c>
      <c r="M208" s="198">
        <v>143422.64000000001</v>
      </c>
      <c r="N208" s="198">
        <v>-10131.52</v>
      </c>
      <c r="O208" s="198">
        <v>34862.57</v>
      </c>
      <c r="P208" s="198">
        <v>-74331.27</v>
      </c>
      <c r="Q208" s="198">
        <v>114460.7</v>
      </c>
      <c r="R208" s="198">
        <v>73595.33</v>
      </c>
      <c r="S208" s="198">
        <v>128572.2</v>
      </c>
      <c r="T208" s="198">
        <v>173928.9</v>
      </c>
      <c r="U208" s="198">
        <v>114602.38</v>
      </c>
      <c r="V208" s="198">
        <v>176520.54</v>
      </c>
      <c r="W208" s="198">
        <v>224089.4</v>
      </c>
      <c r="X208" s="199">
        <f>SUM(L208:W208)</f>
        <v>1112575.23</v>
      </c>
      <c r="Z208" s="198">
        <v>221715.19</v>
      </c>
      <c r="AA208" s="198">
        <v>212509.850956749</v>
      </c>
      <c r="AB208" s="198">
        <v>279417.56369593699</v>
      </c>
      <c r="AC208" s="198">
        <v>212509.850956749</v>
      </c>
      <c r="AD208" s="198">
        <v>212509.850956749</v>
      </c>
      <c r="AE208" s="198">
        <v>279417.56369593699</v>
      </c>
      <c r="AF208" s="198">
        <v>212509.850956749</v>
      </c>
      <c r="AG208" s="198">
        <v>212509.850956749</v>
      </c>
      <c r="AH208" s="198">
        <v>279417.56369593699</v>
      </c>
      <c r="AI208" s="198">
        <v>212509.850956749</v>
      </c>
      <c r="AJ208" s="198">
        <v>212509.850956749</v>
      </c>
      <c r="AK208" s="198">
        <v>279417.56369593699</v>
      </c>
      <c r="AL208" s="199">
        <f>SUM(Z208:AK208)</f>
        <v>2826954.4014809909</v>
      </c>
      <c r="AN208" s="198">
        <v>212509.850956749</v>
      </c>
      <c r="AO208" s="198">
        <v>212509.850956749</v>
      </c>
      <c r="AP208" s="198">
        <v>279417.56369593699</v>
      </c>
      <c r="AQ208" s="198">
        <v>212509.850956749</v>
      </c>
      <c r="AR208" s="198">
        <v>212509.850956749</v>
      </c>
      <c r="AS208" s="198">
        <v>279417.56369593699</v>
      </c>
      <c r="AT208" s="198">
        <v>212509.850956749</v>
      </c>
      <c r="AU208" s="198">
        <v>212509.850956749</v>
      </c>
      <c r="AV208" s="198">
        <v>279417.56369593699</v>
      </c>
      <c r="AW208" s="198">
        <v>212509.850956749</v>
      </c>
      <c r="AX208" s="198">
        <v>212509.850956749</v>
      </c>
      <c r="AY208" s="198">
        <v>279417.56369593699</v>
      </c>
      <c r="AZ208" s="199">
        <f>SUM(AN208:AY208)</f>
        <v>2817749.0624377402</v>
      </c>
      <c r="BB208" s="198">
        <v>212509.850956749</v>
      </c>
      <c r="BC208" s="198">
        <v>212509.850956749</v>
      </c>
      <c r="BD208" s="198">
        <v>279417.56369593699</v>
      </c>
      <c r="BE208" s="198">
        <v>212509.850956749</v>
      </c>
      <c r="BF208" s="198">
        <v>212509.850956749</v>
      </c>
      <c r="BG208" s="198">
        <v>279417.56369593699</v>
      </c>
      <c r="BH208" s="198">
        <v>212509.850956749</v>
      </c>
      <c r="BI208" s="198">
        <v>212509.850956749</v>
      </c>
      <c r="BJ208" s="198">
        <v>279417.56369593699</v>
      </c>
      <c r="BK208" s="198">
        <v>212509.850956749</v>
      </c>
      <c r="BL208" s="198">
        <v>212509.850956749</v>
      </c>
      <c r="BM208" s="198">
        <v>279417.56369593699</v>
      </c>
      <c r="BN208" s="199">
        <f>SUM(BB208:BM208)</f>
        <v>2817749.0624377402</v>
      </c>
      <c r="BP208" s="133">
        <v>2309226.3009778298</v>
      </c>
      <c r="BQ208" s="133">
        <v>3430409.0092343302</v>
      </c>
      <c r="BR208" s="133">
        <v>5653473.1803832296</v>
      </c>
      <c r="BS208" s="133">
        <v>4094476.2528634798</v>
      </c>
      <c r="BT208" s="133">
        <v>3385420.0846106</v>
      </c>
      <c r="BU208" s="133">
        <v>4432412.4458046202</v>
      </c>
      <c r="BV208" s="133">
        <v>3071161.4487707801</v>
      </c>
      <c r="BW208" s="133">
        <v>3451897.9834962301</v>
      </c>
      <c r="BX208" s="133">
        <v>5528291.7456952399</v>
      </c>
      <c r="BY208" s="133">
        <v>4273858.5189533299</v>
      </c>
      <c r="BZ208" s="133">
        <v>3736412.5656069401</v>
      </c>
      <c r="CA208" s="133">
        <v>3634625.10622918</v>
      </c>
      <c r="CB208" s="217">
        <f>SUM(BP208:CA208)</f>
        <v>47001664.642625786</v>
      </c>
    </row>
    <row r="209" spans="1:80" hidden="1" x14ac:dyDescent="0.25">
      <c r="A209" t="s">
        <v>1</v>
      </c>
      <c r="L209" s="22">
        <f t="shared" ref="L209:W209" si="212">_xlfn.IFNA(ROUND(L208-L199,0),0)</f>
        <v>0</v>
      </c>
      <c r="M209" s="22">
        <f t="shared" si="212"/>
        <v>0</v>
      </c>
      <c r="N209" s="22">
        <f t="shared" si="212"/>
        <v>0</v>
      </c>
      <c r="O209" s="22">
        <f t="shared" si="212"/>
        <v>0</v>
      </c>
      <c r="P209" s="22">
        <f t="shared" si="212"/>
        <v>0</v>
      </c>
      <c r="Q209" s="22">
        <f t="shared" si="212"/>
        <v>0</v>
      </c>
      <c r="R209" s="22">
        <f t="shared" si="212"/>
        <v>0</v>
      </c>
      <c r="S209" s="22">
        <f t="shared" si="212"/>
        <v>0</v>
      </c>
      <c r="T209" s="22">
        <f t="shared" si="212"/>
        <v>0</v>
      </c>
      <c r="U209" s="22">
        <f t="shared" si="212"/>
        <v>0</v>
      </c>
      <c r="V209" s="22">
        <f t="shared" si="212"/>
        <v>0</v>
      </c>
      <c r="W209" s="22">
        <f t="shared" si="212"/>
        <v>0</v>
      </c>
      <c r="X209" s="22"/>
      <c r="Z209" s="22">
        <f t="shared" ref="Z209:AK209" si="213">_xlfn.IFNA(ROUND(Z208-Z199,0),0)</f>
        <v>0</v>
      </c>
      <c r="AA209" s="22">
        <f t="shared" si="213"/>
        <v>0</v>
      </c>
      <c r="AB209" s="22">
        <f t="shared" si="213"/>
        <v>0</v>
      </c>
      <c r="AC209" s="22">
        <f t="shared" si="213"/>
        <v>0</v>
      </c>
      <c r="AD209" s="22">
        <f t="shared" si="213"/>
        <v>0</v>
      </c>
      <c r="AE209" s="22">
        <f t="shared" si="213"/>
        <v>0</v>
      </c>
      <c r="AF209" s="22">
        <f t="shared" si="213"/>
        <v>0</v>
      </c>
      <c r="AG209" s="22">
        <f t="shared" si="213"/>
        <v>0</v>
      </c>
      <c r="AH209" s="22">
        <f t="shared" si="213"/>
        <v>0</v>
      </c>
      <c r="AI209" s="22">
        <f t="shared" si="213"/>
        <v>0</v>
      </c>
      <c r="AJ209" s="22">
        <f t="shared" si="213"/>
        <v>0</v>
      </c>
      <c r="AK209" s="22">
        <f t="shared" si="213"/>
        <v>0</v>
      </c>
      <c r="AL209" s="22"/>
      <c r="AN209" s="22">
        <f t="shared" ref="AN209:AY209" si="214">_xlfn.IFNA(ROUND(AN208-AN199,0),0)</f>
        <v>0</v>
      </c>
      <c r="AO209" s="22">
        <f t="shared" si="214"/>
        <v>0</v>
      </c>
      <c r="AP209" s="22">
        <f t="shared" si="214"/>
        <v>0</v>
      </c>
      <c r="AQ209" s="22">
        <f t="shared" si="214"/>
        <v>0</v>
      </c>
      <c r="AR209" s="22">
        <f t="shared" si="214"/>
        <v>0</v>
      </c>
      <c r="AS209" s="22">
        <f t="shared" si="214"/>
        <v>0</v>
      </c>
      <c r="AT209" s="22">
        <f t="shared" si="214"/>
        <v>0</v>
      </c>
      <c r="AU209" s="22">
        <f t="shared" si="214"/>
        <v>0</v>
      </c>
      <c r="AV209" s="22">
        <f t="shared" si="214"/>
        <v>0</v>
      </c>
      <c r="AW209" s="22">
        <f t="shared" si="214"/>
        <v>0</v>
      </c>
      <c r="AX209" s="22">
        <f t="shared" si="214"/>
        <v>0</v>
      </c>
      <c r="AY209" s="22">
        <f t="shared" si="214"/>
        <v>0</v>
      </c>
      <c r="AZ209" s="22"/>
      <c r="BB209" s="22">
        <f t="shared" ref="BB209:BM209" si="215">_xlfn.IFNA(ROUND(BB208-BB199,0),0)</f>
        <v>0</v>
      </c>
      <c r="BC209" s="22">
        <f t="shared" si="215"/>
        <v>0</v>
      </c>
      <c r="BD209" s="22">
        <f t="shared" si="215"/>
        <v>0</v>
      </c>
      <c r="BE209" s="22">
        <f t="shared" si="215"/>
        <v>0</v>
      </c>
      <c r="BF209" s="22">
        <f t="shared" si="215"/>
        <v>0</v>
      </c>
      <c r="BG209" s="22">
        <f t="shared" si="215"/>
        <v>0</v>
      </c>
      <c r="BH209" s="22">
        <f t="shared" si="215"/>
        <v>0</v>
      </c>
      <c r="BI209" s="22">
        <f t="shared" si="215"/>
        <v>0</v>
      </c>
      <c r="BJ209" s="22">
        <f t="shared" si="215"/>
        <v>0</v>
      </c>
      <c r="BK209" s="22">
        <f t="shared" si="215"/>
        <v>0</v>
      </c>
      <c r="BL209" s="22">
        <f t="shared" si="215"/>
        <v>0</v>
      </c>
      <c r="BM209" s="22">
        <f t="shared" si="215"/>
        <v>0</v>
      </c>
      <c r="BN209" s="22"/>
      <c r="BP209" s="218" t="e">
        <f t="shared" ref="BP209:CA209" si="216">_xlfn.IFNA(ROUND(BP208-BP199,0),0)</f>
        <v>#DIV/0!</v>
      </c>
      <c r="BQ209" s="218" t="e">
        <f t="shared" si="216"/>
        <v>#DIV/0!</v>
      </c>
      <c r="BR209" s="218" t="e">
        <f t="shared" si="216"/>
        <v>#DIV/0!</v>
      </c>
      <c r="BS209" s="218" t="e">
        <f t="shared" si="216"/>
        <v>#DIV/0!</v>
      </c>
      <c r="BT209" s="218" t="e">
        <f t="shared" si="216"/>
        <v>#DIV/0!</v>
      </c>
      <c r="BU209" s="218" t="e">
        <f t="shared" si="216"/>
        <v>#DIV/0!</v>
      </c>
      <c r="BV209" s="218" t="e">
        <f t="shared" si="216"/>
        <v>#DIV/0!</v>
      </c>
      <c r="BW209" s="218" t="e">
        <f t="shared" si="216"/>
        <v>#DIV/0!</v>
      </c>
      <c r="BX209" s="218" t="e">
        <f t="shared" si="216"/>
        <v>#DIV/0!</v>
      </c>
      <c r="BY209" s="218" t="e">
        <f t="shared" si="216"/>
        <v>#DIV/0!</v>
      </c>
      <c r="BZ209" s="218" t="e">
        <f t="shared" si="216"/>
        <v>#DIV/0!</v>
      </c>
      <c r="CA209" s="218" t="e">
        <f t="shared" si="216"/>
        <v>#DIV/0!</v>
      </c>
      <c r="CB209" s="218"/>
    </row>
    <row r="211" spans="1:80" x14ac:dyDescent="0.25">
      <c r="AE211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398C-207A-4135-A87B-5760AF9AFB0D}">
  <sheetPr codeName="Sheet8">
    <tabColor theme="3"/>
    <outlinePr summaryBelow="0"/>
  </sheetPr>
  <dimension ref="A1:BT241"/>
  <sheetViews>
    <sheetView topLeftCell="H18" zoomScaleNormal="100" workbookViewId="0">
      <pane xSplit="5" ySplit="4" topLeftCell="M22" activePane="bottomRight" state="frozen"/>
      <selection activeCell="H18" sqref="H18"/>
      <selection pane="topRight" activeCell="M18" sqref="M18"/>
      <selection pane="bottomLeft" activeCell="H22" sqref="H22"/>
      <selection pane="bottomRight" activeCell="H19" sqref="H19"/>
    </sheetView>
  </sheetViews>
  <sheetFormatPr defaultRowHeight="11.4" outlineLevelRow="2" x14ac:dyDescent="0.25"/>
  <cols>
    <col min="1" max="1" width="0" hidden="1" customWidth="1"/>
    <col min="2" max="7" width="8.77734375" hidden="1" customWidth="1"/>
    <col min="8" max="8" width="42" customWidth="1"/>
    <col min="9" max="10" width="8.77734375" hidden="1" customWidth="1"/>
    <col min="11" max="11" width="0" hidden="1" customWidth="1"/>
    <col min="12" max="12" width="8.77734375" hidden="1" customWidth="1"/>
    <col min="13" max="13" width="11.109375" bestFit="1" customWidth="1"/>
    <col min="14" max="14" width="8.77734375" style="29"/>
    <col min="15" max="15" width="12.77734375" hidden="1" customWidth="1"/>
    <col min="16" max="16" width="8.77734375" style="29" hidden="1" customWidth="1"/>
    <col min="17" max="17" width="8.77734375" customWidth="1"/>
    <col min="18" max="18" width="8.77734375" style="29" customWidth="1"/>
    <col min="19" max="19" width="11.109375" bestFit="1" customWidth="1"/>
    <col min="20" max="20" width="8.77734375" style="29"/>
    <col min="21" max="21" width="8.77734375" style="29" hidden="1" customWidth="1"/>
    <col min="22" max="22" width="8.77734375" hidden="1" customWidth="1"/>
    <col min="23" max="23" width="8.77734375" style="29" customWidth="1"/>
    <col min="24" max="24" width="12.77734375" bestFit="1" customWidth="1"/>
    <col min="25" max="25" width="8.77734375" style="29"/>
    <col min="27" max="27" width="11.88671875" bestFit="1" customWidth="1"/>
    <col min="28" max="28" width="8.77734375" hidden="1" customWidth="1"/>
    <col min="29" max="31" width="8.77734375" style="47" hidden="1" customWidth="1"/>
    <col min="32" max="32" width="8.77734375" style="170" hidden="1" customWidth="1"/>
    <col min="33" max="33" width="8.77734375" style="47" hidden="1" customWidth="1"/>
    <col min="34" max="34" width="8.77734375" style="170" hidden="1" customWidth="1"/>
    <col min="35" max="35" width="8.77734375" style="47" hidden="1" customWidth="1"/>
    <col min="36" max="36" width="0" hidden="1" customWidth="1"/>
    <col min="37" max="37" width="10.77734375" bestFit="1" customWidth="1"/>
    <col min="38" max="38" width="8.77734375" style="29"/>
    <col min="39" max="39" width="12.77734375" hidden="1" customWidth="1"/>
    <col min="40" max="40" width="8.77734375" style="29" hidden="1" customWidth="1"/>
    <col min="41" max="41" width="8.77734375" customWidth="1"/>
    <col min="42" max="42" width="8.77734375" style="29" customWidth="1"/>
    <col min="43" max="43" width="10.6640625" bestFit="1" customWidth="1"/>
    <col min="44" max="44" width="8.77734375" style="29"/>
    <col min="45" max="45" width="8.77734375" style="29" hidden="1" customWidth="1"/>
    <col min="46" max="46" width="8.77734375" hidden="1" customWidth="1"/>
    <col min="47" max="47" width="8.77734375" style="29" customWidth="1"/>
    <col min="48" max="48" width="8.77734375" customWidth="1"/>
    <col min="49" max="49" width="8.77734375" style="29"/>
    <col min="52" max="52" width="0" hidden="1" customWidth="1"/>
    <col min="53" max="53" width="13" customWidth="1"/>
    <col min="54" max="54" width="8.77734375" style="29"/>
    <col min="55" max="55" width="13" hidden="1" customWidth="1"/>
    <col min="56" max="56" width="8.77734375" style="29" hidden="1" customWidth="1"/>
    <col min="57" max="57" width="13" customWidth="1"/>
    <col min="58" max="58" width="8.77734375" style="29"/>
    <col min="59" max="59" width="8.77734375" style="29" hidden="1" customWidth="1"/>
    <col min="60" max="60" width="8.77734375" hidden="1" customWidth="1"/>
    <col min="61" max="61" width="8.77734375" style="29"/>
    <col min="63" max="63" width="8.77734375" hidden="1" customWidth="1"/>
  </cols>
  <sheetData>
    <row r="1" spans="2:63" hidden="1" x14ac:dyDescent="0.25">
      <c r="B1" t="s">
        <v>0</v>
      </c>
      <c r="N1" s="145"/>
      <c r="P1" s="145"/>
      <c r="R1" s="145"/>
      <c r="T1" s="145"/>
      <c r="U1" s="145"/>
      <c r="V1" s="15"/>
      <c r="W1" s="145"/>
      <c r="X1" s="15"/>
      <c r="Y1" s="145"/>
      <c r="Z1" s="15"/>
      <c r="AA1" s="15"/>
      <c r="AF1" s="169"/>
      <c r="AG1" s="49"/>
      <c r="AH1" s="169"/>
      <c r="AI1" s="49"/>
      <c r="AL1" s="145"/>
      <c r="AN1" s="145"/>
      <c r="AP1" s="145"/>
      <c r="AR1" s="145"/>
      <c r="AS1" s="145"/>
      <c r="AT1" s="15"/>
      <c r="AU1" s="145"/>
      <c r="AV1" s="15"/>
      <c r="AW1" s="145"/>
      <c r="AX1" s="15"/>
      <c r="AY1" s="15"/>
      <c r="BB1" s="145"/>
      <c r="BD1" s="145"/>
      <c r="BF1" s="145"/>
      <c r="BG1" s="145"/>
      <c r="BH1" s="15"/>
      <c r="BI1" s="145"/>
      <c r="BJ1" s="15"/>
      <c r="BK1" s="15"/>
    </row>
    <row r="2" spans="2:63" hidden="1" x14ac:dyDescent="0.25">
      <c r="B2" t="s">
        <v>1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I2" t="s">
        <v>0</v>
      </c>
      <c r="J2" t="s">
        <v>0</v>
      </c>
      <c r="L2" t="s">
        <v>0</v>
      </c>
      <c r="N2" s="96"/>
      <c r="O2" s="46" t="str">
        <f>IF(VALUE(TRIM(LEFT(Scenario!$A$4,2)))&lt;4, "#hidecolumn", "#showcolumn")</f>
        <v>#hidecolumn</v>
      </c>
      <c r="P2" s="146" t="str">
        <f>O2</f>
        <v>#hidecolumn</v>
      </c>
      <c r="Q2" s="46" t="str">
        <f>IF(VALUE(TRIM(LEFT(Scenario!$A$4,2)))&lt;4, "#showcolumn", "#hidecolumn")</f>
        <v>#showcolumn</v>
      </c>
      <c r="R2" s="146" t="str">
        <f>Q2</f>
        <v>#showcolumn</v>
      </c>
      <c r="U2" s="29" t="str">
        <f>V2</f>
        <v>#hidecolumn</v>
      </c>
      <c r="V2" s="46" t="str">
        <f>IF(VALUE(TRIM(LEFT(Scenario!$A$4,2)))&lt;4, "#hidecolumn", "#showcolumn")</f>
        <v>#hidecolumn</v>
      </c>
      <c r="W2" s="29" t="str">
        <f>X2</f>
        <v>#showcolumn</v>
      </c>
      <c r="X2" s="46" t="str">
        <f>IF(VALUE(TRIM(LEFT(Scenario!$A$4,2)))&lt;4, "#showcolumn", "#hidecolumn")</f>
        <v>#showcolumn</v>
      </c>
      <c r="AB2" s="47" t="s">
        <v>0</v>
      </c>
      <c r="AC2" s="47" t="s">
        <v>0</v>
      </c>
      <c r="AD2" s="47" t="s">
        <v>0</v>
      </c>
      <c r="AE2" s="47" t="s">
        <v>0</v>
      </c>
      <c r="AF2" s="170" t="s">
        <v>0</v>
      </c>
      <c r="AG2" s="47" t="s">
        <v>0</v>
      </c>
      <c r="AH2" s="170" t="s">
        <v>0</v>
      </c>
      <c r="AI2" s="47" t="s">
        <v>0</v>
      </c>
      <c r="AM2" s="46" t="str">
        <f>IF(VALUE(TRIM(LEFT(Scenario!$A$4,2)))&lt;4, "#hidecolumn", "#showcolumn")</f>
        <v>#hidecolumn</v>
      </c>
      <c r="AN2" s="146" t="str">
        <f>AM2</f>
        <v>#hidecolumn</v>
      </c>
      <c r="AO2" s="46" t="str">
        <f>IF(VALUE(TRIM(LEFT(Scenario!$A$4,2)))&lt;4, "#showcolumn", "#hidecolumn")</f>
        <v>#showcolumn</v>
      </c>
      <c r="AP2" s="146" t="str">
        <f>AO2</f>
        <v>#showcolumn</v>
      </c>
      <c r="AS2" s="29" t="str">
        <f>AT2</f>
        <v>#hidecolumn</v>
      </c>
      <c r="AT2" s="46" t="str">
        <f>IF(VALUE(TRIM(LEFT(Scenario!$A$4,2)))&lt;4, "#hidecolumn", "#showcolumn")</f>
        <v>#hidecolumn</v>
      </c>
      <c r="AU2" s="29" t="str">
        <f>AV2</f>
        <v>#showcolumn</v>
      </c>
      <c r="AV2" s="46" t="str">
        <f>IF(VALUE(TRIM(LEFT(Scenario!$A$4,2)))&lt;4, "#showcolumn", "#hidecolumn")</f>
        <v>#showcolumn</v>
      </c>
      <c r="BC2" s="46" t="str">
        <f>IF(VALUE(TRIM(LEFT(Scenario!$A$4,2)))&gt;=4, "#showcolumn", "#hidecolumn")</f>
        <v>#hidecolumn</v>
      </c>
      <c r="BD2" s="146" t="str">
        <f>BC2</f>
        <v>#hidecolumn</v>
      </c>
      <c r="BG2" s="29" t="str">
        <f>BC2</f>
        <v>#hidecolumn</v>
      </c>
      <c r="BH2" s="258" t="str">
        <f>BD2</f>
        <v>#hidecolumn</v>
      </c>
      <c r="BK2" s="15" t="s">
        <v>0</v>
      </c>
    </row>
    <row r="3" spans="2:63" hidden="1" x14ac:dyDescent="0.25">
      <c r="B3" t="s">
        <v>1</v>
      </c>
      <c r="C3" t="str">
        <f>_xlfn.CONCAT("Section: ", LEFT(E6,3))</f>
        <v>Section: 610</v>
      </c>
      <c r="N3" s="145"/>
      <c r="P3" s="145"/>
      <c r="R3" s="145"/>
      <c r="T3" s="145"/>
      <c r="U3" s="145"/>
      <c r="V3" s="15"/>
      <c r="W3" s="145"/>
      <c r="X3" s="15"/>
      <c r="Y3" s="145"/>
      <c r="Z3" s="15"/>
      <c r="AA3" s="15"/>
      <c r="AF3" s="169"/>
      <c r="AG3" s="49"/>
      <c r="AH3" s="169"/>
      <c r="AI3" s="49"/>
      <c r="AL3" s="145"/>
      <c r="AN3" s="145"/>
      <c r="AP3" s="145"/>
      <c r="AR3" s="145"/>
      <c r="AS3" s="145"/>
      <c r="AT3" s="15"/>
      <c r="AU3" s="145"/>
      <c r="AV3" s="15"/>
      <c r="AW3" s="145"/>
      <c r="AX3" s="15"/>
      <c r="AY3" s="15"/>
      <c r="BB3" s="145"/>
      <c r="BD3" s="145"/>
      <c r="BF3" s="145"/>
      <c r="BG3" s="145"/>
      <c r="BH3" s="15"/>
      <c r="BI3" s="145"/>
      <c r="BJ3" s="15"/>
      <c r="BK3" s="15"/>
    </row>
    <row r="4" spans="2:63" hidden="1" x14ac:dyDescent="0.25">
      <c r="B4" t="s">
        <v>1</v>
      </c>
      <c r="C4" t="s">
        <v>68</v>
      </c>
      <c r="D4" t="s">
        <v>69</v>
      </c>
      <c r="L4">
        <f>VALUE(TRIM(LEFT(Scenario!$A$4,2)))</f>
        <v>1</v>
      </c>
      <c r="M4" s="40">
        <f>Scenario!$A$1</f>
        <v>2026</v>
      </c>
      <c r="N4" s="164"/>
      <c r="O4" s="40">
        <f>Scenario!$A$1</f>
        <v>2026</v>
      </c>
      <c r="P4" s="147"/>
      <c r="Q4" s="40">
        <f>Scenario!$A$1</f>
        <v>2026</v>
      </c>
      <c r="R4" s="147"/>
      <c r="S4" s="40">
        <f>Scenario!$A$1-1</f>
        <v>2025</v>
      </c>
      <c r="T4" s="147"/>
      <c r="U4" s="162"/>
      <c r="V4" s="41"/>
      <c r="W4" s="162"/>
      <c r="X4" s="41"/>
      <c r="Y4" s="162"/>
      <c r="Z4" s="41"/>
      <c r="AA4" s="41"/>
      <c r="AB4" s="41"/>
      <c r="AC4" s="36">
        <f>Scenario!$A$1</f>
        <v>2026</v>
      </c>
      <c r="AD4" s="36">
        <f>Scenario!$A$1-1</f>
        <v>2025</v>
      </c>
      <c r="AE4" s="36">
        <f>Scenario!$A$1</f>
        <v>2026</v>
      </c>
      <c r="AF4" s="222"/>
      <c r="AG4" s="223"/>
      <c r="AH4" s="222"/>
      <c r="AI4" s="223"/>
      <c r="AK4" s="34">
        <f>Scenario!$A$1</f>
        <v>2026</v>
      </c>
      <c r="AL4" s="145"/>
      <c r="AM4" s="34">
        <f>Scenario!$A$1</f>
        <v>2026</v>
      </c>
      <c r="AN4" s="145"/>
      <c r="AO4" s="34">
        <f>Scenario!$A$1</f>
        <v>2026</v>
      </c>
      <c r="AP4" s="145"/>
      <c r="AQ4" s="34">
        <f>Scenario!$A$1-1</f>
        <v>2025</v>
      </c>
      <c r="AR4" s="145"/>
      <c r="AS4" s="162"/>
      <c r="AT4" s="35"/>
      <c r="AU4" s="167"/>
      <c r="AV4" s="34"/>
      <c r="AW4" s="167"/>
      <c r="AX4" s="54"/>
      <c r="AY4" s="54"/>
      <c r="BA4" s="40">
        <f>AK4</f>
        <v>2026</v>
      </c>
      <c r="BB4" s="145"/>
      <c r="BC4" s="40">
        <f>AO4</f>
        <v>2026</v>
      </c>
      <c r="BD4" s="145"/>
      <c r="BE4" s="40">
        <f>BA4-1</f>
        <v>2025</v>
      </c>
      <c r="BF4" s="145"/>
      <c r="BG4" s="145"/>
      <c r="BH4" s="54"/>
      <c r="BI4" s="145"/>
      <c r="BJ4" s="54"/>
      <c r="BK4" s="54"/>
    </row>
    <row r="5" spans="2:63" hidden="1" x14ac:dyDescent="0.25">
      <c r="B5" t="s">
        <v>1</v>
      </c>
      <c r="C5" t="s">
        <v>3</v>
      </c>
      <c r="D5" t="s">
        <v>70</v>
      </c>
      <c r="M5" s="40">
        <f>VALUE(TRIM(LEFT(Scenario!$A$4,2)))</f>
        <v>1</v>
      </c>
      <c r="N5" s="164"/>
      <c r="O5" s="40">
        <f>VALUE(TRIM(LEFT(Scenario!$A$4,2)))</f>
        <v>1</v>
      </c>
      <c r="P5" s="147"/>
      <c r="Q5" s="40">
        <f>VALUE(TRIM(LEFT(Scenario!$A$4,2)))</f>
        <v>1</v>
      </c>
      <c r="R5" s="147"/>
      <c r="S5" s="40">
        <f>VALUE(TRIM(LEFT(Scenario!$A$4,2)))</f>
        <v>1</v>
      </c>
      <c r="T5" s="147"/>
      <c r="U5" s="162"/>
      <c r="V5" s="42"/>
      <c r="W5" s="162"/>
      <c r="X5" s="42"/>
      <c r="Y5" s="162"/>
      <c r="Z5" s="42"/>
      <c r="AA5" s="42"/>
      <c r="AB5" s="42"/>
      <c r="AC5" s="36" t="str">
        <f>VALUE(TRIM(LEFT(Scenario!$A$4,2)))&amp;" QTD"</f>
        <v>1 QTD</v>
      </c>
      <c r="AD5" s="36" t="str">
        <f>VALUE(TRIM(LEFT(Scenario!$A$4,2)))&amp;" QTD"</f>
        <v>1 QTD</v>
      </c>
      <c r="AE5" s="36" t="str">
        <f>VALUE(TRIM(LEFT(Scenario!$A$4,2)))&amp;" QTD"</f>
        <v>1 QTD</v>
      </c>
      <c r="AF5" s="222"/>
      <c r="AG5" s="223"/>
      <c r="AH5" s="222"/>
      <c r="AI5" s="223"/>
      <c r="AK5" s="34" t="str">
        <f>VALUE(TRIM(LEFT(Scenario!$A$4,2)))&amp;" YTD"</f>
        <v>1 YTD</v>
      </c>
      <c r="AL5" s="145"/>
      <c r="AM5" s="34" t="str">
        <f>VALUE(TRIM(LEFT(Scenario!$A$4,2)))&amp;" YTD"</f>
        <v>1 YTD</v>
      </c>
      <c r="AN5" s="145"/>
      <c r="AO5" s="34" t="str">
        <f>VALUE(TRIM(LEFT(Scenario!$A$4,2)))&amp;" YTD"</f>
        <v>1 YTD</v>
      </c>
      <c r="AP5" s="145"/>
      <c r="AQ5" s="34" t="str">
        <f>VALUE(TRIM(LEFT(Scenario!$A$4,2)))&amp;" YTD"</f>
        <v>1 YTD</v>
      </c>
      <c r="AR5" s="145"/>
      <c r="AS5" s="162"/>
      <c r="AT5" s="35"/>
      <c r="AU5" s="167"/>
      <c r="AV5" s="34"/>
      <c r="AW5" s="167"/>
      <c r="AX5" s="15"/>
      <c r="AY5" s="15"/>
      <c r="BA5" s="40" t="s">
        <v>34</v>
      </c>
      <c r="BB5" s="145"/>
      <c r="BC5" s="40" t="s">
        <v>34</v>
      </c>
      <c r="BD5" s="145"/>
      <c r="BE5" s="40" t="s">
        <v>34</v>
      </c>
      <c r="BF5" s="145"/>
      <c r="BG5" s="145"/>
      <c r="BH5" s="15"/>
      <c r="BI5" s="145"/>
      <c r="BJ5" s="15"/>
      <c r="BK5" s="15"/>
    </row>
    <row r="6" spans="2:63" hidden="1" x14ac:dyDescent="0.25">
      <c r="B6" t="s">
        <v>1</v>
      </c>
      <c r="C6" t="s">
        <v>10</v>
      </c>
      <c r="D6" t="s">
        <v>13</v>
      </c>
      <c r="E6" s="28" t="s">
        <v>132</v>
      </c>
      <c r="M6" s="40" t="str">
        <f>"Actual"</f>
        <v>Actual</v>
      </c>
      <c r="N6" s="164"/>
      <c r="O6" s="40" t="str">
        <f>Scenario!$A$2</f>
        <v>Plan</v>
      </c>
      <c r="P6" s="147"/>
      <c r="Q6" s="43" t="s">
        <v>8</v>
      </c>
      <c r="R6" s="147"/>
      <c r="S6" s="40" t="str">
        <f>"Actual"</f>
        <v>Actual</v>
      </c>
      <c r="T6" s="165"/>
      <c r="U6" s="162"/>
      <c r="V6" s="42"/>
      <c r="W6" s="162"/>
      <c r="X6" s="42"/>
      <c r="Y6" s="162"/>
      <c r="Z6" s="42"/>
      <c r="AA6" s="42"/>
      <c r="AB6" s="42"/>
      <c r="AC6" s="36" t="str">
        <f>"Actual"</f>
        <v>Actual</v>
      </c>
      <c r="AD6" s="36" t="str">
        <f>"Actual"</f>
        <v>Actual</v>
      </c>
      <c r="AE6" s="37" t="s">
        <v>8</v>
      </c>
      <c r="AF6" s="222"/>
      <c r="AG6" s="36"/>
      <c r="AH6" s="224"/>
      <c r="AI6" s="223"/>
      <c r="AK6" s="34" t="str">
        <f>"Actual"</f>
        <v>Actual</v>
      </c>
      <c r="AL6" s="145"/>
      <c r="AM6" s="40" t="str">
        <f>Scenario!$A$2</f>
        <v>Plan</v>
      </c>
      <c r="AN6" s="145"/>
      <c r="AO6" s="44" t="s">
        <v>8</v>
      </c>
      <c r="AP6" s="145"/>
      <c r="AQ6" s="34" t="str">
        <f>"Actual"</f>
        <v>Actual</v>
      </c>
      <c r="AR6" s="145"/>
      <c r="AS6" s="162"/>
      <c r="AT6" s="35"/>
      <c r="AU6" s="168"/>
      <c r="AV6" s="44"/>
      <c r="AW6" s="167"/>
      <c r="AX6" s="15"/>
      <c r="AY6" s="15"/>
      <c r="BA6" s="40" t="str">
        <f>IF(VALUE(TRIM(LEFT(Scenario!$A$4,2)))&lt;4, "Plan", Scenario!$A$2)</f>
        <v>Plan</v>
      </c>
      <c r="BB6" s="145"/>
      <c r="BC6" s="43" t="s">
        <v>8</v>
      </c>
      <c r="BD6" s="145"/>
      <c r="BE6" s="40" t="str">
        <f>"Actual"</f>
        <v>Actual</v>
      </c>
      <c r="BF6" s="145"/>
      <c r="BG6" s="145"/>
      <c r="BH6" s="15"/>
      <c r="BI6" s="145"/>
      <c r="BJ6" s="15"/>
      <c r="BK6" s="15"/>
    </row>
    <row r="7" spans="2:63" hidden="1" x14ac:dyDescent="0.25">
      <c r="B7" t="s">
        <v>1</v>
      </c>
      <c r="C7" t="s">
        <v>4</v>
      </c>
      <c r="D7" t="s">
        <v>71</v>
      </c>
      <c r="M7" s="1"/>
      <c r="N7" s="145"/>
      <c r="O7" s="1"/>
      <c r="P7" s="145"/>
      <c r="Q7" s="1"/>
      <c r="R7" s="145"/>
      <c r="S7" s="1"/>
      <c r="T7" s="145"/>
      <c r="U7" s="145"/>
      <c r="V7" s="15"/>
      <c r="W7" s="145"/>
      <c r="X7" s="15"/>
      <c r="Y7" s="145"/>
      <c r="Z7" s="15"/>
      <c r="AA7" s="15"/>
      <c r="AC7" s="57"/>
      <c r="AD7" s="57"/>
      <c r="AE7" s="57"/>
      <c r="AF7" s="169"/>
      <c r="AG7" s="49"/>
      <c r="AH7" s="169"/>
      <c r="AI7" s="49"/>
      <c r="AK7" s="1"/>
      <c r="AL7" s="145"/>
      <c r="AM7" s="1"/>
      <c r="AN7" s="145"/>
      <c r="AO7" s="1"/>
      <c r="AP7" s="145"/>
      <c r="AQ7" s="1"/>
      <c r="AR7" s="145"/>
      <c r="AS7" s="145"/>
      <c r="AT7" s="15"/>
      <c r="AU7" s="145"/>
      <c r="AV7" s="15"/>
      <c r="AW7" s="145"/>
      <c r="AX7" s="15"/>
      <c r="AY7" s="15"/>
      <c r="BA7" s="1"/>
      <c r="BB7" s="145"/>
      <c r="BC7" s="1"/>
      <c r="BD7" s="145"/>
      <c r="BE7" s="1"/>
      <c r="BF7" s="145"/>
      <c r="BG7" s="145"/>
      <c r="BH7" s="15"/>
      <c r="BI7" s="145"/>
      <c r="BJ7" s="15"/>
      <c r="BK7" s="15"/>
    </row>
    <row r="8" spans="2:63" hidden="1" x14ac:dyDescent="0.25">
      <c r="B8" t="s">
        <v>1</v>
      </c>
      <c r="C8" t="s">
        <v>14</v>
      </c>
      <c r="D8" t="s">
        <v>71</v>
      </c>
      <c r="N8" s="145"/>
      <c r="P8" s="145"/>
      <c r="R8" s="145"/>
      <c r="T8" s="145"/>
      <c r="U8" s="145"/>
      <c r="V8" s="15"/>
      <c r="W8" s="145"/>
      <c r="X8" s="15"/>
      <c r="Y8" s="145"/>
      <c r="Z8" s="15"/>
      <c r="AA8" s="15"/>
      <c r="AF8" s="169"/>
      <c r="AG8" s="49"/>
      <c r="AH8" s="169"/>
      <c r="AI8" s="49"/>
      <c r="AL8" s="145"/>
      <c r="AN8" s="145"/>
      <c r="AP8" s="145"/>
      <c r="AR8" s="145"/>
      <c r="AS8" s="145"/>
      <c r="AT8" s="15"/>
      <c r="AU8" s="145"/>
      <c r="AV8" s="15"/>
      <c r="AW8" s="145"/>
      <c r="AX8" s="15"/>
      <c r="AY8" s="15"/>
      <c r="BB8" s="145"/>
      <c r="BD8" s="145"/>
      <c r="BF8" s="145"/>
      <c r="BG8" s="145"/>
      <c r="BH8" s="15"/>
      <c r="BI8" s="145"/>
      <c r="BJ8" s="15"/>
      <c r="BK8" s="15"/>
    </row>
    <row r="9" spans="2:63" hidden="1" x14ac:dyDescent="0.25">
      <c r="B9" t="s">
        <v>1</v>
      </c>
      <c r="C9" t="s">
        <v>5</v>
      </c>
      <c r="D9" t="s">
        <v>71</v>
      </c>
      <c r="N9" s="148"/>
      <c r="P9" s="148"/>
      <c r="R9" s="148"/>
      <c r="T9" s="148"/>
      <c r="U9" s="148"/>
      <c r="W9" s="148"/>
      <c r="Y9" s="148"/>
      <c r="AL9" s="148"/>
      <c r="AN9" s="148"/>
      <c r="AP9" s="148"/>
      <c r="AR9" s="148"/>
      <c r="AS9" s="148"/>
      <c r="AU9" s="148"/>
      <c r="AW9" s="148"/>
      <c r="BB9" s="148"/>
      <c r="BD9" s="148"/>
      <c r="BF9" s="148"/>
      <c r="BG9" s="148"/>
      <c r="BI9" s="148"/>
    </row>
    <row r="10" spans="2:63" hidden="1" x14ac:dyDescent="0.25">
      <c r="B10" t="s">
        <v>1</v>
      </c>
      <c r="C10" t="s">
        <v>11</v>
      </c>
      <c r="D10" t="s">
        <v>13</v>
      </c>
      <c r="E10" s="28" t="s">
        <v>12</v>
      </c>
      <c r="N10" s="148"/>
      <c r="P10" s="148"/>
      <c r="R10" s="148"/>
      <c r="T10" s="148"/>
      <c r="U10" s="148"/>
      <c r="W10" s="148"/>
      <c r="Y10" s="148"/>
      <c r="AL10" s="148"/>
      <c r="AN10" s="148"/>
      <c r="AP10" s="148"/>
      <c r="AR10" s="148"/>
      <c r="AS10" s="148"/>
      <c r="AU10" s="148"/>
      <c r="AW10" s="148"/>
      <c r="BB10" s="148"/>
      <c r="BD10" s="148"/>
      <c r="BF10" s="148"/>
      <c r="BG10" s="148"/>
      <c r="BI10" s="148"/>
    </row>
    <row r="11" spans="2:63" hidden="1" x14ac:dyDescent="0.25">
      <c r="B11" t="s">
        <v>1</v>
      </c>
      <c r="C11" t="s">
        <v>15</v>
      </c>
      <c r="D11" t="s">
        <v>13</v>
      </c>
      <c r="E11" s="28" t="s">
        <v>35</v>
      </c>
      <c r="N11" s="148"/>
      <c r="P11" s="148"/>
      <c r="R11" s="148"/>
      <c r="T11" s="148"/>
      <c r="U11" s="148"/>
      <c r="W11" s="148"/>
      <c r="Y11" s="148"/>
      <c r="AL11" s="148"/>
      <c r="AN11" s="148"/>
      <c r="AP11" s="148"/>
      <c r="AR11" s="148"/>
      <c r="AS11" s="148"/>
      <c r="AU11" s="148"/>
      <c r="AW11" s="148"/>
      <c r="BB11" s="148"/>
      <c r="BD11" s="148"/>
      <c r="BF11" s="148"/>
      <c r="BG11" s="148"/>
      <c r="BI11" s="148"/>
    </row>
    <row r="12" spans="2:63" hidden="1" x14ac:dyDescent="0.25">
      <c r="E12" s="28" t="s">
        <v>92</v>
      </c>
      <c r="N12" s="148"/>
      <c r="P12" s="148"/>
      <c r="R12" s="148"/>
      <c r="T12" s="148"/>
      <c r="U12" s="148"/>
      <c r="W12" s="148"/>
      <c r="Y12" s="148"/>
      <c r="AL12" s="148"/>
      <c r="AN12" s="148"/>
      <c r="AP12" s="148"/>
      <c r="AR12" s="148"/>
      <c r="AS12" s="148"/>
      <c r="AU12" s="148"/>
      <c r="AW12" s="148"/>
      <c r="BB12" s="148"/>
      <c r="BD12" s="148"/>
      <c r="BF12" s="148"/>
      <c r="BG12" s="148"/>
      <c r="BI12" s="148"/>
    </row>
    <row r="13" spans="2:63" hidden="1" x14ac:dyDescent="0.25">
      <c r="E13" s="28" t="s">
        <v>93</v>
      </c>
      <c r="N13" s="148"/>
      <c r="P13" s="148"/>
      <c r="R13" s="148"/>
      <c r="T13" s="148"/>
      <c r="U13" s="148"/>
      <c r="W13" s="148"/>
      <c r="Y13" s="148"/>
      <c r="AL13" s="148"/>
      <c r="AN13" s="148"/>
      <c r="AP13" s="148"/>
      <c r="AR13" s="148"/>
      <c r="AS13" s="148"/>
      <c r="AU13" s="148"/>
      <c r="AW13" s="148"/>
      <c r="BB13" s="148"/>
      <c r="BD13" s="148"/>
      <c r="BF13" s="148"/>
      <c r="BG13" s="148"/>
      <c r="BI13" s="148"/>
    </row>
    <row r="14" spans="2:63" hidden="1" x14ac:dyDescent="0.25">
      <c r="E14" s="28" t="s">
        <v>94</v>
      </c>
      <c r="N14" s="148"/>
      <c r="P14" s="148"/>
      <c r="R14" s="148"/>
      <c r="T14" s="148"/>
      <c r="U14" s="148"/>
      <c r="W14" s="148"/>
      <c r="Y14" s="148"/>
      <c r="AL14" s="148"/>
      <c r="AN14" s="148"/>
      <c r="AP14" s="148"/>
      <c r="AR14" s="148"/>
      <c r="AS14" s="148"/>
      <c r="AU14" s="148"/>
      <c r="AW14" s="148"/>
      <c r="BB14" s="148"/>
      <c r="BD14" s="148"/>
      <c r="BF14" s="148"/>
      <c r="BG14" s="148"/>
      <c r="BI14" s="148"/>
    </row>
    <row r="15" spans="2:63" hidden="1" x14ac:dyDescent="0.25">
      <c r="E15" s="28" t="s">
        <v>95</v>
      </c>
      <c r="N15" s="148"/>
      <c r="P15" s="148"/>
      <c r="R15" s="148"/>
      <c r="T15" s="148"/>
      <c r="U15" s="148"/>
      <c r="W15" s="148"/>
      <c r="Y15" s="148"/>
      <c r="AL15" s="148"/>
      <c r="AN15" s="148"/>
      <c r="AP15" s="148"/>
      <c r="AR15" s="148"/>
      <c r="AS15" s="148"/>
      <c r="AU15" s="148"/>
      <c r="AW15" s="148"/>
      <c r="BB15" s="148"/>
      <c r="BD15" s="148"/>
      <c r="BF15" s="148"/>
      <c r="BG15" s="148"/>
      <c r="BI15" s="148"/>
    </row>
    <row r="16" spans="2:63" hidden="1" x14ac:dyDescent="0.25">
      <c r="E16" s="28" t="s">
        <v>96</v>
      </c>
      <c r="N16" s="148"/>
      <c r="P16" s="148"/>
      <c r="R16" s="148"/>
      <c r="T16" s="148"/>
      <c r="U16" s="148"/>
      <c r="W16" s="148"/>
      <c r="Y16" s="148"/>
      <c r="AL16" s="148"/>
      <c r="AN16" s="148"/>
      <c r="AP16" s="148"/>
      <c r="AR16" s="148"/>
      <c r="AS16" s="148"/>
      <c r="AU16" s="148"/>
      <c r="AW16" s="148"/>
      <c r="BB16" s="148"/>
      <c r="BD16" s="148"/>
      <c r="BF16" s="148"/>
      <c r="BG16" s="148"/>
      <c r="BI16" s="148"/>
    </row>
    <row r="17" spans="2:63" hidden="1" x14ac:dyDescent="0.25">
      <c r="B17" t="s">
        <v>1</v>
      </c>
      <c r="N17" s="148"/>
      <c r="P17" s="148"/>
      <c r="R17" s="148"/>
      <c r="T17" s="148"/>
      <c r="U17" s="148"/>
      <c r="W17" s="148"/>
      <c r="Y17" s="148"/>
      <c r="AL17" s="148"/>
      <c r="AN17" s="148"/>
      <c r="AP17" s="148"/>
      <c r="AR17" s="148"/>
      <c r="AS17" s="148"/>
      <c r="AU17" s="148"/>
      <c r="AW17" s="148"/>
      <c r="BB17" s="148"/>
      <c r="BD17" s="148"/>
      <c r="BF17" s="148"/>
      <c r="BG17" s="148"/>
      <c r="BI17" s="148"/>
    </row>
    <row r="18" spans="2:63" ht="29.05" x14ac:dyDescent="0.5">
      <c r="E18" s="9"/>
      <c r="F18" s="9"/>
      <c r="G18" s="9"/>
      <c r="H18" s="9" t="s">
        <v>26</v>
      </c>
      <c r="N18" s="145"/>
      <c r="P18" s="145"/>
      <c r="R18" s="145"/>
      <c r="T18" s="145"/>
      <c r="U18" s="145"/>
      <c r="V18" s="15"/>
      <c r="W18" s="145"/>
      <c r="X18" s="15"/>
      <c r="Y18" s="145"/>
      <c r="Z18" s="15"/>
      <c r="AA18" s="15"/>
      <c r="AF18" s="169"/>
      <c r="AG18" s="49"/>
      <c r="AH18" s="169"/>
      <c r="AI18" s="49"/>
      <c r="AL18" s="145"/>
      <c r="AN18" s="145"/>
      <c r="AP18" s="145"/>
      <c r="AR18" s="145"/>
      <c r="AS18" s="145"/>
      <c r="AT18" s="15"/>
      <c r="AU18" s="145"/>
      <c r="AV18" s="15"/>
      <c r="AW18" s="145"/>
      <c r="AX18" s="15"/>
      <c r="AY18" s="15"/>
      <c r="BB18" s="145"/>
      <c r="BD18" s="145"/>
      <c r="BF18" s="145"/>
      <c r="BG18" s="145"/>
      <c r="BH18" s="15"/>
      <c r="BI18" s="145"/>
      <c r="BJ18" s="15"/>
      <c r="BK18" s="15"/>
    </row>
    <row r="19" spans="2:63" ht="18.649999999999999" x14ac:dyDescent="0.4">
      <c r="F19" s="10"/>
      <c r="G19" s="10"/>
      <c r="H19" s="10" t="str">
        <f>E6</f>
        <v>610 (Paramount)</v>
      </c>
      <c r="M19" s="7" t="str">
        <f>_xlfn.XLOOKUP(M$5,'Month Name'!$D:$D, 'Month Name'!$C:$C)&amp;" "&amp;RIGHT(M4,2)</f>
        <v>Jan 26</v>
      </c>
      <c r="N19" s="149" t="s">
        <v>43</v>
      </c>
      <c r="P19" s="149" t="s">
        <v>72</v>
      </c>
      <c r="R19" s="149" t="s">
        <v>8</v>
      </c>
      <c r="T19" s="149" t="s">
        <v>36</v>
      </c>
      <c r="U19" s="145"/>
      <c r="V19" s="60"/>
      <c r="W19" s="145"/>
      <c r="X19" s="15"/>
      <c r="Y19" s="145"/>
      <c r="Z19" s="60"/>
      <c r="AA19" s="61"/>
      <c r="AF19" s="225" t="str">
        <f>_xlfn.CONCAT(TEXT((TRIM(MID(M5,4,3))),"mmm")," QTD ",RIGHT(M4,2))</f>
        <v xml:space="preserve"> QTD 26</v>
      </c>
      <c r="AG19" s="226"/>
      <c r="AH19" s="169"/>
      <c r="AI19" s="49"/>
      <c r="AK19" s="7" t="str">
        <f>_xlfn.XLOOKUP(M$5,'Month Name'!$D:$D, 'Month Name'!$C:$C)&amp;" YTD "&amp;RIGHT(M4,2)</f>
        <v>Jan YTD 26</v>
      </c>
      <c r="AL19" s="149" t="s">
        <v>43</v>
      </c>
      <c r="AN19" s="149" t="s">
        <v>72</v>
      </c>
      <c r="AP19" s="149" t="s">
        <v>8</v>
      </c>
      <c r="AR19" s="149" t="s">
        <v>36</v>
      </c>
      <c r="AS19" s="166"/>
      <c r="AT19" s="60"/>
      <c r="AU19" s="145"/>
      <c r="AV19" s="15"/>
      <c r="AW19" s="145"/>
      <c r="AX19" s="63"/>
      <c r="AY19" s="61"/>
      <c r="BB19" s="149" t="s">
        <v>72</v>
      </c>
      <c r="BD19" s="149" t="s">
        <v>8</v>
      </c>
      <c r="BF19" s="149" t="s">
        <v>36</v>
      </c>
      <c r="BG19" s="145"/>
      <c r="BH19" s="15"/>
      <c r="BI19" s="145"/>
      <c r="BJ19" s="63"/>
      <c r="BK19" s="61"/>
    </row>
    <row r="20" spans="2:63" ht="14.5" x14ac:dyDescent="0.25">
      <c r="D20" s="11"/>
      <c r="E20" s="11"/>
      <c r="F20" s="11"/>
      <c r="G20" s="11"/>
      <c r="H20" s="11"/>
      <c r="I20" s="64"/>
      <c r="J20" s="64"/>
      <c r="K20" s="12"/>
      <c r="L20" s="12"/>
      <c r="M20" s="38" t="str">
        <f>_xlfn.XLOOKUP(M$5,'Month Name'!$D:$D, 'Month Name'!$C:$C)&amp;" "&amp;RIGHT(M4,2)</f>
        <v>Jan 26</v>
      </c>
      <c r="N20" s="150" t="s">
        <v>73</v>
      </c>
      <c r="O20" s="38" t="str">
        <f>_xlfn.XLOOKUP(O$5,'Month Name'!$D:$D, 'Month Name'!$C:$C)&amp;" "&amp;RIGHT(O4,2)</f>
        <v>Jan 26</v>
      </c>
      <c r="P20" s="150" t="s">
        <v>73</v>
      </c>
      <c r="Q20" s="38" t="str">
        <f>_xlfn.XLOOKUP(Q$5,'Month Name'!$D:$D, 'Month Name'!$C:$C)&amp;" "&amp;RIGHT(Q4,2)</f>
        <v>Jan 26</v>
      </c>
      <c r="R20" s="150" t="s">
        <v>73</v>
      </c>
      <c r="S20" s="38" t="str">
        <f>_xlfn.XLOOKUP(S$5,'Month Name'!$D:$D, 'Month Name'!$C:$C)&amp;" "&amp;RIGHT(S4,2)</f>
        <v>Jan 25</v>
      </c>
      <c r="T20" s="150" t="s">
        <v>73</v>
      </c>
      <c r="U20" s="163" t="s">
        <v>24</v>
      </c>
      <c r="V20" s="66" t="s">
        <v>27</v>
      </c>
      <c r="W20" s="163" t="str">
        <f>Y20</f>
        <v>% Var</v>
      </c>
      <c r="X20" s="66" t="str">
        <f>Z20</f>
        <v>$ Var</v>
      </c>
      <c r="Y20" s="163" t="s">
        <v>24</v>
      </c>
      <c r="Z20" s="66" t="s">
        <v>27</v>
      </c>
      <c r="AA20" s="65"/>
      <c r="AC20" s="227" t="str">
        <f>AF19</f>
        <v xml:space="preserve"> QTD 26</v>
      </c>
      <c r="AD20" s="227" t="str">
        <f>_xlfn.CONCAT(TEXT((TRIM(MID(M5,4,3))),"mmm")," QTD ",RIGHT(S4,2))</f>
        <v xml:space="preserve"> QTD 25</v>
      </c>
      <c r="AE20" s="227" t="str">
        <f>AC20</f>
        <v xml:space="preserve"> QTD 26</v>
      </c>
      <c r="AF20" s="228" t="s">
        <v>24</v>
      </c>
      <c r="AG20" s="229" t="s">
        <v>27</v>
      </c>
      <c r="AH20" s="228" t="str">
        <f>AF20</f>
        <v>% Var</v>
      </c>
      <c r="AI20" s="229" t="str">
        <f>AG20</f>
        <v>$ Var</v>
      </c>
      <c r="AK20" s="38" t="str">
        <f>_xlfn.XLOOKUP(M$5,'Month Name'!$D:$D, 'Month Name'!$C:$C)&amp;" YTD "&amp;RIGHT(M4,2)</f>
        <v>Jan YTD 26</v>
      </c>
      <c r="AL20" s="150" t="s">
        <v>73</v>
      </c>
      <c r="AM20" s="38" t="str">
        <f>_xlfn.XLOOKUP(O$5,'Month Name'!$D:$D, 'Month Name'!$C:$C)&amp;" YTD "&amp;RIGHT(O4,2)</f>
        <v>Jan YTD 26</v>
      </c>
      <c r="AN20" s="150" t="s">
        <v>73</v>
      </c>
      <c r="AO20" s="38" t="str">
        <f>_xlfn.XLOOKUP(Q$5,'Month Name'!$D:$D, 'Month Name'!$C:$C)&amp;" YTD "&amp;RIGHT(Q4,2)</f>
        <v>Jan YTD 26</v>
      </c>
      <c r="AP20" s="150" t="s">
        <v>73</v>
      </c>
      <c r="AQ20" s="38" t="str">
        <f>_xlfn.XLOOKUP(S$5,'Month Name'!$D:$D, 'Month Name'!$C:$C)&amp;" YTD "&amp;RIGHT(S4,2)</f>
        <v>Jan YTD 25</v>
      </c>
      <c r="AR20" s="150" t="s">
        <v>73</v>
      </c>
      <c r="AS20" s="163" t="s">
        <v>24</v>
      </c>
      <c r="AT20" s="66" t="s">
        <v>27</v>
      </c>
      <c r="AU20" s="163" t="str">
        <f>AW20</f>
        <v>% Var</v>
      </c>
      <c r="AV20" s="66" t="str">
        <f>AX20</f>
        <v>$ Var</v>
      </c>
      <c r="AW20" s="163" t="s">
        <v>24</v>
      </c>
      <c r="AX20" s="66" t="s">
        <v>27</v>
      </c>
      <c r="AY20" s="65"/>
      <c r="BA20" s="39" t="str">
        <f>"Full Year "&amp;BA4</f>
        <v>Full Year 2026</v>
      </c>
      <c r="BB20" s="150" t="s">
        <v>73</v>
      </c>
      <c r="BC20" s="39" t="str">
        <f>"Full Year "&amp;BC4</f>
        <v>Full Year 2026</v>
      </c>
      <c r="BD20" s="150" t="s">
        <v>73</v>
      </c>
      <c r="BE20" s="39" t="str">
        <f>"Full Year "&amp;BE4</f>
        <v>Full Year 2025</v>
      </c>
      <c r="BF20" s="150" t="s">
        <v>73</v>
      </c>
      <c r="BG20" s="163" t="str">
        <f>BI20</f>
        <v>% Var</v>
      </c>
      <c r="BH20" s="66" t="str">
        <f>BJ20</f>
        <v>$ Var</v>
      </c>
      <c r="BI20" s="163" t="s">
        <v>24</v>
      </c>
      <c r="BJ20" s="66" t="s">
        <v>27</v>
      </c>
      <c r="BK20" s="65"/>
    </row>
    <row r="21" spans="2:63" ht="14.5" x14ac:dyDescent="0.25">
      <c r="D21" s="13"/>
      <c r="E21" s="13"/>
      <c r="F21" s="13"/>
      <c r="G21" s="13" t="str">
        <f>"in "&amp;$G$5&amp;" currency"</f>
        <v>in  currency</v>
      </c>
      <c r="H21" s="13"/>
      <c r="I21" s="64"/>
      <c r="J21" s="64"/>
      <c r="K21" s="45"/>
      <c r="L21" s="45"/>
      <c r="M21" s="30" t="str">
        <f>M6</f>
        <v>Actual</v>
      </c>
      <c r="N21" s="150" t="s">
        <v>74</v>
      </c>
      <c r="O21" s="30" t="str">
        <f>O6</f>
        <v>Plan</v>
      </c>
      <c r="P21" s="150" t="s">
        <v>74</v>
      </c>
      <c r="Q21" s="30" t="str">
        <f>IF(Q6="Plan", "Budget", Q6)</f>
        <v>Budget</v>
      </c>
      <c r="R21" s="150" t="s">
        <v>74</v>
      </c>
      <c r="S21" s="30" t="str">
        <f>"PY "&amp;S6</f>
        <v>PY Actual</v>
      </c>
      <c r="T21" s="150" t="s">
        <v>74</v>
      </c>
      <c r="U21" s="163" t="str">
        <f>O21</f>
        <v>Plan</v>
      </c>
      <c r="V21" s="69" t="str">
        <f>O21</f>
        <v>Plan</v>
      </c>
      <c r="W21" s="163" t="str">
        <f>Q21</f>
        <v>Budget</v>
      </c>
      <c r="X21" s="69" t="str">
        <f>Q21</f>
        <v>Budget</v>
      </c>
      <c r="Y21" s="163" t="s">
        <v>25</v>
      </c>
      <c r="Z21" s="69" t="s">
        <v>25</v>
      </c>
      <c r="AA21" s="68" t="s">
        <v>75</v>
      </c>
      <c r="AC21" s="230" t="str">
        <f>AC6</f>
        <v>Actual</v>
      </c>
      <c r="AD21" s="230" t="str">
        <f>"PY "&amp;AD6</f>
        <v>PY Actual</v>
      </c>
      <c r="AE21" s="230" t="s">
        <v>40</v>
      </c>
      <c r="AF21" s="228" t="s">
        <v>25</v>
      </c>
      <c r="AG21" s="231" t="s">
        <v>25</v>
      </c>
      <c r="AH21" s="228" t="str">
        <f>AE21</f>
        <v>Budget</v>
      </c>
      <c r="AI21" s="231" t="str">
        <f>AH21</f>
        <v>Budget</v>
      </c>
      <c r="AK21" s="30" t="str">
        <f>AK6</f>
        <v>Actual</v>
      </c>
      <c r="AL21" s="150" t="s">
        <v>74</v>
      </c>
      <c r="AM21" s="30" t="str">
        <f>AM6</f>
        <v>Plan</v>
      </c>
      <c r="AN21" s="150" t="s">
        <v>74</v>
      </c>
      <c r="AO21" s="30" t="str">
        <f>IF(AO6="Plan", "Budget", AO6)</f>
        <v>Budget</v>
      </c>
      <c r="AP21" s="150" t="s">
        <v>74</v>
      </c>
      <c r="AQ21" s="30" t="str">
        <f>"PY "&amp;AQ6</f>
        <v>PY Actual</v>
      </c>
      <c r="AR21" s="150" t="s">
        <v>74</v>
      </c>
      <c r="AS21" s="163" t="str">
        <f>AM21</f>
        <v>Plan</v>
      </c>
      <c r="AT21" s="69" t="str">
        <f>AM21</f>
        <v>Plan</v>
      </c>
      <c r="AU21" s="163" t="str">
        <f>AO21</f>
        <v>Budget</v>
      </c>
      <c r="AV21" s="69" t="str">
        <f>AO21</f>
        <v>Budget</v>
      </c>
      <c r="AW21" s="163" t="s">
        <v>25</v>
      </c>
      <c r="AX21" s="69" t="s">
        <v>25</v>
      </c>
      <c r="AY21" s="68" t="s">
        <v>75</v>
      </c>
      <c r="BA21" s="30" t="str">
        <f>IF(BA6="Plan", "Budget", BA6)</f>
        <v>Budget</v>
      </c>
      <c r="BB21" s="150" t="s">
        <v>74</v>
      </c>
      <c r="BC21" s="30" t="str">
        <f>IF(BC6="Plan", "Budget", BC6)</f>
        <v>Budget</v>
      </c>
      <c r="BD21" s="150" t="s">
        <v>74</v>
      </c>
      <c r="BE21" s="30" t="str">
        <f>BE6</f>
        <v>Actual</v>
      </c>
      <c r="BF21" s="150" t="s">
        <v>74</v>
      </c>
      <c r="BG21" s="163" t="str">
        <f>BC21</f>
        <v>Budget</v>
      </c>
      <c r="BH21" s="69" t="str">
        <f>BC21</f>
        <v>Budget</v>
      </c>
      <c r="BI21" s="163" t="s">
        <v>25</v>
      </c>
      <c r="BJ21" s="69" t="s">
        <v>25</v>
      </c>
      <c r="BK21" s="68" t="s">
        <v>75</v>
      </c>
    </row>
    <row r="22" spans="2:63" x14ac:dyDescent="0.25">
      <c r="N22" s="145"/>
      <c r="P22" s="145"/>
      <c r="R22" s="145"/>
      <c r="T22" s="145"/>
      <c r="U22" s="145"/>
      <c r="V22" s="15"/>
      <c r="W22" s="145"/>
      <c r="X22" s="15"/>
      <c r="Y22" s="145"/>
      <c r="Z22" s="15"/>
      <c r="AA22" s="15"/>
      <c r="AF22" s="169"/>
      <c r="AG22" s="49"/>
      <c r="AH22" s="169"/>
      <c r="AI22" s="49"/>
      <c r="AL22" s="145"/>
      <c r="AN22" s="145"/>
      <c r="AP22" s="145"/>
      <c r="AR22" s="145"/>
      <c r="AS22" s="145"/>
      <c r="AT22" s="15"/>
      <c r="AU22" s="145"/>
      <c r="AV22" s="15"/>
      <c r="AW22" s="145"/>
      <c r="AX22" s="15"/>
      <c r="AY22" s="15"/>
      <c r="BB22" s="145"/>
      <c r="BD22" s="145"/>
      <c r="BF22" s="145"/>
      <c r="BG22" s="145"/>
      <c r="BH22" s="15"/>
      <c r="BI22" s="145"/>
      <c r="BJ22" s="15"/>
      <c r="BK22" s="15"/>
    </row>
    <row r="23" spans="2:63" ht="12.45" hidden="1" thickBot="1" x14ac:dyDescent="0.3">
      <c r="B23" t="s">
        <v>1</v>
      </c>
      <c r="D23" s="4"/>
      <c r="E23" s="4"/>
      <c r="F23" s="4"/>
      <c r="G23" s="4"/>
      <c r="H23" s="4" t="s">
        <v>37</v>
      </c>
      <c r="I23" s="4">
        <f ca="1">YEAR(TODAY()-20)</f>
        <v>2026</v>
      </c>
      <c r="J23" s="5"/>
      <c r="N23" s="145"/>
      <c r="P23" s="145"/>
      <c r="R23" s="145"/>
      <c r="T23" s="145"/>
      <c r="U23" s="145"/>
      <c r="V23" s="15"/>
      <c r="W23" s="145"/>
      <c r="X23" s="15"/>
      <c r="Y23" s="145"/>
      <c r="Z23" s="15"/>
      <c r="AA23" s="15"/>
      <c r="AF23" s="169"/>
      <c r="AG23" s="49"/>
      <c r="AH23" s="169"/>
      <c r="AI23" s="49"/>
      <c r="AL23" s="145"/>
      <c r="AN23" s="145"/>
      <c r="AP23" s="145"/>
      <c r="AR23" s="145"/>
      <c r="AS23" s="145"/>
      <c r="AT23" s="15"/>
      <c r="AU23" s="145"/>
      <c r="AV23" s="15"/>
      <c r="AW23" s="145"/>
      <c r="AX23" s="15"/>
      <c r="AY23" s="15"/>
      <c r="BB23" s="145"/>
      <c r="BD23" s="145"/>
      <c r="BF23" s="145"/>
      <c r="BG23" s="145"/>
      <c r="BH23" s="15"/>
      <c r="BI23" s="145"/>
      <c r="BJ23" s="15"/>
      <c r="BK23" s="15"/>
    </row>
    <row r="24" spans="2:63" hidden="1" x14ac:dyDescent="0.25">
      <c r="B24" t="s">
        <v>1</v>
      </c>
      <c r="D24" s="3"/>
      <c r="E24" s="3"/>
      <c r="F24" s="3"/>
      <c r="G24" s="3"/>
      <c r="H24" s="3" t="s">
        <v>76</v>
      </c>
      <c r="I24" s="1">
        <f ca="1">MONTH(TODAY() - 20)</f>
        <v>2</v>
      </c>
      <c r="J24" s="6"/>
      <c r="N24" s="145"/>
      <c r="P24" s="145"/>
      <c r="R24" s="145"/>
      <c r="T24" s="145"/>
      <c r="U24" s="145"/>
      <c r="V24" s="15"/>
      <c r="W24" s="145"/>
      <c r="X24" s="15"/>
      <c r="Y24" s="145"/>
      <c r="Z24" s="15"/>
      <c r="AA24" s="15"/>
      <c r="AF24" s="169"/>
      <c r="AG24" s="49"/>
      <c r="AH24" s="169"/>
      <c r="AI24" s="49"/>
      <c r="AL24" s="145"/>
      <c r="AN24" s="145"/>
      <c r="AP24" s="145"/>
      <c r="AR24" s="145"/>
      <c r="AS24" s="145"/>
      <c r="AT24" s="15"/>
      <c r="AU24" s="145"/>
      <c r="AV24" s="15"/>
      <c r="AW24" s="145"/>
      <c r="AX24" s="15"/>
      <c r="AY24" s="15"/>
      <c r="BB24" s="145"/>
      <c r="BD24" s="145"/>
      <c r="BF24" s="145"/>
      <c r="BG24" s="145"/>
      <c r="BH24" s="15"/>
      <c r="BI24" s="145"/>
      <c r="BJ24" s="15"/>
      <c r="BK24" s="15"/>
    </row>
    <row r="25" spans="2:63" hidden="1" x14ac:dyDescent="0.25">
      <c r="B25" t="s">
        <v>1</v>
      </c>
      <c r="D25" s="3"/>
      <c r="E25" s="3"/>
      <c r="F25" s="3"/>
      <c r="G25" s="3"/>
      <c r="H25" s="3" t="s">
        <v>77</v>
      </c>
      <c r="I25" s="1" t="str">
        <f ca="1">_xlfn.CONCAT(I24," QTD")</f>
        <v>2 QTD</v>
      </c>
      <c r="J25" s="6"/>
      <c r="N25" s="145"/>
      <c r="P25" s="145"/>
      <c r="R25" s="145"/>
      <c r="T25" s="145"/>
      <c r="U25" s="145"/>
      <c r="V25" s="15"/>
      <c r="W25" s="145"/>
      <c r="X25" s="15"/>
      <c r="Y25" s="145"/>
      <c r="Z25" s="15"/>
      <c r="AA25" s="15"/>
      <c r="AF25" s="169"/>
      <c r="AG25" s="49"/>
      <c r="AH25" s="169"/>
      <c r="AI25" s="49"/>
      <c r="AL25" s="145"/>
      <c r="AN25" s="145"/>
      <c r="AP25" s="145"/>
      <c r="AR25" s="145"/>
      <c r="AS25" s="145"/>
      <c r="AT25" s="15"/>
      <c r="AU25" s="145"/>
      <c r="AV25" s="15"/>
      <c r="AW25" s="145"/>
      <c r="AX25" s="15"/>
      <c r="AY25" s="15"/>
      <c r="BB25" s="145"/>
      <c r="BD25" s="145"/>
      <c r="BF25" s="145"/>
      <c r="BG25" s="145"/>
      <c r="BH25" s="15"/>
      <c r="BI25" s="145"/>
      <c r="BJ25" s="15"/>
      <c r="BK25" s="15"/>
    </row>
    <row r="26" spans="2:63" hidden="1" x14ac:dyDescent="0.25">
      <c r="B26" t="s">
        <v>1</v>
      </c>
      <c r="D26" s="3"/>
      <c r="E26" s="3"/>
      <c r="F26" s="3"/>
      <c r="G26" s="3"/>
      <c r="H26" s="3" t="s">
        <v>78</v>
      </c>
      <c r="I26" s="1" t="str">
        <f ca="1">_xlfn.CONCAT(I24," YTD")</f>
        <v>2 YTD</v>
      </c>
      <c r="J26" s="6"/>
      <c r="N26" s="145"/>
      <c r="P26" s="145"/>
      <c r="R26" s="145"/>
      <c r="T26" s="145"/>
      <c r="U26" s="145"/>
      <c r="V26" s="15"/>
      <c r="W26" s="145"/>
      <c r="X26" s="15"/>
      <c r="Y26" s="145"/>
      <c r="Z26" s="15"/>
      <c r="AA26" s="15"/>
      <c r="AF26" s="169"/>
      <c r="AG26" s="49"/>
      <c r="AH26" s="169"/>
      <c r="AI26" s="49"/>
      <c r="AL26" s="145"/>
      <c r="AN26" s="145"/>
      <c r="AP26" s="145"/>
      <c r="AR26" s="145"/>
      <c r="AS26" s="145"/>
      <c r="AT26" s="15"/>
      <c r="AU26" s="145"/>
      <c r="AV26" s="15"/>
      <c r="AW26" s="145"/>
      <c r="AX26" s="15"/>
      <c r="AY26" s="15"/>
      <c r="BB26" s="145"/>
      <c r="BD26" s="145"/>
      <c r="BF26" s="145"/>
      <c r="BG26" s="145"/>
      <c r="BH26" s="15"/>
      <c r="BI26" s="145"/>
      <c r="BJ26" s="15"/>
      <c r="BK26" s="15"/>
    </row>
    <row r="27" spans="2:63" hidden="1" x14ac:dyDescent="0.25">
      <c r="B27" t="s">
        <v>1</v>
      </c>
      <c r="N27" s="145"/>
      <c r="P27" s="145"/>
      <c r="R27" s="145"/>
      <c r="T27" s="145"/>
      <c r="U27" s="145"/>
      <c r="V27" s="15"/>
      <c r="W27" s="145"/>
      <c r="X27" s="15"/>
      <c r="Y27" s="145"/>
      <c r="Z27" s="15"/>
      <c r="AA27" s="15"/>
      <c r="AF27" s="169"/>
      <c r="AG27" s="49"/>
      <c r="AH27" s="169"/>
      <c r="AI27" s="49"/>
      <c r="AL27" s="145"/>
      <c r="AN27" s="145"/>
      <c r="AP27" s="145"/>
      <c r="AR27" s="145"/>
      <c r="AS27" s="145"/>
      <c r="AT27" s="15"/>
      <c r="AU27" s="145"/>
      <c r="AV27" s="15"/>
      <c r="AW27" s="145"/>
      <c r="AX27" s="15"/>
      <c r="AY27" s="15"/>
      <c r="BB27" s="145"/>
      <c r="BD27" s="145"/>
      <c r="BF27" s="145"/>
      <c r="BG27" s="145"/>
      <c r="BH27" s="15"/>
      <c r="BI27" s="145"/>
      <c r="BJ27" s="15"/>
      <c r="BK27" s="15"/>
    </row>
    <row r="28" spans="2:63" ht="11.95" hidden="1" thickBot="1" x14ac:dyDescent="0.3">
      <c r="B28" t="s">
        <v>1</v>
      </c>
      <c r="N28" s="145"/>
      <c r="P28" s="145"/>
      <c r="R28" s="145"/>
      <c r="T28" s="145"/>
      <c r="U28" s="145"/>
      <c r="V28" s="15"/>
      <c r="W28" s="145"/>
      <c r="X28" s="15"/>
      <c r="Y28" s="145"/>
      <c r="Z28" s="15"/>
      <c r="AA28" s="15"/>
      <c r="AF28" s="169"/>
      <c r="AG28" s="49"/>
      <c r="AH28" s="169"/>
      <c r="AI28" s="49"/>
      <c r="AL28" s="145"/>
      <c r="AN28" s="145"/>
      <c r="AP28" s="145"/>
      <c r="AR28" s="145"/>
      <c r="AS28" s="145"/>
      <c r="AT28" s="15"/>
      <c r="AU28" s="145"/>
      <c r="AV28" s="15"/>
      <c r="AW28" s="145"/>
      <c r="AX28" s="15"/>
      <c r="AY28" s="15"/>
      <c r="BB28" s="145"/>
      <c r="BD28" s="145"/>
      <c r="BF28" s="145"/>
      <c r="BG28" s="145"/>
      <c r="BH28" s="15"/>
      <c r="BI28" s="145"/>
      <c r="BJ28" s="15"/>
      <c r="BK28" s="15"/>
    </row>
    <row r="29" spans="2:63" ht="14.5" hidden="1" thickBot="1" x14ac:dyDescent="0.3">
      <c r="B29" s="14" t="s">
        <v>1</v>
      </c>
      <c r="C29" s="15"/>
      <c r="G29" s="70" t="s">
        <v>22</v>
      </c>
      <c r="H29" s="70" t="s">
        <v>22</v>
      </c>
      <c r="I29" s="16" t="s">
        <v>23</v>
      </c>
      <c r="J29" s="16"/>
      <c r="K29" s="71"/>
      <c r="L29" s="17"/>
      <c r="M29" s="71"/>
      <c r="N29" s="151"/>
      <c r="O29" s="71"/>
      <c r="P29" s="151"/>
      <c r="Q29" s="71"/>
      <c r="R29" s="151"/>
      <c r="S29" s="71"/>
      <c r="T29" s="151"/>
      <c r="U29" s="151">
        <f>IFERROR(($O29-M29)/ABS(M29),0)</f>
        <v>0</v>
      </c>
      <c r="V29" s="70">
        <f>($O29-M29)</f>
        <v>0</v>
      </c>
      <c r="W29" s="151">
        <f>IFERROR(($M29-Q29)/ABS(Q29),0)</f>
        <v>0</v>
      </c>
      <c r="X29" s="70">
        <f>($M29-Q29)</f>
        <v>0</v>
      </c>
      <c r="Y29" s="151">
        <f>IFERROR(($M29-S29)/ABS(S29),0)</f>
        <v>0</v>
      </c>
      <c r="Z29" s="70">
        <f>($M29-S29)</f>
        <v>0</v>
      </c>
      <c r="AA29" s="70"/>
      <c r="AC29" s="232"/>
      <c r="AD29" s="232"/>
      <c r="AE29" s="232"/>
      <c r="AF29" s="233">
        <f>IFERROR(($AC29-AD29)/ABS(AD29),0)</f>
        <v>0</v>
      </c>
      <c r="AG29" s="139">
        <f>($AC29-AD29)</f>
        <v>0</v>
      </c>
      <c r="AH29" s="233">
        <f>IFERROR(($AC29-AE29)/ABS(AE29),0)</f>
        <v>0</v>
      </c>
      <c r="AI29" s="139">
        <f>($AC29-AE29)</f>
        <v>0</v>
      </c>
      <c r="AK29" s="71"/>
      <c r="AL29" s="151"/>
      <c r="AM29" s="71"/>
      <c r="AN29" s="151"/>
      <c r="AO29" s="71"/>
      <c r="AP29" s="151"/>
      <c r="AQ29" s="71"/>
      <c r="AR29" s="151"/>
      <c r="AS29" s="151">
        <f>IFERROR(($O29-AK29)/ABS(AK29),0)</f>
        <v>0</v>
      </c>
      <c r="AT29" s="70">
        <f>($O29-AK29)</f>
        <v>0</v>
      </c>
      <c r="AU29" s="151">
        <f>IFERROR(($M29-AO29)/ABS(AO29),0)</f>
        <v>0</v>
      </c>
      <c r="AV29" s="70">
        <f>($M29-AO29)</f>
        <v>0</v>
      </c>
      <c r="AW29" s="151">
        <f>IFERROR(($M29-AQ29)/ABS(AQ29),0)</f>
        <v>0</v>
      </c>
      <c r="AX29" s="70">
        <f>($M29-AQ29)</f>
        <v>0</v>
      </c>
      <c r="AY29" s="70"/>
      <c r="BA29" s="71"/>
      <c r="BB29" s="151"/>
      <c r="BC29" s="71"/>
      <c r="BD29" s="151"/>
      <c r="BE29" s="71"/>
      <c r="BF29" s="151"/>
      <c r="BG29" s="151">
        <f>IFERROR(($BA29-BC29)/ABS(BC29),0)</f>
        <v>0</v>
      </c>
      <c r="BH29" s="70">
        <f>($BA29-BC29)</f>
        <v>0</v>
      </c>
      <c r="BI29" s="151">
        <f>IFERROR(($BA29-BE29)/ABS(BE29),0)</f>
        <v>0</v>
      </c>
      <c r="BJ29" s="70">
        <f>($BA29-BE29)</f>
        <v>0</v>
      </c>
      <c r="BK29" s="70"/>
    </row>
    <row r="30" spans="2:63" ht="12.45" thickBot="1" x14ac:dyDescent="0.3">
      <c r="E30" s="4"/>
      <c r="F30" s="4"/>
      <c r="G30" s="4"/>
      <c r="H30" s="4" t="s">
        <v>7</v>
      </c>
      <c r="I30" s="4"/>
      <c r="J30" s="5"/>
      <c r="K30" s="5"/>
      <c r="L30" s="5"/>
      <c r="M30" s="5"/>
      <c r="N30" s="152"/>
      <c r="O30" s="5"/>
      <c r="P30" s="152"/>
      <c r="Q30" s="5"/>
      <c r="R30" s="152"/>
      <c r="S30" s="5"/>
      <c r="T30" s="152"/>
      <c r="U30" s="152"/>
      <c r="V30" s="75"/>
      <c r="W30" s="152"/>
      <c r="X30" s="75"/>
      <c r="Y30" s="152"/>
      <c r="Z30" s="75"/>
      <c r="AA30" s="76"/>
      <c r="AC30" s="133"/>
      <c r="AD30" s="133"/>
      <c r="AE30" s="133"/>
      <c r="AF30" s="171"/>
      <c r="AG30" s="134"/>
      <c r="AH30" s="171"/>
      <c r="AI30" s="134"/>
      <c r="AK30" s="5"/>
      <c r="AL30" s="152"/>
      <c r="AM30" s="5"/>
      <c r="AN30" s="152"/>
      <c r="AO30" s="5"/>
      <c r="AP30" s="152"/>
      <c r="AQ30" s="5"/>
      <c r="AR30" s="152"/>
      <c r="AS30" s="152"/>
      <c r="AT30" s="75"/>
      <c r="AU30" s="152"/>
      <c r="AV30" s="75"/>
      <c r="AW30" s="152"/>
      <c r="AX30" s="75"/>
      <c r="AY30" s="76"/>
      <c r="BA30" s="5"/>
      <c r="BB30" s="152"/>
      <c r="BC30" s="5"/>
      <c r="BD30" s="152"/>
      <c r="BE30" s="5"/>
      <c r="BF30" s="152"/>
      <c r="BG30" s="152"/>
      <c r="BH30" s="75"/>
      <c r="BI30" s="152"/>
      <c r="BJ30" s="75"/>
      <c r="BK30" s="76"/>
    </row>
    <row r="31" spans="2:63" ht="11.95" hidden="1" thickBot="1" x14ac:dyDescent="0.3">
      <c r="B31" t="s">
        <v>1</v>
      </c>
      <c r="E31" s="3"/>
      <c r="F31" s="3"/>
      <c r="G31" s="3"/>
      <c r="H31" s="3" t="s">
        <v>7</v>
      </c>
      <c r="I31" s="18"/>
      <c r="J31" s="18"/>
      <c r="K31" s="18"/>
      <c r="L31" s="78"/>
      <c r="M31" s="79">
        <v>407767.86</v>
      </c>
      <c r="N31" s="80"/>
      <c r="O31" s="79">
        <v>515803.95869718201</v>
      </c>
      <c r="P31" s="80"/>
      <c r="Q31" s="79">
        <v>515803.95869718201</v>
      </c>
      <c r="R31" s="80"/>
      <c r="S31" s="79">
        <v>226548.43</v>
      </c>
      <c r="T31" s="81"/>
      <c r="U31" s="80"/>
      <c r="V31" s="70"/>
      <c r="W31" s="80"/>
      <c r="X31" s="70"/>
      <c r="Y31" s="80"/>
      <c r="Z31" s="70"/>
      <c r="AA31" s="82"/>
      <c r="AC31" s="138">
        <v>407767.86</v>
      </c>
      <c r="AD31" s="138">
        <v>226548.43</v>
      </c>
      <c r="AE31" s="138">
        <v>515803.95869718201</v>
      </c>
      <c r="AF31" s="172"/>
      <c r="AG31" s="139"/>
      <c r="AH31" s="172"/>
      <c r="AI31" s="139"/>
      <c r="AK31" s="79">
        <v>407767.86</v>
      </c>
      <c r="AL31" s="80"/>
      <c r="AM31" s="79">
        <v>515803.95869718201</v>
      </c>
      <c r="AN31" s="80"/>
      <c r="AO31" s="79">
        <v>515803.95869718201</v>
      </c>
      <c r="AP31" s="80"/>
      <c r="AQ31" s="79">
        <v>226548.43</v>
      </c>
      <c r="AR31" s="81"/>
      <c r="AS31" s="80"/>
      <c r="AT31" s="70"/>
      <c r="AU31" s="80"/>
      <c r="AV31" s="70"/>
      <c r="AW31" s="80"/>
      <c r="AX31" s="70"/>
      <c r="AY31" s="82"/>
      <c r="BA31" s="79">
        <v>6705451.4630633602</v>
      </c>
      <c r="BB31" s="80"/>
      <c r="BC31" s="79">
        <v>6705451.4630633602</v>
      </c>
      <c r="BD31" s="80"/>
      <c r="BE31" s="79">
        <v>4227734.84</v>
      </c>
      <c r="BF31" s="81"/>
      <c r="BG31" s="80"/>
      <c r="BH31" s="70"/>
      <c r="BI31" s="80"/>
      <c r="BJ31" s="70"/>
      <c r="BK31" s="82"/>
    </row>
    <row r="32" spans="2:63" ht="11.95" thickBot="1" x14ac:dyDescent="0.3">
      <c r="B32" t="str">
        <f t="shared" ref="B32:B39" si="0">IF(LEFT(H32,3)="Mul", "#hiderow", "#showrow")</f>
        <v>#showrow</v>
      </c>
      <c r="E32" s="3"/>
      <c r="F32" s="3"/>
      <c r="G32" s="3"/>
      <c r="H32" s="253" t="s">
        <v>74</v>
      </c>
      <c r="I32" s="18"/>
      <c r="J32" s="18"/>
      <c r="K32" s="18"/>
      <c r="L32" s="78"/>
      <c r="M32" s="79">
        <v>407767.86</v>
      </c>
      <c r="N32" s="80">
        <f>IFERROR(M32/SUMIFS(M:M, $H:$H, "Net Sales"),0)</f>
        <v>1</v>
      </c>
      <c r="O32" s="79">
        <v>515803.95869718201</v>
      </c>
      <c r="P32" s="80">
        <f>IFERROR(O32/SUMIFS(O:O, $H:$H, "Net Sales"),0)</f>
        <v>1</v>
      </c>
      <c r="Q32" s="79">
        <v>515803.95869718201</v>
      </c>
      <c r="R32" s="80">
        <f>IFERROR(Q32/SUMIFS(Q:Q, $H:$H, "Net Sales"),0)</f>
        <v>1</v>
      </c>
      <c r="S32" s="79">
        <v>226548.43</v>
      </c>
      <c r="T32" s="81">
        <f>IFERROR(S32/SUMIFS(S:S, $H:$H, "Net Sales"),0)</f>
        <v>1</v>
      </c>
      <c r="U32" s="80">
        <f t="shared" ref="U32:U39" si="1">IFERROR(($M32-O32)/ABS(O32),0)</f>
        <v>-0.20945186029603122</v>
      </c>
      <c r="V32" s="70">
        <f t="shared" ref="V32:V39" si="2">IFERROR((M32-$O32), $M32-0)</f>
        <v>-108036.09869718202</v>
      </c>
      <c r="W32" s="80">
        <f t="shared" ref="W32:W39" si="3">IFERROR((M32-$Q32)/ABS($Q32),0)</f>
        <v>-0.20945186029603122</v>
      </c>
      <c r="X32" s="70">
        <f t="shared" ref="X32:X39" si="4">IFERROR((M32-$Q32), $M32-0)</f>
        <v>-108036.09869718202</v>
      </c>
      <c r="Y32" s="80">
        <f t="shared" ref="Y32:Y39" si="5">IFERROR((M32-$S32)/ABS($S32),0)</f>
        <v>0.79991474670559404</v>
      </c>
      <c r="Z32" s="70">
        <f t="shared" ref="Z32:Z39" si="6">IFERROR((M32-$S32),$M32-0)</f>
        <v>181219.43</v>
      </c>
      <c r="AA32" s="82"/>
      <c r="AC32" s="138">
        <v>407767.86</v>
      </c>
      <c r="AD32" s="138">
        <v>226548.43</v>
      </c>
      <c r="AE32" s="138">
        <v>515803.95869718201</v>
      </c>
      <c r="AF32" s="172">
        <f>IFERROR(($AC32-AD32)/ABS(AD32),0)</f>
        <v>0.79991474670559404</v>
      </c>
      <c r="AG32" s="139">
        <f>($AC32-AD32)</f>
        <v>181219.43</v>
      </c>
      <c r="AH32" s="172">
        <f>IFERROR(($AC32-AE32)/ABS(AE32),0)</f>
        <v>-0.20945186029603122</v>
      </c>
      <c r="AI32" s="139">
        <f>($AC32-AE32)</f>
        <v>-108036.09869718202</v>
      </c>
      <c r="AK32" s="79">
        <v>407767.86</v>
      </c>
      <c r="AL32" s="80">
        <f>IFERROR(AK32/SUMIFS(AK:AK, $H:$H, "Net Sales"),0)</f>
        <v>1</v>
      </c>
      <c r="AM32" s="79">
        <v>515803.95869718201</v>
      </c>
      <c r="AN32" s="80">
        <f>IFERROR(AM32/SUMIFS(AM:AM, $H:$H, "Net Sales"),0)</f>
        <v>1</v>
      </c>
      <c r="AO32" s="79">
        <v>515803.95869718201</v>
      </c>
      <c r="AP32" s="80">
        <f>IFERROR(AO32/SUMIFS(AO:AO, $H:$H, "Net Sales"),0)</f>
        <v>1</v>
      </c>
      <c r="AQ32" s="79">
        <v>226548.43</v>
      </c>
      <c r="AR32" s="81">
        <f>IFERROR(AQ32/SUMIFS(AQ:AQ, $H:$H, "Net Sales"),0)</f>
        <v>1</v>
      </c>
      <c r="AS32" s="80">
        <f t="shared" ref="AS32:AS39" si="7">IFERROR((AK32-$AM32)/ABS($AM32),0)</f>
        <v>-0.20945186029603122</v>
      </c>
      <c r="AT32" s="70">
        <f t="shared" ref="AT32:AT39" si="8">(AK32-$AM32)</f>
        <v>-108036.09869718202</v>
      </c>
      <c r="AU32" s="80">
        <f t="shared" ref="AU32:AU39" si="9">IFERROR((AK32-$AO32)/ABS($AO32),0)</f>
        <v>-0.20945186029603122</v>
      </c>
      <c r="AV32" s="70">
        <f t="shared" ref="AV32:AV39" si="10">(AK32-$AO32)</f>
        <v>-108036.09869718202</v>
      </c>
      <c r="AW32" s="80">
        <f t="shared" ref="AW32:AW39" si="11">IFERROR((AK32-$AQ32)/ABS($AQ32),0)</f>
        <v>0.79991474670559404</v>
      </c>
      <c r="AX32" s="70">
        <f t="shared" ref="AX32:AX39" si="12">(AK32-$AQ32)</f>
        <v>181219.43</v>
      </c>
      <c r="AY32" s="82"/>
      <c r="BA32" s="79">
        <v>6705451.4630633602</v>
      </c>
      <c r="BB32" s="80">
        <f>IFERROR(BA32/SUMIFS(BA:BA, $H:$H, "Net Sales"),0)</f>
        <v>1</v>
      </c>
      <c r="BC32" s="79">
        <v>6705451.4630633602</v>
      </c>
      <c r="BD32" s="80">
        <f>IFERROR(BC32/SUMIFS(BC:BC, $H:$H, "Net Sales"),0)</f>
        <v>1</v>
      </c>
      <c r="BE32" s="79">
        <v>4227734.84</v>
      </c>
      <c r="BF32" s="81">
        <f>IFERROR(BE32/SUMIFS(BE:BE, $H:$H, "Net Sales"),0)</f>
        <v>1</v>
      </c>
      <c r="BG32" s="80">
        <f t="shared" ref="BG32:BG39" si="13">IFERROR((BA32-$BC32)/ABS($BC32),0)</f>
        <v>0</v>
      </c>
      <c r="BH32" s="70">
        <f t="shared" ref="BH32:BH39" si="14">(BA32-$BC32)</f>
        <v>0</v>
      </c>
      <c r="BI32" s="80">
        <f t="shared" ref="BI32:BI39" si="15">IFERROR((BA32-$BE32)/ABS($BE32),0)</f>
        <v>0.58606244640057903</v>
      </c>
      <c r="BJ32" s="70">
        <f t="shared" ref="BJ32:BJ39" si="16">(BA32-$BE32)</f>
        <v>2477716.6230633603</v>
      </c>
      <c r="BK32" s="82"/>
    </row>
    <row r="33" spans="2:63" ht="11.95" hidden="1" outlineLevel="1" thickBot="1" x14ac:dyDescent="0.3">
      <c r="B33" t="str">
        <f t="shared" si="0"/>
        <v>#hiderow</v>
      </c>
      <c r="E33" s="3"/>
      <c r="F33" s="3"/>
      <c r="G33" s="3"/>
      <c r="H33" s="254" t="s">
        <v>6</v>
      </c>
      <c r="I33" s="18"/>
      <c r="J33" s="18"/>
      <c r="K33" s="18"/>
      <c r="L33" s="78"/>
      <c r="M33" s="79"/>
      <c r="N33" s="80">
        <f>IFERROR(M33/SUMIFS(M:M, $H:$H, "Net Sales"),0)</f>
        <v>0</v>
      </c>
      <c r="O33" s="79"/>
      <c r="P33" s="80">
        <f>IFERROR(O33/SUMIFS(O:O, $H:$H, "Net Sales"),0)</f>
        <v>0</v>
      </c>
      <c r="Q33" s="79"/>
      <c r="R33" s="80">
        <f>IFERROR(Q33/SUMIFS(Q:Q, $H:$H, "Net Sales"),0)</f>
        <v>0</v>
      </c>
      <c r="S33" s="79"/>
      <c r="T33" s="81">
        <f>IFERROR(S33/SUMIFS(S:S, $H:$H, "Net Sales"),0)</f>
        <v>0</v>
      </c>
      <c r="U33" s="80">
        <f t="shared" si="1"/>
        <v>0</v>
      </c>
      <c r="V33" s="70">
        <f t="shared" si="2"/>
        <v>0</v>
      </c>
      <c r="W33" s="80">
        <f t="shared" si="3"/>
        <v>0</v>
      </c>
      <c r="X33" s="70">
        <f t="shared" si="4"/>
        <v>0</v>
      </c>
      <c r="Y33" s="80">
        <f t="shared" si="5"/>
        <v>0</v>
      </c>
      <c r="Z33" s="70">
        <f t="shared" si="6"/>
        <v>0</v>
      </c>
      <c r="AA33" s="82"/>
      <c r="AC33" s="138"/>
      <c r="AD33" s="138"/>
      <c r="AE33" s="138"/>
      <c r="AF33" s="233"/>
      <c r="AG33" s="139"/>
      <c r="AH33" s="233"/>
      <c r="AI33" s="139"/>
      <c r="AK33" s="79"/>
      <c r="AL33" s="80">
        <f>IFERROR(AK33/SUMIFS(AK:AK, $H:$H, "Net Sales"),0)</f>
        <v>0</v>
      </c>
      <c r="AM33" s="79"/>
      <c r="AN33" s="80">
        <f>IFERROR(AM33/SUMIFS(AM:AM, $H:$H, "Net Sales"),0)</f>
        <v>0</v>
      </c>
      <c r="AO33" s="79"/>
      <c r="AP33" s="80">
        <f>IFERROR(AO33/SUMIFS(AO:AO, $H:$H, "Net Sales"),0)</f>
        <v>0</v>
      </c>
      <c r="AQ33" s="79"/>
      <c r="AR33" s="81">
        <f>IFERROR(AQ33/SUMIFS(AQ:AQ, $H:$H, "Net Sales"),0)</f>
        <v>0</v>
      </c>
      <c r="AS33" s="80">
        <f t="shared" si="7"/>
        <v>0</v>
      </c>
      <c r="AT33" s="70">
        <f t="shared" si="8"/>
        <v>0</v>
      </c>
      <c r="AU33" s="80">
        <f t="shared" si="9"/>
        <v>0</v>
      </c>
      <c r="AV33" s="70">
        <f t="shared" si="10"/>
        <v>0</v>
      </c>
      <c r="AW33" s="80">
        <f t="shared" si="11"/>
        <v>0</v>
      </c>
      <c r="AX33" s="70">
        <f t="shared" si="12"/>
        <v>0</v>
      </c>
      <c r="AY33" s="82"/>
      <c r="BA33" s="79"/>
      <c r="BB33" s="80">
        <f>IFERROR(BA33/SUMIFS(BA:BA, $H:$H, "Net Sales"),0)</f>
        <v>0</v>
      </c>
      <c r="BC33" s="79"/>
      <c r="BD33" s="80">
        <f>IFERROR(BC33/SUMIFS(BC:BC, $H:$H, "Net Sales"),0)</f>
        <v>0</v>
      </c>
      <c r="BE33" s="79"/>
      <c r="BF33" s="81">
        <f>IFERROR(BE33/SUMIFS(BE:BE, $H:$H, "Net Sales"),0)</f>
        <v>0</v>
      </c>
      <c r="BG33" s="80">
        <f t="shared" si="13"/>
        <v>0</v>
      </c>
      <c r="BH33" s="70">
        <f t="shared" si="14"/>
        <v>0</v>
      </c>
      <c r="BI33" s="80">
        <f t="shared" si="15"/>
        <v>0</v>
      </c>
      <c r="BJ33" s="70">
        <f t="shared" si="16"/>
        <v>0</v>
      </c>
      <c r="BK33" s="82"/>
    </row>
    <row r="34" spans="2:63" ht="11.95" outlineLevel="1" thickBot="1" x14ac:dyDescent="0.3">
      <c r="B34" t="str">
        <f t="shared" ref="B34:B35" si="17">IF(LEFT(H34,3)="Mul", "#hiderow", "#showrow")</f>
        <v>#showrow</v>
      </c>
      <c r="E34" s="3"/>
      <c r="F34" s="3"/>
      <c r="G34" s="3"/>
      <c r="H34" s="254" t="s">
        <v>163</v>
      </c>
      <c r="I34" s="18"/>
      <c r="J34" s="18"/>
      <c r="K34" s="18"/>
      <c r="L34" s="78"/>
      <c r="M34" s="79">
        <v>69840.67</v>
      </c>
      <c r="N34" s="80">
        <f t="shared" ref="N34:N35" si="18">IFERROR(M34/SUMIFS(M:M, $H:$H, "Net Sales"),0)</f>
        <v>0.17127556350321479</v>
      </c>
      <c r="O34" s="79">
        <v>114740.410407485</v>
      </c>
      <c r="P34" s="80">
        <f t="shared" ref="P34:P35" si="19">IFERROR(O34/SUMIFS(O:O, $H:$H, "Net Sales"),0)</f>
        <v>0.22244965063334607</v>
      </c>
      <c r="Q34" s="79">
        <v>114740.410407485</v>
      </c>
      <c r="R34" s="80">
        <f t="shared" ref="R34:R35" si="20">IFERROR(Q34/SUMIFS(Q:Q, $H:$H, "Net Sales"),0)</f>
        <v>0.22244965063334607</v>
      </c>
      <c r="S34" s="79">
        <v>32732.99</v>
      </c>
      <c r="T34" s="81">
        <f t="shared" ref="T34:T35" si="21">IFERROR(S34/SUMIFS(S:S, $H:$H, "Net Sales"),0)</f>
        <v>0.14448561837307813</v>
      </c>
      <c r="U34" s="80">
        <f t="shared" ref="U34:U35" si="22">IFERROR(($M34-O34)/ABS(O34),0)</f>
        <v>-0.39131584284934723</v>
      </c>
      <c r="V34" s="70">
        <f t="shared" ref="V34:V35" si="23">IFERROR((M34-$O34), $M34-0)</f>
        <v>-44899.740407485006</v>
      </c>
      <c r="W34" s="80">
        <f t="shared" ref="W34:W35" si="24">IFERROR((M34-$Q34)/ABS($Q34),0)</f>
        <v>-0.39131584284934723</v>
      </c>
      <c r="X34" s="70">
        <f t="shared" ref="X34:X35" si="25">IFERROR((M34-$Q34), $M34-0)</f>
        <v>-44899.740407485006</v>
      </c>
      <c r="Y34" s="80">
        <f t="shared" ref="Y34:Y35" si="26">IFERROR((M34-$S34)/ABS($S34),0)</f>
        <v>1.1336477358163735</v>
      </c>
      <c r="Z34" s="70">
        <f t="shared" ref="Z34:Z35" si="27">IFERROR((M34-$S34),$M34-0)</f>
        <v>37107.679999999993</v>
      </c>
      <c r="AA34" s="82"/>
      <c r="AC34" s="138">
        <v>69840.67</v>
      </c>
      <c r="AD34" s="138">
        <v>32732.99</v>
      </c>
      <c r="AE34" s="138">
        <v>114740.410407485</v>
      </c>
      <c r="AF34" s="233"/>
      <c r="AG34" s="139"/>
      <c r="AH34" s="233"/>
      <c r="AI34" s="139"/>
      <c r="AK34" s="79">
        <v>69840.67</v>
      </c>
      <c r="AL34" s="80">
        <f t="shared" ref="AL34:AL35" si="28">IFERROR(AK34/SUMIFS(AK:AK, $H:$H, "Net Sales"),0)</f>
        <v>0.17127556350321479</v>
      </c>
      <c r="AM34" s="79">
        <v>114740.410407485</v>
      </c>
      <c r="AN34" s="80">
        <f t="shared" ref="AN34:AN35" si="29">IFERROR(AM34/SUMIFS(AM:AM, $H:$H, "Net Sales"),0)</f>
        <v>0.22244965063334607</v>
      </c>
      <c r="AO34" s="79">
        <v>114740.410407485</v>
      </c>
      <c r="AP34" s="80">
        <f t="shared" ref="AP34:AP35" si="30">IFERROR(AO34/SUMIFS(AO:AO, $H:$H, "Net Sales"),0)</f>
        <v>0.22244965063334607</v>
      </c>
      <c r="AQ34" s="79">
        <v>32732.99</v>
      </c>
      <c r="AR34" s="81">
        <f t="shared" ref="AR34:AR35" si="31">IFERROR(AQ34/SUMIFS(AQ:AQ, $H:$H, "Net Sales"),0)</f>
        <v>0.14448561837307813</v>
      </c>
      <c r="AS34" s="80">
        <f t="shared" ref="AS34:AS35" si="32">IFERROR((AK34-$AM34)/ABS($AM34),0)</f>
        <v>-0.39131584284934723</v>
      </c>
      <c r="AT34" s="70">
        <f t="shared" ref="AT34:AT35" si="33">(AK34-$AM34)</f>
        <v>-44899.740407485006</v>
      </c>
      <c r="AU34" s="80">
        <f t="shared" ref="AU34:AU35" si="34">IFERROR((AK34-$AO34)/ABS($AO34),0)</f>
        <v>-0.39131584284934723</v>
      </c>
      <c r="AV34" s="70">
        <f t="shared" ref="AV34:AV35" si="35">(AK34-$AO34)</f>
        <v>-44899.740407485006</v>
      </c>
      <c r="AW34" s="80">
        <f t="shared" ref="AW34:AW35" si="36">IFERROR((AK34-$AQ34)/ABS($AQ34),0)</f>
        <v>1.1336477358163735</v>
      </c>
      <c r="AX34" s="70">
        <f t="shared" ref="AX34:AX35" si="37">(AK34-$AQ34)</f>
        <v>37107.679999999993</v>
      </c>
      <c r="AY34" s="82"/>
      <c r="BA34" s="79">
        <v>1491625.3352973</v>
      </c>
      <c r="BB34" s="80">
        <f t="shared" ref="BB34:BB35" si="38">IFERROR(BA34/SUMIFS(BA:BA, $H:$H, "Net Sales"),0)</f>
        <v>0.22244965063334551</v>
      </c>
      <c r="BC34" s="79">
        <v>1491625.3352973</v>
      </c>
      <c r="BD34" s="80">
        <f t="shared" ref="BD34:BD35" si="39">IFERROR(BC34/SUMIFS(BC:BC, $H:$H, "Net Sales"),0)</f>
        <v>0.22244965063334551</v>
      </c>
      <c r="BE34" s="79">
        <v>1265830.6100000001</v>
      </c>
      <c r="BF34" s="81">
        <f t="shared" ref="BF34:BF35" si="40">IFERROR(BE34/SUMIFS(BE:BE, $H:$H, "Net Sales"),0)</f>
        <v>0.29941106949838892</v>
      </c>
      <c r="BG34" s="80">
        <f t="shared" ref="BG34:BG35" si="41">IFERROR((BA34-$BC34)/ABS($BC34),0)</f>
        <v>0</v>
      </c>
      <c r="BH34" s="70">
        <f t="shared" ref="BH34:BH35" si="42">(BA34-$BC34)</f>
        <v>0</v>
      </c>
      <c r="BI34" s="80">
        <f t="shared" ref="BI34:BI35" si="43">IFERROR((BA34-$BE34)/ABS($BE34),0)</f>
        <v>0.17837673027775802</v>
      </c>
      <c r="BJ34" s="70">
        <f t="shared" ref="BJ34:BJ35" si="44">(BA34-$BE34)</f>
        <v>225794.72529729991</v>
      </c>
      <c r="BK34" s="82"/>
    </row>
    <row r="35" spans="2:63" ht="11.95" outlineLevel="1" thickBot="1" x14ac:dyDescent="0.3">
      <c r="B35" t="str">
        <f t="shared" si="17"/>
        <v>#showrow</v>
      </c>
      <c r="E35" s="3"/>
      <c r="F35" s="3"/>
      <c r="G35" s="3"/>
      <c r="H35" s="254" t="s">
        <v>134</v>
      </c>
      <c r="I35" s="18"/>
      <c r="J35" s="18"/>
      <c r="K35" s="18"/>
      <c r="L35" s="78"/>
      <c r="M35" s="79">
        <v>337927.19</v>
      </c>
      <c r="N35" s="80">
        <f t="shared" si="18"/>
        <v>0.82872443649678529</v>
      </c>
      <c r="O35" s="79">
        <v>401063.54828969698</v>
      </c>
      <c r="P35" s="80">
        <f t="shared" si="19"/>
        <v>0.7775503493666539</v>
      </c>
      <c r="Q35" s="79">
        <v>401063.54828969698</v>
      </c>
      <c r="R35" s="80">
        <f t="shared" si="20"/>
        <v>0.7775503493666539</v>
      </c>
      <c r="S35" s="79">
        <v>193815.44</v>
      </c>
      <c r="T35" s="81">
        <f t="shared" si="21"/>
        <v>0.85551438162692195</v>
      </c>
      <c r="U35" s="80">
        <f t="shared" si="22"/>
        <v>-0.15742233009939913</v>
      </c>
      <c r="V35" s="70">
        <f t="shared" si="23"/>
        <v>-63136.358289696975</v>
      </c>
      <c r="W35" s="80">
        <f t="shared" si="24"/>
        <v>-0.15742233009939913</v>
      </c>
      <c r="X35" s="70">
        <f t="shared" si="25"/>
        <v>-63136.358289696975</v>
      </c>
      <c r="Y35" s="80">
        <f t="shared" si="26"/>
        <v>0.7435514425476113</v>
      </c>
      <c r="Z35" s="70">
        <f t="shared" si="27"/>
        <v>144111.75</v>
      </c>
      <c r="AA35" s="82" t="s">
        <v>487</v>
      </c>
      <c r="AC35" s="138">
        <v>337927.19</v>
      </c>
      <c r="AD35" s="138">
        <v>193815.44</v>
      </c>
      <c r="AE35" s="138">
        <v>401063.54828969698</v>
      </c>
      <c r="AF35" s="233"/>
      <c r="AG35" s="139"/>
      <c r="AH35" s="233"/>
      <c r="AI35" s="139"/>
      <c r="AK35" s="79">
        <v>337927.19</v>
      </c>
      <c r="AL35" s="80">
        <f t="shared" si="28"/>
        <v>0.82872443649678529</v>
      </c>
      <c r="AM35" s="79">
        <v>401063.54828969698</v>
      </c>
      <c r="AN35" s="80">
        <f t="shared" si="29"/>
        <v>0.7775503493666539</v>
      </c>
      <c r="AO35" s="79">
        <v>401063.54828969698</v>
      </c>
      <c r="AP35" s="80">
        <f t="shared" si="30"/>
        <v>0.7775503493666539</v>
      </c>
      <c r="AQ35" s="79">
        <v>193815.44</v>
      </c>
      <c r="AR35" s="81">
        <f t="shared" si="31"/>
        <v>0.85551438162692195</v>
      </c>
      <c r="AS35" s="80">
        <f t="shared" si="32"/>
        <v>-0.15742233009939913</v>
      </c>
      <c r="AT35" s="70">
        <f t="shared" si="33"/>
        <v>-63136.358289696975</v>
      </c>
      <c r="AU35" s="80">
        <f t="shared" si="34"/>
        <v>-0.15742233009939913</v>
      </c>
      <c r="AV35" s="70">
        <f t="shared" si="35"/>
        <v>-63136.358289696975</v>
      </c>
      <c r="AW35" s="80">
        <f t="shared" si="36"/>
        <v>0.7435514425476113</v>
      </c>
      <c r="AX35" s="70">
        <f t="shared" si="37"/>
        <v>144111.75</v>
      </c>
      <c r="AY35" s="82"/>
      <c r="BA35" s="79">
        <v>5213826.1277660597</v>
      </c>
      <c r="BB35" s="80">
        <f t="shared" si="38"/>
        <v>0.77755034936665446</v>
      </c>
      <c r="BC35" s="79">
        <v>5213826.1277660597</v>
      </c>
      <c r="BD35" s="80">
        <f t="shared" si="39"/>
        <v>0.77755034936665446</v>
      </c>
      <c r="BE35" s="79">
        <v>2961904.23</v>
      </c>
      <c r="BF35" s="81">
        <f t="shared" si="40"/>
        <v>0.70058893050161108</v>
      </c>
      <c r="BG35" s="80">
        <f t="shared" si="41"/>
        <v>0</v>
      </c>
      <c r="BH35" s="70">
        <f t="shared" si="42"/>
        <v>0</v>
      </c>
      <c r="BI35" s="80">
        <f t="shared" si="43"/>
        <v>0.76029531102228098</v>
      </c>
      <c r="BJ35" s="70">
        <f t="shared" si="44"/>
        <v>2251921.8977660597</v>
      </c>
      <c r="BK35" s="82"/>
    </row>
    <row r="36" spans="2:63" ht="11.95" collapsed="1" thickBot="1" x14ac:dyDescent="0.3">
      <c r="B36" t="str">
        <f t="shared" si="0"/>
        <v>#showrow</v>
      </c>
      <c r="E36" s="3"/>
      <c r="F36" s="3"/>
      <c r="G36" s="3"/>
      <c r="H36" s="253" t="s">
        <v>97</v>
      </c>
      <c r="I36" s="18"/>
      <c r="J36" s="18"/>
      <c r="K36" s="18"/>
      <c r="L36" s="78"/>
      <c r="M36" s="79">
        <v>0</v>
      </c>
      <c r="N36" s="80">
        <f>IFERROR(M36/SUMIFS(M:M, $H:$H, "Net Sales"),0)</f>
        <v>0</v>
      </c>
      <c r="O36" s="79">
        <v>0</v>
      </c>
      <c r="P36" s="80">
        <f>IFERROR(O36/SUMIFS(O:O, $H:$H, "Net Sales"),0)</f>
        <v>0</v>
      </c>
      <c r="Q36" s="79">
        <v>0</v>
      </c>
      <c r="R36" s="80">
        <f>IFERROR(Q36/SUMIFS(Q:Q, $H:$H, "Net Sales"),0)</f>
        <v>0</v>
      </c>
      <c r="S36" s="79">
        <v>0</v>
      </c>
      <c r="T36" s="81">
        <f>IFERROR(S36/SUMIFS(S:S, $H:$H, "Net Sales"),0)</f>
        <v>0</v>
      </c>
      <c r="U36" s="80">
        <f t="shared" si="1"/>
        <v>0</v>
      </c>
      <c r="V36" s="70">
        <f t="shared" si="2"/>
        <v>0</v>
      </c>
      <c r="W36" s="80">
        <f t="shared" si="3"/>
        <v>0</v>
      </c>
      <c r="X36" s="70">
        <f t="shared" si="4"/>
        <v>0</v>
      </c>
      <c r="Y36" s="80">
        <f t="shared" si="5"/>
        <v>0</v>
      </c>
      <c r="Z36" s="70">
        <f t="shared" si="6"/>
        <v>0</v>
      </c>
      <c r="AA36" s="82"/>
      <c r="AC36" s="138">
        <v>0</v>
      </c>
      <c r="AD36" s="138">
        <v>0</v>
      </c>
      <c r="AE36" s="138">
        <v>0</v>
      </c>
      <c r="AF36" s="233"/>
      <c r="AG36" s="139"/>
      <c r="AH36" s="233"/>
      <c r="AI36" s="139"/>
      <c r="AK36" s="79">
        <v>0</v>
      </c>
      <c r="AL36" s="80">
        <f>IFERROR(AK36/SUMIFS(AK:AK, $H:$H, "Net Sales"),0)</f>
        <v>0</v>
      </c>
      <c r="AM36" s="79">
        <v>0</v>
      </c>
      <c r="AN36" s="80">
        <f>IFERROR(AM36/SUMIFS(AM:AM, $H:$H, "Net Sales"),0)</f>
        <v>0</v>
      </c>
      <c r="AO36" s="79">
        <v>0</v>
      </c>
      <c r="AP36" s="80">
        <f>IFERROR(AO36/SUMIFS(AO:AO, $H:$H, "Net Sales"),0)</f>
        <v>0</v>
      </c>
      <c r="AQ36" s="79">
        <v>0</v>
      </c>
      <c r="AR36" s="81">
        <f>IFERROR(AQ36/SUMIFS(AQ:AQ, $H:$H, "Net Sales"),0)</f>
        <v>0</v>
      </c>
      <c r="AS36" s="80">
        <f t="shared" si="7"/>
        <v>0</v>
      </c>
      <c r="AT36" s="70">
        <f t="shared" si="8"/>
        <v>0</v>
      </c>
      <c r="AU36" s="80">
        <f t="shared" si="9"/>
        <v>0</v>
      </c>
      <c r="AV36" s="70">
        <f t="shared" si="10"/>
        <v>0</v>
      </c>
      <c r="AW36" s="80">
        <f t="shared" si="11"/>
        <v>0</v>
      </c>
      <c r="AX36" s="70">
        <f t="shared" si="12"/>
        <v>0</v>
      </c>
      <c r="AY36" s="82"/>
      <c r="BA36" s="79">
        <v>0</v>
      </c>
      <c r="BB36" s="80">
        <f>IFERROR(BA36/SUMIFS(BA:BA, $H:$H, "Net Sales"),0)</f>
        <v>0</v>
      </c>
      <c r="BC36" s="79">
        <v>0</v>
      </c>
      <c r="BD36" s="80">
        <f>IFERROR(BC36/SUMIFS(BC:BC, $H:$H, "Net Sales"),0)</f>
        <v>0</v>
      </c>
      <c r="BE36" s="79">
        <v>0</v>
      </c>
      <c r="BF36" s="81">
        <f>IFERROR(BE36/SUMIFS(BE:BE, $H:$H, "Net Sales"),0)</f>
        <v>0</v>
      </c>
      <c r="BG36" s="80">
        <f t="shared" si="13"/>
        <v>0</v>
      </c>
      <c r="BH36" s="70">
        <f t="shared" si="14"/>
        <v>0</v>
      </c>
      <c r="BI36" s="80">
        <f t="shared" si="15"/>
        <v>0</v>
      </c>
      <c r="BJ36" s="70">
        <f t="shared" si="16"/>
        <v>0</v>
      </c>
      <c r="BK36" s="82"/>
    </row>
    <row r="37" spans="2:63" ht="11.95" hidden="1" outlineLevel="1" thickBot="1" x14ac:dyDescent="0.3">
      <c r="B37" t="str">
        <f t="shared" si="0"/>
        <v>#hiderow</v>
      </c>
      <c r="E37" s="3"/>
      <c r="F37" s="3"/>
      <c r="G37" s="3"/>
      <c r="H37" s="254" t="s">
        <v>6</v>
      </c>
      <c r="I37" s="18"/>
      <c r="J37" s="18"/>
      <c r="K37" s="18"/>
      <c r="L37" s="78"/>
      <c r="M37" s="79"/>
      <c r="N37" s="80">
        <f>IFERROR(M37/SUMIFS(M:M, $H:$H, "Net Sales"),0)</f>
        <v>0</v>
      </c>
      <c r="O37" s="79"/>
      <c r="P37" s="80">
        <f>IFERROR(O37/SUMIFS(O:O, $H:$H, "Net Sales"),0)</f>
        <v>0</v>
      </c>
      <c r="Q37" s="79"/>
      <c r="R37" s="80">
        <f>IFERROR(Q37/SUMIFS(Q:Q, $H:$H, "Net Sales"),0)</f>
        <v>0</v>
      </c>
      <c r="S37" s="79"/>
      <c r="T37" s="81">
        <f>IFERROR(S37/SUMIFS(S:S, $H:$H, "Net Sales"),0)</f>
        <v>0</v>
      </c>
      <c r="U37" s="80">
        <f t="shared" si="1"/>
        <v>0</v>
      </c>
      <c r="V37" s="70">
        <f t="shared" si="2"/>
        <v>0</v>
      </c>
      <c r="W37" s="80">
        <f t="shared" si="3"/>
        <v>0</v>
      </c>
      <c r="X37" s="70">
        <f t="shared" si="4"/>
        <v>0</v>
      </c>
      <c r="Y37" s="80">
        <f t="shared" si="5"/>
        <v>0</v>
      </c>
      <c r="Z37" s="70">
        <f t="shared" si="6"/>
        <v>0</v>
      </c>
      <c r="AA37" s="82"/>
      <c r="AC37" s="138"/>
      <c r="AD37" s="138"/>
      <c r="AE37" s="138"/>
      <c r="AF37" s="233"/>
      <c r="AG37" s="139"/>
      <c r="AH37" s="233"/>
      <c r="AI37" s="139"/>
      <c r="AK37" s="79"/>
      <c r="AL37" s="80">
        <f>IFERROR(AK37/SUMIFS(AK:AK, $H:$H, "Net Sales"),0)</f>
        <v>0</v>
      </c>
      <c r="AM37" s="79"/>
      <c r="AN37" s="80">
        <f>IFERROR(AM37/SUMIFS(AM:AM, $H:$H, "Net Sales"),0)</f>
        <v>0</v>
      </c>
      <c r="AO37" s="79"/>
      <c r="AP37" s="80">
        <f>IFERROR(AO37/SUMIFS(AO:AO, $H:$H, "Net Sales"),0)</f>
        <v>0</v>
      </c>
      <c r="AQ37" s="79"/>
      <c r="AR37" s="81">
        <f>IFERROR(AQ37/SUMIFS(AQ:AQ, $H:$H, "Net Sales"),0)</f>
        <v>0</v>
      </c>
      <c r="AS37" s="80">
        <f t="shared" si="7"/>
        <v>0</v>
      </c>
      <c r="AT37" s="70">
        <f t="shared" si="8"/>
        <v>0</v>
      </c>
      <c r="AU37" s="80">
        <f t="shared" si="9"/>
        <v>0</v>
      </c>
      <c r="AV37" s="70">
        <f t="shared" si="10"/>
        <v>0</v>
      </c>
      <c r="AW37" s="80">
        <f t="shared" si="11"/>
        <v>0</v>
      </c>
      <c r="AX37" s="70">
        <f t="shared" si="12"/>
        <v>0</v>
      </c>
      <c r="AY37" s="82"/>
      <c r="BA37" s="79"/>
      <c r="BB37" s="80">
        <f>IFERROR(BA37/SUMIFS(BA:BA, $H:$H, "Net Sales"),0)</f>
        <v>0</v>
      </c>
      <c r="BC37" s="79"/>
      <c r="BD37" s="80">
        <f>IFERROR(BC37/SUMIFS(BC:BC, $H:$H, "Net Sales"),0)</f>
        <v>0</v>
      </c>
      <c r="BE37" s="79"/>
      <c r="BF37" s="81">
        <f>IFERROR(BE37/SUMIFS(BE:BE, $H:$H, "Net Sales"),0)</f>
        <v>0</v>
      </c>
      <c r="BG37" s="80">
        <f t="shared" si="13"/>
        <v>0</v>
      </c>
      <c r="BH37" s="70">
        <f t="shared" si="14"/>
        <v>0</v>
      </c>
      <c r="BI37" s="80">
        <f t="shared" si="15"/>
        <v>0</v>
      </c>
      <c r="BJ37" s="70">
        <f t="shared" si="16"/>
        <v>0</v>
      </c>
      <c r="BK37" s="82"/>
    </row>
    <row r="38" spans="2:63" ht="11.95" collapsed="1" thickBot="1" x14ac:dyDescent="0.3">
      <c r="B38" t="str">
        <f t="shared" si="0"/>
        <v>#showrow</v>
      </c>
      <c r="E38" s="3"/>
      <c r="F38" s="3"/>
      <c r="G38" s="3"/>
      <c r="H38" s="253" t="s">
        <v>98</v>
      </c>
      <c r="I38" s="18"/>
      <c r="J38" s="18"/>
      <c r="K38" s="18"/>
      <c r="L38" s="78"/>
      <c r="M38" s="79">
        <v>0</v>
      </c>
      <c r="N38" s="80">
        <f>IFERROR(M38/SUMIFS(M:M, $H:$H, "Net Sales"),0)</f>
        <v>0</v>
      </c>
      <c r="O38" s="79">
        <v>0</v>
      </c>
      <c r="P38" s="80">
        <f>IFERROR(O38/SUMIFS(O:O, $H:$H, "Net Sales"),0)</f>
        <v>0</v>
      </c>
      <c r="Q38" s="79">
        <v>0</v>
      </c>
      <c r="R38" s="80">
        <f>IFERROR(Q38/SUMIFS(Q:Q, $H:$H, "Net Sales"),0)</f>
        <v>0</v>
      </c>
      <c r="S38" s="79">
        <v>0</v>
      </c>
      <c r="T38" s="81">
        <f>IFERROR(S38/SUMIFS(S:S, $H:$H, "Net Sales"),0)</f>
        <v>0</v>
      </c>
      <c r="U38" s="80">
        <f t="shared" si="1"/>
        <v>0</v>
      </c>
      <c r="V38" s="70">
        <f t="shared" si="2"/>
        <v>0</v>
      </c>
      <c r="W38" s="80">
        <f t="shared" si="3"/>
        <v>0</v>
      </c>
      <c r="X38" s="70">
        <f t="shared" si="4"/>
        <v>0</v>
      </c>
      <c r="Y38" s="80">
        <f t="shared" si="5"/>
        <v>0</v>
      </c>
      <c r="Z38" s="70">
        <f t="shared" si="6"/>
        <v>0</v>
      </c>
      <c r="AA38" s="82"/>
      <c r="AC38" s="138">
        <v>0</v>
      </c>
      <c r="AD38" s="138">
        <v>0</v>
      </c>
      <c r="AE38" s="138">
        <v>0</v>
      </c>
      <c r="AF38" s="233"/>
      <c r="AG38" s="139"/>
      <c r="AH38" s="233"/>
      <c r="AI38" s="139"/>
      <c r="AK38" s="79">
        <v>0</v>
      </c>
      <c r="AL38" s="80">
        <f>IFERROR(AK38/SUMIFS(AK:AK, $H:$H, "Net Sales"),0)</f>
        <v>0</v>
      </c>
      <c r="AM38" s="79">
        <v>0</v>
      </c>
      <c r="AN38" s="80">
        <f>IFERROR(AM38/SUMIFS(AM:AM, $H:$H, "Net Sales"),0)</f>
        <v>0</v>
      </c>
      <c r="AO38" s="79">
        <v>0</v>
      </c>
      <c r="AP38" s="80">
        <f>IFERROR(AO38/SUMIFS(AO:AO, $H:$H, "Net Sales"),0)</f>
        <v>0</v>
      </c>
      <c r="AQ38" s="79">
        <v>0</v>
      </c>
      <c r="AR38" s="81">
        <f>IFERROR(AQ38/SUMIFS(AQ:AQ, $H:$H, "Net Sales"),0)</f>
        <v>0</v>
      </c>
      <c r="AS38" s="80">
        <f t="shared" si="7"/>
        <v>0</v>
      </c>
      <c r="AT38" s="70">
        <f t="shared" si="8"/>
        <v>0</v>
      </c>
      <c r="AU38" s="80">
        <f t="shared" si="9"/>
        <v>0</v>
      </c>
      <c r="AV38" s="70">
        <f t="shared" si="10"/>
        <v>0</v>
      </c>
      <c r="AW38" s="80">
        <f t="shared" si="11"/>
        <v>0</v>
      </c>
      <c r="AX38" s="70">
        <f t="shared" si="12"/>
        <v>0</v>
      </c>
      <c r="AY38" s="82"/>
      <c r="BA38" s="79">
        <v>0</v>
      </c>
      <c r="BB38" s="80">
        <f>IFERROR(BA38/SUMIFS(BA:BA, $H:$H, "Net Sales"),0)</f>
        <v>0</v>
      </c>
      <c r="BC38" s="79">
        <v>0</v>
      </c>
      <c r="BD38" s="80">
        <f>IFERROR(BC38/SUMIFS(BC:BC, $H:$H, "Net Sales"),0)</f>
        <v>0</v>
      </c>
      <c r="BE38" s="79">
        <v>0</v>
      </c>
      <c r="BF38" s="81">
        <f>IFERROR(BE38/SUMIFS(BE:BE, $H:$H, "Net Sales"),0)</f>
        <v>0</v>
      </c>
      <c r="BG38" s="80">
        <f t="shared" si="13"/>
        <v>0</v>
      </c>
      <c r="BH38" s="70">
        <f t="shared" si="14"/>
        <v>0</v>
      </c>
      <c r="BI38" s="80">
        <f t="shared" si="15"/>
        <v>0</v>
      </c>
      <c r="BJ38" s="70">
        <f t="shared" si="16"/>
        <v>0</v>
      </c>
      <c r="BK38" s="82"/>
    </row>
    <row r="39" spans="2:63" ht="11.95" hidden="1" outlineLevel="1" thickBot="1" x14ac:dyDescent="0.3">
      <c r="B39" t="str">
        <f t="shared" si="0"/>
        <v>#hiderow</v>
      </c>
      <c r="E39" s="3"/>
      <c r="F39" s="3"/>
      <c r="G39" s="3"/>
      <c r="H39" s="254" t="s">
        <v>6</v>
      </c>
      <c r="I39" s="18"/>
      <c r="J39" s="18"/>
      <c r="K39" s="18"/>
      <c r="L39" s="78"/>
      <c r="M39" s="79"/>
      <c r="N39" s="80">
        <f>IFERROR(M39/SUMIFS(M:M, $H:$H, "Net Sales"),0)</f>
        <v>0</v>
      </c>
      <c r="O39" s="79"/>
      <c r="P39" s="80">
        <f>IFERROR(O39/SUMIFS(O:O, $H:$H, "Net Sales"),0)</f>
        <v>0</v>
      </c>
      <c r="Q39" s="79"/>
      <c r="R39" s="80">
        <f>IFERROR(Q39/SUMIFS(Q:Q, $H:$H, "Net Sales"),0)</f>
        <v>0</v>
      </c>
      <c r="S39" s="79"/>
      <c r="T39" s="81">
        <f>IFERROR(S39/SUMIFS(S:S, $H:$H, "Net Sales"),0)</f>
        <v>0</v>
      </c>
      <c r="U39" s="80">
        <f t="shared" si="1"/>
        <v>0</v>
      </c>
      <c r="V39" s="70">
        <f t="shared" si="2"/>
        <v>0</v>
      </c>
      <c r="W39" s="80">
        <f t="shared" si="3"/>
        <v>0</v>
      </c>
      <c r="X39" s="70">
        <f t="shared" si="4"/>
        <v>0</v>
      </c>
      <c r="Y39" s="80">
        <f t="shared" si="5"/>
        <v>0</v>
      </c>
      <c r="Z39" s="70">
        <f t="shared" si="6"/>
        <v>0</v>
      </c>
      <c r="AA39" s="82"/>
      <c r="AC39" s="138"/>
      <c r="AD39" s="138"/>
      <c r="AE39" s="138"/>
      <c r="AF39" s="233"/>
      <c r="AG39" s="139"/>
      <c r="AH39" s="233"/>
      <c r="AI39" s="139"/>
      <c r="AK39" s="79"/>
      <c r="AL39" s="80">
        <f>IFERROR(AK39/SUMIFS(AK:AK, $H:$H, "Net Sales"),0)</f>
        <v>0</v>
      </c>
      <c r="AM39" s="79"/>
      <c r="AN39" s="80">
        <f>IFERROR(AM39/SUMIFS(AM:AM, $H:$H, "Net Sales"),0)</f>
        <v>0</v>
      </c>
      <c r="AO39" s="79"/>
      <c r="AP39" s="80">
        <f>IFERROR(AO39/SUMIFS(AO:AO, $H:$H, "Net Sales"),0)</f>
        <v>0</v>
      </c>
      <c r="AQ39" s="79"/>
      <c r="AR39" s="81">
        <f>IFERROR(AQ39/SUMIFS(AQ:AQ, $H:$H, "Net Sales"),0)</f>
        <v>0</v>
      </c>
      <c r="AS39" s="80">
        <f t="shared" si="7"/>
        <v>0</v>
      </c>
      <c r="AT39" s="70">
        <f t="shared" si="8"/>
        <v>0</v>
      </c>
      <c r="AU39" s="80">
        <f t="shared" si="9"/>
        <v>0</v>
      </c>
      <c r="AV39" s="70">
        <f t="shared" si="10"/>
        <v>0</v>
      </c>
      <c r="AW39" s="80">
        <f t="shared" si="11"/>
        <v>0</v>
      </c>
      <c r="AX39" s="70">
        <f t="shared" si="12"/>
        <v>0</v>
      </c>
      <c r="AY39" s="82"/>
      <c r="BA39" s="79"/>
      <c r="BB39" s="80">
        <f>IFERROR(BA39/SUMIFS(BA:BA, $H:$H, "Net Sales"),0)</f>
        <v>0</v>
      </c>
      <c r="BC39" s="79"/>
      <c r="BD39" s="80">
        <f>IFERROR(BC39/SUMIFS(BC:BC, $H:$H, "Net Sales"),0)</f>
        <v>0</v>
      </c>
      <c r="BE39" s="79"/>
      <c r="BF39" s="81">
        <f>IFERROR(BE39/SUMIFS(BE:BE, $H:$H, "Net Sales"),0)</f>
        <v>0</v>
      </c>
      <c r="BG39" s="80">
        <f t="shared" si="13"/>
        <v>0</v>
      </c>
      <c r="BH39" s="70">
        <f t="shared" si="14"/>
        <v>0</v>
      </c>
      <c r="BI39" s="80">
        <f t="shared" si="15"/>
        <v>0</v>
      </c>
      <c r="BJ39" s="70">
        <f t="shared" si="16"/>
        <v>0</v>
      </c>
      <c r="BK39" s="82"/>
    </row>
    <row r="40" spans="2:63" ht="11.95" x14ac:dyDescent="0.25">
      <c r="E40" s="19"/>
      <c r="F40" s="19"/>
      <c r="G40" s="19"/>
      <c r="H40" s="19" t="s">
        <v>79</v>
      </c>
      <c r="I40" s="85"/>
      <c r="J40" s="85"/>
      <c r="K40" s="85"/>
      <c r="L40" s="85">
        <v>1</v>
      </c>
      <c r="M40" s="85">
        <f>SUMIFS(M31:M39,$I31:$I39,"&lt;&gt;"&amp;$I$29,$E31:$E39,"&lt;&gt;*[-]*",$F31:$F39,"&lt;&gt;*[-]*",$G31:$G39,"&lt;&gt;*[-]*",$H31:$H39,"Revenue")</f>
        <v>407767.86</v>
      </c>
      <c r="N40" s="86">
        <f>IFERROR(M40/SUMIFS(M:M, $H:$H, "Net Sales"),0)</f>
        <v>1</v>
      </c>
      <c r="O40" s="85">
        <f>SUMIFS(O31:O39,$I31:$I39,"&lt;&gt;"&amp;$I$29,$E31:$E39,"&lt;&gt;*[-]*",$F31:$F39,"&lt;&gt;*[-]*",$G31:$G39,"&lt;&gt;*[-]*",$H31:$H39,"Revenue")</f>
        <v>515803.95869718201</v>
      </c>
      <c r="P40" s="86">
        <f>IFERROR(O40/SUMIFS(O:O, $H:$H, "Net Sales"),0)</f>
        <v>1</v>
      </c>
      <c r="Q40" s="85">
        <f>SUMIFS(Q31:Q39,$I31:$I39,"&lt;&gt;"&amp;$I$29,$E31:$E39,"&lt;&gt;*[-]*",$F31:$F39,"&lt;&gt;*[-]*",$G31:$G39,"&lt;&gt;*[-]*",$H31:$H39,"Revenue")</f>
        <v>515803.95869718201</v>
      </c>
      <c r="R40" s="86">
        <f>IFERROR(Q40/SUMIFS(Q:Q, $H:$H, "Net Sales"),0)</f>
        <v>1</v>
      </c>
      <c r="S40" s="85">
        <f>SUMIFS(S31:S39,$I31:$I39,"&lt;&gt;"&amp;$I$29,$E31:$E39,"&lt;&gt;*[-]*",$F31:$F39,"&lt;&gt;*[-]*",$G31:$G39,"&lt;&gt;*[-]*",$H31:$H39,"Revenue")</f>
        <v>226548.43</v>
      </c>
      <c r="T40" s="86">
        <f>IFERROR(S40/SUMIFS(S:S, $H:$H, "Net Sales"),0)</f>
        <v>1</v>
      </c>
      <c r="U40" s="86">
        <f>IFERROR(($M40-O40)/ABS(O40),0)</f>
        <v>-0.20945186029603122</v>
      </c>
      <c r="V40" s="87">
        <f>IFERROR((M40-$O40), $M40-0)</f>
        <v>-108036.09869718202</v>
      </c>
      <c r="W40" s="86">
        <f>IFERROR((M40-$Q40)/ABS($Q40),0)</f>
        <v>-0.20945186029603122</v>
      </c>
      <c r="X40" s="261">
        <f>IFERROR((M40-$Q40), $M40-0)</f>
        <v>-108036.09869718202</v>
      </c>
      <c r="Y40" s="86">
        <f>IFERROR((M40-$S40)/ABS($S40),0)</f>
        <v>0.79991474670559404</v>
      </c>
      <c r="Z40" s="87">
        <f>IFERROR((M40-$S40),$M40-0)</f>
        <v>181219.43</v>
      </c>
      <c r="AA40" s="88"/>
      <c r="AC40" s="142">
        <f>SUMIFS(AC31:AC39,$I31:$I39,"&lt;&gt;"&amp;$I$29,$E31:$E39,"&lt;&gt;*[-]*",$F31:$F39,"&lt;&gt;*[-]*",$G31:$G39,"&lt;&gt;*[-]*",$H31:$H39,"Revenue")</f>
        <v>407767.86</v>
      </c>
      <c r="AD40" s="142">
        <f>SUMIFS(AD31:AD39,$I31:$I39,"&lt;&gt;"&amp;$I$29,$E31:$E39,"&lt;&gt;*[-]*",$F31:$F39,"&lt;&gt;*[-]*",$G31:$G39,"&lt;&gt;*[-]*",$H31:$H39,"Revenue")</f>
        <v>226548.43</v>
      </c>
      <c r="AE40" s="142">
        <f>SUMIFS(AE31:AE39,$I31:$I39,"&lt;&gt;"&amp;$I$29,$E31:$E39,"&lt;&gt;*[-]*",$F31:$F39,"&lt;&gt;*[-]*",$G31:$G39,"&lt;&gt;*[-]*",$H31:$H39,"Revenue")</f>
        <v>515803.95869718201</v>
      </c>
      <c r="AF40" s="173">
        <f>IFERROR((AC40-$AD40)/ABS($AD40),0)</f>
        <v>0.79991474670559404</v>
      </c>
      <c r="AG40" s="143">
        <f>(AC40-$AD40)</f>
        <v>181219.43</v>
      </c>
      <c r="AH40" s="173">
        <f>IFERROR((AC40-$AE40)/ABS($AE40),0)</f>
        <v>-0.20945186029603122</v>
      </c>
      <c r="AI40" s="143">
        <f>(AC40-$AE40)</f>
        <v>-108036.09869718202</v>
      </c>
      <c r="AK40" s="85">
        <f>SUMIFS(AK31:AK39,$I31:$I39,"&lt;&gt;"&amp;$I$29,$E31:$E39,"&lt;&gt;*[-]*",$F31:$F39,"&lt;&gt;*[-]*",$G31:$G39,"&lt;&gt;*[-]*",$H31:$H39,"Revenue")</f>
        <v>407767.86</v>
      </c>
      <c r="AL40" s="86">
        <f>IFERROR(AK40/SUMIFS(AK:AK, $H:$H, "Net Sales"),0)</f>
        <v>1</v>
      </c>
      <c r="AM40" s="85">
        <f>SUMIFS(AM31:AM39,$I31:$I39,"&lt;&gt;"&amp;$I$29,$E31:$E39,"&lt;&gt;*[-]*",$F31:$F39,"&lt;&gt;*[-]*",$G31:$G39,"&lt;&gt;*[-]*",$H31:$H39,"Revenue")</f>
        <v>515803.95869718201</v>
      </c>
      <c r="AN40" s="86">
        <f>IFERROR(AM40/SUMIFS(AM:AM, $H:$H, "Net Sales"),0)</f>
        <v>1</v>
      </c>
      <c r="AO40" s="85">
        <f>SUMIFS(AO31:AO39,$I31:$I39,"&lt;&gt;"&amp;$I$29,$E31:$E39,"&lt;&gt;*[-]*",$F31:$F39,"&lt;&gt;*[-]*",$G31:$G39,"&lt;&gt;*[-]*",$H31:$H39,"Revenue")</f>
        <v>515803.95869718201</v>
      </c>
      <c r="AP40" s="86">
        <f>IFERROR(AO40/SUMIFS(AO:AO, $H:$H, "Net Sales"),0)</f>
        <v>1</v>
      </c>
      <c r="AQ40" s="85">
        <f>SUMIFS(AQ31:AQ39,$I31:$I39,"&lt;&gt;"&amp;$I$29,$E31:$E39,"&lt;&gt;*[-]*",$F31:$F39,"&lt;&gt;*[-]*",$G31:$G39,"&lt;&gt;*[-]*",$H31:$H39,"Revenue")</f>
        <v>226548.43</v>
      </c>
      <c r="AR40" s="86">
        <f>IFERROR(AQ40/SUMIFS(AQ:AQ, $H:$H, "Net Sales"),0)</f>
        <v>1</v>
      </c>
      <c r="AS40" s="86">
        <f>IFERROR((AK40-$AM40)/ABS($AM40),0)</f>
        <v>-0.20945186029603122</v>
      </c>
      <c r="AT40" s="87">
        <f>(AK40-$AM40)</f>
        <v>-108036.09869718202</v>
      </c>
      <c r="AU40" s="86">
        <f>IFERROR((AK40-$AO40)/ABS($AO40),0)</f>
        <v>-0.20945186029603122</v>
      </c>
      <c r="AV40" s="87">
        <f>(AK40-$AO40)</f>
        <v>-108036.09869718202</v>
      </c>
      <c r="AW40" s="86">
        <f>IFERROR((AK40-$AQ40)/ABS($AQ40),0)</f>
        <v>0.79991474670559404</v>
      </c>
      <c r="AX40" s="87">
        <f>(AK40-$AQ40)</f>
        <v>181219.43</v>
      </c>
      <c r="AY40" s="88"/>
      <c r="BA40" s="85">
        <f>SUMIFS(BA31:BA39,$I31:$I39,"&lt;&gt;"&amp;$I$29,$E31:$E39,"&lt;&gt;*[-]*",$F31:$F39,"&lt;&gt;*[-]*",$G31:$G39,"&lt;&gt;*[-]*",$H31:$H39,"Revenue")</f>
        <v>6705451.4630633602</v>
      </c>
      <c r="BB40" s="86">
        <f>IFERROR(BA40/SUMIFS(BA:BA, $H:$H, "Net Sales"),0)</f>
        <v>1</v>
      </c>
      <c r="BC40" s="85">
        <f>SUMIFS(BC31:BC39,$I31:$I39,"&lt;&gt;"&amp;$I$29,$E31:$E39,"&lt;&gt;*[-]*",$F31:$F39,"&lt;&gt;*[-]*",$G31:$G39,"&lt;&gt;*[-]*",$H31:$H39,"Revenue")</f>
        <v>6705451.4630633602</v>
      </c>
      <c r="BD40" s="86">
        <f>IFERROR(BC40/SUMIFS(BC:BC, $H:$H, "Net Sales"),0)</f>
        <v>1</v>
      </c>
      <c r="BE40" s="85">
        <f>SUMIFS(BE31:BE39,$I31:$I39,"&lt;&gt;"&amp;$I$29,$E31:$E39,"&lt;&gt;*[-]*",$F31:$F39,"&lt;&gt;*[-]*",$G31:$G39,"&lt;&gt;*[-]*",$H31:$H39,"Revenue")</f>
        <v>4227734.84</v>
      </c>
      <c r="BF40" s="86">
        <f>IFERROR(BE40/SUMIFS(BE:BE, $H:$H, "Net Sales"),0)</f>
        <v>1</v>
      </c>
      <c r="BG40" s="86">
        <f>IFERROR((BA40-$BC40)/ABS($BC40),0)</f>
        <v>0</v>
      </c>
      <c r="BH40" s="87">
        <f>(BA40-$BC40)</f>
        <v>0</v>
      </c>
      <c r="BI40" s="86">
        <f>IFERROR((BA40-$BE40)/ABS($BE40),0)</f>
        <v>0.58606244640057903</v>
      </c>
      <c r="BJ40" s="87">
        <f>(BA40-$BE40)</f>
        <v>2477716.6230633603</v>
      </c>
      <c r="BK40" s="88"/>
    </row>
    <row r="41" spans="2:63" x14ac:dyDescent="0.25">
      <c r="N41" s="145"/>
      <c r="P41" s="145"/>
      <c r="R41" s="145"/>
      <c r="T41" s="145"/>
      <c r="U41" s="145"/>
      <c r="V41" s="84"/>
      <c r="W41" s="145"/>
      <c r="X41" s="84"/>
      <c r="Y41" s="145"/>
      <c r="Z41" s="84"/>
      <c r="AA41" s="84"/>
      <c r="AF41" s="169"/>
      <c r="AG41" s="140"/>
      <c r="AH41" s="169"/>
      <c r="AI41" s="140"/>
      <c r="AL41" s="145"/>
      <c r="AN41" s="145"/>
      <c r="AP41" s="145"/>
      <c r="AR41" s="145"/>
      <c r="AS41" s="145"/>
      <c r="AT41" s="84"/>
      <c r="AU41" s="145"/>
      <c r="AV41" s="84"/>
      <c r="AW41" s="145"/>
      <c r="AX41" s="84"/>
      <c r="AY41" s="84"/>
      <c r="BB41" s="145"/>
      <c r="BD41" s="145"/>
      <c r="BF41" s="145"/>
      <c r="BG41" s="145"/>
      <c r="BH41" s="84"/>
      <c r="BI41" s="145"/>
      <c r="BJ41" s="84"/>
      <c r="BK41" s="84"/>
    </row>
    <row r="42" spans="2:63" ht="12.45" thickBot="1" x14ac:dyDescent="0.3">
      <c r="B42" t="str">
        <f>IF(COUNTBLANK(B44:B60)&gt;0,"#showrow","#hiderow")</f>
        <v>#showrow</v>
      </c>
      <c r="E42" s="4"/>
      <c r="F42" s="4"/>
      <c r="G42" s="4"/>
      <c r="H42" s="4" t="s">
        <v>17</v>
      </c>
      <c r="I42" s="4"/>
      <c r="J42" s="5"/>
      <c r="K42" s="5"/>
      <c r="L42" s="5"/>
      <c r="M42" s="5"/>
      <c r="N42" s="152"/>
      <c r="O42" s="5"/>
      <c r="P42" s="152"/>
      <c r="Q42" s="5"/>
      <c r="R42" s="152"/>
      <c r="S42" s="5"/>
      <c r="T42" s="152"/>
      <c r="U42" s="152"/>
      <c r="V42" s="75"/>
      <c r="W42" s="152"/>
      <c r="X42" s="75"/>
      <c r="Y42" s="152"/>
      <c r="Z42" s="75"/>
      <c r="AA42" s="76"/>
      <c r="AC42" s="133"/>
      <c r="AD42" s="133"/>
      <c r="AE42" s="133"/>
      <c r="AF42" s="171"/>
      <c r="AG42" s="134"/>
      <c r="AH42" s="171"/>
      <c r="AI42" s="134"/>
      <c r="AK42" s="5"/>
      <c r="AL42" s="152"/>
      <c r="AM42" s="5"/>
      <c r="AN42" s="152"/>
      <c r="AO42" s="5"/>
      <c r="AP42" s="152"/>
      <c r="AQ42" s="5"/>
      <c r="AR42" s="152"/>
      <c r="AS42" s="152"/>
      <c r="AT42" s="75"/>
      <c r="AU42" s="152"/>
      <c r="AV42" s="75"/>
      <c r="AW42" s="152"/>
      <c r="AX42" s="75"/>
      <c r="AY42" s="76"/>
      <c r="BA42" s="5"/>
      <c r="BB42" s="152"/>
      <c r="BC42" s="5"/>
      <c r="BD42" s="152"/>
      <c r="BE42" s="5"/>
      <c r="BF42" s="152"/>
      <c r="BG42" s="152"/>
      <c r="BH42" s="75"/>
      <c r="BI42" s="152"/>
      <c r="BJ42" s="75"/>
      <c r="BK42" s="76"/>
    </row>
    <row r="43" spans="2:63" ht="11.95" hidden="1" thickBot="1" x14ac:dyDescent="0.3">
      <c r="B43" t="s">
        <v>1</v>
      </c>
      <c r="E43" s="3"/>
      <c r="F43" s="3"/>
      <c r="G43" s="3"/>
      <c r="H43" s="3" t="s">
        <v>17</v>
      </c>
      <c r="I43" s="18"/>
      <c r="J43" s="18"/>
      <c r="K43" s="18"/>
      <c r="L43" s="78"/>
      <c r="M43" s="79">
        <v>603548.78</v>
      </c>
      <c r="N43" s="80"/>
      <c r="O43" s="79">
        <v>450453.24352673301</v>
      </c>
      <c r="P43" s="80"/>
      <c r="Q43" s="79">
        <v>450453.24352673301</v>
      </c>
      <c r="R43" s="80"/>
      <c r="S43" s="79">
        <v>240073.65</v>
      </c>
      <c r="T43" s="81"/>
      <c r="U43" s="80"/>
      <c r="V43" s="70"/>
      <c r="W43" s="80"/>
      <c r="X43" s="70"/>
      <c r="Y43" s="80"/>
      <c r="Z43" s="70"/>
      <c r="AA43" s="82"/>
      <c r="AC43" s="138">
        <v>603548.78</v>
      </c>
      <c r="AD43" s="138">
        <v>240073.65</v>
      </c>
      <c r="AE43" s="138">
        <v>450453.24352673301</v>
      </c>
      <c r="AF43" s="172"/>
      <c r="AG43" s="139"/>
      <c r="AH43" s="172"/>
      <c r="AI43" s="139"/>
      <c r="AK43" s="79">
        <v>603548.78</v>
      </c>
      <c r="AL43" s="80"/>
      <c r="AM43" s="79">
        <v>450453.24352673301</v>
      </c>
      <c r="AN43" s="80"/>
      <c r="AO43" s="79">
        <v>450453.24352673301</v>
      </c>
      <c r="AP43" s="80"/>
      <c r="AQ43" s="79">
        <v>240073.65</v>
      </c>
      <c r="AR43" s="81"/>
      <c r="AS43" s="80"/>
      <c r="AT43" s="70"/>
      <c r="AU43" s="80"/>
      <c r="AV43" s="70"/>
      <c r="AW43" s="80"/>
      <c r="AX43" s="70"/>
      <c r="AY43" s="82"/>
      <c r="BA43" s="79">
        <v>5800117.0530822603</v>
      </c>
      <c r="BB43" s="80"/>
      <c r="BC43" s="79">
        <v>5800117.0530822603</v>
      </c>
      <c r="BD43" s="80"/>
      <c r="BE43" s="79">
        <v>4418073.67</v>
      </c>
      <c r="BF43" s="81"/>
      <c r="BG43" s="80"/>
      <c r="BH43" s="70"/>
      <c r="BI43" s="80"/>
      <c r="BJ43" s="70"/>
      <c r="BK43" s="82"/>
    </row>
    <row r="44" spans="2:63" ht="11.95" thickBot="1" x14ac:dyDescent="0.3">
      <c r="E44" s="3"/>
      <c r="F44" s="3"/>
      <c r="G44" s="3"/>
      <c r="H44" s="253" t="s">
        <v>99</v>
      </c>
      <c r="I44" s="18"/>
      <c r="J44" s="18"/>
      <c r="K44" s="18"/>
      <c r="L44" s="78"/>
      <c r="M44" s="79">
        <f>603548.78</f>
        <v>603548.78</v>
      </c>
      <c r="N44" s="80">
        <f t="shared" ref="N44:N62" si="45">IFERROR(M44/SUMIFS(M:M, $H:$H, "Net Sales"),0)</f>
        <v>1.480128375002385</v>
      </c>
      <c r="O44" s="79">
        <v>450453.24352673301</v>
      </c>
      <c r="P44" s="80">
        <f t="shared" ref="P44:P62" si="46">IFERROR(O44/SUMIFS(O:O, $H:$H, "Net Sales"),0)</f>
        <v>0.87330319190354433</v>
      </c>
      <c r="Q44" s="79">
        <v>450453.24352673301</v>
      </c>
      <c r="R44" s="80">
        <f t="shared" ref="R44:R62" si="47">IFERROR(Q44/SUMIFS(Q:Q, $H:$H, "Net Sales"),0)</f>
        <v>0.87330319190354433</v>
      </c>
      <c r="S44" s="79">
        <v>240073.65</v>
      </c>
      <c r="T44" s="81">
        <f t="shared" ref="T44:T62" si="48">IFERROR(S44/SUMIFS(S:S, $H:$H, "Net Sales"),0)</f>
        <v>1.0597012303285438</v>
      </c>
      <c r="U44" s="80">
        <f>IFERROR(($O44-M44)/ABS(M44),0)</f>
        <v>-0.25365892790515954</v>
      </c>
      <c r="V44" s="70">
        <f>IFERROR((O44-$M44), 0-$M44)</f>
        <v>-153095.53647326701</v>
      </c>
      <c r="W44" s="80">
        <f>IFERROR((Q44-$M44)/ABS($M44),0)</f>
        <v>-0.25365892790515954</v>
      </c>
      <c r="X44" s="70">
        <f>IFERROR((Q44-$M44), 0 -$M44)</f>
        <v>-153095.53647326701</v>
      </c>
      <c r="Y44" s="80">
        <f>IFERROR((S44-$M44)/ABS($M44),0)</f>
        <v>-0.60222991420842564</v>
      </c>
      <c r="Z44" s="70">
        <f>IFERROR((S44-$M44),0-$M44)</f>
        <v>-363475.13</v>
      </c>
      <c r="AA44" s="82"/>
      <c r="AC44" s="138">
        <v>603548.78</v>
      </c>
      <c r="AD44" s="138">
        <v>240073.65</v>
      </c>
      <c r="AE44" s="138">
        <v>450453.24352673301</v>
      </c>
      <c r="AF44" s="172">
        <f>IFERROR((AD44-$AC44)/ABS($AC44),0)</f>
        <v>-0.60222991420842564</v>
      </c>
      <c r="AG44" s="139">
        <f>(AD44-$AC44)</f>
        <v>-363475.13</v>
      </c>
      <c r="AH44" s="172">
        <f>IFERROR((AE44-$AC44)/ABS($AC44),0)</f>
        <v>-0.25365892790515954</v>
      </c>
      <c r="AI44" s="139">
        <f>(AE44-$AC44)</f>
        <v>-153095.53647326701</v>
      </c>
      <c r="AK44" s="79">
        <v>603548.78</v>
      </c>
      <c r="AL44" s="80">
        <f t="shared" ref="AL44:AL62" si="49">IFERROR(AK44/SUMIFS(AK:AK, $H:$H, "Net Sales"),0)</f>
        <v>1.480128375002385</v>
      </c>
      <c r="AM44" s="79">
        <v>450453.24352673301</v>
      </c>
      <c r="AN44" s="80">
        <f t="shared" ref="AN44:AN62" si="50">IFERROR(AM44/SUMIFS(AM:AM, $H:$H, "Net Sales"),0)</f>
        <v>0.87330319190354433</v>
      </c>
      <c r="AO44" s="79">
        <v>450453.24352673301</v>
      </c>
      <c r="AP44" s="80">
        <f t="shared" ref="AP44:AP62" si="51">IFERROR(AO44/SUMIFS(AO:AO, $H:$H, "Net Sales"),0)</f>
        <v>0.87330319190354433</v>
      </c>
      <c r="AQ44" s="79">
        <v>240073.65</v>
      </c>
      <c r="AR44" s="81">
        <f t="shared" ref="AR44:AR62" si="52">IFERROR(AQ44/SUMIFS(AQ:AQ, $H:$H, "Net Sales"),0)</f>
        <v>1.0597012303285438</v>
      </c>
      <c r="AS44" s="80">
        <f>IFERROR((AM44-$AK44)/ABS($AK44),0)</f>
        <v>-0.25365892790515954</v>
      </c>
      <c r="AT44" s="70">
        <f>(AM44-$AK44)</f>
        <v>-153095.53647326701</v>
      </c>
      <c r="AU44" s="80">
        <f>IFERROR((AO44-$AK44)/ABS($AO44),0)</f>
        <v>-0.33986998356285841</v>
      </c>
      <c r="AV44" s="70">
        <f>(AO44-$AK44)</f>
        <v>-153095.53647326701</v>
      </c>
      <c r="AW44" s="80">
        <f>IFERROR((AQ44-$AK44)/ABS($AK44),0)</f>
        <v>-0.60222991420842564</v>
      </c>
      <c r="AX44" s="70">
        <f>(AQ44-$AK44)</f>
        <v>-363475.13</v>
      </c>
      <c r="AY44" s="82"/>
      <c r="BA44" s="79">
        <v>5800117.0530822603</v>
      </c>
      <c r="BB44" s="80">
        <f t="shared" ref="BB44:BB62" si="53">IFERROR(BA44/SUMIFS(BA:BA, $H:$H, "Net Sales"),0)</f>
        <v>0.86498531605692941</v>
      </c>
      <c r="BC44" s="79">
        <v>5800117.0530822603</v>
      </c>
      <c r="BD44" s="80">
        <f t="shared" ref="BD44:BD62" si="54">IFERROR(BC44/SUMIFS(BC:BC, $H:$H, "Net Sales"),0)</f>
        <v>0.86498531605692941</v>
      </c>
      <c r="BE44" s="79">
        <v>4418073.67</v>
      </c>
      <c r="BF44" s="81">
        <f t="shared" ref="BF44:BF62" si="55">IFERROR(BE44/SUMIFS(BE:BE, $H:$H, "Net Sales"),0)</f>
        <v>1.0450214682811092</v>
      </c>
      <c r="BG44" s="80">
        <f>IFERROR((BC44-$BA44)/ABS($BA44),0)</f>
        <v>0</v>
      </c>
      <c r="BH44" s="70">
        <f>(BC44-$BA44)</f>
        <v>0</v>
      </c>
      <c r="BI44" s="80">
        <f>IFERROR((BE44-$BA44)/ABS($BA44),0)</f>
        <v>-0.23827853307681504</v>
      </c>
      <c r="BJ44" s="70">
        <f>(BE44-$BA44)</f>
        <v>-1382043.3830822604</v>
      </c>
      <c r="BK44" s="82"/>
    </row>
    <row r="45" spans="2:63" ht="11.95" hidden="1" outlineLevel="1" thickBot="1" x14ac:dyDescent="0.3">
      <c r="B45" t="str">
        <f>IF(LEFT(H45,3)="Mul", "#hiderow", "#showrow")</f>
        <v>#hiderow</v>
      </c>
      <c r="E45" s="3"/>
      <c r="F45" s="3"/>
      <c r="G45" s="3"/>
      <c r="H45" s="254" t="s">
        <v>6</v>
      </c>
      <c r="I45" s="18"/>
      <c r="J45" s="18"/>
      <c r="K45" s="18"/>
      <c r="L45" s="78"/>
      <c r="M45" s="79"/>
      <c r="N45" s="80">
        <f t="shared" si="45"/>
        <v>0</v>
      </c>
      <c r="O45" s="79"/>
      <c r="P45" s="80">
        <f t="shared" si="46"/>
        <v>0</v>
      </c>
      <c r="Q45" s="79"/>
      <c r="R45" s="80">
        <f t="shared" si="47"/>
        <v>0</v>
      </c>
      <c r="S45" s="79"/>
      <c r="T45" s="81">
        <f t="shared" si="48"/>
        <v>0</v>
      </c>
      <c r="U45" s="80">
        <f t="shared" ref="U45:U60" si="56">IFERROR(($O45-M45)/ABS(M45),0)</f>
        <v>0</v>
      </c>
      <c r="V45" s="70">
        <f t="shared" ref="V45:V60" si="57">IFERROR((O45-$M45), 0-$M45)</f>
        <v>0</v>
      </c>
      <c r="W45" s="80">
        <f t="shared" ref="W45:W60" si="58">IFERROR((Q45-$M45)/ABS($M45),0)</f>
        <v>0</v>
      </c>
      <c r="X45" s="70">
        <f t="shared" ref="X45:X60" si="59">IFERROR((Q45-$M45), 0 -$M45)</f>
        <v>0</v>
      </c>
      <c r="Y45" s="80">
        <f t="shared" ref="Y45:Y60" si="60">IFERROR((S45-$M45)/ABS($M45),0)</f>
        <v>0</v>
      </c>
      <c r="Z45" s="70">
        <f t="shared" ref="Z45:Z60" si="61">IFERROR((S45-$M45),0-$M45)</f>
        <v>0</v>
      </c>
      <c r="AA45" s="82"/>
      <c r="AC45" s="138"/>
      <c r="AD45" s="138"/>
      <c r="AE45" s="138"/>
      <c r="AF45" s="233"/>
      <c r="AG45" s="139"/>
      <c r="AH45" s="233"/>
      <c r="AI45" s="139"/>
      <c r="AK45" s="79"/>
      <c r="AL45" s="80">
        <f t="shared" si="49"/>
        <v>0</v>
      </c>
      <c r="AM45" s="79"/>
      <c r="AN45" s="80">
        <f t="shared" si="50"/>
        <v>0</v>
      </c>
      <c r="AO45" s="79"/>
      <c r="AP45" s="80">
        <f t="shared" si="51"/>
        <v>0</v>
      </c>
      <c r="AQ45" s="79"/>
      <c r="AR45" s="81">
        <f t="shared" si="52"/>
        <v>0</v>
      </c>
      <c r="AS45" s="80">
        <f t="shared" ref="AS45:AS60" si="62">IFERROR((AM45-$AK45)/ABS($AK45),0)</f>
        <v>0</v>
      </c>
      <c r="AT45" s="70">
        <f t="shared" ref="AT45:AT60" si="63">(AM45-$AK45)</f>
        <v>0</v>
      </c>
      <c r="AU45" s="80">
        <f t="shared" ref="AU45:AU60" si="64">IFERROR((AO45-$AK45)/ABS($AO45),0)</f>
        <v>0</v>
      </c>
      <c r="AV45" s="70">
        <f t="shared" ref="AV45:AV60" si="65">(AO45-$AK45)</f>
        <v>0</v>
      </c>
      <c r="AW45" s="80">
        <f t="shared" ref="AW45:AW60" si="66">IFERROR((AQ45-$AK45)/ABS($AK45),0)</f>
        <v>0</v>
      </c>
      <c r="AX45" s="70">
        <f t="shared" ref="AX45:AX60" si="67">(AQ45-$AK45)</f>
        <v>0</v>
      </c>
      <c r="AY45" s="82"/>
      <c r="BA45" s="79"/>
      <c r="BB45" s="80">
        <f t="shared" si="53"/>
        <v>0</v>
      </c>
      <c r="BC45" s="79"/>
      <c r="BD45" s="80">
        <f t="shared" si="54"/>
        <v>0</v>
      </c>
      <c r="BE45" s="79"/>
      <c r="BF45" s="81">
        <f t="shared" si="55"/>
        <v>0</v>
      </c>
      <c r="BG45" s="80">
        <f t="shared" ref="BG45:BG60" si="68">IFERROR((BC45-$BA45)/ABS($BA45),0)</f>
        <v>0</v>
      </c>
      <c r="BH45" s="70">
        <f t="shared" ref="BH45:BH60" si="69">(BC45-$BA45)</f>
        <v>0</v>
      </c>
      <c r="BI45" s="80">
        <f t="shared" ref="BI45:BI60" si="70">IFERROR((BE45-$BA45)/ABS($BA45),0)</f>
        <v>0</v>
      </c>
      <c r="BJ45" s="70">
        <f t="shared" ref="BJ45:BJ60" si="71">(BE45-$BA45)</f>
        <v>0</v>
      </c>
      <c r="BK45" s="82"/>
    </row>
    <row r="46" spans="2:63" ht="11.95" outlineLevel="1" thickBot="1" x14ac:dyDescent="0.3">
      <c r="B46" t="str">
        <f t="shared" ref="B46:B53" si="72">IF(LEFT(H46,3)="Mul", "#hiderow", "#showrow")</f>
        <v>#showrow</v>
      </c>
      <c r="E46" s="3"/>
      <c r="F46" s="3"/>
      <c r="G46" s="3"/>
      <c r="H46" s="254" t="s">
        <v>149</v>
      </c>
      <c r="I46" s="18"/>
      <c r="J46" s="18"/>
      <c r="K46" s="18"/>
      <c r="L46" s="78"/>
      <c r="M46" s="79">
        <v>4111.87</v>
      </c>
      <c r="N46" s="80">
        <f t="shared" si="45"/>
        <v>1.0083850159254826E-2</v>
      </c>
      <c r="O46" s="79">
        <v>39728.209587608399</v>
      </c>
      <c r="P46" s="80">
        <f t="shared" si="46"/>
        <v>7.7021916791708889E-2</v>
      </c>
      <c r="Q46" s="79">
        <v>39728.209587608399</v>
      </c>
      <c r="R46" s="80">
        <f t="shared" si="47"/>
        <v>7.7021916791708889E-2</v>
      </c>
      <c r="S46" s="79">
        <v>86709.51</v>
      </c>
      <c r="T46" s="81">
        <f t="shared" si="48"/>
        <v>0.38274160628700893</v>
      </c>
      <c r="U46" s="80">
        <f t="shared" ref="U46:U53" si="73">IFERROR(($O46-M46)/ABS(M46),0)</f>
        <v>8.6618350258175472</v>
      </c>
      <c r="V46" s="70">
        <f t="shared" ref="V46:V53" si="74">IFERROR((O46-$M46), 0-$M46)</f>
        <v>35616.339587608396</v>
      </c>
      <c r="W46" s="80">
        <f t="shared" ref="W46:W53" si="75">IFERROR((Q46-$M46)/ABS($M46),0)</f>
        <v>8.6618350258175472</v>
      </c>
      <c r="X46" s="70">
        <f t="shared" ref="X46:X53" si="76">IFERROR((Q46-$M46), 0 -$M46)</f>
        <v>35616.339587608396</v>
      </c>
      <c r="Y46" s="80">
        <f t="shared" ref="Y46:Y53" si="77">IFERROR((S46-$M46)/ABS($M46),0)</f>
        <v>20.087609773655295</v>
      </c>
      <c r="Z46" s="70">
        <f t="shared" ref="Z46:Z53" si="78">IFERROR((S46-$M46),0-$M46)</f>
        <v>82597.64</v>
      </c>
      <c r="AA46" s="82"/>
      <c r="AC46" s="138">
        <v>4111.87</v>
      </c>
      <c r="AD46" s="138">
        <v>86709.51</v>
      </c>
      <c r="AE46" s="138">
        <v>39728.209587608399</v>
      </c>
      <c r="AF46" s="233"/>
      <c r="AG46" s="139"/>
      <c r="AH46" s="233"/>
      <c r="AI46" s="139"/>
      <c r="AK46" s="79">
        <v>4111.87</v>
      </c>
      <c r="AL46" s="80">
        <f t="shared" si="49"/>
        <v>1.0083850159254826E-2</v>
      </c>
      <c r="AM46" s="79">
        <v>39728.209587608399</v>
      </c>
      <c r="AN46" s="80">
        <f t="shared" si="50"/>
        <v>7.7021916791708889E-2</v>
      </c>
      <c r="AO46" s="79">
        <v>39728.209587608399</v>
      </c>
      <c r="AP46" s="80">
        <f t="shared" si="51"/>
        <v>7.7021916791708889E-2</v>
      </c>
      <c r="AQ46" s="79">
        <v>86709.51</v>
      </c>
      <c r="AR46" s="81">
        <f t="shared" si="52"/>
        <v>0.38274160628700893</v>
      </c>
      <c r="AS46" s="80">
        <f t="shared" ref="AS46:AS53" si="79">IFERROR((AM46-$AK46)/ABS($AK46),0)</f>
        <v>8.6618350258175472</v>
      </c>
      <c r="AT46" s="70">
        <f t="shared" ref="AT46:AT53" si="80">(AM46-$AK46)</f>
        <v>35616.339587608396</v>
      </c>
      <c r="AU46" s="80">
        <f t="shared" ref="AU46:AU53" si="81">IFERROR((AO46-$AK46)/ABS($AO46),0)</f>
        <v>0.8964999922553134</v>
      </c>
      <c r="AV46" s="70">
        <f t="shared" ref="AV46:AV53" si="82">(AO46-$AK46)</f>
        <v>35616.339587608396</v>
      </c>
      <c r="AW46" s="80">
        <f t="shared" ref="AW46:AW53" si="83">IFERROR((AQ46-$AK46)/ABS($AK46),0)</f>
        <v>20.087609773655295</v>
      </c>
      <c r="AX46" s="70">
        <f t="shared" ref="AX46:AX53" si="84">(AQ46-$AK46)</f>
        <v>82597.64</v>
      </c>
      <c r="AY46" s="82"/>
      <c r="BA46" s="79">
        <v>528682.24501705996</v>
      </c>
      <c r="BB46" s="80">
        <f t="shared" si="53"/>
        <v>7.8843646535849132E-2</v>
      </c>
      <c r="BC46" s="79">
        <v>528682.24501705996</v>
      </c>
      <c r="BD46" s="80">
        <f t="shared" si="54"/>
        <v>7.8843646535849132E-2</v>
      </c>
      <c r="BE46" s="79">
        <v>816933.32</v>
      </c>
      <c r="BF46" s="81">
        <f t="shared" si="55"/>
        <v>0.19323191990914926</v>
      </c>
      <c r="BG46" s="80">
        <f t="shared" ref="BG46:BG53" si="85">IFERROR((BC46-$BA46)/ABS($BA46),0)</f>
        <v>0</v>
      </c>
      <c r="BH46" s="70">
        <f t="shared" ref="BH46:BH53" si="86">(BC46-$BA46)</f>
        <v>0</v>
      </c>
      <c r="BI46" s="80">
        <f t="shared" ref="BI46:BI53" si="87">IFERROR((BE46-$BA46)/ABS($BA46),0)</f>
        <v>0.54522556355876572</v>
      </c>
      <c r="BJ46" s="70">
        <f t="shared" ref="BJ46:BJ53" si="88">(BE46-$BA46)</f>
        <v>288251.07498293999</v>
      </c>
      <c r="BK46" s="82"/>
    </row>
    <row r="47" spans="2:63" ht="11.95" outlineLevel="1" thickBot="1" x14ac:dyDescent="0.3">
      <c r="B47" t="str">
        <f t="shared" si="72"/>
        <v>#showrow</v>
      </c>
      <c r="E47" s="3"/>
      <c r="F47" s="3"/>
      <c r="G47" s="3"/>
      <c r="H47" s="254" t="s">
        <v>135</v>
      </c>
      <c r="I47" s="18"/>
      <c r="J47" s="18"/>
      <c r="K47" s="18"/>
      <c r="L47" s="78"/>
      <c r="M47" s="79">
        <v>463625.97</v>
      </c>
      <c r="N47" s="80">
        <f t="shared" si="45"/>
        <v>1.1369850728304089</v>
      </c>
      <c r="O47" s="79">
        <v>172885.45056667301</v>
      </c>
      <c r="P47" s="80">
        <f t="shared" si="46"/>
        <v>0.33517666479983443</v>
      </c>
      <c r="Q47" s="79">
        <v>172885.45056667301</v>
      </c>
      <c r="R47" s="80">
        <f t="shared" si="47"/>
        <v>0.33517666479983443</v>
      </c>
      <c r="S47" s="79">
        <v>153364.14000000001</v>
      </c>
      <c r="T47" s="81">
        <f t="shared" si="48"/>
        <v>0.67695962404153509</v>
      </c>
      <c r="U47" s="80">
        <f t="shared" si="73"/>
        <v>-0.62710145299523878</v>
      </c>
      <c r="V47" s="70">
        <f t="shared" si="74"/>
        <v>-290740.51943332696</v>
      </c>
      <c r="W47" s="80">
        <f t="shared" si="75"/>
        <v>-0.62710145299523878</v>
      </c>
      <c r="X47" s="260">
        <f t="shared" si="76"/>
        <v>-290740.51943332696</v>
      </c>
      <c r="Y47" s="80">
        <f t="shared" si="77"/>
        <v>-0.66920718440341032</v>
      </c>
      <c r="Z47" s="70">
        <f t="shared" si="78"/>
        <v>-310261.82999999996</v>
      </c>
      <c r="AA47" s="82"/>
      <c r="AC47" s="138">
        <v>463625.97</v>
      </c>
      <c r="AD47" s="138">
        <v>153364.14000000001</v>
      </c>
      <c r="AE47" s="138">
        <v>172885.45056667301</v>
      </c>
      <c r="AF47" s="233"/>
      <c r="AG47" s="139"/>
      <c r="AH47" s="233"/>
      <c r="AI47" s="139"/>
      <c r="AK47" s="79">
        <v>463625.97</v>
      </c>
      <c r="AL47" s="80">
        <f t="shared" si="49"/>
        <v>1.1369850728304089</v>
      </c>
      <c r="AM47" s="79">
        <v>172885.45056667301</v>
      </c>
      <c r="AN47" s="80">
        <f t="shared" si="50"/>
        <v>0.33517666479983443</v>
      </c>
      <c r="AO47" s="79">
        <v>172885.45056667301</v>
      </c>
      <c r="AP47" s="80">
        <f t="shared" si="51"/>
        <v>0.33517666479983443</v>
      </c>
      <c r="AQ47" s="79">
        <v>153364.14000000001</v>
      </c>
      <c r="AR47" s="81">
        <f t="shared" si="52"/>
        <v>0.67695962404153509</v>
      </c>
      <c r="AS47" s="80">
        <f t="shared" si="79"/>
        <v>-0.62710145299523878</v>
      </c>
      <c r="AT47" s="70">
        <f t="shared" si="80"/>
        <v>-290740.51943332696</v>
      </c>
      <c r="AU47" s="80">
        <f t="shared" si="81"/>
        <v>-1.6816945467669839</v>
      </c>
      <c r="AV47" s="70">
        <f t="shared" si="82"/>
        <v>-290740.51943332696</v>
      </c>
      <c r="AW47" s="80">
        <f t="shared" si="83"/>
        <v>-0.66920718440341032</v>
      </c>
      <c r="AX47" s="70">
        <f t="shared" si="84"/>
        <v>-310261.82999999996</v>
      </c>
      <c r="AY47" s="82"/>
      <c r="BA47" s="79">
        <v>2235295.3369885902</v>
      </c>
      <c r="BB47" s="80">
        <f t="shared" si="53"/>
        <v>0.3333549350556933</v>
      </c>
      <c r="BC47" s="79">
        <v>2235295.3369885902</v>
      </c>
      <c r="BD47" s="80">
        <f t="shared" si="54"/>
        <v>0.3333549350556933</v>
      </c>
      <c r="BE47" s="79">
        <v>1806767.08</v>
      </c>
      <c r="BF47" s="81">
        <f t="shared" si="55"/>
        <v>0.42736054846807758</v>
      </c>
      <c r="BG47" s="80">
        <f t="shared" si="85"/>
        <v>0</v>
      </c>
      <c r="BH47" s="70">
        <f t="shared" si="86"/>
        <v>0</v>
      </c>
      <c r="BI47" s="80">
        <f t="shared" si="87"/>
        <v>-0.19170990512864722</v>
      </c>
      <c r="BJ47" s="70">
        <f t="shared" si="88"/>
        <v>-428528.25698859012</v>
      </c>
      <c r="BK47" s="82"/>
    </row>
    <row r="48" spans="2:63" ht="11.95" outlineLevel="1" thickBot="1" x14ac:dyDescent="0.3">
      <c r="B48" t="str">
        <f t="shared" si="72"/>
        <v>#showrow</v>
      </c>
      <c r="E48" s="3"/>
      <c r="F48" s="3"/>
      <c r="G48" s="3"/>
      <c r="H48" s="254" t="s">
        <v>150</v>
      </c>
      <c r="I48" s="18"/>
      <c r="J48" s="18"/>
      <c r="K48" s="18"/>
      <c r="L48" s="78"/>
      <c r="M48" s="79">
        <v>27425.49</v>
      </c>
      <c r="N48" s="80">
        <f t="shared" si="45"/>
        <v>6.7257605834849271E-2</v>
      </c>
      <c r="O48" s="79">
        <v>41639.431147374198</v>
      </c>
      <c r="P48" s="80">
        <f t="shared" si="46"/>
        <v>8.0727242289002785E-2</v>
      </c>
      <c r="Q48" s="79">
        <v>41639.431147374198</v>
      </c>
      <c r="R48" s="80">
        <f t="shared" si="47"/>
        <v>8.0727242289002785E-2</v>
      </c>
      <c r="S48" s="79"/>
      <c r="T48" s="81">
        <f t="shared" si="48"/>
        <v>0</v>
      </c>
      <c r="U48" s="80">
        <f t="shared" si="73"/>
        <v>0.51827482926920165</v>
      </c>
      <c r="V48" s="70">
        <f t="shared" si="74"/>
        <v>14213.941147374197</v>
      </c>
      <c r="W48" s="80">
        <f t="shared" si="75"/>
        <v>0.51827482926920165</v>
      </c>
      <c r="X48" s="70">
        <f t="shared" si="76"/>
        <v>14213.941147374197</v>
      </c>
      <c r="Y48" s="80">
        <f t="shared" si="77"/>
        <v>-1</v>
      </c>
      <c r="Z48" s="70">
        <f t="shared" si="78"/>
        <v>-27425.49</v>
      </c>
      <c r="AA48" s="82"/>
      <c r="AC48" s="138">
        <v>27425.49</v>
      </c>
      <c r="AD48" s="138">
        <v>0</v>
      </c>
      <c r="AE48" s="138">
        <v>41639.431147374198</v>
      </c>
      <c r="AF48" s="233"/>
      <c r="AG48" s="139"/>
      <c r="AH48" s="233"/>
      <c r="AI48" s="139"/>
      <c r="AK48" s="79">
        <v>27425.49</v>
      </c>
      <c r="AL48" s="80">
        <f t="shared" si="49"/>
        <v>6.7257605834849271E-2</v>
      </c>
      <c r="AM48" s="79">
        <v>41639.431147374198</v>
      </c>
      <c r="AN48" s="80">
        <f t="shared" si="50"/>
        <v>8.0727242289002785E-2</v>
      </c>
      <c r="AO48" s="79">
        <v>41639.431147374198</v>
      </c>
      <c r="AP48" s="80">
        <f t="shared" si="51"/>
        <v>8.0727242289002785E-2</v>
      </c>
      <c r="AQ48" s="79">
        <v>0</v>
      </c>
      <c r="AR48" s="81">
        <f t="shared" si="52"/>
        <v>0</v>
      </c>
      <c r="AS48" s="80">
        <f t="shared" si="79"/>
        <v>0.51827482926920165</v>
      </c>
      <c r="AT48" s="70">
        <f t="shared" si="80"/>
        <v>14213.941147374197</v>
      </c>
      <c r="AU48" s="80">
        <f t="shared" si="81"/>
        <v>0.34135771684936994</v>
      </c>
      <c r="AV48" s="70">
        <f t="shared" si="82"/>
        <v>14213.941147374197</v>
      </c>
      <c r="AW48" s="80">
        <f t="shared" si="83"/>
        <v>-1</v>
      </c>
      <c r="AX48" s="70">
        <f t="shared" si="84"/>
        <v>-27425.49</v>
      </c>
      <c r="AY48" s="82"/>
      <c r="BA48" s="79">
        <v>544153.41878527799</v>
      </c>
      <c r="BB48" s="80">
        <f t="shared" si="53"/>
        <v>8.1150899649743133E-2</v>
      </c>
      <c r="BC48" s="79">
        <v>544153.41878527799</v>
      </c>
      <c r="BD48" s="80">
        <f t="shared" si="54"/>
        <v>8.1150899649743133E-2</v>
      </c>
      <c r="BE48" s="79">
        <v>629248.67000000004</v>
      </c>
      <c r="BF48" s="81">
        <f t="shared" si="55"/>
        <v>0.1488382535362601</v>
      </c>
      <c r="BG48" s="80">
        <f t="shared" si="85"/>
        <v>0</v>
      </c>
      <c r="BH48" s="70">
        <f t="shared" si="86"/>
        <v>0</v>
      </c>
      <c r="BI48" s="80">
        <f t="shared" si="87"/>
        <v>0.15638099160468658</v>
      </c>
      <c r="BJ48" s="70">
        <f t="shared" si="88"/>
        <v>85095.251214722055</v>
      </c>
      <c r="BK48" s="82"/>
    </row>
    <row r="49" spans="2:63" ht="11.95" outlineLevel="1" thickBot="1" x14ac:dyDescent="0.3">
      <c r="B49" t="str">
        <f t="shared" si="72"/>
        <v>#showrow</v>
      </c>
      <c r="E49" s="3"/>
      <c r="F49" s="3"/>
      <c r="G49" s="3"/>
      <c r="H49" s="254" t="s">
        <v>136</v>
      </c>
      <c r="I49" s="18"/>
      <c r="J49" s="18"/>
      <c r="K49" s="18"/>
      <c r="L49" s="78"/>
      <c r="M49" s="79">
        <v>137809.26</v>
      </c>
      <c r="N49" s="80">
        <f t="shared" si="45"/>
        <v>0.33796008346513629</v>
      </c>
      <c r="O49" s="79">
        <v>128797.152225078</v>
      </c>
      <c r="P49" s="80">
        <f t="shared" si="46"/>
        <v>0.2497017520966569</v>
      </c>
      <c r="Q49" s="79">
        <v>128797.152225078</v>
      </c>
      <c r="R49" s="80">
        <f t="shared" si="47"/>
        <v>0.2497017520966569</v>
      </c>
      <c r="S49" s="79"/>
      <c r="T49" s="81">
        <f t="shared" si="48"/>
        <v>0</v>
      </c>
      <c r="U49" s="80">
        <f t="shared" si="73"/>
        <v>-6.5395516781107541E-2</v>
      </c>
      <c r="V49" s="70">
        <f t="shared" si="74"/>
        <v>-9012.107774922013</v>
      </c>
      <c r="W49" s="80">
        <f t="shared" si="75"/>
        <v>-6.5395516781107541E-2</v>
      </c>
      <c r="X49" s="70">
        <f t="shared" si="76"/>
        <v>-9012.107774922013</v>
      </c>
      <c r="Y49" s="80">
        <f t="shared" si="77"/>
        <v>-1</v>
      </c>
      <c r="Z49" s="70">
        <f t="shared" si="78"/>
        <v>-137809.26</v>
      </c>
      <c r="AA49" s="82"/>
      <c r="AC49" s="138">
        <v>137809.26</v>
      </c>
      <c r="AD49" s="138">
        <v>0</v>
      </c>
      <c r="AE49" s="138">
        <v>128797.152225078</v>
      </c>
      <c r="AF49" s="233"/>
      <c r="AG49" s="139"/>
      <c r="AH49" s="233"/>
      <c r="AI49" s="139"/>
      <c r="AK49" s="79">
        <v>137809.26</v>
      </c>
      <c r="AL49" s="80">
        <f t="shared" si="49"/>
        <v>0.33796008346513629</v>
      </c>
      <c r="AM49" s="79">
        <v>128797.152225078</v>
      </c>
      <c r="AN49" s="80">
        <f t="shared" si="50"/>
        <v>0.2497017520966569</v>
      </c>
      <c r="AO49" s="79">
        <v>128797.152225078</v>
      </c>
      <c r="AP49" s="80">
        <f t="shared" si="51"/>
        <v>0.2497017520966569</v>
      </c>
      <c r="AQ49" s="79">
        <v>0</v>
      </c>
      <c r="AR49" s="81">
        <f t="shared" si="52"/>
        <v>0</v>
      </c>
      <c r="AS49" s="80">
        <f t="shared" si="79"/>
        <v>-6.5395516781107541E-2</v>
      </c>
      <c r="AT49" s="70">
        <f t="shared" si="80"/>
        <v>-9012.107774922013</v>
      </c>
      <c r="AU49" s="80">
        <f t="shared" si="81"/>
        <v>-6.9971327931016722E-2</v>
      </c>
      <c r="AV49" s="70">
        <f t="shared" si="82"/>
        <v>-9012.107774922013</v>
      </c>
      <c r="AW49" s="80">
        <f t="shared" si="83"/>
        <v>-1</v>
      </c>
      <c r="AX49" s="70">
        <f t="shared" si="84"/>
        <v>-137809.26</v>
      </c>
      <c r="AY49" s="82"/>
      <c r="BA49" s="79">
        <v>1683150.05229133</v>
      </c>
      <c r="BB49" s="80">
        <f t="shared" si="53"/>
        <v>0.25101218934517339</v>
      </c>
      <c r="BC49" s="79">
        <v>1683150.05229133</v>
      </c>
      <c r="BD49" s="80">
        <f t="shared" si="54"/>
        <v>0.25101218934517339</v>
      </c>
      <c r="BE49" s="79">
        <v>784854.46</v>
      </c>
      <c r="BF49" s="81">
        <f t="shared" si="55"/>
        <v>0.18564420184876115</v>
      </c>
      <c r="BG49" s="80">
        <f t="shared" si="85"/>
        <v>0</v>
      </c>
      <c r="BH49" s="70">
        <f t="shared" si="86"/>
        <v>0</v>
      </c>
      <c r="BI49" s="80">
        <f t="shared" si="87"/>
        <v>-0.53369905497638159</v>
      </c>
      <c r="BJ49" s="70">
        <f t="shared" si="88"/>
        <v>-898295.59229132999</v>
      </c>
      <c r="BK49" s="82"/>
    </row>
    <row r="50" spans="2:63" ht="11.95" outlineLevel="1" thickBot="1" x14ac:dyDescent="0.3">
      <c r="B50" t="str">
        <f t="shared" si="72"/>
        <v>#showrow</v>
      </c>
      <c r="E50" s="3"/>
      <c r="F50" s="3"/>
      <c r="G50" s="3"/>
      <c r="H50" s="254" t="s">
        <v>137</v>
      </c>
      <c r="I50" s="18"/>
      <c r="J50" s="18"/>
      <c r="K50" s="18"/>
      <c r="L50" s="78"/>
      <c r="M50" s="79">
        <v>-74962.37</v>
      </c>
      <c r="N50" s="80">
        <f t="shared" si="45"/>
        <v>-0.18383589623762892</v>
      </c>
      <c r="O50" s="79"/>
      <c r="P50" s="80">
        <f t="shared" si="46"/>
        <v>0</v>
      </c>
      <c r="Q50" s="79"/>
      <c r="R50" s="80">
        <f t="shared" si="47"/>
        <v>0</v>
      </c>
      <c r="S50" s="79"/>
      <c r="T50" s="81">
        <f t="shared" si="48"/>
        <v>0</v>
      </c>
      <c r="U50" s="80">
        <f t="shared" si="73"/>
        <v>1</v>
      </c>
      <c r="V50" s="70">
        <f t="shared" si="74"/>
        <v>74962.37</v>
      </c>
      <c r="W50" s="80">
        <f t="shared" si="75"/>
        <v>1</v>
      </c>
      <c r="X50" s="70">
        <f t="shared" si="76"/>
        <v>74962.37</v>
      </c>
      <c r="Y50" s="80">
        <f t="shared" si="77"/>
        <v>1</v>
      </c>
      <c r="Z50" s="70">
        <f t="shared" si="78"/>
        <v>74962.37</v>
      </c>
      <c r="AA50" s="82"/>
      <c r="AC50" s="138">
        <v>-74962.37</v>
      </c>
      <c r="AD50" s="138">
        <v>0</v>
      </c>
      <c r="AE50" s="138">
        <v>0</v>
      </c>
      <c r="AF50" s="233"/>
      <c r="AG50" s="139"/>
      <c r="AH50" s="233"/>
      <c r="AI50" s="139"/>
      <c r="AK50" s="79">
        <v>-74962.37</v>
      </c>
      <c r="AL50" s="80">
        <f t="shared" si="49"/>
        <v>-0.18383589623762892</v>
      </c>
      <c r="AM50" s="79">
        <v>0</v>
      </c>
      <c r="AN50" s="80">
        <f t="shared" si="50"/>
        <v>0</v>
      </c>
      <c r="AO50" s="79">
        <v>0</v>
      </c>
      <c r="AP50" s="80">
        <f t="shared" si="51"/>
        <v>0</v>
      </c>
      <c r="AQ50" s="79">
        <v>0</v>
      </c>
      <c r="AR50" s="81">
        <f t="shared" si="52"/>
        <v>0</v>
      </c>
      <c r="AS50" s="80">
        <f t="shared" si="79"/>
        <v>1</v>
      </c>
      <c r="AT50" s="70">
        <f t="shared" si="80"/>
        <v>74962.37</v>
      </c>
      <c r="AU50" s="80">
        <f t="shared" si="81"/>
        <v>0</v>
      </c>
      <c r="AV50" s="70">
        <f t="shared" si="82"/>
        <v>74962.37</v>
      </c>
      <c r="AW50" s="80">
        <f t="shared" si="83"/>
        <v>1</v>
      </c>
      <c r="AX50" s="70">
        <f t="shared" si="84"/>
        <v>74962.37</v>
      </c>
      <c r="AY50" s="82"/>
      <c r="BA50" s="79">
        <v>0</v>
      </c>
      <c r="BB50" s="80">
        <f t="shared" si="53"/>
        <v>0</v>
      </c>
      <c r="BC50" s="79">
        <v>0</v>
      </c>
      <c r="BD50" s="80">
        <f t="shared" si="54"/>
        <v>0</v>
      </c>
      <c r="BE50" s="79">
        <v>-52521.74</v>
      </c>
      <c r="BF50" s="81">
        <f t="shared" si="55"/>
        <v>-1.2423139574193352E-2</v>
      </c>
      <c r="BG50" s="80">
        <f t="shared" si="85"/>
        <v>0</v>
      </c>
      <c r="BH50" s="70">
        <f t="shared" si="86"/>
        <v>0</v>
      </c>
      <c r="BI50" s="80">
        <f t="shared" si="87"/>
        <v>0</v>
      </c>
      <c r="BJ50" s="70">
        <f t="shared" si="88"/>
        <v>-52521.74</v>
      </c>
      <c r="BK50" s="82"/>
    </row>
    <row r="51" spans="2:63" ht="11.95" outlineLevel="1" thickBot="1" x14ac:dyDescent="0.3">
      <c r="B51" t="str">
        <f t="shared" si="72"/>
        <v>#showrow</v>
      </c>
      <c r="E51" s="3"/>
      <c r="F51" s="3"/>
      <c r="G51" s="3"/>
      <c r="H51" s="254" t="s">
        <v>151</v>
      </c>
      <c r="I51" s="18"/>
      <c r="J51" s="18"/>
      <c r="K51" s="18"/>
      <c r="L51" s="78"/>
      <c r="M51" s="79">
        <v>-14918.3</v>
      </c>
      <c r="N51" s="80">
        <f t="shared" si="45"/>
        <v>-3.6585276730735965E-2</v>
      </c>
      <c r="O51" s="79"/>
      <c r="P51" s="80">
        <f t="shared" si="46"/>
        <v>0</v>
      </c>
      <c r="Q51" s="79"/>
      <c r="R51" s="80">
        <f t="shared" si="47"/>
        <v>0</v>
      </c>
      <c r="S51" s="79"/>
      <c r="T51" s="81">
        <f t="shared" si="48"/>
        <v>0</v>
      </c>
      <c r="U51" s="80">
        <f t="shared" si="73"/>
        <v>1</v>
      </c>
      <c r="V51" s="70">
        <f t="shared" si="74"/>
        <v>14918.3</v>
      </c>
      <c r="W51" s="80">
        <f t="shared" si="75"/>
        <v>1</v>
      </c>
      <c r="X51" s="70">
        <f t="shared" si="76"/>
        <v>14918.3</v>
      </c>
      <c r="Y51" s="80">
        <f t="shared" si="77"/>
        <v>1</v>
      </c>
      <c r="Z51" s="70">
        <f t="shared" si="78"/>
        <v>14918.3</v>
      </c>
      <c r="AA51" s="82"/>
      <c r="AC51" s="138">
        <v>-14918.3</v>
      </c>
      <c r="AD51" s="138">
        <v>0</v>
      </c>
      <c r="AE51" s="138">
        <v>0</v>
      </c>
      <c r="AF51" s="233"/>
      <c r="AG51" s="139"/>
      <c r="AH51" s="233"/>
      <c r="AI51" s="139"/>
      <c r="AK51" s="79">
        <v>-14918.3</v>
      </c>
      <c r="AL51" s="80">
        <f t="shared" si="49"/>
        <v>-3.6585276730735965E-2</v>
      </c>
      <c r="AM51" s="79">
        <v>0</v>
      </c>
      <c r="AN51" s="80">
        <f t="shared" si="50"/>
        <v>0</v>
      </c>
      <c r="AO51" s="79">
        <v>0</v>
      </c>
      <c r="AP51" s="80">
        <f t="shared" si="51"/>
        <v>0</v>
      </c>
      <c r="AQ51" s="79">
        <v>0</v>
      </c>
      <c r="AR51" s="81">
        <f t="shared" si="52"/>
        <v>0</v>
      </c>
      <c r="AS51" s="80">
        <f t="shared" si="79"/>
        <v>1</v>
      </c>
      <c r="AT51" s="70">
        <f t="shared" si="80"/>
        <v>14918.3</v>
      </c>
      <c r="AU51" s="80">
        <f t="shared" si="81"/>
        <v>0</v>
      </c>
      <c r="AV51" s="70">
        <f t="shared" si="82"/>
        <v>14918.3</v>
      </c>
      <c r="AW51" s="80">
        <f t="shared" si="83"/>
        <v>1</v>
      </c>
      <c r="AX51" s="70">
        <f t="shared" si="84"/>
        <v>14918.3</v>
      </c>
      <c r="AY51" s="82"/>
      <c r="BA51" s="79">
        <v>0</v>
      </c>
      <c r="BB51" s="80">
        <f t="shared" si="53"/>
        <v>0</v>
      </c>
      <c r="BC51" s="79">
        <v>0</v>
      </c>
      <c r="BD51" s="80">
        <f t="shared" si="54"/>
        <v>0</v>
      </c>
      <c r="BE51" s="79">
        <v>-68020.05</v>
      </c>
      <c r="BF51" s="81">
        <f t="shared" si="55"/>
        <v>-1.6089005714464345E-2</v>
      </c>
      <c r="BG51" s="80">
        <f t="shared" si="85"/>
        <v>0</v>
      </c>
      <c r="BH51" s="70">
        <f t="shared" si="86"/>
        <v>0</v>
      </c>
      <c r="BI51" s="80">
        <f t="shared" si="87"/>
        <v>0</v>
      </c>
      <c r="BJ51" s="70">
        <f t="shared" si="88"/>
        <v>-68020.05</v>
      </c>
      <c r="BK51" s="82"/>
    </row>
    <row r="52" spans="2:63" ht="11.95" outlineLevel="1" thickBot="1" x14ac:dyDescent="0.3">
      <c r="B52" t="str">
        <f t="shared" si="72"/>
        <v>#showrow</v>
      </c>
      <c r="E52" s="3"/>
      <c r="F52" s="3"/>
      <c r="G52" s="3"/>
      <c r="H52" s="254" t="s">
        <v>138</v>
      </c>
      <c r="I52" s="18"/>
      <c r="J52" s="18"/>
      <c r="K52" s="18"/>
      <c r="L52" s="78"/>
      <c r="M52" s="79">
        <v>50422.29</v>
      </c>
      <c r="N52" s="80">
        <f t="shared" si="45"/>
        <v>0.12365439983425865</v>
      </c>
      <c r="O52" s="79">
        <v>50935.745599029098</v>
      </c>
      <c r="P52" s="80">
        <f t="shared" si="46"/>
        <v>9.8750202940827828E-2</v>
      </c>
      <c r="Q52" s="79">
        <v>50935.745599029098</v>
      </c>
      <c r="R52" s="80">
        <f t="shared" si="47"/>
        <v>9.8750202940827828E-2</v>
      </c>
      <c r="S52" s="79"/>
      <c r="T52" s="81">
        <f t="shared" si="48"/>
        <v>0</v>
      </c>
      <c r="U52" s="80">
        <f t="shared" si="73"/>
        <v>1.0183107491331658E-2</v>
      </c>
      <c r="V52" s="70">
        <f t="shared" si="74"/>
        <v>513.45559902909736</v>
      </c>
      <c r="W52" s="80">
        <f t="shared" si="75"/>
        <v>1.0183107491331658E-2</v>
      </c>
      <c r="X52" s="70">
        <f t="shared" si="76"/>
        <v>513.45559902909736</v>
      </c>
      <c r="Y52" s="80">
        <f t="shared" si="77"/>
        <v>-1</v>
      </c>
      <c r="Z52" s="70">
        <f t="shared" si="78"/>
        <v>-50422.29</v>
      </c>
      <c r="AA52" s="82"/>
      <c r="AC52" s="138">
        <v>50422.29</v>
      </c>
      <c r="AD52" s="138">
        <v>0</v>
      </c>
      <c r="AE52" s="138">
        <v>50935.745599029098</v>
      </c>
      <c r="AF52" s="233"/>
      <c r="AG52" s="139"/>
      <c r="AH52" s="233"/>
      <c r="AI52" s="139"/>
      <c r="AK52" s="79">
        <v>50422.29</v>
      </c>
      <c r="AL52" s="80">
        <f t="shared" si="49"/>
        <v>0.12365439983425865</v>
      </c>
      <c r="AM52" s="79">
        <v>50935.745599029098</v>
      </c>
      <c r="AN52" s="80">
        <f t="shared" si="50"/>
        <v>9.8750202940827828E-2</v>
      </c>
      <c r="AO52" s="79">
        <v>50935.745599029098</v>
      </c>
      <c r="AP52" s="80">
        <f t="shared" si="51"/>
        <v>9.8750202940827828E-2</v>
      </c>
      <c r="AQ52" s="79">
        <v>0</v>
      </c>
      <c r="AR52" s="81">
        <f t="shared" si="52"/>
        <v>0</v>
      </c>
      <c r="AS52" s="80">
        <f t="shared" si="79"/>
        <v>1.0183107491331658E-2</v>
      </c>
      <c r="AT52" s="70">
        <f t="shared" si="80"/>
        <v>513.45559902909736</v>
      </c>
      <c r="AU52" s="80">
        <f t="shared" si="81"/>
        <v>1.0080457112988338E-2</v>
      </c>
      <c r="AV52" s="70">
        <f t="shared" si="82"/>
        <v>513.45559902909736</v>
      </c>
      <c r="AW52" s="80">
        <f t="shared" si="83"/>
        <v>-1</v>
      </c>
      <c r="AX52" s="70">
        <f t="shared" si="84"/>
        <v>-50422.29</v>
      </c>
      <c r="AY52" s="82"/>
      <c r="BA52" s="79">
        <v>611228.94718834898</v>
      </c>
      <c r="BB52" s="80">
        <f t="shared" si="53"/>
        <v>9.1154033483841115E-2</v>
      </c>
      <c r="BC52" s="79">
        <v>611228.94718834898</v>
      </c>
      <c r="BD52" s="80">
        <f t="shared" si="54"/>
        <v>9.1154033483841115E-2</v>
      </c>
      <c r="BE52" s="79">
        <v>276722.19</v>
      </c>
      <c r="BF52" s="81">
        <f t="shared" si="55"/>
        <v>6.5454007990718738E-2</v>
      </c>
      <c r="BG52" s="80">
        <f t="shared" si="85"/>
        <v>0</v>
      </c>
      <c r="BH52" s="70">
        <f t="shared" si="86"/>
        <v>0</v>
      </c>
      <c r="BI52" s="80">
        <f t="shared" si="87"/>
        <v>-0.54726916767780531</v>
      </c>
      <c r="BJ52" s="70">
        <f t="shared" si="88"/>
        <v>-334506.75718834897</v>
      </c>
      <c r="BK52" s="82"/>
    </row>
    <row r="53" spans="2:63" ht="11.95" outlineLevel="1" thickBot="1" x14ac:dyDescent="0.3">
      <c r="B53" t="str">
        <f t="shared" si="72"/>
        <v>#showrow</v>
      </c>
      <c r="E53" s="3"/>
      <c r="F53" s="3"/>
      <c r="G53" s="3"/>
      <c r="H53" s="254" t="s">
        <v>139</v>
      </c>
      <c r="I53" s="18"/>
      <c r="J53" s="18"/>
      <c r="K53" s="18"/>
      <c r="L53" s="78"/>
      <c r="M53" s="79">
        <v>10034.57</v>
      </c>
      <c r="N53" s="80">
        <f t="shared" si="45"/>
        <v>2.4608535846841879E-2</v>
      </c>
      <c r="O53" s="79">
        <v>16467.254400970902</v>
      </c>
      <c r="P53" s="80">
        <f t="shared" si="46"/>
        <v>3.1925412985514698E-2</v>
      </c>
      <c r="Q53" s="79">
        <v>16467.254400970902</v>
      </c>
      <c r="R53" s="80">
        <f t="shared" si="47"/>
        <v>3.1925412985514698E-2</v>
      </c>
      <c r="S53" s="79"/>
      <c r="T53" s="81">
        <f t="shared" si="48"/>
        <v>0</v>
      </c>
      <c r="U53" s="80">
        <f t="shared" si="73"/>
        <v>0.64105232221917852</v>
      </c>
      <c r="V53" s="70">
        <f t="shared" si="74"/>
        <v>6432.6844009709021</v>
      </c>
      <c r="W53" s="80">
        <f t="shared" si="75"/>
        <v>0.64105232221917852</v>
      </c>
      <c r="X53" s="70">
        <f t="shared" si="76"/>
        <v>6432.6844009709021</v>
      </c>
      <c r="Y53" s="80">
        <f t="shared" si="77"/>
        <v>-1</v>
      </c>
      <c r="Z53" s="70">
        <f t="shared" si="78"/>
        <v>-10034.57</v>
      </c>
      <c r="AA53" s="82"/>
      <c r="AC53" s="138">
        <v>10034.57</v>
      </c>
      <c r="AD53" s="138">
        <v>0</v>
      </c>
      <c r="AE53" s="138">
        <v>16467.254400970902</v>
      </c>
      <c r="AF53" s="233"/>
      <c r="AG53" s="139"/>
      <c r="AH53" s="233"/>
      <c r="AI53" s="139"/>
      <c r="AK53" s="79">
        <v>10034.57</v>
      </c>
      <c r="AL53" s="80">
        <f t="shared" si="49"/>
        <v>2.4608535846841879E-2</v>
      </c>
      <c r="AM53" s="79">
        <v>16467.254400970902</v>
      </c>
      <c r="AN53" s="80">
        <f t="shared" si="50"/>
        <v>3.1925412985514698E-2</v>
      </c>
      <c r="AO53" s="79">
        <v>16467.254400970902</v>
      </c>
      <c r="AP53" s="80">
        <f t="shared" si="51"/>
        <v>3.1925412985514698E-2</v>
      </c>
      <c r="AQ53" s="79">
        <v>0</v>
      </c>
      <c r="AR53" s="81">
        <f t="shared" si="52"/>
        <v>0</v>
      </c>
      <c r="AS53" s="80">
        <f t="shared" si="79"/>
        <v>0.64105232221917852</v>
      </c>
      <c r="AT53" s="70">
        <f t="shared" si="80"/>
        <v>6432.6844009709021</v>
      </c>
      <c r="AU53" s="80">
        <f t="shared" si="81"/>
        <v>0.39063490757704172</v>
      </c>
      <c r="AV53" s="70">
        <f t="shared" si="82"/>
        <v>6432.6844009709021</v>
      </c>
      <c r="AW53" s="80">
        <f t="shared" si="83"/>
        <v>-1</v>
      </c>
      <c r="AX53" s="70">
        <f t="shared" si="84"/>
        <v>-10034.57</v>
      </c>
      <c r="AY53" s="82"/>
      <c r="BA53" s="79">
        <v>197607.05281165001</v>
      </c>
      <c r="BB53" s="80">
        <f t="shared" si="53"/>
        <v>2.9469611986628858E-2</v>
      </c>
      <c r="BC53" s="79">
        <v>197607.05281165001</v>
      </c>
      <c r="BD53" s="80">
        <f t="shared" si="54"/>
        <v>2.9469611986628858E-2</v>
      </c>
      <c r="BE53" s="79">
        <v>224089.74</v>
      </c>
      <c r="BF53" s="81">
        <f t="shared" si="55"/>
        <v>5.3004681816800035E-2</v>
      </c>
      <c r="BG53" s="80">
        <f t="shared" si="85"/>
        <v>0</v>
      </c>
      <c r="BH53" s="70">
        <f t="shared" si="86"/>
        <v>0</v>
      </c>
      <c r="BI53" s="80">
        <f t="shared" si="87"/>
        <v>0.13401691291652465</v>
      </c>
      <c r="BJ53" s="70">
        <f t="shared" si="88"/>
        <v>26482.687188349984</v>
      </c>
      <c r="BK53" s="82"/>
    </row>
    <row r="54" spans="2:63" ht="11.95" thickBot="1" x14ac:dyDescent="0.3">
      <c r="E54" s="3"/>
      <c r="F54" s="3"/>
      <c r="G54" s="3"/>
      <c r="H54" s="253" t="s">
        <v>100</v>
      </c>
      <c r="I54" s="18"/>
      <c r="J54" s="18"/>
      <c r="K54" s="18"/>
      <c r="L54" s="78"/>
      <c r="M54" s="79">
        <v>0</v>
      </c>
      <c r="N54" s="80">
        <f t="shared" si="45"/>
        <v>0</v>
      </c>
      <c r="O54" s="79">
        <v>0</v>
      </c>
      <c r="P54" s="80">
        <f t="shared" si="46"/>
        <v>0</v>
      </c>
      <c r="Q54" s="79">
        <v>0</v>
      </c>
      <c r="R54" s="80">
        <f t="shared" si="47"/>
        <v>0</v>
      </c>
      <c r="S54" s="79">
        <v>0</v>
      </c>
      <c r="T54" s="81">
        <f t="shared" si="48"/>
        <v>0</v>
      </c>
      <c r="U54" s="80">
        <f t="shared" si="56"/>
        <v>0</v>
      </c>
      <c r="V54" s="70">
        <f t="shared" si="57"/>
        <v>0</v>
      </c>
      <c r="W54" s="80">
        <f t="shared" si="58"/>
        <v>0</v>
      </c>
      <c r="X54" s="70">
        <f t="shared" si="59"/>
        <v>0</v>
      </c>
      <c r="Y54" s="80">
        <f t="shared" si="60"/>
        <v>0</v>
      </c>
      <c r="Z54" s="70">
        <f t="shared" si="61"/>
        <v>0</v>
      </c>
      <c r="AA54" s="82"/>
      <c r="AC54" s="138">
        <v>0</v>
      </c>
      <c r="AD54" s="138">
        <v>0</v>
      </c>
      <c r="AE54" s="138">
        <v>0</v>
      </c>
      <c r="AF54" s="233"/>
      <c r="AG54" s="139"/>
      <c r="AH54" s="233"/>
      <c r="AI54" s="139"/>
      <c r="AK54" s="79">
        <v>0</v>
      </c>
      <c r="AL54" s="80">
        <f t="shared" si="49"/>
        <v>0</v>
      </c>
      <c r="AM54" s="79">
        <v>0</v>
      </c>
      <c r="AN54" s="80">
        <f t="shared" si="50"/>
        <v>0</v>
      </c>
      <c r="AO54" s="79">
        <v>0</v>
      </c>
      <c r="AP54" s="80">
        <f t="shared" si="51"/>
        <v>0</v>
      </c>
      <c r="AQ54" s="79">
        <v>0</v>
      </c>
      <c r="AR54" s="81">
        <f t="shared" si="52"/>
        <v>0</v>
      </c>
      <c r="AS54" s="80">
        <f t="shared" si="62"/>
        <v>0</v>
      </c>
      <c r="AT54" s="70">
        <f t="shared" si="63"/>
        <v>0</v>
      </c>
      <c r="AU54" s="80">
        <f t="shared" si="64"/>
        <v>0</v>
      </c>
      <c r="AV54" s="70">
        <f t="shared" si="65"/>
        <v>0</v>
      </c>
      <c r="AW54" s="80">
        <f t="shared" si="66"/>
        <v>0</v>
      </c>
      <c r="AX54" s="70">
        <f t="shared" si="67"/>
        <v>0</v>
      </c>
      <c r="AY54" s="82"/>
      <c r="BA54" s="79">
        <v>0</v>
      </c>
      <c r="BB54" s="80">
        <f t="shared" si="53"/>
        <v>0</v>
      </c>
      <c r="BC54" s="79">
        <v>0</v>
      </c>
      <c r="BD54" s="80">
        <f t="shared" si="54"/>
        <v>0</v>
      </c>
      <c r="BE54" s="79">
        <v>0</v>
      </c>
      <c r="BF54" s="81">
        <f t="shared" si="55"/>
        <v>0</v>
      </c>
      <c r="BG54" s="80">
        <f t="shared" si="68"/>
        <v>0</v>
      </c>
      <c r="BH54" s="70">
        <f t="shared" si="69"/>
        <v>0</v>
      </c>
      <c r="BI54" s="80">
        <f t="shared" si="70"/>
        <v>0</v>
      </c>
      <c r="BJ54" s="70">
        <f t="shared" si="71"/>
        <v>0</v>
      </c>
      <c r="BK54" s="82"/>
    </row>
    <row r="55" spans="2:63" ht="11.95" outlineLevel="1" collapsed="1" thickBot="1" x14ac:dyDescent="0.3">
      <c r="E55" s="3"/>
      <c r="F55" s="3"/>
      <c r="G55" s="3"/>
      <c r="H55" s="256" t="s">
        <v>101</v>
      </c>
      <c r="I55" s="18"/>
      <c r="J55" s="18"/>
      <c r="K55" s="18"/>
      <c r="L55" s="78"/>
      <c r="M55" s="79">
        <v>0</v>
      </c>
      <c r="N55" s="80">
        <f t="shared" si="45"/>
        <v>0</v>
      </c>
      <c r="O55" s="79">
        <v>0</v>
      </c>
      <c r="P55" s="80">
        <f t="shared" si="46"/>
        <v>0</v>
      </c>
      <c r="Q55" s="79">
        <v>0</v>
      </c>
      <c r="R55" s="80">
        <f t="shared" si="47"/>
        <v>0</v>
      </c>
      <c r="S55" s="79">
        <v>0</v>
      </c>
      <c r="T55" s="81">
        <f t="shared" si="48"/>
        <v>0</v>
      </c>
      <c r="U55" s="80">
        <f t="shared" si="56"/>
        <v>0</v>
      </c>
      <c r="V55" s="70">
        <f t="shared" si="57"/>
        <v>0</v>
      </c>
      <c r="W55" s="80">
        <f t="shared" si="58"/>
        <v>0</v>
      </c>
      <c r="X55" s="70">
        <f t="shared" si="59"/>
        <v>0</v>
      </c>
      <c r="Y55" s="80">
        <f t="shared" si="60"/>
        <v>0</v>
      </c>
      <c r="Z55" s="70">
        <f t="shared" si="61"/>
        <v>0</v>
      </c>
      <c r="AA55" s="82"/>
      <c r="AC55" s="138">
        <v>0</v>
      </c>
      <c r="AD55" s="138">
        <v>0</v>
      </c>
      <c r="AE55" s="138">
        <v>0</v>
      </c>
      <c r="AF55" s="233"/>
      <c r="AG55" s="139"/>
      <c r="AH55" s="233"/>
      <c r="AI55" s="139"/>
      <c r="AK55" s="79">
        <v>0</v>
      </c>
      <c r="AL55" s="80">
        <f t="shared" si="49"/>
        <v>0</v>
      </c>
      <c r="AM55" s="79">
        <v>0</v>
      </c>
      <c r="AN55" s="80">
        <f t="shared" si="50"/>
        <v>0</v>
      </c>
      <c r="AO55" s="79">
        <v>0</v>
      </c>
      <c r="AP55" s="80">
        <f t="shared" si="51"/>
        <v>0</v>
      </c>
      <c r="AQ55" s="79">
        <v>0</v>
      </c>
      <c r="AR55" s="81">
        <f t="shared" si="52"/>
        <v>0</v>
      </c>
      <c r="AS55" s="80">
        <f t="shared" si="62"/>
        <v>0</v>
      </c>
      <c r="AT55" s="70">
        <f t="shared" si="63"/>
        <v>0</v>
      </c>
      <c r="AU55" s="80">
        <f t="shared" si="64"/>
        <v>0</v>
      </c>
      <c r="AV55" s="70">
        <f t="shared" si="65"/>
        <v>0</v>
      </c>
      <c r="AW55" s="80">
        <f t="shared" si="66"/>
        <v>0</v>
      </c>
      <c r="AX55" s="70">
        <f t="shared" si="67"/>
        <v>0</v>
      </c>
      <c r="AY55" s="82"/>
      <c r="BA55" s="79">
        <v>0</v>
      </c>
      <c r="BB55" s="80">
        <f t="shared" si="53"/>
        <v>0</v>
      </c>
      <c r="BC55" s="79">
        <v>0</v>
      </c>
      <c r="BD55" s="80">
        <f t="shared" si="54"/>
        <v>0</v>
      </c>
      <c r="BE55" s="79">
        <v>0</v>
      </c>
      <c r="BF55" s="81">
        <f t="shared" si="55"/>
        <v>0</v>
      </c>
      <c r="BG55" s="80">
        <f t="shared" si="68"/>
        <v>0</v>
      </c>
      <c r="BH55" s="70">
        <f t="shared" si="69"/>
        <v>0</v>
      </c>
      <c r="BI55" s="80">
        <f t="shared" si="70"/>
        <v>0</v>
      </c>
      <c r="BJ55" s="70">
        <f t="shared" si="71"/>
        <v>0</v>
      </c>
      <c r="BK55" s="82"/>
    </row>
    <row r="56" spans="2:63" ht="11.95" hidden="1" outlineLevel="2" thickBot="1" x14ac:dyDescent="0.3">
      <c r="B56" t="str">
        <f>IF(LEFT(H56,3)="Mul", "#hiderow", "#showrow")</f>
        <v>#hiderow</v>
      </c>
      <c r="E56" s="3"/>
      <c r="F56" s="3"/>
      <c r="G56" s="3"/>
      <c r="H56" s="255" t="s">
        <v>6</v>
      </c>
      <c r="I56" s="18"/>
      <c r="J56" s="18"/>
      <c r="K56" s="18"/>
      <c r="L56" s="78"/>
      <c r="M56" s="79"/>
      <c r="N56" s="80">
        <f t="shared" si="45"/>
        <v>0</v>
      </c>
      <c r="O56" s="79"/>
      <c r="P56" s="80">
        <f t="shared" si="46"/>
        <v>0</v>
      </c>
      <c r="Q56" s="79"/>
      <c r="R56" s="80">
        <f t="shared" si="47"/>
        <v>0</v>
      </c>
      <c r="S56" s="79"/>
      <c r="T56" s="81">
        <f t="shared" si="48"/>
        <v>0</v>
      </c>
      <c r="U56" s="80">
        <f t="shared" si="56"/>
        <v>0</v>
      </c>
      <c r="V56" s="70">
        <f t="shared" si="57"/>
        <v>0</v>
      </c>
      <c r="W56" s="80">
        <f t="shared" si="58"/>
        <v>0</v>
      </c>
      <c r="X56" s="70">
        <f t="shared" si="59"/>
        <v>0</v>
      </c>
      <c r="Y56" s="80">
        <f t="shared" si="60"/>
        <v>0</v>
      </c>
      <c r="Z56" s="70">
        <f t="shared" si="61"/>
        <v>0</v>
      </c>
      <c r="AA56" s="82"/>
      <c r="AC56" s="138"/>
      <c r="AD56" s="138"/>
      <c r="AE56" s="138"/>
      <c r="AF56" s="233"/>
      <c r="AG56" s="139"/>
      <c r="AH56" s="233"/>
      <c r="AI56" s="139"/>
      <c r="AK56" s="79"/>
      <c r="AL56" s="80">
        <f t="shared" si="49"/>
        <v>0</v>
      </c>
      <c r="AM56" s="79"/>
      <c r="AN56" s="80">
        <f t="shared" si="50"/>
        <v>0</v>
      </c>
      <c r="AO56" s="79"/>
      <c r="AP56" s="80">
        <f t="shared" si="51"/>
        <v>0</v>
      </c>
      <c r="AQ56" s="79"/>
      <c r="AR56" s="81">
        <f t="shared" si="52"/>
        <v>0</v>
      </c>
      <c r="AS56" s="80">
        <f t="shared" si="62"/>
        <v>0</v>
      </c>
      <c r="AT56" s="70">
        <f t="shared" si="63"/>
        <v>0</v>
      </c>
      <c r="AU56" s="80">
        <f t="shared" si="64"/>
        <v>0</v>
      </c>
      <c r="AV56" s="70">
        <f t="shared" si="65"/>
        <v>0</v>
      </c>
      <c r="AW56" s="80">
        <f t="shared" si="66"/>
        <v>0</v>
      </c>
      <c r="AX56" s="70">
        <f t="shared" si="67"/>
        <v>0</v>
      </c>
      <c r="AY56" s="82"/>
      <c r="BA56" s="79"/>
      <c r="BB56" s="80">
        <f t="shared" si="53"/>
        <v>0</v>
      </c>
      <c r="BC56" s="79"/>
      <c r="BD56" s="80">
        <f t="shared" si="54"/>
        <v>0</v>
      </c>
      <c r="BE56" s="79"/>
      <c r="BF56" s="81">
        <f t="shared" si="55"/>
        <v>0</v>
      </c>
      <c r="BG56" s="80">
        <f t="shared" si="68"/>
        <v>0</v>
      </c>
      <c r="BH56" s="70">
        <f t="shared" si="69"/>
        <v>0</v>
      </c>
      <c r="BI56" s="80">
        <f t="shared" si="70"/>
        <v>0</v>
      </c>
      <c r="BJ56" s="70">
        <f t="shared" si="71"/>
        <v>0</v>
      </c>
      <c r="BK56" s="82"/>
    </row>
    <row r="57" spans="2:63" ht="11.95" outlineLevel="1" collapsed="1" thickBot="1" x14ac:dyDescent="0.3">
      <c r="E57" s="3"/>
      <c r="F57" s="3"/>
      <c r="G57" s="3"/>
      <c r="H57" s="256" t="s">
        <v>102</v>
      </c>
      <c r="I57" s="18"/>
      <c r="J57" s="18"/>
      <c r="K57" s="18"/>
      <c r="L57" s="78"/>
      <c r="M57" s="79">
        <v>0</v>
      </c>
      <c r="N57" s="80">
        <f t="shared" si="45"/>
        <v>0</v>
      </c>
      <c r="O57" s="79">
        <v>0</v>
      </c>
      <c r="P57" s="80">
        <f t="shared" si="46"/>
        <v>0</v>
      </c>
      <c r="Q57" s="79">
        <v>0</v>
      </c>
      <c r="R57" s="80">
        <f t="shared" si="47"/>
        <v>0</v>
      </c>
      <c r="S57" s="79">
        <v>0</v>
      </c>
      <c r="T57" s="81">
        <f t="shared" si="48"/>
        <v>0</v>
      </c>
      <c r="U57" s="80">
        <f t="shared" si="56"/>
        <v>0</v>
      </c>
      <c r="V57" s="70">
        <f t="shared" si="57"/>
        <v>0</v>
      </c>
      <c r="W57" s="80">
        <f t="shared" si="58"/>
        <v>0</v>
      </c>
      <c r="X57" s="70">
        <f t="shared" si="59"/>
        <v>0</v>
      </c>
      <c r="Y57" s="80">
        <f t="shared" si="60"/>
        <v>0</v>
      </c>
      <c r="Z57" s="70">
        <f t="shared" si="61"/>
        <v>0</v>
      </c>
      <c r="AA57" s="82"/>
      <c r="AC57" s="138">
        <v>0</v>
      </c>
      <c r="AD57" s="138">
        <v>0</v>
      </c>
      <c r="AE57" s="138">
        <v>0</v>
      </c>
      <c r="AF57" s="233"/>
      <c r="AG57" s="139"/>
      <c r="AH57" s="233"/>
      <c r="AI57" s="139"/>
      <c r="AK57" s="79">
        <v>0</v>
      </c>
      <c r="AL57" s="80">
        <f t="shared" si="49"/>
        <v>0</v>
      </c>
      <c r="AM57" s="79">
        <v>0</v>
      </c>
      <c r="AN57" s="80">
        <f t="shared" si="50"/>
        <v>0</v>
      </c>
      <c r="AO57" s="79">
        <v>0</v>
      </c>
      <c r="AP57" s="80">
        <f t="shared" si="51"/>
        <v>0</v>
      </c>
      <c r="AQ57" s="79">
        <v>0</v>
      </c>
      <c r="AR57" s="81">
        <f t="shared" si="52"/>
        <v>0</v>
      </c>
      <c r="AS57" s="80">
        <f t="shared" si="62"/>
        <v>0</v>
      </c>
      <c r="AT57" s="70">
        <f t="shared" si="63"/>
        <v>0</v>
      </c>
      <c r="AU57" s="80">
        <f t="shared" si="64"/>
        <v>0</v>
      </c>
      <c r="AV57" s="70">
        <f t="shared" si="65"/>
        <v>0</v>
      </c>
      <c r="AW57" s="80">
        <f t="shared" si="66"/>
        <v>0</v>
      </c>
      <c r="AX57" s="70">
        <f t="shared" si="67"/>
        <v>0</v>
      </c>
      <c r="AY57" s="82"/>
      <c r="BA57" s="79">
        <v>0</v>
      </c>
      <c r="BB57" s="80">
        <f t="shared" si="53"/>
        <v>0</v>
      </c>
      <c r="BC57" s="79">
        <v>0</v>
      </c>
      <c r="BD57" s="80">
        <f t="shared" si="54"/>
        <v>0</v>
      </c>
      <c r="BE57" s="79">
        <v>0</v>
      </c>
      <c r="BF57" s="81">
        <f t="shared" si="55"/>
        <v>0</v>
      </c>
      <c r="BG57" s="80">
        <f t="shared" si="68"/>
        <v>0</v>
      </c>
      <c r="BH57" s="70">
        <f t="shared" si="69"/>
        <v>0</v>
      </c>
      <c r="BI57" s="80">
        <f t="shared" si="70"/>
        <v>0</v>
      </c>
      <c r="BJ57" s="70">
        <f t="shared" si="71"/>
        <v>0</v>
      </c>
      <c r="BK57" s="82"/>
    </row>
    <row r="58" spans="2:63" ht="11.95" hidden="1" outlineLevel="2" thickBot="1" x14ac:dyDescent="0.3">
      <c r="B58" t="str">
        <f>IF(LEFT(H58,3)="Mul", "#hiderow", "#showrow")</f>
        <v>#hiderow</v>
      </c>
      <c r="E58" s="3"/>
      <c r="F58" s="3"/>
      <c r="G58" s="3"/>
      <c r="H58" s="255" t="s">
        <v>6</v>
      </c>
      <c r="I58" s="18"/>
      <c r="J58" s="18"/>
      <c r="K58" s="18"/>
      <c r="L58" s="78"/>
      <c r="M58" s="79"/>
      <c r="N58" s="80">
        <f t="shared" si="45"/>
        <v>0</v>
      </c>
      <c r="O58" s="79"/>
      <c r="P58" s="80">
        <f t="shared" si="46"/>
        <v>0</v>
      </c>
      <c r="Q58" s="79"/>
      <c r="R58" s="80">
        <f t="shared" si="47"/>
        <v>0</v>
      </c>
      <c r="S58" s="79"/>
      <c r="T58" s="81">
        <f t="shared" si="48"/>
        <v>0</v>
      </c>
      <c r="U58" s="80">
        <f t="shared" si="56"/>
        <v>0</v>
      </c>
      <c r="V58" s="70">
        <f t="shared" si="57"/>
        <v>0</v>
      </c>
      <c r="W58" s="80">
        <f t="shared" si="58"/>
        <v>0</v>
      </c>
      <c r="X58" s="70">
        <f t="shared" si="59"/>
        <v>0</v>
      </c>
      <c r="Y58" s="80">
        <f t="shared" si="60"/>
        <v>0</v>
      </c>
      <c r="Z58" s="70">
        <f t="shared" si="61"/>
        <v>0</v>
      </c>
      <c r="AA58" s="82"/>
      <c r="AC58" s="138"/>
      <c r="AD58" s="138"/>
      <c r="AE58" s="138"/>
      <c r="AF58" s="233"/>
      <c r="AG58" s="139"/>
      <c r="AH58" s="233"/>
      <c r="AI58" s="139"/>
      <c r="AK58" s="79"/>
      <c r="AL58" s="80">
        <f t="shared" si="49"/>
        <v>0</v>
      </c>
      <c r="AM58" s="79"/>
      <c r="AN58" s="80">
        <f t="shared" si="50"/>
        <v>0</v>
      </c>
      <c r="AO58" s="79"/>
      <c r="AP58" s="80">
        <f t="shared" si="51"/>
        <v>0</v>
      </c>
      <c r="AQ58" s="79"/>
      <c r="AR58" s="81">
        <f t="shared" si="52"/>
        <v>0</v>
      </c>
      <c r="AS58" s="80">
        <f t="shared" si="62"/>
        <v>0</v>
      </c>
      <c r="AT58" s="70">
        <f t="shared" si="63"/>
        <v>0</v>
      </c>
      <c r="AU58" s="80">
        <f t="shared" si="64"/>
        <v>0</v>
      </c>
      <c r="AV58" s="70">
        <f t="shared" si="65"/>
        <v>0</v>
      </c>
      <c r="AW58" s="80">
        <f t="shared" si="66"/>
        <v>0</v>
      </c>
      <c r="AX58" s="70">
        <f t="shared" si="67"/>
        <v>0</v>
      </c>
      <c r="AY58" s="82"/>
      <c r="BA58" s="79"/>
      <c r="BB58" s="80">
        <f t="shared" si="53"/>
        <v>0</v>
      </c>
      <c r="BC58" s="79"/>
      <c r="BD58" s="80">
        <f t="shared" si="54"/>
        <v>0</v>
      </c>
      <c r="BE58" s="79"/>
      <c r="BF58" s="81">
        <f t="shared" si="55"/>
        <v>0</v>
      </c>
      <c r="BG58" s="80">
        <f t="shared" si="68"/>
        <v>0</v>
      </c>
      <c r="BH58" s="70">
        <f t="shared" si="69"/>
        <v>0</v>
      </c>
      <c r="BI58" s="80">
        <f t="shared" si="70"/>
        <v>0</v>
      </c>
      <c r="BJ58" s="70">
        <f t="shared" si="71"/>
        <v>0</v>
      </c>
      <c r="BK58" s="82"/>
    </row>
    <row r="59" spans="2:63" ht="11.95" collapsed="1" thickBot="1" x14ac:dyDescent="0.3">
      <c r="E59" s="3"/>
      <c r="F59" s="3"/>
      <c r="G59" s="3"/>
      <c r="H59" s="253" t="s">
        <v>103</v>
      </c>
      <c r="I59" s="18"/>
      <c r="J59" s="18"/>
      <c r="K59" s="18"/>
      <c r="L59" s="78"/>
      <c r="M59" s="79">
        <v>0</v>
      </c>
      <c r="N59" s="80">
        <f t="shared" si="45"/>
        <v>0</v>
      </c>
      <c r="O59" s="79">
        <v>0</v>
      </c>
      <c r="P59" s="80">
        <f t="shared" si="46"/>
        <v>0</v>
      </c>
      <c r="Q59" s="79">
        <v>0</v>
      </c>
      <c r="R59" s="80">
        <f t="shared" si="47"/>
        <v>0</v>
      </c>
      <c r="S59" s="79">
        <v>0</v>
      </c>
      <c r="T59" s="81">
        <f t="shared" si="48"/>
        <v>0</v>
      </c>
      <c r="U59" s="80">
        <f t="shared" si="56"/>
        <v>0</v>
      </c>
      <c r="V59" s="70">
        <f t="shared" si="57"/>
        <v>0</v>
      </c>
      <c r="W59" s="80">
        <f t="shared" si="58"/>
        <v>0</v>
      </c>
      <c r="X59" s="70">
        <f t="shared" si="59"/>
        <v>0</v>
      </c>
      <c r="Y59" s="80">
        <f t="shared" si="60"/>
        <v>0</v>
      </c>
      <c r="Z59" s="70">
        <f t="shared" si="61"/>
        <v>0</v>
      </c>
      <c r="AA59" s="82"/>
      <c r="AC59" s="138">
        <v>0</v>
      </c>
      <c r="AD59" s="138">
        <v>0</v>
      </c>
      <c r="AE59" s="138">
        <v>0</v>
      </c>
      <c r="AF59" s="233"/>
      <c r="AG59" s="139"/>
      <c r="AH59" s="233"/>
      <c r="AI59" s="139"/>
      <c r="AK59" s="79">
        <v>0</v>
      </c>
      <c r="AL59" s="80">
        <f t="shared" si="49"/>
        <v>0</v>
      </c>
      <c r="AM59" s="79">
        <v>0</v>
      </c>
      <c r="AN59" s="80">
        <f t="shared" si="50"/>
        <v>0</v>
      </c>
      <c r="AO59" s="79">
        <v>0</v>
      </c>
      <c r="AP59" s="80">
        <f t="shared" si="51"/>
        <v>0</v>
      </c>
      <c r="AQ59" s="79">
        <v>0</v>
      </c>
      <c r="AR59" s="81">
        <f t="shared" si="52"/>
        <v>0</v>
      </c>
      <c r="AS59" s="80">
        <f t="shared" si="62"/>
        <v>0</v>
      </c>
      <c r="AT59" s="70">
        <f t="shared" si="63"/>
        <v>0</v>
      </c>
      <c r="AU59" s="80">
        <f t="shared" si="64"/>
        <v>0</v>
      </c>
      <c r="AV59" s="70">
        <f t="shared" si="65"/>
        <v>0</v>
      </c>
      <c r="AW59" s="80">
        <f t="shared" si="66"/>
        <v>0</v>
      </c>
      <c r="AX59" s="70">
        <f t="shared" si="67"/>
        <v>0</v>
      </c>
      <c r="AY59" s="82"/>
      <c r="BA59" s="79">
        <v>0</v>
      </c>
      <c r="BB59" s="80">
        <f t="shared" si="53"/>
        <v>0</v>
      </c>
      <c r="BC59" s="79">
        <v>0</v>
      </c>
      <c r="BD59" s="80">
        <f t="shared" si="54"/>
        <v>0</v>
      </c>
      <c r="BE59" s="79">
        <v>0</v>
      </c>
      <c r="BF59" s="81">
        <f t="shared" si="55"/>
        <v>0</v>
      </c>
      <c r="BG59" s="80">
        <f t="shared" si="68"/>
        <v>0</v>
      </c>
      <c r="BH59" s="70">
        <f t="shared" si="69"/>
        <v>0</v>
      </c>
      <c r="BI59" s="80">
        <f t="shared" si="70"/>
        <v>0</v>
      </c>
      <c r="BJ59" s="70">
        <f t="shared" si="71"/>
        <v>0</v>
      </c>
      <c r="BK59" s="82"/>
    </row>
    <row r="60" spans="2:63" ht="11.95" hidden="1" outlineLevel="1" thickBot="1" x14ac:dyDescent="0.3">
      <c r="B60" t="str">
        <f>IF(LEFT(H60,3)="Mul", "#hiderow", "#showrow")</f>
        <v>#hiderow</v>
      </c>
      <c r="E60" s="3"/>
      <c r="F60" s="3"/>
      <c r="G60" s="3"/>
      <c r="H60" s="254" t="s">
        <v>6</v>
      </c>
      <c r="I60" s="18"/>
      <c r="J60" s="18"/>
      <c r="K60" s="18"/>
      <c r="L60" s="78"/>
      <c r="M60" s="79"/>
      <c r="N60" s="80">
        <f t="shared" si="45"/>
        <v>0</v>
      </c>
      <c r="O60" s="79"/>
      <c r="P60" s="80">
        <f t="shared" si="46"/>
        <v>0</v>
      </c>
      <c r="Q60" s="79"/>
      <c r="R60" s="80">
        <f t="shared" si="47"/>
        <v>0</v>
      </c>
      <c r="S60" s="79"/>
      <c r="T60" s="81">
        <f t="shared" si="48"/>
        <v>0</v>
      </c>
      <c r="U60" s="80">
        <f t="shared" si="56"/>
        <v>0</v>
      </c>
      <c r="V60" s="70">
        <f t="shared" si="57"/>
        <v>0</v>
      </c>
      <c r="W60" s="80">
        <f t="shared" si="58"/>
        <v>0</v>
      </c>
      <c r="X60" s="70">
        <f t="shared" si="59"/>
        <v>0</v>
      </c>
      <c r="Y60" s="80">
        <f t="shared" si="60"/>
        <v>0</v>
      </c>
      <c r="Z60" s="70">
        <f t="shared" si="61"/>
        <v>0</v>
      </c>
      <c r="AA60" s="82"/>
      <c r="AC60" s="138"/>
      <c r="AD60" s="138"/>
      <c r="AE60" s="138"/>
      <c r="AF60" s="233"/>
      <c r="AG60" s="139"/>
      <c r="AH60" s="233"/>
      <c r="AI60" s="139"/>
      <c r="AK60" s="79"/>
      <c r="AL60" s="80">
        <f t="shared" si="49"/>
        <v>0</v>
      </c>
      <c r="AM60" s="79"/>
      <c r="AN60" s="80">
        <f t="shared" si="50"/>
        <v>0</v>
      </c>
      <c r="AO60" s="79"/>
      <c r="AP60" s="80">
        <f t="shared" si="51"/>
        <v>0</v>
      </c>
      <c r="AQ60" s="79"/>
      <c r="AR60" s="81">
        <f t="shared" si="52"/>
        <v>0</v>
      </c>
      <c r="AS60" s="80">
        <f t="shared" si="62"/>
        <v>0</v>
      </c>
      <c r="AT60" s="70">
        <f t="shared" si="63"/>
        <v>0</v>
      </c>
      <c r="AU60" s="80">
        <f t="shared" si="64"/>
        <v>0</v>
      </c>
      <c r="AV60" s="70">
        <f t="shared" si="65"/>
        <v>0</v>
      </c>
      <c r="AW60" s="80">
        <f t="shared" si="66"/>
        <v>0</v>
      </c>
      <c r="AX60" s="70">
        <f t="shared" si="67"/>
        <v>0</v>
      </c>
      <c r="AY60" s="82"/>
      <c r="BA60" s="79"/>
      <c r="BB60" s="80">
        <f t="shared" si="53"/>
        <v>0</v>
      </c>
      <c r="BC60" s="79"/>
      <c r="BD60" s="80">
        <f t="shared" si="54"/>
        <v>0</v>
      </c>
      <c r="BE60" s="79"/>
      <c r="BF60" s="81">
        <f t="shared" si="55"/>
        <v>0</v>
      </c>
      <c r="BG60" s="80">
        <f t="shared" si="68"/>
        <v>0</v>
      </c>
      <c r="BH60" s="70">
        <f t="shared" si="69"/>
        <v>0</v>
      </c>
      <c r="BI60" s="80">
        <f t="shared" si="70"/>
        <v>0</v>
      </c>
      <c r="BJ60" s="70">
        <f t="shared" si="71"/>
        <v>0</v>
      </c>
      <c r="BK60" s="82"/>
    </row>
    <row r="61" spans="2:63" ht="11.95" x14ac:dyDescent="0.25">
      <c r="B61" t="str">
        <f>B42</f>
        <v>#showrow</v>
      </c>
      <c r="E61" s="19"/>
      <c r="F61" s="19"/>
      <c r="G61" s="19"/>
      <c r="H61" s="19" t="s">
        <v>80</v>
      </c>
      <c r="I61" s="85"/>
      <c r="J61" s="85"/>
      <c r="K61" s="85"/>
      <c r="L61" s="144">
        <v>-1</v>
      </c>
      <c r="M61" s="85">
        <f>SUM(M44)</f>
        <v>603548.78</v>
      </c>
      <c r="N61" s="86">
        <f t="shared" si="45"/>
        <v>1.480128375002385</v>
      </c>
      <c r="O61" s="85">
        <f>SUMIFS(O43:O60,$I43:$I60,"&lt;&gt;"&amp;$I$29,$E43:$E60,"&lt;&gt;*[-]*",$F43:$F60,"&lt;&gt;*[-]*",$G43:$G60,"&lt;&gt;*[-]*",$H43:$H60,"Cost of Goods Sold")</f>
        <v>450453.24352673301</v>
      </c>
      <c r="P61" s="86">
        <f t="shared" si="46"/>
        <v>0.87330319190354433</v>
      </c>
      <c r="Q61" s="85">
        <f>SUMIFS(Q43:Q60,$I43:$I60,"&lt;&gt;"&amp;$I$29,$E43:$E60,"&lt;&gt;*[-]*",$F43:$F60,"&lt;&gt;*[-]*",$G43:$G60,"&lt;&gt;*[-]*",$H43:$H60,"Cost of Goods Sold")</f>
        <v>450453.24352673301</v>
      </c>
      <c r="R61" s="86">
        <f t="shared" si="47"/>
        <v>0.87330319190354433</v>
      </c>
      <c r="S61" s="85">
        <f>SUMIFS(S43:S60,$I43:$I60,"&lt;&gt;"&amp;$I$29,$E43:$E60,"&lt;&gt;*[-]*",$F43:$F60,"&lt;&gt;*[-]*",$G43:$G60,"&lt;&gt;*[-]*",$H43:$H60,"Cost of Goods Sold")</f>
        <v>240073.65</v>
      </c>
      <c r="T61" s="86">
        <f t="shared" si="48"/>
        <v>1.0597012303285438</v>
      </c>
      <c r="U61" s="86">
        <f>IFERROR(($O61-M61)/ABS(M61),0)</f>
        <v>-0.25365892790515954</v>
      </c>
      <c r="V61" s="87">
        <f>IFERROR((O61-$M61), 0-$M61)</f>
        <v>-153095.53647326701</v>
      </c>
      <c r="W61" s="86">
        <f>IFERROR((Q61-$M61)/ABS($M61),0)</f>
        <v>-0.25365892790515954</v>
      </c>
      <c r="X61" s="87">
        <f>IFERROR((Q61-$M61), 0 -$M61)</f>
        <v>-153095.53647326701</v>
      </c>
      <c r="Y61" s="86">
        <f>IFERROR((S61-$M61)/ABS($M61),0)</f>
        <v>-0.60222991420842564</v>
      </c>
      <c r="Z61" s="87">
        <f>IFERROR((S61-$M61),0-$M61)</f>
        <v>-363475.13</v>
      </c>
      <c r="AA61" s="88"/>
      <c r="AC61" s="142">
        <f>SUMIFS(AC43:AC60,$I43:$I60,"&lt;&gt;"&amp;$I$29,$E43:$E60,"&lt;&gt;*[-]*",$F43:$F60,"&lt;&gt;*[-]*",$G43:$G60,"&lt;&gt;*[-]*",$H43:$H60,"Cost of Goods Sold")</f>
        <v>603548.78</v>
      </c>
      <c r="AD61" s="142">
        <f>SUMIFS(AD43:AD60,$I43:$I60,"&lt;&gt;"&amp;$I$29,$E43:$E60,"&lt;&gt;*[-]*",$F43:$F60,"&lt;&gt;*[-]*",$G43:$G60,"&lt;&gt;*[-]*",$H43:$H60,"Cost of Goods Sold")</f>
        <v>240073.65</v>
      </c>
      <c r="AE61" s="142">
        <f>SUMIFS(AE43:AE60,$I43:$I60,"&lt;&gt;"&amp;$I$29,$E43:$E60,"&lt;&gt;*[-]*",$F43:$F60,"&lt;&gt;*[-]*",$G43:$G60,"&lt;&gt;*[-]*",$H43:$H60,"Cost of Goods Sold")</f>
        <v>450453.24352673301</v>
      </c>
      <c r="AF61" s="173">
        <f>IFERROR((AD61-$AC61)/ABS($AC61),0)</f>
        <v>-0.60222991420842564</v>
      </c>
      <c r="AG61" s="143">
        <f>(AD61-$AC61)</f>
        <v>-363475.13</v>
      </c>
      <c r="AH61" s="173">
        <f>IFERROR((AE61-$AC61)/ABS($AC61),0)</f>
        <v>-0.25365892790515954</v>
      </c>
      <c r="AI61" s="143">
        <f>(AE61-$AC61)</f>
        <v>-153095.53647326701</v>
      </c>
      <c r="AK61" s="85">
        <f>SUMIFS(AK43:AK60,$I43:$I60,"&lt;&gt;"&amp;$I$29,$E43:$E60,"&lt;&gt;*[-]*",$F43:$F60,"&lt;&gt;*[-]*",$G43:$G60,"&lt;&gt;*[-]*",$H43:$H60,"Cost of Goods Sold")</f>
        <v>603548.78</v>
      </c>
      <c r="AL61" s="86">
        <f t="shared" si="49"/>
        <v>1.480128375002385</v>
      </c>
      <c r="AM61" s="85">
        <f>SUMIFS(AM43:AM60,$I43:$I60,"&lt;&gt;"&amp;$I$29,$E43:$E60,"&lt;&gt;*[-]*",$F43:$F60,"&lt;&gt;*[-]*",$G43:$G60,"&lt;&gt;*[-]*",$H43:$H60,"Cost of Goods Sold")</f>
        <v>450453.24352673301</v>
      </c>
      <c r="AN61" s="86">
        <f t="shared" si="50"/>
        <v>0.87330319190354433</v>
      </c>
      <c r="AO61" s="85">
        <f>SUMIFS(AO43:AO60,$I43:$I60,"&lt;&gt;"&amp;$I$29,$E43:$E60,"&lt;&gt;*[-]*",$F43:$F60,"&lt;&gt;*[-]*",$G43:$G60,"&lt;&gt;*[-]*",$H43:$H60,"Cost of Goods Sold")</f>
        <v>450453.24352673301</v>
      </c>
      <c r="AP61" s="86">
        <f t="shared" si="51"/>
        <v>0.87330319190354433</v>
      </c>
      <c r="AQ61" s="85">
        <f>SUMIFS(AQ43:AQ60,$I43:$I60,"&lt;&gt;"&amp;$I$29,$E43:$E60,"&lt;&gt;*[-]*",$F43:$F60,"&lt;&gt;*[-]*",$G43:$G60,"&lt;&gt;*[-]*",$H43:$H60,"Cost of Goods Sold")</f>
        <v>240073.65</v>
      </c>
      <c r="AR61" s="86">
        <f t="shared" si="52"/>
        <v>1.0597012303285438</v>
      </c>
      <c r="AS61" s="86">
        <f>IFERROR((AM61-$AK61)/ABS($AK61),0)</f>
        <v>-0.25365892790515954</v>
      </c>
      <c r="AT61" s="87">
        <f>(AM61-$AK61)</f>
        <v>-153095.53647326701</v>
      </c>
      <c r="AU61" s="86">
        <f>IFERROR((AO61-$AK61)/ABS($AO61),0)</f>
        <v>-0.33986998356285841</v>
      </c>
      <c r="AV61" s="87">
        <f>(AO61-$AK61)</f>
        <v>-153095.53647326701</v>
      </c>
      <c r="AW61" s="86">
        <f>IFERROR((AQ61-$AK61)/ABS($AK61),0)</f>
        <v>-0.60222991420842564</v>
      </c>
      <c r="AX61" s="87">
        <f>(AQ61-$AK61)</f>
        <v>-363475.13</v>
      </c>
      <c r="AY61" s="88"/>
      <c r="BA61" s="85">
        <f>SUMIFS(BA43:BA60,$I43:$I60,"&lt;&gt;"&amp;$I$29,$E43:$E60,"&lt;&gt;*[-]*",$F43:$F60,"&lt;&gt;*[-]*",$G43:$G60,"&lt;&gt;*[-]*",$H43:$H60,"Cost of Goods Sold")</f>
        <v>5800117.0530822603</v>
      </c>
      <c r="BB61" s="86">
        <f t="shared" si="53"/>
        <v>0.86498531605692941</v>
      </c>
      <c r="BC61" s="85">
        <f>SUMIFS(BC43:BC60,$I43:$I60,"&lt;&gt;"&amp;$I$29,$E43:$E60,"&lt;&gt;*[-]*",$F43:$F60,"&lt;&gt;*[-]*",$G43:$G60,"&lt;&gt;*[-]*",$H43:$H60,"Cost of Goods Sold")</f>
        <v>5800117.0530822603</v>
      </c>
      <c r="BD61" s="86">
        <f t="shared" si="54"/>
        <v>0.86498531605692941</v>
      </c>
      <c r="BE61" s="85">
        <f>SUMIFS(BE43:BE60,$I43:$I60,"&lt;&gt;"&amp;$I$29,$E43:$E60,"&lt;&gt;*[-]*",$F43:$F60,"&lt;&gt;*[-]*",$G43:$G60,"&lt;&gt;*[-]*",$H43:$H60,"Cost of Goods Sold")</f>
        <v>4418073.67</v>
      </c>
      <c r="BF61" s="86">
        <f t="shared" si="55"/>
        <v>1.0450214682811092</v>
      </c>
      <c r="BG61" s="86">
        <f>IFERROR((BC61-$BA61)/ABS($BA61),0)</f>
        <v>0</v>
      </c>
      <c r="BH61" s="87">
        <f>(BC61-$BA61)</f>
        <v>0</v>
      </c>
      <c r="BI61" s="86">
        <f>IFERROR((BE61-$BA61)/ABS($BA61),0)</f>
        <v>-0.23827853307681504</v>
      </c>
      <c r="BJ61" s="87">
        <f>(BE61-$BA61)</f>
        <v>-1382043.3830822604</v>
      </c>
      <c r="BK61" s="88"/>
    </row>
    <row r="62" spans="2:63" x14ac:dyDescent="0.25">
      <c r="B62" t="str">
        <f>B42</f>
        <v>#showrow</v>
      </c>
      <c r="C62" s="24"/>
      <c r="D62" s="24"/>
      <c r="E62" s="24"/>
      <c r="F62" s="24"/>
      <c r="G62" s="24"/>
      <c r="H62" s="24" t="s">
        <v>31</v>
      </c>
      <c r="I62" s="24"/>
      <c r="J62" s="24"/>
      <c r="K62" s="24"/>
      <c r="L62" s="24"/>
      <c r="M62" s="26">
        <f>M40-M61</f>
        <v>-195780.92000000004</v>
      </c>
      <c r="N62" s="153">
        <f t="shared" si="45"/>
        <v>-0.48012837500238503</v>
      </c>
      <c r="O62" s="26">
        <f>O40-O61</f>
        <v>65350.715170448995</v>
      </c>
      <c r="P62" s="153">
        <f t="shared" si="46"/>
        <v>0.12669680809645564</v>
      </c>
      <c r="Q62" s="26">
        <f>Q40-Q61</f>
        <v>65350.715170448995</v>
      </c>
      <c r="R62" s="153">
        <f t="shared" si="47"/>
        <v>0.12669680809645564</v>
      </c>
      <c r="S62" s="26">
        <f>S40-S61</f>
        <v>-13525.220000000001</v>
      </c>
      <c r="T62" s="153">
        <f t="shared" si="48"/>
        <v>-5.9701230328543888E-2</v>
      </c>
      <c r="U62" s="153"/>
      <c r="V62" s="92">
        <f>($M62-O62)</f>
        <v>-261131.63517044904</v>
      </c>
      <c r="W62" s="153"/>
      <c r="X62" s="92">
        <f>($M62-Q62)</f>
        <v>-261131.63517044904</v>
      </c>
      <c r="Y62" s="153"/>
      <c r="Z62" s="92">
        <f>($M62-S62)</f>
        <v>-182255.70000000004</v>
      </c>
      <c r="AA62" s="88"/>
      <c r="AC62" s="234">
        <f>AC40-AC61</f>
        <v>-195780.92000000004</v>
      </c>
      <c r="AD62" s="234">
        <f>AD40-AD61</f>
        <v>-13525.220000000001</v>
      </c>
      <c r="AE62" s="234">
        <f>AE40-AE61</f>
        <v>65350.715170448995</v>
      </c>
      <c r="AF62" s="235">
        <f>AF40-AF61</f>
        <v>1.4021446609140198</v>
      </c>
      <c r="AG62" s="236"/>
      <c r="AH62" s="235"/>
      <c r="AI62" s="236"/>
      <c r="AK62" s="26">
        <f>AK40-AK61</f>
        <v>-195780.92000000004</v>
      </c>
      <c r="AL62" s="153">
        <f t="shared" si="49"/>
        <v>-0.48012837500238503</v>
      </c>
      <c r="AM62" s="26">
        <f>AM40-AM61</f>
        <v>65350.715170448995</v>
      </c>
      <c r="AN62" s="153">
        <f t="shared" si="50"/>
        <v>0.12669680809645564</v>
      </c>
      <c r="AO62" s="26">
        <f>AO40-AO61</f>
        <v>65350.715170448995</v>
      </c>
      <c r="AP62" s="153">
        <f t="shared" si="51"/>
        <v>0.12669680809645564</v>
      </c>
      <c r="AQ62" s="26">
        <f>AQ40-AQ61</f>
        <v>-13525.220000000001</v>
      </c>
      <c r="AR62" s="153">
        <f t="shared" si="52"/>
        <v>-5.9701230328543888E-2</v>
      </c>
      <c r="AS62" s="153"/>
      <c r="AT62" s="92">
        <f>($AK62-AM62)</f>
        <v>-261131.63517044904</v>
      </c>
      <c r="AU62" s="153"/>
      <c r="AV62" s="92">
        <f>($AK62-AO62)</f>
        <v>-261131.63517044904</v>
      </c>
      <c r="AW62" s="153"/>
      <c r="AX62" s="92">
        <f>($AK62-AQ62)</f>
        <v>-182255.70000000004</v>
      </c>
      <c r="AY62" s="88"/>
      <c r="BA62" s="26">
        <f>BA40-BA61</f>
        <v>905334.40998109989</v>
      </c>
      <c r="BB62" s="153">
        <f t="shared" si="53"/>
        <v>0.13501468394307059</v>
      </c>
      <c r="BC62" s="26">
        <f>BC40-BC61</f>
        <v>905334.40998109989</v>
      </c>
      <c r="BD62" s="153">
        <f t="shared" si="54"/>
        <v>0.13501468394307059</v>
      </c>
      <c r="BE62" s="26">
        <f>BE40-BE61</f>
        <v>-190338.83000000007</v>
      </c>
      <c r="BF62" s="153">
        <f t="shared" si="55"/>
        <v>-4.5021468281109152E-2</v>
      </c>
      <c r="BG62" s="153"/>
      <c r="BH62" s="92">
        <f>($BA62-BC62)</f>
        <v>0</v>
      </c>
      <c r="BI62" s="153"/>
      <c r="BJ62" s="92">
        <f>($BA62-BE62)</f>
        <v>1095673.2399811</v>
      </c>
      <c r="BK62" s="88"/>
    </row>
    <row r="63" spans="2:63" x14ac:dyDescent="0.25">
      <c r="B63" t="str">
        <f>B42</f>
        <v>#showrow</v>
      </c>
      <c r="H63" t="s">
        <v>21</v>
      </c>
      <c r="M63" s="96">
        <f>IFERROR((M40-M61)/M40,0)</f>
        <v>-0.48012837500238503</v>
      </c>
      <c r="N63" s="105"/>
      <c r="O63" s="96">
        <f>IFERROR((O40-O61)/O40,0)</f>
        <v>0.12669680809645564</v>
      </c>
      <c r="P63" s="105"/>
      <c r="Q63" s="96">
        <f>IFERROR((Q40-Q61)/Q40,0)</f>
        <v>0.12669680809645564</v>
      </c>
      <c r="R63" s="105"/>
      <c r="S63" s="96">
        <f>IFERROR((S40-S61)/S40,0)</f>
        <v>-5.9701230328543888E-2</v>
      </c>
      <c r="T63" s="105"/>
      <c r="U63" s="105"/>
      <c r="V63" s="98"/>
      <c r="W63" s="105"/>
      <c r="X63" s="98"/>
      <c r="Y63" s="105"/>
      <c r="Z63" s="98"/>
      <c r="AA63" s="98"/>
      <c r="AB63" s="20"/>
      <c r="AC63" s="170">
        <f>IFERROR((AC40-AC61)/AC40,0)</f>
        <v>-0.48012837500238503</v>
      </c>
      <c r="AD63" s="170">
        <f>IFERROR((AD40-AD61)/AD40,0)</f>
        <v>-5.9701230328543888E-2</v>
      </c>
      <c r="AE63" s="170">
        <f>IFERROR((AE40-AE61)/AE40,0)</f>
        <v>0.12669680809645564</v>
      </c>
      <c r="AF63" s="169">
        <f>IFERROR((AF40-AF61)/AF40,0)</f>
        <v>1.7528676233169564</v>
      </c>
      <c r="AG63" s="237"/>
      <c r="AH63" s="169"/>
      <c r="AI63" s="237"/>
      <c r="AK63" s="96">
        <f>IFERROR((AK40-AK61)/AK40,0)</f>
        <v>-0.48012837500238503</v>
      </c>
      <c r="AL63" s="105"/>
      <c r="AM63" s="96">
        <f>IFERROR((AM40-AM61)/AM40,0)</f>
        <v>0.12669680809645564</v>
      </c>
      <c r="AN63" s="105"/>
      <c r="AO63" s="96">
        <f>IFERROR((AO40-AO61)/AO40,0)</f>
        <v>0.12669680809645564</v>
      </c>
      <c r="AP63" s="105"/>
      <c r="AQ63" s="96">
        <f>IFERROR((AQ40-AQ61)/AQ40,0)</f>
        <v>-5.9701230328543888E-2</v>
      </c>
      <c r="AR63" s="105"/>
      <c r="AS63" s="105"/>
      <c r="AT63" s="98"/>
      <c r="AU63" s="105"/>
      <c r="AV63" s="98"/>
      <c r="AW63" s="105"/>
      <c r="AX63" s="98"/>
      <c r="AY63" s="98"/>
      <c r="BA63" s="96">
        <f>IFERROR((BA40-BA61)/BA40,0)</f>
        <v>0.13501468394307059</v>
      </c>
      <c r="BB63" s="105"/>
      <c r="BC63" s="96">
        <f>IFERROR((BC40-BC61)/BC40,0)</f>
        <v>0.13501468394307059</v>
      </c>
      <c r="BD63" s="105"/>
      <c r="BE63" s="96">
        <f>IFERROR((BE40-BE61)/BE40,0)</f>
        <v>-4.5021468281109152E-2</v>
      </c>
      <c r="BF63" s="105"/>
      <c r="BG63" s="105"/>
      <c r="BH63" s="98"/>
      <c r="BI63" s="105"/>
      <c r="BJ63" s="98"/>
      <c r="BK63" s="98"/>
    </row>
    <row r="64" spans="2:63" x14ac:dyDescent="0.25">
      <c r="N64" s="145"/>
      <c r="P64" s="145"/>
      <c r="R64" s="145"/>
      <c r="T64" s="145"/>
      <c r="U64" s="145"/>
      <c r="V64" s="84"/>
      <c r="W64" s="145"/>
      <c r="X64" s="84"/>
      <c r="Y64" s="145"/>
      <c r="Z64" s="84"/>
      <c r="AA64" s="84"/>
      <c r="AF64" s="169"/>
      <c r="AG64" s="140"/>
      <c r="AH64" s="169"/>
      <c r="AI64" s="140"/>
      <c r="AL64" s="145"/>
      <c r="AN64" s="145"/>
      <c r="AP64" s="145"/>
      <c r="AR64" s="145"/>
      <c r="AS64" s="145"/>
      <c r="AT64" s="84"/>
      <c r="AU64" s="145"/>
      <c r="AV64" s="84"/>
      <c r="AW64" s="145"/>
      <c r="AX64" s="84"/>
      <c r="AY64" s="84"/>
      <c r="BB64" s="145"/>
      <c r="BD64" s="145"/>
      <c r="BF64" s="145"/>
      <c r="BG64" s="145"/>
      <c r="BH64" s="84"/>
      <c r="BI64" s="145"/>
      <c r="BJ64" s="84"/>
      <c r="BK64" s="84"/>
    </row>
    <row r="65" spans="2:63" ht="12.45" thickBot="1" x14ac:dyDescent="0.3">
      <c r="B65" t="str">
        <f>IF(COUNTBLANK(B66:B135)&gt;0,"#showrow","#hiderow")</f>
        <v>#showrow</v>
      </c>
      <c r="E65" s="4"/>
      <c r="F65" s="4"/>
      <c r="G65" s="4"/>
      <c r="H65" s="4" t="s">
        <v>2</v>
      </c>
      <c r="I65" s="4"/>
      <c r="J65" s="5"/>
      <c r="K65" s="5"/>
      <c r="L65" s="5"/>
      <c r="M65" s="5"/>
      <c r="N65" s="152"/>
      <c r="O65" s="5"/>
      <c r="P65" s="152"/>
      <c r="Q65" s="5"/>
      <c r="R65" s="152"/>
      <c r="S65" s="5"/>
      <c r="T65" s="152"/>
      <c r="U65" s="152"/>
      <c r="V65" s="75"/>
      <c r="W65" s="152"/>
      <c r="X65" s="75"/>
      <c r="Y65" s="152"/>
      <c r="Z65" s="75"/>
      <c r="AA65" s="76"/>
      <c r="AC65" s="133"/>
      <c r="AD65" s="133"/>
      <c r="AE65" s="133"/>
      <c r="AF65" s="171"/>
      <c r="AG65" s="134"/>
      <c r="AH65" s="171"/>
      <c r="AI65" s="134"/>
      <c r="AK65" s="5"/>
      <c r="AL65" s="152"/>
      <c r="AM65" s="5"/>
      <c r="AN65" s="152"/>
      <c r="AO65" s="5"/>
      <c r="AP65" s="152"/>
      <c r="AQ65" s="5"/>
      <c r="AR65" s="152"/>
      <c r="AS65" s="152"/>
      <c r="AT65" s="75"/>
      <c r="AU65" s="152"/>
      <c r="AV65" s="75"/>
      <c r="AW65" s="152"/>
      <c r="AX65" s="75"/>
      <c r="AY65" s="76"/>
      <c r="BA65" s="5"/>
      <c r="BB65" s="152"/>
      <c r="BC65" s="5"/>
      <c r="BD65" s="152"/>
      <c r="BE65" s="5"/>
      <c r="BF65" s="152"/>
      <c r="BG65" s="152"/>
      <c r="BH65" s="75"/>
      <c r="BI65" s="152"/>
      <c r="BJ65" s="75"/>
      <c r="BK65" s="76"/>
    </row>
    <row r="66" spans="2:63" ht="11.95" thickBot="1" x14ac:dyDescent="0.3">
      <c r="E66" s="3"/>
      <c r="F66" s="3"/>
      <c r="G66" s="3"/>
      <c r="H66" s="253" t="s">
        <v>2</v>
      </c>
      <c r="I66" s="18"/>
      <c r="J66" s="18"/>
      <c r="K66" s="18"/>
      <c r="L66" s="78"/>
      <c r="M66" s="79">
        <v>0</v>
      </c>
      <c r="N66" s="80">
        <f t="shared" ref="N66:N97" si="89">IFERROR(M66/SUMIFS(M:M, $H:$H, "Net Sales"),0)</f>
        <v>0</v>
      </c>
      <c r="O66" s="79">
        <v>1.5E-10</v>
      </c>
      <c r="P66" s="80">
        <f t="shared" ref="P66:P97" si="90">IFERROR(O66/SUMIFS(O:O, $H:$H, "Net Sales"),0)</f>
        <v>2.9080815971027074E-16</v>
      </c>
      <c r="Q66" s="79">
        <v>1.5E-10</v>
      </c>
      <c r="R66" s="80">
        <f t="shared" ref="R66:R97" si="91">IFERROR(Q66/SUMIFS(Q:Q, $H:$H, "Net Sales"),0)</f>
        <v>2.9080815971027074E-16</v>
      </c>
      <c r="S66" s="79">
        <v>-8173.07</v>
      </c>
      <c r="T66" s="81">
        <f t="shared" ref="T66:T97" si="92">IFERROR(S66/SUMIFS(S:S, $H:$H, "Net Sales"),0)</f>
        <v>-3.6076480424075331E-2</v>
      </c>
      <c r="U66" s="80">
        <f t="shared" ref="U66:U135" si="93">IFERROR(($O66-M66)/ABS(M66),0)</f>
        <v>0</v>
      </c>
      <c r="V66" s="70">
        <f t="shared" ref="V66:V135" si="94">IFERROR((O66-$M66), 0-$M66)</f>
        <v>1.5E-10</v>
      </c>
      <c r="W66" s="80">
        <f t="shared" ref="W66:W135" si="95">IFERROR((Q66-$M66)/ABS($M66),0)</f>
        <v>0</v>
      </c>
      <c r="X66" s="70">
        <f t="shared" ref="X66:X135" si="96">IFERROR((Q66-$M66), 0 -$M66)</f>
        <v>1.5E-10</v>
      </c>
      <c r="Y66" s="80">
        <f t="shared" ref="Y66:Y135" si="97">IFERROR((S66-$M66)/ABS($M66),0)</f>
        <v>0</v>
      </c>
      <c r="Z66" s="70">
        <f t="shared" ref="Z66:Z135" si="98">IFERROR((S66-$M66),0-$M66)</f>
        <v>-8173.07</v>
      </c>
      <c r="AA66" s="82"/>
      <c r="AC66" s="138">
        <v>0</v>
      </c>
      <c r="AD66" s="138">
        <v>-8173.07</v>
      </c>
      <c r="AE66" s="138">
        <v>1.5E-10</v>
      </c>
      <c r="AF66" s="172">
        <f>IFERROR((AD66-$AC66)/ABS($AC66),0)</f>
        <v>0</v>
      </c>
      <c r="AG66" s="139">
        <f>(AD66-$AC66)</f>
        <v>-8173.07</v>
      </c>
      <c r="AH66" s="172">
        <f>IFERROR((AE66-$AC66)/ABS($AC66),0)</f>
        <v>0</v>
      </c>
      <c r="AI66" s="139">
        <f>(AE66-$AC66)</f>
        <v>1.5E-10</v>
      </c>
      <c r="AK66" s="79">
        <v>0</v>
      </c>
      <c r="AL66" s="80">
        <f t="shared" ref="AL66:AL97" si="99">IFERROR(AK66/SUMIFS(AK:AK, $H:$H, "Net Sales"),0)</f>
        <v>0</v>
      </c>
      <c r="AM66" s="79">
        <v>1.5E-10</v>
      </c>
      <c r="AN66" s="80">
        <f t="shared" ref="AN66:AN97" si="100">IFERROR(AM66/SUMIFS(AM:AM, $H:$H, "Net Sales"),0)</f>
        <v>2.9080815971027074E-16</v>
      </c>
      <c r="AO66" s="79">
        <v>1.5E-10</v>
      </c>
      <c r="AP66" s="80">
        <f t="shared" ref="AP66:AP97" si="101">IFERROR(AO66/SUMIFS(AO:AO, $H:$H, "Net Sales"),0)</f>
        <v>2.9080815971027074E-16</v>
      </c>
      <c r="AQ66" s="79">
        <v>-8173.07</v>
      </c>
      <c r="AR66" s="81">
        <f t="shared" ref="AR66:AR97" si="102">IFERROR(AQ66/SUMIFS(AQ:AQ, $H:$H, "Net Sales"),0)</f>
        <v>-3.6076480424075331E-2</v>
      </c>
      <c r="AS66" s="80">
        <f t="shared" ref="AS66:AS135" si="103">IFERROR((AM66-$AK66)/ABS($AK66),0)</f>
        <v>0</v>
      </c>
      <c r="AT66" s="70">
        <f t="shared" ref="AT66:AT135" si="104">(AM66-$AK66)</f>
        <v>1.5E-10</v>
      </c>
      <c r="AU66" s="80">
        <f t="shared" ref="AU66:AU135" si="105">IFERROR((AO66-$AK66)/ABS($AO66),0)</f>
        <v>1</v>
      </c>
      <c r="AV66" s="70">
        <f t="shared" ref="AV66:AV135" si="106">(AO66-$AK66)</f>
        <v>1.5E-10</v>
      </c>
      <c r="AW66" s="80">
        <f t="shared" ref="AW66:AW135" si="107">IFERROR((AQ66-$AK66)/ABS($AK66),0)</f>
        <v>0</v>
      </c>
      <c r="AX66" s="70">
        <f t="shared" ref="AX66:AX135" si="108">(AQ66-$AK66)</f>
        <v>-8173.07</v>
      </c>
      <c r="AY66" s="82"/>
      <c r="BA66" s="79">
        <v>-7.5E-10</v>
      </c>
      <c r="BB66" s="80">
        <f t="shared" ref="BB66:BB97" si="109">IFERROR(BA66/SUMIFS(BA:BA, $H:$H, "Net Sales"),0)</f>
        <v>-1.1184929219625807E-16</v>
      </c>
      <c r="BC66" s="79">
        <v>-7.5E-10</v>
      </c>
      <c r="BD66" s="80">
        <f t="shared" ref="BD66:BD97" si="110">IFERROR(BC66/SUMIFS(BC:BC, $H:$H, "Net Sales"),0)</f>
        <v>-1.1184929219625807E-16</v>
      </c>
      <c r="BE66" s="79">
        <v>0</v>
      </c>
      <c r="BF66" s="81">
        <f t="shared" ref="BF66:BF97" si="111">IFERROR(BE66/SUMIFS(BE:BE, $H:$H, "Net Sales"),0)</f>
        <v>0</v>
      </c>
      <c r="BG66" s="80">
        <f t="shared" ref="BG66:BG135" si="112">IFERROR((BC66-$BA66)/ABS($BA66),0)</f>
        <v>0</v>
      </c>
      <c r="BH66" s="70">
        <f t="shared" ref="BH66:BH135" si="113">(BC66-$BA66)</f>
        <v>0</v>
      </c>
      <c r="BI66" s="80">
        <f t="shared" ref="BI66:BI135" si="114">IFERROR((BE66-$BA66)/ABS($BA66),0)</f>
        <v>1</v>
      </c>
      <c r="BJ66" s="70">
        <f t="shared" ref="BJ66:BJ135" si="115">(BE66-$BA66)</f>
        <v>7.5E-10</v>
      </c>
      <c r="BK66" s="82"/>
    </row>
    <row r="67" spans="2:63" ht="11.95" outlineLevel="1" thickBot="1" x14ac:dyDescent="0.3">
      <c r="E67" s="3"/>
      <c r="F67" s="3"/>
      <c r="G67" s="3"/>
      <c r="H67" s="256" t="s">
        <v>104</v>
      </c>
      <c r="I67" s="18"/>
      <c r="J67" s="18"/>
      <c r="K67" s="18"/>
      <c r="L67" s="78"/>
      <c r="M67" s="79">
        <v>165234.75</v>
      </c>
      <c r="N67" s="80">
        <f t="shared" si="89"/>
        <v>0.40521768929998553</v>
      </c>
      <c r="O67" s="79">
        <v>170436.58337245201</v>
      </c>
      <c r="P67" s="80">
        <f t="shared" si="90"/>
        <v>0.33042899438565931</v>
      </c>
      <c r="Q67" s="79">
        <v>170436.58337245201</v>
      </c>
      <c r="R67" s="80">
        <f t="shared" si="91"/>
        <v>0.33042899438565931</v>
      </c>
      <c r="S67" s="79">
        <v>78485.100000000006</v>
      </c>
      <c r="T67" s="81">
        <f t="shared" si="92"/>
        <v>0.34643850765154283</v>
      </c>
      <c r="U67" s="80">
        <f t="shared" si="93"/>
        <v>3.1481473312677907E-2</v>
      </c>
      <c r="V67" s="70">
        <f t="shared" si="94"/>
        <v>5201.8333724520053</v>
      </c>
      <c r="W67" s="80">
        <f t="shared" si="95"/>
        <v>3.1481473312677907E-2</v>
      </c>
      <c r="X67" s="259">
        <f t="shared" si="96"/>
        <v>5201.8333724520053</v>
      </c>
      <c r="Y67" s="80">
        <f t="shared" si="97"/>
        <v>-0.5250085106189829</v>
      </c>
      <c r="Z67" s="70">
        <f t="shared" si="98"/>
        <v>-86749.65</v>
      </c>
      <c r="AA67" s="82"/>
      <c r="AC67" s="138">
        <v>165234.75</v>
      </c>
      <c r="AD67" s="138">
        <v>78485.100000000006</v>
      </c>
      <c r="AE67" s="138">
        <v>170436.58337245201</v>
      </c>
      <c r="AF67" s="233"/>
      <c r="AG67" s="139"/>
      <c r="AH67" s="233"/>
      <c r="AI67" s="139"/>
      <c r="AK67" s="79">
        <v>165234.75</v>
      </c>
      <c r="AL67" s="80">
        <f t="shared" si="99"/>
        <v>0.40521768929998553</v>
      </c>
      <c r="AM67" s="79">
        <v>170436.58337245201</v>
      </c>
      <c r="AN67" s="80">
        <f t="shared" si="100"/>
        <v>0.33042899438565931</v>
      </c>
      <c r="AO67" s="79">
        <v>170436.58337245201</v>
      </c>
      <c r="AP67" s="80">
        <f t="shared" si="101"/>
        <v>0.33042899438565931</v>
      </c>
      <c r="AQ67" s="79">
        <v>78485.100000000006</v>
      </c>
      <c r="AR67" s="81">
        <f t="shared" si="102"/>
        <v>0.34643850765154283</v>
      </c>
      <c r="AS67" s="80">
        <f t="shared" si="103"/>
        <v>3.1481473312677907E-2</v>
      </c>
      <c r="AT67" s="70">
        <f t="shared" si="104"/>
        <v>5201.8333724520053</v>
      </c>
      <c r="AU67" s="80">
        <f t="shared" si="105"/>
        <v>3.0520638641790492E-2</v>
      </c>
      <c r="AV67" s="70">
        <f t="shared" si="106"/>
        <v>5201.8333724520053</v>
      </c>
      <c r="AW67" s="80">
        <f t="shared" si="107"/>
        <v>-0.5250085106189829</v>
      </c>
      <c r="AX67" s="70">
        <f t="shared" si="108"/>
        <v>-86749.65</v>
      </c>
      <c r="AY67" s="82"/>
      <c r="BA67" s="79">
        <v>2227303.4710765998</v>
      </c>
      <c r="BB67" s="80">
        <f t="shared" si="109"/>
        <v>0.33216308899491526</v>
      </c>
      <c r="BC67" s="79">
        <v>2227303.4710765998</v>
      </c>
      <c r="BD67" s="80">
        <f t="shared" si="110"/>
        <v>0.33216308899491526</v>
      </c>
      <c r="BE67" s="79">
        <v>2001015.01</v>
      </c>
      <c r="BF67" s="81">
        <f t="shared" si="111"/>
        <v>0.4733066490045057</v>
      </c>
      <c r="BG67" s="80">
        <f t="shared" si="112"/>
        <v>0</v>
      </c>
      <c r="BH67" s="70">
        <f t="shared" si="113"/>
        <v>0</v>
      </c>
      <c r="BI67" s="80">
        <f t="shared" si="114"/>
        <v>-0.10159749850666731</v>
      </c>
      <c r="BJ67" s="70">
        <f t="shared" si="115"/>
        <v>-226288.46107659978</v>
      </c>
      <c r="BK67" s="82"/>
    </row>
    <row r="68" spans="2:63" ht="11.95" hidden="1" outlineLevel="2" thickBot="1" x14ac:dyDescent="0.3">
      <c r="B68" t="str">
        <f>IF(LEFT(H68,3)="Mul", "#hiderow", "#showrow")</f>
        <v>#hiderow</v>
      </c>
      <c r="E68" s="3"/>
      <c r="F68" s="3"/>
      <c r="G68" s="3"/>
      <c r="H68" s="255" t="s">
        <v>6</v>
      </c>
      <c r="I68" s="18"/>
      <c r="J68" s="18"/>
      <c r="K68" s="18"/>
      <c r="L68" s="78"/>
      <c r="M68" s="79"/>
      <c r="N68" s="80">
        <f t="shared" si="89"/>
        <v>0</v>
      </c>
      <c r="O68" s="79"/>
      <c r="P68" s="80">
        <f t="shared" si="90"/>
        <v>0</v>
      </c>
      <c r="Q68" s="79"/>
      <c r="R68" s="80">
        <f t="shared" si="91"/>
        <v>0</v>
      </c>
      <c r="S68" s="79"/>
      <c r="T68" s="81">
        <f t="shared" si="92"/>
        <v>0</v>
      </c>
      <c r="U68" s="80">
        <f t="shared" si="93"/>
        <v>0</v>
      </c>
      <c r="V68" s="70">
        <f t="shared" si="94"/>
        <v>0</v>
      </c>
      <c r="W68" s="80">
        <f t="shared" si="95"/>
        <v>0</v>
      </c>
      <c r="X68" s="70">
        <f t="shared" si="96"/>
        <v>0</v>
      </c>
      <c r="Y68" s="80">
        <f t="shared" si="97"/>
        <v>0</v>
      </c>
      <c r="Z68" s="70">
        <f t="shared" si="98"/>
        <v>0</v>
      </c>
      <c r="AA68" s="82"/>
      <c r="AC68" s="138"/>
      <c r="AD68" s="138"/>
      <c r="AE68" s="138"/>
      <c r="AF68" s="233"/>
      <c r="AG68" s="139"/>
      <c r="AH68" s="233"/>
      <c r="AI68" s="139"/>
      <c r="AK68" s="79"/>
      <c r="AL68" s="80">
        <f t="shared" si="99"/>
        <v>0</v>
      </c>
      <c r="AM68" s="79"/>
      <c r="AN68" s="80">
        <f t="shared" si="100"/>
        <v>0</v>
      </c>
      <c r="AO68" s="79"/>
      <c r="AP68" s="80">
        <f t="shared" si="101"/>
        <v>0</v>
      </c>
      <c r="AQ68" s="79"/>
      <c r="AR68" s="81">
        <f t="shared" si="102"/>
        <v>0</v>
      </c>
      <c r="AS68" s="80">
        <f t="shared" si="103"/>
        <v>0</v>
      </c>
      <c r="AT68" s="70">
        <f t="shared" si="104"/>
        <v>0</v>
      </c>
      <c r="AU68" s="80">
        <f t="shared" si="105"/>
        <v>0</v>
      </c>
      <c r="AV68" s="70">
        <f t="shared" si="106"/>
        <v>0</v>
      </c>
      <c r="AW68" s="80">
        <f t="shared" si="107"/>
        <v>0</v>
      </c>
      <c r="AX68" s="70">
        <f t="shared" si="108"/>
        <v>0</v>
      </c>
      <c r="AY68" s="82"/>
      <c r="BA68" s="79"/>
      <c r="BB68" s="80">
        <f t="shared" si="109"/>
        <v>0</v>
      </c>
      <c r="BC68" s="79"/>
      <c r="BD68" s="80">
        <f t="shared" si="110"/>
        <v>0</v>
      </c>
      <c r="BE68" s="79"/>
      <c r="BF68" s="81">
        <f t="shared" si="111"/>
        <v>0</v>
      </c>
      <c r="BG68" s="80">
        <f t="shared" si="112"/>
        <v>0</v>
      </c>
      <c r="BH68" s="70">
        <f t="shared" si="113"/>
        <v>0</v>
      </c>
      <c r="BI68" s="80">
        <f t="shared" si="114"/>
        <v>0</v>
      </c>
      <c r="BJ68" s="70">
        <f t="shared" si="115"/>
        <v>0</v>
      </c>
      <c r="BK68" s="82"/>
    </row>
    <row r="69" spans="2:63" ht="11.95" outlineLevel="2" thickBot="1" x14ac:dyDescent="0.3">
      <c r="B69" t="str">
        <f t="shared" ref="B69:B74" si="116">IF(LEFT(H69,3)="Mul", "#hiderow", "#showrow")</f>
        <v>#showrow</v>
      </c>
      <c r="E69" s="3"/>
      <c r="F69" s="3"/>
      <c r="G69" s="3"/>
      <c r="H69" s="255" t="s">
        <v>181</v>
      </c>
      <c r="I69" s="18"/>
      <c r="J69" s="18"/>
      <c r="K69" s="18"/>
      <c r="L69" s="78"/>
      <c r="M69" s="79">
        <v>103685.43</v>
      </c>
      <c r="N69" s="80">
        <f t="shared" si="89"/>
        <v>0.2542756312378322</v>
      </c>
      <c r="O69" s="79">
        <v>133276.53010275701</v>
      </c>
      <c r="P69" s="80">
        <f t="shared" si="90"/>
        <v>0.25838601634502179</v>
      </c>
      <c r="Q69" s="79">
        <v>133276.53010275701</v>
      </c>
      <c r="R69" s="80">
        <f t="shared" si="91"/>
        <v>0.25838601634502179</v>
      </c>
      <c r="S69" s="79">
        <v>53684.75</v>
      </c>
      <c r="T69" s="81">
        <f t="shared" si="92"/>
        <v>0.23696809551935541</v>
      </c>
      <c r="U69" s="80">
        <f t="shared" ref="U69:U74" si="117">IFERROR(($O69-M69)/ABS(M69),0)</f>
        <v>0.28539304030235507</v>
      </c>
      <c r="V69" s="70">
        <f t="shared" ref="V69:V74" si="118">IFERROR((O69-$M69), 0-$M69)</f>
        <v>29591.100102757016</v>
      </c>
      <c r="W69" s="80">
        <f t="shared" ref="W69:W74" si="119">IFERROR((Q69-$M69)/ABS($M69),0)</f>
        <v>0.28539304030235507</v>
      </c>
      <c r="X69" s="70">
        <f t="shared" ref="X69:X74" si="120">IFERROR((Q69-$M69), 0 -$M69)</f>
        <v>29591.100102757016</v>
      </c>
      <c r="Y69" s="80">
        <f t="shared" ref="Y69:Y74" si="121">IFERROR((S69-$M69)/ABS($M69),0)</f>
        <v>-0.48223438915187983</v>
      </c>
      <c r="Z69" s="70">
        <f t="shared" ref="Z69:Z74" si="122">IFERROR((S69-$M69),0-$M69)</f>
        <v>-50000.679999999993</v>
      </c>
      <c r="AA69" s="82"/>
      <c r="AC69" s="138">
        <v>103685.43</v>
      </c>
      <c r="AD69" s="138">
        <v>53684.75</v>
      </c>
      <c r="AE69" s="138">
        <v>133276.53010275701</v>
      </c>
      <c r="AF69" s="233"/>
      <c r="AG69" s="139"/>
      <c r="AH69" s="233"/>
      <c r="AI69" s="139"/>
      <c r="AK69" s="79">
        <v>103685.43</v>
      </c>
      <c r="AL69" s="80">
        <f t="shared" si="99"/>
        <v>0.2542756312378322</v>
      </c>
      <c r="AM69" s="79">
        <v>133276.53010275701</v>
      </c>
      <c r="AN69" s="80">
        <f t="shared" si="100"/>
        <v>0.25838601634502179</v>
      </c>
      <c r="AO69" s="79">
        <v>133276.53010275701</v>
      </c>
      <c r="AP69" s="80">
        <f t="shared" si="101"/>
        <v>0.25838601634502179</v>
      </c>
      <c r="AQ69" s="79">
        <v>53684.75</v>
      </c>
      <c r="AR69" s="81">
        <f t="shared" si="102"/>
        <v>0.23696809551935541</v>
      </c>
      <c r="AS69" s="80">
        <f t="shared" ref="AS69:AS74" si="123">IFERROR((AM69-$AK69)/ABS($AK69),0)</f>
        <v>0.28539304030235507</v>
      </c>
      <c r="AT69" s="70">
        <f t="shared" ref="AT69:AT74" si="124">(AM69-$AK69)</f>
        <v>29591.100102757016</v>
      </c>
      <c r="AU69" s="80">
        <f t="shared" ref="AU69:AU74" si="125">IFERROR((AO69-$AK69)/ABS($AO69),0)</f>
        <v>0.22202784001010606</v>
      </c>
      <c r="AV69" s="70">
        <f t="shared" ref="AV69:AV74" si="126">(AO69-$AK69)</f>
        <v>29591.100102757016</v>
      </c>
      <c r="AW69" s="80">
        <f t="shared" ref="AW69:AW74" si="127">IFERROR((AQ69-$AK69)/ABS($AK69),0)</f>
        <v>-0.48223438915187983</v>
      </c>
      <c r="AX69" s="70">
        <f t="shared" ref="AX69:AX74" si="128">(AQ69-$AK69)</f>
        <v>-50000.679999999993</v>
      </c>
      <c r="AY69" s="82"/>
      <c r="BA69" s="79">
        <v>1736630.7484786999</v>
      </c>
      <c r="BB69" s="80">
        <f t="shared" si="109"/>
        <v>0.25898789336480066</v>
      </c>
      <c r="BC69" s="79">
        <v>1736630.7484786999</v>
      </c>
      <c r="BD69" s="80">
        <f t="shared" si="110"/>
        <v>0.25898789336480066</v>
      </c>
      <c r="BE69" s="79">
        <v>1296439.33</v>
      </c>
      <c r="BF69" s="81">
        <f t="shared" si="111"/>
        <v>0.30665105051857988</v>
      </c>
      <c r="BG69" s="80">
        <f t="shared" ref="BG69:BG74" si="129">IFERROR((BC69-$BA69)/ABS($BA69),0)</f>
        <v>0</v>
      </c>
      <c r="BH69" s="70">
        <f t="shared" ref="BH69:BH74" si="130">(BC69-$BA69)</f>
        <v>0</v>
      </c>
      <c r="BI69" s="80">
        <f t="shared" ref="BI69:BI74" si="131">IFERROR((BE69-$BA69)/ABS($BA69),0)</f>
        <v>-0.25347438933942085</v>
      </c>
      <c r="BJ69" s="70">
        <f t="shared" ref="BJ69:BJ74" si="132">(BE69-$BA69)</f>
        <v>-440191.41847869987</v>
      </c>
      <c r="BK69" s="82"/>
    </row>
    <row r="70" spans="2:63" ht="11.95" outlineLevel="2" thickBot="1" x14ac:dyDescent="0.3">
      <c r="B70" t="str">
        <f t="shared" si="116"/>
        <v>#showrow</v>
      </c>
      <c r="E70" s="3"/>
      <c r="F70" s="3"/>
      <c r="G70" s="3"/>
      <c r="H70" s="255" t="s">
        <v>182</v>
      </c>
      <c r="I70" s="18"/>
      <c r="J70" s="18"/>
      <c r="K70" s="18"/>
      <c r="L70" s="78"/>
      <c r="M70" s="79">
        <v>22587.08</v>
      </c>
      <c r="N70" s="80">
        <f t="shared" si="89"/>
        <v>5.5392006618667791E-2</v>
      </c>
      <c r="O70" s="79"/>
      <c r="P70" s="80">
        <f t="shared" si="90"/>
        <v>0</v>
      </c>
      <c r="Q70" s="79"/>
      <c r="R70" s="80">
        <f t="shared" si="91"/>
        <v>0</v>
      </c>
      <c r="S70" s="79">
        <v>7183.8</v>
      </c>
      <c r="T70" s="81">
        <f t="shared" si="92"/>
        <v>3.1709776139256407E-2</v>
      </c>
      <c r="U70" s="80">
        <f t="shared" si="117"/>
        <v>-1</v>
      </c>
      <c r="V70" s="70">
        <f t="shared" si="118"/>
        <v>-22587.08</v>
      </c>
      <c r="W70" s="80">
        <f t="shared" si="119"/>
        <v>-1</v>
      </c>
      <c r="X70" s="70">
        <f t="shared" si="120"/>
        <v>-22587.08</v>
      </c>
      <c r="Y70" s="80">
        <f t="shared" si="121"/>
        <v>-0.68195092061479401</v>
      </c>
      <c r="Z70" s="70">
        <f t="shared" si="122"/>
        <v>-15403.280000000002</v>
      </c>
      <c r="AA70" s="82"/>
      <c r="AC70" s="138">
        <v>22587.08</v>
      </c>
      <c r="AD70" s="138">
        <v>7183.8</v>
      </c>
      <c r="AE70" s="138">
        <v>0</v>
      </c>
      <c r="AF70" s="233"/>
      <c r="AG70" s="139"/>
      <c r="AH70" s="233"/>
      <c r="AI70" s="139"/>
      <c r="AK70" s="79">
        <v>22587.08</v>
      </c>
      <c r="AL70" s="80">
        <f t="shared" si="99"/>
        <v>5.5392006618667791E-2</v>
      </c>
      <c r="AM70" s="79">
        <v>0</v>
      </c>
      <c r="AN70" s="80">
        <f t="shared" si="100"/>
        <v>0</v>
      </c>
      <c r="AO70" s="79">
        <v>0</v>
      </c>
      <c r="AP70" s="80">
        <f t="shared" si="101"/>
        <v>0</v>
      </c>
      <c r="AQ70" s="79">
        <v>7183.8</v>
      </c>
      <c r="AR70" s="81">
        <f t="shared" si="102"/>
        <v>3.1709776139256407E-2</v>
      </c>
      <c r="AS70" s="80">
        <f t="shared" si="123"/>
        <v>-1</v>
      </c>
      <c r="AT70" s="70">
        <f t="shared" si="124"/>
        <v>-22587.08</v>
      </c>
      <c r="AU70" s="80">
        <f t="shared" si="125"/>
        <v>0</v>
      </c>
      <c r="AV70" s="70">
        <f t="shared" si="126"/>
        <v>-22587.08</v>
      </c>
      <c r="AW70" s="80">
        <f t="shared" si="127"/>
        <v>-0.68195092061479401</v>
      </c>
      <c r="AX70" s="70">
        <f t="shared" si="128"/>
        <v>-15403.280000000002</v>
      </c>
      <c r="AY70" s="82"/>
      <c r="BA70" s="79">
        <v>0</v>
      </c>
      <c r="BB70" s="80">
        <f t="shared" si="109"/>
        <v>0</v>
      </c>
      <c r="BC70" s="79">
        <v>0</v>
      </c>
      <c r="BD70" s="80">
        <f t="shared" si="110"/>
        <v>0</v>
      </c>
      <c r="BE70" s="79">
        <v>159959.34</v>
      </c>
      <c r="BF70" s="81">
        <f t="shared" si="111"/>
        <v>3.7835707785306615E-2</v>
      </c>
      <c r="BG70" s="80">
        <f t="shared" si="129"/>
        <v>0</v>
      </c>
      <c r="BH70" s="70">
        <f t="shared" si="130"/>
        <v>0</v>
      </c>
      <c r="BI70" s="80">
        <f t="shared" si="131"/>
        <v>0</v>
      </c>
      <c r="BJ70" s="70">
        <f t="shared" si="132"/>
        <v>159959.34</v>
      </c>
      <c r="BK70" s="82"/>
    </row>
    <row r="71" spans="2:63" ht="11.95" outlineLevel="2" thickBot="1" x14ac:dyDescent="0.3">
      <c r="B71" t="str">
        <f t="shared" si="116"/>
        <v>#showrow</v>
      </c>
      <c r="E71" s="3"/>
      <c r="F71" s="3"/>
      <c r="G71" s="3"/>
      <c r="H71" s="255" t="s">
        <v>183</v>
      </c>
      <c r="I71" s="18"/>
      <c r="J71" s="18"/>
      <c r="K71" s="18"/>
      <c r="L71" s="78"/>
      <c r="M71" s="79">
        <v>17527.04</v>
      </c>
      <c r="N71" s="80">
        <f t="shared" si="89"/>
        <v>4.29828873712607E-2</v>
      </c>
      <c r="O71" s="79">
        <v>19991.479515413601</v>
      </c>
      <c r="P71" s="80">
        <f t="shared" si="90"/>
        <v>3.8757902451753361E-2</v>
      </c>
      <c r="Q71" s="79">
        <v>19991.479515413601</v>
      </c>
      <c r="R71" s="80">
        <f t="shared" si="91"/>
        <v>3.8757902451753361E-2</v>
      </c>
      <c r="S71" s="79">
        <v>-1634.61</v>
      </c>
      <c r="T71" s="81">
        <f t="shared" si="92"/>
        <v>-7.2152784285461607E-3</v>
      </c>
      <c r="U71" s="80">
        <f t="shared" si="117"/>
        <v>0.14060785594222414</v>
      </c>
      <c r="V71" s="70">
        <f t="shared" si="118"/>
        <v>2464.4395154136</v>
      </c>
      <c r="W71" s="80">
        <f t="shared" si="119"/>
        <v>0.14060785594222414</v>
      </c>
      <c r="X71" s="70">
        <f t="shared" si="120"/>
        <v>2464.4395154136</v>
      </c>
      <c r="Y71" s="80">
        <f t="shared" si="121"/>
        <v>-1.0932621823194333</v>
      </c>
      <c r="Z71" s="70">
        <f t="shared" si="122"/>
        <v>-19161.650000000001</v>
      </c>
      <c r="AA71" s="82"/>
      <c r="AC71" s="138">
        <v>17527.04</v>
      </c>
      <c r="AD71" s="138">
        <v>-1634.61</v>
      </c>
      <c r="AE71" s="138">
        <v>19991.479515413601</v>
      </c>
      <c r="AF71" s="233"/>
      <c r="AG71" s="139"/>
      <c r="AH71" s="233"/>
      <c r="AI71" s="139"/>
      <c r="AK71" s="79">
        <v>17527.04</v>
      </c>
      <c r="AL71" s="80">
        <f t="shared" si="99"/>
        <v>4.29828873712607E-2</v>
      </c>
      <c r="AM71" s="79">
        <v>19991.479515413601</v>
      </c>
      <c r="AN71" s="80">
        <f t="shared" si="100"/>
        <v>3.8757902451753361E-2</v>
      </c>
      <c r="AO71" s="79">
        <v>19991.479515413601</v>
      </c>
      <c r="AP71" s="80">
        <f t="shared" si="101"/>
        <v>3.8757902451753361E-2</v>
      </c>
      <c r="AQ71" s="79">
        <v>-1634.61</v>
      </c>
      <c r="AR71" s="81">
        <f t="shared" si="102"/>
        <v>-7.2152784285461607E-3</v>
      </c>
      <c r="AS71" s="80">
        <f t="shared" si="123"/>
        <v>0.14060785594222414</v>
      </c>
      <c r="AT71" s="70">
        <f t="shared" si="124"/>
        <v>2464.4395154136</v>
      </c>
      <c r="AU71" s="80">
        <f t="shared" si="125"/>
        <v>0.12327449369184988</v>
      </c>
      <c r="AV71" s="70">
        <f t="shared" si="126"/>
        <v>2464.4395154136</v>
      </c>
      <c r="AW71" s="80">
        <f t="shared" si="127"/>
        <v>-1.0932621823194333</v>
      </c>
      <c r="AX71" s="70">
        <f t="shared" si="128"/>
        <v>-19161.650000000001</v>
      </c>
      <c r="AY71" s="82"/>
      <c r="BA71" s="79">
        <v>260494.612271805</v>
      </c>
      <c r="BB71" s="80">
        <f t="shared" si="109"/>
        <v>3.88481840047201E-2</v>
      </c>
      <c r="BC71" s="79">
        <v>260494.612271805</v>
      </c>
      <c r="BD71" s="80">
        <f t="shared" si="110"/>
        <v>3.88481840047201E-2</v>
      </c>
      <c r="BE71" s="79">
        <v>272657.32</v>
      </c>
      <c r="BF71" s="81">
        <f t="shared" si="111"/>
        <v>6.4492530945956875E-2</v>
      </c>
      <c r="BG71" s="80">
        <f t="shared" si="129"/>
        <v>0</v>
      </c>
      <c r="BH71" s="70">
        <f t="shared" si="130"/>
        <v>0</v>
      </c>
      <c r="BI71" s="80">
        <f t="shared" si="131"/>
        <v>4.6690822593690361E-2</v>
      </c>
      <c r="BJ71" s="70">
        <f t="shared" si="132"/>
        <v>12162.707728195004</v>
      </c>
      <c r="BK71" s="82"/>
    </row>
    <row r="72" spans="2:63" ht="11.95" outlineLevel="2" thickBot="1" x14ac:dyDescent="0.3">
      <c r="B72" t="str">
        <f t="shared" si="116"/>
        <v>#showrow</v>
      </c>
      <c r="E72" s="3"/>
      <c r="F72" s="3"/>
      <c r="G72" s="3"/>
      <c r="H72" s="255" t="s">
        <v>184</v>
      </c>
      <c r="I72" s="18"/>
      <c r="J72" s="18"/>
      <c r="K72" s="18"/>
      <c r="L72" s="78"/>
      <c r="M72" s="79">
        <v>8273.7000000000007</v>
      </c>
      <c r="N72" s="80">
        <f t="shared" si="89"/>
        <v>2.0290221009571476E-2</v>
      </c>
      <c r="O72" s="79">
        <v>12000</v>
      </c>
      <c r="P72" s="80">
        <f t="shared" si="90"/>
        <v>2.3264652776821659E-2</v>
      </c>
      <c r="Q72" s="79">
        <v>12000</v>
      </c>
      <c r="R72" s="80">
        <f t="shared" si="91"/>
        <v>2.3264652776821659E-2</v>
      </c>
      <c r="S72" s="79">
        <v>11787</v>
      </c>
      <c r="T72" s="81">
        <f t="shared" si="92"/>
        <v>5.2028610394695737E-2</v>
      </c>
      <c r="U72" s="80">
        <f t="shared" si="117"/>
        <v>0.45037891149062681</v>
      </c>
      <c r="V72" s="70">
        <f t="shared" si="118"/>
        <v>3726.2999999999993</v>
      </c>
      <c r="W72" s="80">
        <f t="shared" si="119"/>
        <v>0.45037891149062681</v>
      </c>
      <c r="X72" s="70">
        <f t="shared" si="120"/>
        <v>3726.2999999999993</v>
      </c>
      <c r="Y72" s="80">
        <f t="shared" si="121"/>
        <v>0.42463468581166819</v>
      </c>
      <c r="Z72" s="70">
        <f t="shared" si="122"/>
        <v>3513.2999999999993</v>
      </c>
      <c r="AA72" s="82"/>
      <c r="AC72" s="138">
        <v>8273.7000000000007</v>
      </c>
      <c r="AD72" s="138">
        <v>11787</v>
      </c>
      <c r="AE72" s="138">
        <v>12000</v>
      </c>
      <c r="AF72" s="233"/>
      <c r="AG72" s="139"/>
      <c r="AH72" s="233"/>
      <c r="AI72" s="139"/>
      <c r="AK72" s="79">
        <v>8273.7000000000007</v>
      </c>
      <c r="AL72" s="80">
        <f t="shared" si="99"/>
        <v>2.0290221009571476E-2</v>
      </c>
      <c r="AM72" s="79">
        <v>12000</v>
      </c>
      <c r="AN72" s="80">
        <f t="shared" si="100"/>
        <v>2.3264652776821659E-2</v>
      </c>
      <c r="AO72" s="79">
        <v>12000</v>
      </c>
      <c r="AP72" s="80">
        <f t="shared" si="101"/>
        <v>2.3264652776821659E-2</v>
      </c>
      <c r="AQ72" s="79">
        <v>11787</v>
      </c>
      <c r="AR72" s="81">
        <f t="shared" si="102"/>
        <v>5.2028610394695737E-2</v>
      </c>
      <c r="AS72" s="80">
        <f t="shared" si="123"/>
        <v>0.45037891149062681</v>
      </c>
      <c r="AT72" s="70">
        <f t="shared" si="124"/>
        <v>3726.2999999999993</v>
      </c>
      <c r="AU72" s="80">
        <f t="shared" si="125"/>
        <v>0.31052499999999994</v>
      </c>
      <c r="AV72" s="70">
        <f t="shared" si="126"/>
        <v>3726.2999999999993</v>
      </c>
      <c r="AW72" s="80">
        <f t="shared" si="127"/>
        <v>0.42463468581166819</v>
      </c>
      <c r="AX72" s="70">
        <f t="shared" si="128"/>
        <v>3513.2999999999993</v>
      </c>
      <c r="AY72" s="82"/>
      <c r="BA72" s="79">
        <v>156000</v>
      </c>
      <c r="BB72" s="80">
        <f t="shared" si="109"/>
        <v>2.326465277682168E-2</v>
      </c>
      <c r="BC72" s="79">
        <v>156000</v>
      </c>
      <c r="BD72" s="80">
        <f t="shared" si="110"/>
        <v>2.326465277682168E-2</v>
      </c>
      <c r="BE72" s="79">
        <v>164954.03</v>
      </c>
      <c r="BF72" s="81">
        <f t="shared" si="111"/>
        <v>3.9017118206968723E-2</v>
      </c>
      <c r="BG72" s="80">
        <f t="shared" si="129"/>
        <v>0</v>
      </c>
      <c r="BH72" s="70">
        <f t="shared" si="130"/>
        <v>0</v>
      </c>
      <c r="BI72" s="80">
        <f t="shared" si="131"/>
        <v>5.7397628205128198E-2</v>
      </c>
      <c r="BJ72" s="70">
        <f t="shared" si="132"/>
        <v>8954.0299999999988</v>
      </c>
      <c r="BK72" s="82"/>
    </row>
    <row r="73" spans="2:63" ht="11.95" outlineLevel="2" thickBot="1" x14ac:dyDescent="0.3">
      <c r="B73" t="str">
        <f t="shared" si="116"/>
        <v>#showrow</v>
      </c>
      <c r="E73" s="3"/>
      <c r="F73" s="3"/>
      <c r="G73" s="3"/>
      <c r="H73" s="255" t="s">
        <v>185</v>
      </c>
      <c r="I73" s="18"/>
      <c r="J73" s="18"/>
      <c r="K73" s="18"/>
      <c r="L73" s="78"/>
      <c r="M73" s="79"/>
      <c r="N73" s="80">
        <f t="shared" si="89"/>
        <v>0</v>
      </c>
      <c r="O73" s="79">
        <v>5168.5737542815496</v>
      </c>
      <c r="P73" s="80">
        <f t="shared" si="90"/>
        <v>1.0020422812062817E-2</v>
      </c>
      <c r="Q73" s="79">
        <v>5168.5737542815496</v>
      </c>
      <c r="R73" s="80">
        <f t="shared" si="91"/>
        <v>1.0020422812062817E-2</v>
      </c>
      <c r="S73" s="79"/>
      <c r="T73" s="81">
        <f t="shared" si="92"/>
        <v>0</v>
      </c>
      <c r="U73" s="80">
        <f t="shared" si="117"/>
        <v>0</v>
      </c>
      <c r="V73" s="70">
        <f t="shared" si="118"/>
        <v>5168.5737542815496</v>
      </c>
      <c r="W73" s="80">
        <f t="shared" si="119"/>
        <v>0</v>
      </c>
      <c r="X73" s="70">
        <f t="shared" si="120"/>
        <v>5168.5737542815496</v>
      </c>
      <c r="Y73" s="80">
        <f t="shared" si="121"/>
        <v>0</v>
      </c>
      <c r="Z73" s="70">
        <f t="shared" si="122"/>
        <v>0</v>
      </c>
      <c r="AA73" s="82"/>
      <c r="AC73" s="138">
        <v>0</v>
      </c>
      <c r="AD73" s="138">
        <v>0</v>
      </c>
      <c r="AE73" s="138">
        <v>5168.5737542815496</v>
      </c>
      <c r="AF73" s="233"/>
      <c r="AG73" s="139"/>
      <c r="AH73" s="233"/>
      <c r="AI73" s="139"/>
      <c r="AK73" s="79">
        <v>0</v>
      </c>
      <c r="AL73" s="80">
        <f t="shared" si="99"/>
        <v>0</v>
      </c>
      <c r="AM73" s="79">
        <v>5168.5737542815496</v>
      </c>
      <c r="AN73" s="80">
        <f t="shared" si="100"/>
        <v>1.0020422812062817E-2</v>
      </c>
      <c r="AO73" s="79">
        <v>5168.5737542815496</v>
      </c>
      <c r="AP73" s="80">
        <f t="shared" si="101"/>
        <v>1.0020422812062817E-2</v>
      </c>
      <c r="AQ73" s="79">
        <v>0</v>
      </c>
      <c r="AR73" s="81">
        <f t="shared" si="102"/>
        <v>0</v>
      </c>
      <c r="AS73" s="80">
        <f t="shared" si="123"/>
        <v>0</v>
      </c>
      <c r="AT73" s="70">
        <f t="shared" si="124"/>
        <v>5168.5737542815496</v>
      </c>
      <c r="AU73" s="80">
        <f t="shared" si="125"/>
        <v>1</v>
      </c>
      <c r="AV73" s="70">
        <f t="shared" si="126"/>
        <v>5168.5737542815496</v>
      </c>
      <c r="AW73" s="80">
        <f t="shared" si="127"/>
        <v>0</v>
      </c>
      <c r="AX73" s="70">
        <f t="shared" si="128"/>
        <v>0</v>
      </c>
      <c r="AY73" s="82"/>
      <c r="BA73" s="79">
        <v>74178.110326103793</v>
      </c>
      <c r="BB73" s="80">
        <f t="shared" si="109"/>
        <v>1.1062358848574202E-2</v>
      </c>
      <c r="BC73" s="79">
        <v>74178.110326103793</v>
      </c>
      <c r="BD73" s="80">
        <f t="shared" si="110"/>
        <v>1.1062358848574202E-2</v>
      </c>
      <c r="BE73" s="79">
        <v>51106</v>
      </c>
      <c r="BF73" s="81">
        <f t="shared" si="111"/>
        <v>1.2088269944573913E-2</v>
      </c>
      <c r="BG73" s="80">
        <f t="shared" si="129"/>
        <v>0</v>
      </c>
      <c r="BH73" s="70">
        <f t="shared" si="130"/>
        <v>0</v>
      </c>
      <c r="BI73" s="80">
        <f t="shared" si="131"/>
        <v>-0.31103664173532547</v>
      </c>
      <c r="BJ73" s="70">
        <f t="shared" si="132"/>
        <v>-23072.110326103793</v>
      </c>
      <c r="BK73" s="82"/>
    </row>
    <row r="74" spans="2:63" ht="11.95" outlineLevel="2" thickBot="1" x14ac:dyDescent="0.3">
      <c r="B74" t="str">
        <f t="shared" si="116"/>
        <v>#showrow</v>
      </c>
      <c r="E74" s="3"/>
      <c r="F74" s="3"/>
      <c r="G74" s="3"/>
      <c r="H74" s="255" t="s">
        <v>186</v>
      </c>
      <c r="I74" s="18"/>
      <c r="J74" s="18"/>
      <c r="K74" s="18"/>
      <c r="L74" s="78"/>
      <c r="M74" s="79">
        <v>13161.5</v>
      </c>
      <c r="N74" s="80">
        <f t="shared" si="89"/>
        <v>3.2276943062653343E-2</v>
      </c>
      <c r="O74" s="79"/>
      <c r="P74" s="80">
        <f t="shared" si="90"/>
        <v>0</v>
      </c>
      <c r="Q74" s="79"/>
      <c r="R74" s="80">
        <f t="shared" si="91"/>
        <v>0</v>
      </c>
      <c r="S74" s="79">
        <v>7464.16</v>
      </c>
      <c r="T74" s="81">
        <f t="shared" si="92"/>
        <v>3.2947304026781379E-2</v>
      </c>
      <c r="U74" s="80">
        <f t="shared" si="117"/>
        <v>-1</v>
      </c>
      <c r="V74" s="70">
        <f t="shared" si="118"/>
        <v>-13161.5</v>
      </c>
      <c r="W74" s="80">
        <f t="shared" si="119"/>
        <v>-1</v>
      </c>
      <c r="X74" s="70">
        <f t="shared" si="120"/>
        <v>-13161.5</v>
      </c>
      <c r="Y74" s="80">
        <f t="shared" si="121"/>
        <v>-0.43287923109068116</v>
      </c>
      <c r="Z74" s="70">
        <f t="shared" si="122"/>
        <v>-5697.34</v>
      </c>
      <c r="AA74" s="82"/>
      <c r="AC74" s="138">
        <v>13161.5</v>
      </c>
      <c r="AD74" s="138">
        <v>7464.16</v>
      </c>
      <c r="AE74" s="138">
        <v>0</v>
      </c>
      <c r="AF74" s="233"/>
      <c r="AG74" s="139"/>
      <c r="AH74" s="233"/>
      <c r="AI74" s="139"/>
      <c r="AK74" s="79">
        <v>13161.5</v>
      </c>
      <c r="AL74" s="80">
        <f t="shared" si="99"/>
        <v>3.2276943062653343E-2</v>
      </c>
      <c r="AM74" s="79">
        <v>0</v>
      </c>
      <c r="AN74" s="80">
        <f t="shared" si="100"/>
        <v>0</v>
      </c>
      <c r="AO74" s="79">
        <v>0</v>
      </c>
      <c r="AP74" s="80">
        <f t="shared" si="101"/>
        <v>0</v>
      </c>
      <c r="AQ74" s="79">
        <v>7464.16</v>
      </c>
      <c r="AR74" s="81">
        <f t="shared" si="102"/>
        <v>3.2947304026781379E-2</v>
      </c>
      <c r="AS74" s="80">
        <f t="shared" si="123"/>
        <v>-1</v>
      </c>
      <c r="AT74" s="70">
        <f t="shared" si="124"/>
        <v>-13161.5</v>
      </c>
      <c r="AU74" s="80">
        <f t="shared" si="125"/>
        <v>0</v>
      </c>
      <c r="AV74" s="70">
        <f t="shared" si="126"/>
        <v>-13161.5</v>
      </c>
      <c r="AW74" s="80">
        <f t="shared" si="127"/>
        <v>-0.43287923109068116</v>
      </c>
      <c r="AX74" s="70">
        <f t="shared" si="128"/>
        <v>-5697.34</v>
      </c>
      <c r="AY74" s="82"/>
      <c r="BA74" s="79">
        <v>0</v>
      </c>
      <c r="BB74" s="80">
        <f t="shared" si="109"/>
        <v>0</v>
      </c>
      <c r="BC74" s="79">
        <v>0</v>
      </c>
      <c r="BD74" s="80">
        <f t="shared" si="110"/>
        <v>0</v>
      </c>
      <c r="BE74" s="79">
        <v>55898.99</v>
      </c>
      <c r="BF74" s="81">
        <f t="shared" si="111"/>
        <v>1.3221971603119746E-2</v>
      </c>
      <c r="BG74" s="80">
        <f t="shared" si="129"/>
        <v>0</v>
      </c>
      <c r="BH74" s="70">
        <f t="shared" si="130"/>
        <v>0</v>
      </c>
      <c r="BI74" s="80">
        <f t="shared" si="131"/>
        <v>0</v>
      </c>
      <c r="BJ74" s="70">
        <f t="shared" si="132"/>
        <v>55898.99</v>
      </c>
      <c r="BK74" s="82"/>
    </row>
    <row r="75" spans="2:63" ht="11.95" outlineLevel="1" thickBot="1" x14ac:dyDescent="0.3">
      <c r="E75" s="3"/>
      <c r="F75" s="3"/>
      <c r="G75" s="3"/>
      <c r="H75" s="256" t="s">
        <v>105</v>
      </c>
      <c r="I75" s="18"/>
      <c r="J75" s="18"/>
      <c r="K75" s="18"/>
      <c r="L75" s="78"/>
      <c r="M75" s="79">
        <v>3070.79</v>
      </c>
      <c r="N75" s="80">
        <f t="shared" si="89"/>
        <v>7.5307308427888364E-3</v>
      </c>
      <c r="O75" s="79">
        <v>3500</v>
      </c>
      <c r="P75" s="80">
        <f t="shared" si="90"/>
        <v>6.785523726572984E-3</v>
      </c>
      <c r="Q75" s="79">
        <v>3500</v>
      </c>
      <c r="R75" s="80">
        <f t="shared" si="91"/>
        <v>6.785523726572984E-3</v>
      </c>
      <c r="S75" s="79">
        <v>6439.46</v>
      </c>
      <c r="T75" s="81">
        <f t="shared" si="92"/>
        <v>2.8424209340139766E-2</v>
      </c>
      <c r="U75" s="80">
        <f t="shared" si="93"/>
        <v>0.13977185024049188</v>
      </c>
      <c r="V75" s="70">
        <f t="shared" si="94"/>
        <v>429.21000000000004</v>
      </c>
      <c r="W75" s="80">
        <f t="shared" si="95"/>
        <v>0.13977185024049188</v>
      </c>
      <c r="X75" s="70">
        <f t="shared" si="96"/>
        <v>429.21000000000004</v>
      </c>
      <c r="Y75" s="80">
        <f t="shared" si="97"/>
        <v>1.097004353928468</v>
      </c>
      <c r="Z75" s="70">
        <f t="shared" si="98"/>
        <v>3368.67</v>
      </c>
      <c r="AA75" s="82"/>
      <c r="AC75" s="138">
        <v>3070.79</v>
      </c>
      <c r="AD75" s="138">
        <v>6439.46</v>
      </c>
      <c r="AE75" s="138">
        <v>3500</v>
      </c>
      <c r="AF75" s="233"/>
      <c r="AG75" s="139"/>
      <c r="AH75" s="233"/>
      <c r="AI75" s="139"/>
      <c r="AK75" s="79">
        <v>3070.79</v>
      </c>
      <c r="AL75" s="80">
        <f t="shared" si="99"/>
        <v>7.5307308427888364E-3</v>
      </c>
      <c r="AM75" s="79">
        <v>3500</v>
      </c>
      <c r="AN75" s="80">
        <f t="shared" si="100"/>
        <v>6.785523726572984E-3</v>
      </c>
      <c r="AO75" s="79">
        <v>3500</v>
      </c>
      <c r="AP75" s="80">
        <f t="shared" si="101"/>
        <v>6.785523726572984E-3</v>
      </c>
      <c r="AQ75" s="79">
        <v>6439.46</v>
      </c>
      <c r="AR75" s="81">
        <f t="shared" si="102"/>
        <v>2.8424209340139766E-2</v>
      </c>
      <c r="AS75" s="80">
        <f t="shared" si="103"/>
        <v>0.13977185024049188</v>
      </c>
      <c r="AT75" s="70">
        <f t="shared" si="104"/>
        <v>429.21000000000004</v>
      </c>
      <c r="AU75" s="80">
        <f t="shared" si="105"/>
        <v>0.12263142857142859</v>
      </c>
      <c r="AV75" s="70">
        <f t="shared" si="106"/>
        <v>429.21000000000004</v>
      </c>
      <c r="AW75" s="80">
        <f t="shared" si="107"/>
        <v>1.097004353928468</v>
      </c>
      <c r="AX75" s="70">
        <f t="shared" si="108"/>
        <v>3368.67</v>
      </c>
      <c r="AY75" s="82"/>
      <c r="BA75" s="79">
        <v>42000</v>
      </c>
      <c r="BB75" s="80">
        <f t="shared" si="109"/>
        <v>6.2635603629904524E-3</v>
      </c>
      <c r="BC75" s="79">
        <v>42000</v>
      </c>
      <c r="BD75" s="80">
        <f t="shared" si="110"/>
        <v>6.2635603629904524E-3</v>
      </c>
      <c r="BE75" s="79">
        <v>55152.01</v>
      </c>
      <c r="BF75" s="81">
        <f t="shared" si="111"/>
        <v>1.3045285971624465E-2</v>
      </c>
      <c r="BG75" s="80">
        <f t="shared" si="112"/>
        <v>0</v>
      </c>
      <c r="BH75" s="70">
        <f t="shared" si="113"/>
        <v>0</v>
      </c>
      <c r="BI75" s="80">
        <f t="shared" si="114"/>
        <v>0.3131430952380953</v>
      </c>
      <c r="BJ75" s="70">
        <f t="shared" si="115"/>
        <v>13152.010000000002</v>
      </c>
      <c r="BK75" s="82"/>
    </row>
    <row r="76" spans="2:63" ht="11.95" hidden="1" outlineLevel="2" thickBot="1" x14ac:dyDescent="0.3">
      <c r="B76" t="str">
        <f t="shared" ref="B76" si="133">IF(LEFT(H76,3)="Mul", "#hiderow", "#showrow")</f>
        <v>#hiderow</v>
      </c>
      <c r="E76" s="3"/>
      <c r="F76" s="3"/>
      <c r="G76" s="3"/>
      <c r="H76" s="255" t="s">
        <v>6</v>
      </c>
      <c r="I76" s="18"/>
      <c r="J76" s="18"/>
      <c r="K76" s="18"/>
      <c r="L76" s="78"/>
      <c r="M76" s="79"/>
      <c r="N76" s="80">
        <f t="shared" si="89"/>
        <v>0</v>
      </c>
      <c r="O76" s="79"/>
      <c r="P76" s="80">
        <f t="shared" si="90"/>
        <v>0</v>
      </c>
      <c r="Q76" s="79"/>
      <c r="R76" s="80">
        <f t="shared" si="91"/>
        <v>0</v>
      </c>
      <c r="S76" s="79"/>
      <c r="T76" s="81">
        <f t="shared" si="92"/>
        <v>0</v>
      </c>
      <c r="U76" s="80">
        <f t="shared" si="93"/>
        <v>0</v>
      </c>
      <c r="V76" s="70">
        <f t="shared" si="94"/>
        <v>0</v>
      </c>
      <c r="W76" s="80">
        <f t="shared" si="95"/>
        <v>0</v>
      </c>
      <c r="X76" s="70">
        <f t="shared" si="96"/>
        <v>0</v>
      </c>
      <c r="Y76" s="80">
        <f t="shared" si="97"/>
        <v>0</v>
      </c>
      <c r="Z76" s="70">
        <f t="shared" si="98"/>
        <v>0</v>
      </c>
      <c r="AA76" s="82"/>
      <c r="AC76" s="138"/>
      <c r="AD76" s="138"/>
      <c r="AE76" s="138"/>
      <c r="AF76" s="233"/>
      <c r="AG76" s="139"/>
      <c r="AH76" s="233"/>
      <c r="AI76" s="139"/>
      <c r="AK76" s="79"/>
      <c r="AL76" s="80">
        <f t="shared" si="99"/>
        <v>0</v>
      </c>
      <c r="AM76" s="79"/>
      <c r="AN76" s="80">
        <f t="shared" si="100"/>
        <v>0</v>
      </c>
      <c r="AO76" s="79"/>
      <c r="AP76" s="80">
        <f t="shared" si="101"/>
        <v>0</v>
      </c>
      <c r="AQ76" s="79"/>
      <c r="AR76" s="81">
        <f t="shared" si="102"/>
        <v>0</v>
      </c>
      <c r="AS76" s="80">
        <f t="shared" si="103"/>
        <v>0</v>
      </c>
      <c r="AT76" s="70">
        <f t="shared" si="104"/>
        <v>0</v>
      </c>
      <c r="AU76" s="80">
        <f t="shared" si="105"/>
        <v>0</v>
      </c>
      <c r="AV76" s="70">
        <f t="shared" si="106"/>
        <v>0</v>
      </c>
      <c r="AW76" s="80">
        <f t="shared" si="107"/>
        <v>0</v>
      </c>
      <c r="AX76" s="70">
        <f t="shared" si="108"/>
        <v>0</v>
      </c>
      <c r="AY76" s="82"/>
      <c r="BA76" s="79"/>
      <c r="BB76" s="80">
        <f t="shared" si="109"/>
        <v>0</v>
      </c>
      <c r="BC76" s="79"/>
      <c r="BD76" s="80">
        <f t="shared" si="110"/>
        <v>0</v>
      </c>
      <c r="BE76" s="79"/>
      <c r="BF76" s="81">
        <f t="shared" si="111"/>
        <v>0</v>
      </c>
      <c r="BG76" s="80">
        <f t="shared" si="112"/>
        <v>0</v>
      </c>
      <c r="BH76" s="70">
        <f t="shared" si="113"/>
        <v>0</v>
      </c>
      <c r="BI76" s="80">
        <f t="shared" si="114"/>
        <v>0</v>
      </c>
      <c r="BJ76" s="70">
        <f t="shared" si="115"/>
        <v>0</v>
      </c>
      <c r="BK76" s="82"/>
    </row>
    <row r="77" spans="2:63" ht="11.95" outlineLevel="2" thickBot="1" x14ac:dyDescent="0.3">
      <c r="B77" t="str">
        <f t="shared" ref="B77:B88" si="134">IF(LEFT(H77,3)="Mul", "#hiderow", "#showrow")</f>
        <v>#showrow</v>
      </c>
      <c r="E77" s="3"/>
      <c r="F77" s="3"/>
      <c r="G77" s="3"/>
      <c r="H77" s="255" t="s">
        <v>164</v>
      </c>
      <c r="I77" s="18"/>
      <c r="J77" s="18"/>
      <c r="K77" s="18"/>
      <c r="L77" s="78"/>
      <c r="M77" s="79">
        <v>2550</v>
      </c>
      <c r="N77" s="80">
        <f t="shared" si="89"/>
        <v>6.2535580906253867E-3</v>
      </c>
      <c r="O77" s="79">
        <v>3500</v>
      </c>
      <c r="P77" s="80">
        <f t="shared" si="90"/>
        <v>6.785523726572984E-3</v>
      </c>
      <c r="Q77" s="79">
        <v>3500</v>
      </c>
      <c r="R77" s="80">
        <f t="shared" si="91"/>
        <v>6.785523726572984E-3</v>
      </c>
      <c r="S77" s="79"/>
      <c r="T77" s="81">
        <f t="shared" si="92"/>
        <v>0</v>
      </c>
      <c r="U77" s="80">
        <f t="shared" ref="U77:U88" si="135">IFERROR(($O77-M77)/ABS(M77),0)</f>
        <v>0.37254901960784315</v>
      </c>
      <c r="V77" s="70">
        <f t="shared" ref="V77:V88" si="136">IFERROR((O77-$M77), 0-$M77)</f>
        <v>950</v>
      </c>
      <c r="W77" s="80">
        <f t="shared" ref="W77:W88" si="137">IFERROR((Q77-$M77)/ABS($M77),0)</f>
        <v>0.37254901960784315</v>
      </c>
      <c r="X77" s="70">
        <f t="shared" ref="X77:X88" si="138">IFERROR((Q77-$M77), 0 -$M77)</f>
        <v>950</v>
      </c>
      <c r="Y77" s="80">
        <f t="shared" ref="Y77:Y88" si="139">IFERROR((S77-$M77)/ABS($M77),0)</f>
        <v>-1</v>
      </c>
      <c r="Z77" s="70">
        <f t="shared" ref="Z77:Z88" si="140">IFERROR((S77-$M77),0-$M77)</f>
        <v>-2550</v>
      </c>
      <c r="AA77" s="82"/>
      <c r="AC77" s="138">
        <v>2550</v>
      </c>
      <c r="AD77" s="138">
        <v>0</v>
      </c>
      <c r="AE77" s="138">
        <v>3500</v>
      </c>
      <c r="AF77" s="233"/>
      <c r="AG77" s="139"/>
      <c r="AH77" s="233"/>
      <c r="AI77" s="139"/>
      <c r="AK77" s="79">
        <v>2550</v>
      </c>
      <c r="AL77" s="80">
        <f t="shared" si="99"/>
        <v>6.2535580906253867E-3</v>
      </c>
      <c r="AM77" s="79">
        <v>3500</v>
      </c>
      <c r="AN77" s="80">
        <f t="shared" si="100"/>
        <v>6.785523726572984E-3</v>
      </c>
      <c r="AO77" s="79">
        <v>3500</v>
      </c>
      <c r="AP77" s="80">
        <f t="shared" si="101"/>
        <v>6.785523726572984E-3</v>
      </c>
      <c r="AQ77" s="79">
        <v>0</v>
      </c>
      <c r="AR77" s="81">
        <f t="shared" si="102"/>
        <v>0</v>
      </c>
      <c r="AS77" s="80">
        <f t="shared" ref="AS77:AS88" si="141">IFERROR((AM77-$AK77)/ABS($AK77),0)</f>
        <v>0.37254901960784315</v>
      </c>
      <c r="AT77" s="70">
        <f t="shared" ref="AT77:AT88" si="142">(AM77-$AK77)</f>
        <v>950</v>
      </c>
      <c r="AU77" s="80">
        <f t="shared" ref="AU77:AU88" si="143">IFERROR((AO77-$AK77)/ABS($AO77),0)</f>
        <v>0.27142857142857141</v>
      </c>
      <c r="AV77" s="70">
        <f t="shared" ref="AV77:AV88" si="144">(AO77-$AK77)</f>
        <v>950</v>
      </c>
      <c r="AW77" s="80">
        <f t="shared" ref="AW77:AW88" si="145">IFERROR((AQ77-$AK77)/ABS($AK77),0)</f>
        <v>-1</v>
      </c>
      <c r="AX77" s="70">
        <f t="shared" ref="AX77:AX88" si="146">(AQ77-$AK77)</f>
        <v>-2550</v>
      </c>
      <c r="AY77" s="82"/>
      <c r="BA77" s="79">
        <v>42000</v>
      </c>
      <c r="BB77" s="80">
        <f t="shared" si="109"/>
        <v>6.2635603629904524E-3</v>
      </c>
      <c r="BC77" s="79">
        <v>42000</v>
      </c>
      <c r="BD77" s="80">
        <f t="shared" si="110"/>
        <v>6.2635603629904524E-3</v>
      </c>
      <c r="BE77" s="79">
        <v>15095.23</v>
      </c>
      <c r="BF77" s="81">
        <f t="shared" si="111"/>
        <v>3.5705243046888911E-3</v>
      </c>
      <c r="BG77" s="80">
        <f t="shared" ref="BG77:BG88" si="147">IFERROR((BC77-$BA77)/ABS($BA77),0)</f>
        <v>0</v>
      </c>
      <c r="BH77" s="70">
        <f t="shared" ref="BH77:BH88" si="148">(BC77-$BA77)</f>
        <v>0</v>
      </c>
      <c r="BI77" s="80">
        <f t="shared" ref="BI77:BI88" si="149">IFERROR((BE77-$BA77)/ABS($BA77),0)</f>
        <v>-0.64058976190476191</v>
      </c>
      <c r="BJ77" s="70">
        <f t="shared" ref="BJ77:BJ88" si="150">(BE77-$BA77)</f>
        <v>-26904.77</v>
      </c>
      <c r="BK77" s="82"/>
    </row>
    <row r="78" spans="2:63" ht="11.95" outlineLevel="2" thickBot="1" x14ac:dyDescent="0.3">
      <c r="B78" t="str">
        <f t="shared" si="134"/>
        <v>#showrow</v>
      </c>
      <c r="E78" s="3"/>
      <c r="F78" s="3"/>
      <c r="G78" s="3"/>
      <c r="H78" s="255" t="s">
        <v>473</v>
      </c>
      <c r="I78" s="18"/>
      <c r="J78" s="18"/>
      <c r="K78" s="18"/>
      <c r="L78" s="78"/>
      <c r="M78" s="79"/>
      <c r="N78" s="80">
        <f t="shared" si="89"/>
        <v>0</v>
      </c>
      <c r="O78" s="79"/>
      <c r="P78" s="80">
        <f t="shared" si="90"/>
        <v>0</v>
      </c>
      <c r="Q78" s="79"/>
      <c r="R78" s="80">
        <f t="shared" si="91"/>
        <v>0</v>
      </c>
      <c r="S78" s="79"/>
      <c r="T78" s="81">
        <f t="shared" si="92"/>
        <v>0</v>
      </c>
      <c r="U78" s="80">
        <f t="shared" si="135"/>
        <v>0</v>
      </c>
      <c r="V78" s="70">
        <f t="shared" si="136"/>
        <v>0</v>
      </c>
      <c r="W78" s="80">
        <f t="shared" si="137"/>
        <v>0</v>
      </c>
      <c r="X78" s="70">
        <f t="shared" si="138"/>
        <v>0</v>
      </c>
      <c r="Y78" s="80">
        <f t="shared" si="139"/>
        <v>0</v>
      </c>
      <c r="Z78" s="70">
        <f t="shared" si="140"/>
        <v>0</v>
      </c>
      <c r="AA78" s="82"/>
      <c r="AC78" s="138">
        <v>0</v>
      </c>
      <c r="AD78" s="138">
        <v>0</v>
      </c>
      <c r="AE78" s="138">
        <v>0</v>
      </c>
      <c r="AF78" s="233"/>
      <c r="AG78" s="139"/>
      <c r="AH78" s="233"/>
      <c r="AI78" s="139"/>
      <c r="AK78" s="79">
        <v>0</v>
      </c>
      <c r="AL78" s="80">
        <f t="shared" si="99"/>
        <v>0</v>
      </c>
      <c r="AM78" s="79">
        <v>0</v>
      </c>
      <c r="AN78" s="80">
        <f t="shared" si="100"/>
        <v>0</v>
      </c>
      <c r="AO78" s="79">
        <v>0</v>
      </c>
      <c r="AP78" s="80">
        <f t="shared" si="101"/>
        <v>0</v>
      </c>
      <c r="AQ78" s="79">
        <v>0</v>
      </c>
      <c r="AR78" s="81">
        <f t="shared" si="102"/>
        <v>0</v>
      </c>
      <c r="AS78" s="80">
        <f t="shared" si="141"/>
        <v>0</v>
      </c>
      <c r="AT78" s="70">
        <f t="shared" si="142"/>
        <v>0</v>
      </c>
      <c r="AU78" s="80">
        <f t="shared" si="143"/>
        <v>0</v>
      </c>
      <c r="AV78" s="70">
        <f t="shared" si="144"/>
        <v>0</v>
      </c>
      <c r="AW78" s="80">
        <f t="shared" si="145"/>
        <v>0</v>
      </c>
      <c r="AX78" s="70">
        <f t="shared" si="146"/>
        <v>0</v>
      </c>
      <c r="AY78" s="82"/>
      <c r="BA78" s="79">
        <v>0</v>
      </c>
      <c r="BB78" s="80">
        <f t="shared" si="109"/>
        <v>0</v>
      </c>
      <c r="BC78" s="79">
        <v>0</v>
      </c>
      <c r="BD78" s="80">
        <f t="shared" si="110"/>
        <v>0</v>
      </c>
      <c r="BE78" s="79">
        <v>26.9</v>
      </c>
      <c r="BF78" s="81">
        <f t="shared" si="111"/>
        <v>6.3627453040550666E-6</v>
      </c>
      <c r="BG78" s="80">
        <f t="shared" si="147"/>
        <v>0</v>
      </c>
      <c r="BH78" s="70">
        <f t="shared" si="148"/>
        <v>0</v>
      </c>
      <c r="BI78" s="80">
        <f t="shared" si="149"/>
        <v>0</v>
      </c>
      <c r="BJ78" s="70">
        <f t="shared" si="150"/>
        <v>26.9</v>
      </c>
      <c r="BK78" s="82"/>
    </row>
    <row r="79" spans="2:63" ht="11.95" outlineLevel="2" thickBot="1" x14ac:dyDescent="0.3">
      <c r="B79" t="str">
        <f t="shared" si="134"/>
        <v>#showrow</v>
      </c>
      <c r="E79" s="3"/>
      <c r="F79" s="3"/>
      <c r="G79" s="3"/>
      <c r="H79" s="255" t="s">
        <v>165</v>
      </c>
      <c r="I79" s="18"/>
      <c r="J79" s="18"/>
      <c r="K79" s="18"/>
      <c r="L79" s="78"/>
      <c r="M79" s="79"/>
      <c r="N79" s="80">
        <f t="shared" si="89"/>
        <v>0</v>
      </c>
      <c r="O79" s="79"/>
      <c r="P79" s="80">
        <f t="shared" si="90"/>
        <v>0</v>
      </c>
      <c r="Q79" s="79"/>
      <c r="R79" s="80">
        <f t="shared" si="91"/>
        <v>0</v>
      </c>
      <c r="S79" s="79">
        <v>127.81</v>
      </c>
      <c r="T79" s="81">
        <f t="shared" si="92"/>
        <v>5.6416193217494377E-4</v>
      </c>
      <c r="U79" s="80">
        <f t="shared" si="135"/>
        <v>0</v>
      </c>
      <c r="V79" s="70">
        <f t="shared" si="136"/>
        <v>0</v>
      </c>
      <c r="W79" s="80">
        <f t="shared" si="137"/>
        <v>0</v>
      </c>
      <c r="X79" s="70">
        <f t="shared" si="138"/>
        <v>0</v>
      </c>
      <c r="Y79" s="80">
        <f t="shared" si="139"/>
        <v>0</v>
      </c>
      <c r="Z79" s="70">
        <f t="shared" si="140"/>
        <v>127.81</v>
      </c>
      <c r="AA79" s="82"/>
      <c r="AC79" s="138">
        <v>0</v>
      </c>
      <c r="AD79" s="138">
        <v>127.81</v>
      </c>
      <c r="AE79" s="138">
        <v>0</v>
      </c>
      <c r="AF79" s="233"/>
      <c r="AG79" s="139"/>
      <c r="AH79" s="233"/>
      <c r="AI79" s="139"/>
      <c r="AK79" s="79">
        <v>0</v>
      </c>
      <c r="AL79" s="80">
        <f t="shared" si="99"/>
        <v>0</v>
      </c>
      <c r="AM79" s="79">
        <v>0</v>
      </c>
      <c r="AN79" s="80">
        <f t="shared" si="100"/>
        <v>0</v>
      </c>
      <c r="AO79" s="79">
        <v>0</v>
      </c>
      <c r="AP79" s="80">
        <f t="shared" si="101"/>
        <v>0</v>
      </c>
      <c r="AQ79" s="79">
        <v>127.81</v>
      </c>
      <c r="AR79" s="81">
        <f t="shared" si="102"/>
        <v>5.6416193217494377E-4</v>
      </c>
      <c r="AS79" s="80">
        <f t="shared" si="141"/>
        <v>0</v>
      </c>
      <c r="AT79" s="70">
        <f t="shared" si="142"/>
        <v>0</v>
      </c>
      <c r="AU79" s="80">
        <f t="shared" si="143"/>
        <v>0</v>
      </c>
      <c r="AV79" s="70">
        <f t="shared" si="144"/>
        <v>0</v>
      </c>
      <c r="AW79" s="80">
        <f t="shared" si="145"/>
        <v>0</v>
      </c>
      <c r="AX79" s="70">
        <f t="shared" si="146"/>
        <v>127.81</v>
      </c>
      <c r="AY79" s="82"/>
      <c r="BA79" s="79">
        <v>0</v>
      </c>
      <c r="BB79" s="80">
        <f t="shared" si="109"/>
        <v>0</v>
      </c>
      <c r="BC79" s="79">
        <v>0</v>
      </c>
      <c r="BD79" s="80">
        <f t="shared" si="110"/>
        <v>0</v>
      </c>
      <c r="BE79" s="79">
        <v>1097.08</v>
      </c>
      <c r="BF79" s="81">
        <f t="shared" si="111"/>
        <v>2.5949593376106814E-4</v>
      </c>
      <c r="BG79" s="80">
        <f t="shared" si="147"/>
        <v>0</v>
      </c>
      <c r="BH79" s="70">
        <f t="shared" si="148"/>
        <v>0</v>
      </c>
      <c r="BI79" s="80">
        <f t="shared" si="149"/>
        <v>0</v>
      </c>
      <c r="BJ79" s="70">
        <f t="shared" si="150"/>
        <v>1097.08</v>
      </c>
      <c r="BK79" s="82"/>
    </row>
    <row r="80" spans="2:63" ht="11.95" outlineLevel="2" thickBot="1" x14ac:dyDescent="0.3">
      <c r="B80" t="str">
        <f t="shared" si="134"/>
        <v>#showrow</v>
      </c>
      <c r="E80" s="3"/>
      <c r="F80" s="3"/>
      <c r="G80" s="3"/>
      <c r="H80" s="255" t="s">
        <v>166</v>
      </c>
      <c r="I80" s="18"/>
      <c r="J80" s="18"/>
      <c r="K80" s="18"/>
      <c r="L80" s="78"/>
      <c r="M80" s="79"/>
      <c r="N80" s="80">
        <f t="shared" si="89"/>
        <v>0</v>
      </c>
      <c r="O80" s="79"/>
      <c r="P80" s="80">
        <f t="shared" si="90"/>
        <v>0</v>
      </c>
      <c r="Q80" s="79"/>
      <c r="R80" s="80">
        <f t="shared" si="91"/>
        <v>0</v>
      </c>
      <c r="S80" s="79"/>
      <c r="T80" s="81">
        <f t="shared" si="92"/>
        <v>0</v>
      </c>
      <c r="U80" s="80">
        <f t="shared" si="135"/>
        <v>0</v>
      </c>
      <c r="V80" s="70">
        <f t="shared" si="136"/>
        <v>0</v>
      </c>
      <c r="W80" s="80">
        <f t="shared" si="137"/>
        <v>0</v>
      </c>
      <c r="X80" s="70">
        <f t="shared" si="138"/>
        <v>0</v>
      </c>
      <c r="Y80" s="80">
        <f t="shared" si="139"/>
        <v>0</v>
      </c>
      <c r="Z80" s="70">
        <f t="shared" si="140"/>
        <v>0</v>
      </c>
      <c r="AA80" s="82"/>
      <c r="AC80" s="138">
        <v>0</v>
      </c>
      <c r="AD80" s="138">
        <v>0</v>
      </c>
      <c r="AE80" s="138">
        <v>0</v>
      </c>
      <c r="AF80" s="233"/>
      <c r="AG80" s="139"/>
      <c r="AH80" s="233"/>
      <c r="AI80" s="139"/>
      <c r="AK80" s="79">
        <v>0</v>
      </c>
      <c r="AL80" s="80">
        <f t="shared" si="99"/>
        <v>0</v>
      </c>
      <c r="AM80" s="79">
        <v>0</v>
      </c>
      <c r="AN80" s="80">
        <f t="shared" si="100"/>
        <v>0</v>
      </c>
      <c r="AO80" s="79">
        <v>0</v>
      </c>
      <c r="AP80" s="80">
        <f t="shared" si="101"/>
        <v>0</v>
      </c>
      <c r="AQ80" s="79">
        <v>0</v>
      </c>
      <c r="AR80" s="81">
        <f t="shared" si="102"/>
        <v>0</v>
      </c>
      <c r="AS80" s="80">
        <f t="shared" si="141"/>
        <v>0</v>
      </c>
      <c r="AT80" s="70">
        <f t="shared" si="142"/>
        <v>0</v>
      </c>
      <c r="AU80" s="80">
        <f t="shared" si="143"/>
        <v>0</v>
      </c>
      <c r="AV80" s="70">
        <f t="shared" si="144"/>
        <v>0</v>
      </c>
      <c r="AW80" s="80">
        <f t="shared" si="145"/>
        <v>0</v>
      </c>
      <c r="AX80" s="70">
        <f t="shared" si="146"/>
        <v>0</v>
      </c>
      <c r="AY80" s="82"/>
      <c r="BA80" s="79">
        <v>0</v>
      </c>
      <c r="BB80" s="80">
        <f t="shared" si="109"/>
        <v>0</v>
      </c>
      <c r="BC80" s="79">
        <v>0</v>
      </c>
      <c r="BD80" s="80">
        <f t="shared" si="110"/>
        <v>0</v>
      </c>
      <c r="BE80" s="79">
        <v>334.24</v>
      </c>
      <c r="BF80" s="81">
        <f t="shared" si="111"/>
        <v>7.9058884402504303E-5</v>
      </c>
      <c r="BG80" s="80">
        <f t="shared" si="147"/>
        <v>0</v>
      </c>
      <c r="BH80" s="70">
        <f t="shared" si="148"/>
        <v>0</v>
      </c>
      <c r="BI80" s="80">
        <f t="shared" si="149"/>
        <v>0</v>
      </c>
      <c r="BJ80" s="70">
        <f t="shared" si="150"/>
        <v>334.24</v>
      </c>
      <c r="BK80" s="82"/>
    </row>
    <row r="81" spans="2:63" ht="11.95" outlineLevel="2" thickBot="1" x14ac:dyDescent="0.3">
      <c r="B81" t="str">
        <f t="shared" si="134"/>
        <v>#showrow</v>
      </c>
      <c r="E81" s="3"/>
      <c r="F81" s="3"/>
      <c r="G81" s="3"/>
      <c r="H81" s="255" t="s">
        <v>167</v>
      </c>
      <c r="I81" s="18"/>
      <c r="J81" s="18"/>
      <c r="K81" s="18"/>
      <c r="L81" s="78"/>
      <c r="M81" s="79"/>
      <c r="N81" s="80">
        <f t="shared" si="89"/>
        <v>0</v>
      </c>
      <c r="O81" s="79"/>
      <c r="P81" s="80">
        <f t="shared" si="90"/>
        <v>0</v>
      </c>
      <c r="Q81" s="79"/>
      <c r="R81" s="80">
        <f t="shared" si="91"/>
        <v>0</v>
      </c>
      <c r="S81" s="79">
        <v>476.95</v>
      </c>
      <c r="T81" s="81">
        <f t="shared" si="92"/>
        <v>2.1052893635149007E-3</v>
      </c>
      <c r="U81" s="80">
        <f t="shared" si="135"/>
        <v>0</v>
      </c>
      <c r="V81" s="70">
        <f t="shared" si="136"/>
        <v>0</v>
      </c>
      <c r="W81" s="80">
        <f t="shared" si="137"/>
        <v>0</v>
      </c>
      <c r="X81" s="70">
        <f t="shared" si="138"/>
        <v>0</v>
      </c>
      <c r="Y81" s="80">
        <f t="shared" si="139"/>
        <v>0</v>
      </c>
      <c r="Z81" s="70">
        <f t="shared" si="140"/>
        <v>476.95</v>
      </c>
      <c r="AA81" s="82"/>
      <c r="AC81" s="138">
        <v>0</v>
      </c>
      <c r="AD81" s="138">
        <v>476.95</v>
      </c>
      <c r="AE81" s="138">
        <v>0</v>
      </c>
      <c r="AF81" s="233"/>
      <c r="AG81" s="139"/>
      <c r="AH81" s="233"/>
      <c r="AI81" s="139"/>
      <c r="AK81" s="79">
        <v>0</v>
      </c>
      <c r="AL81" s="80">
        <f t="shared" si="99"/>
        <v>0</v>
      </c>
      <c r="AM81" s="79">
        <v>0</v>
      </c>
      <c r="AN81" s="80">
        <f t="shared" si="100"/>
        <v>0</v>
      </c>
      <c r="AO81" s="79">
        <v>0</v>
      </c>
      <c r="AP81" s="80">
        <f t="shared" si="101"/>
        <v>0</v>
      </c>
      <c r="AQ81" s="79">
        <v>476.95</v>
      </c>
      <c r="AR81" s="81">
        <f t="shared" si="102"/>
        <v>2.1052893635149007E-3</v>
      </c>
      <c r="AS81" s="80">
        <f t="shared" si="141"/>
        <v>0</v>
      </c>
      <c r="AT81" s="70">
        <f t="shared" si="142"/>
        <v>0</v>
      </c>
      <c r="AU81" s="80">
        <f t="shared" si="143"/>
        <v>0</v>
      </c>
      <c r="AV81" s="70">
        <f t="shared" si="144"/>
        <v>0</v>
      </c>
      <c r="AW81" s="80">
        <f t="shared" si="145"/>
        <v>0</v>
      </c>
      <c r="AX81" s="70">
        <f t="shared" si="146"/>
        <v>476.95</v>
      </c>
      <c r="AY81" s="82"/>
      <c r="BA81" s="79">
        <v>0</v>
      </c>
      <c r="BB81" s="80">
        <f t="shared" si="109"/>
        <v>0</v>
      </c>
      <c r="BC81" s="79">
        <v>0</v>
      </c>
      <c r="BD81" s="80">
        <f t="shared" si="110"/>
        <v>0</v>
      </c>
      <c r="BE81" s="79">
        <v>12475.75</v>
      </c>
      <c r="BF81" s="81">
        <f t="shared" si="111"/>
        <v>2.9509301013778814E-3</v>
      </c>
      <c r="BG81" s="80">
        <f t="shared" si="147"/>
        <v>0</v>
      </c>
      <c r="BH81" s="70">
        <f t="shared" si="148"/>
        <v>0</v>
      </c>
      <c r="BI81" s="80">
        <f t="shared" si="149"/>
        <v>0</v>
      </c>
      <c r="BJ81" s="70">
        <f t="shared" si="150"/>
        <v>12475.75</v>
      </c>
      <c r="BK81" s="82"/>
    </row>
    <row r="82" spans="2:63" ht="11.95" outlineLevel="2" thickBot="1" x14ac:dyDescent="0.3">
      <c r="B82" t="str">
        <f t="shared" si="134"/>
        <v>#showrow</v>
      </c>
      <c r="E82" s="3"/>
      <c r="F82" s="3"/>
      <c r="G82" s="3"/>
      <c r="H82" s="255" t="s">
        <v>168</v>
      </c>
      <c r="I82" s="18"/>
      <c r="J82" s="18"/>
      <c r="K82" s="18"/>
      <c r="L82" s="78"/>
      <c r="M82" s="79"/>
      <c r="N82" s="80">
        <f t="shared" si="89"/>
        <v>0</v>
      </c>
      <c r="O82" s="79"/>
      <c r="P82" s="80">
        <f t="shared" si="90"/>
        <v>0</v>
      </c>
      <c r="Q82" s="79"/>
      <c r="R82" s="80">
        <f t="shared" si="91"/>
        <v>0</v>
      </c>
      <c r="S82" s="79"/>
      <c r="T82" s="81">
        <f t="shared" si="92"/>
        <v>0</v>
      </c>
      <c r="U82" s="80">
        <f t="shared" si="135"/>
        <v>0</v>
      </c>
      <c r="V82" s="70">
        <f t="shared" si="136"/>
        <v>0</v>
      </c>
      <c r="W82" s="80">
        <f t="shared" si="137"/>
        <v>0</v>
      </c>
      <c r="X82" s="70">
        <f t="shared" si="138"/>
        <v>0</v>
      </c>
      <c r="Y82" s="80">
        <f t="shared" si="139"/>
        <v>0</v>
      </c>
      <c r="Z82" s="70">
        <f t="shared" si="140"/>
        <v>0</v>
      </c>
      <c r="AA82" s="82"/>
      <c r="AC82" s="138">
        <v>0</v>
      </c>
      <c r="AD82" s="138">
        <v>0</v>
      </c>
      <c r="AE82" s="138">
        <v>0</v>
      </c>
      <c r="AF82" s="233"/>
      <c r="AG82" s="139"/>
      <c r="AH82" s="233"/>
      <c r="AI82" s="139"/>
      <c r="AK82" s="79">
        <v>0</v>
      </c>
      <c r="AL82" s="80">
        <f t="shared" si="99"/>
        <v>0</v>
      </c>
      <c r="AM82" s="79">
        <v>0</v>
      </c>
      <c r="AN82" s="80">
        <f t="shared" si="100"/>
        <v>0</v>
      </c>
      <c r="AO82" s="79">
        <v>0</v>
      </c>
      <c r="AP82" s="80">
        <f t="shared" si="101"/>
        <v>0</v>
      </c>
      <c r="AQ82" s="79">
        <v>0</v>
      </c>
      <c r="AR82" s="81">
        <f t="shared" si="102"/>
        <v>0</v>
      </c>
      <c r="AS82" s="80">
        <f t="shared" si="141"/>
        <v>0</v>
      </c>
      <c r="AT82" s="70">
        <f t="shared" si="142"/>
        <v>0</v>
      </c>
      <c r="AU82" s="80">
        <f t="shared" si="143"/>
        <v>0</v>
      </c>
      <c r="AV82" s="70">
        <f t="shared" si="144"/>
        <v>0</v>
      </c>
      <c r="AW82" s="80">
        <f t="shared" si="145"/>
        <v>0</v>
      </c>
      <c r="AX82" s="70">
        <f t="shared" si="146"/>
        <v>0</v>
      </c>
      <c r="AY82" s="82"/>
      <c r="BA82" s="79">
        <v>0</v>
      </c>
      <c r="BB82" s="80">
        <f t="shared" si="109"/>
        <v>0</v>
      </c>
      <c r="BC82" s="79">
        <v>0</v>
      </c>
      <c r="BD82" s="80">
        <f t="shared" si="110"/>
        <v>0</v>
      </c>
      <c r="BE82" s="79">
        <v>87.04</v>
      </c>
      <c r="BF82" s="81">
        <f t="shared" si="111"/>
        <v>2.0587856924347698E-5</v>
      </c>
      <c r="BG82" s="80">
        <f t="shared" si="147"/>
        <v>0</v>
      </c>
      <c r="BH82" s="70">
        <f t="shared" si="148"/>
        <v>0</v>
      </c>
      <c r="BI82" s="80">
        <f t="shared" si="149"/>
        <v>0</v>
      </c>
      <c r="BJ82" s="70">
        <f t="shared" si="150"/>
        <v>87.04</v>
      </c>
      <c r="BK82" s="82"/>
    </row>
    <row r="83" spans="2:63" ht="11.95" outlineLevel="2" thickBot="1" x14ac:dyDescent="0.3">
      <c r="B83" t="str">
        <f t="shared" si="134"/>
        <v>#showrow</v>
      </c>
      <c r="E83" s="3"/>
      <c r="F83" s="3"/>
      <c r="G83" s="3"/>
      <c r="H83" s="255" t="s">
        <v>169</v>
      </c>
      <c r="I83" s="18"/>
      <c r="J83" s="18"/>
      <c r="K83" s="18"/>
      <c r="L83" s="78"/>
      <c r="M83" s="79"/>
      <c r="N83" s="80">
        <f t="shared" si="89"/>
        <v>0</v>
      </c>
      <c r="O83" s="79"/>
      <c r="P83" s="80">
        <f t="shared" si="90"/>
        <v>0</v>
      </c>
      <c r="Q83" s="79"/>
      <c r="R83" s="80">
        <f t="shared" si="91"/>
        <v>0</v>
      </c>
      <c r="S83" s="79">
        <v>5000</v>
      </c>
      <c r="T83" s="81">
        <f t="shared" si="92"/>
        <v>2.2070336130777867E-2</v>
      </c>
      <c r="U83" s="80">
        <f t="shared" si="135"/>
        <v>0</v>
      </c>
      <c r="V83" s="70">
        <f t="shared" si="136"/>
        <v>0</v>
      </c>
      <c r="W83" s="80">
        <f t="shared" si="137"/>
        <v>0</v>
      </c>
      <c r="X83" s="70">
        <f t="shared" si="138"/>
        <v>0</v>
      </c>
      <c r="Y83" s="80">
        <f t="shared" si="139"/>
        <v>0</v>
      </c>
      <c r="Z83" s="70">
        <f t="shared" si="140"/>
        <v>5000</v>
      </c>
      <c r="AA83" s="82"/>
      <c r="AC83" s="138">
        <v>0</v>
      </c>
      <c r="AD83" s="138">
        <v>5000</v>
      </c>
      <c r="AE83" s="138">
        <v>0</v>
      </c>
      <c r="AF83" s="233"/>
      <c r="AG83" s="139"/>
      <c r="AH83" s="233"/>
      <c r="AI83" s="139"/>
      <c r="AK83" s="79">
        <v>0</v>
      </c>
      <c r="AL83" s="80">
        <f t="shared" si="99"/>
        <v>0</v>
      </c>
      <c r="AM83" s="79">
        <v>0</v>
      </c>
      <c r="AN83" s="80">
        <f t="shared" si="100"/>
        <v>0</v>
      </c>
      <c r="AO83" s="79">
        <v>0</v>
      </c>
      <c r="AP83" s="80">
        <f t="shared" si="101"/>
        <v>0</v>
      </c>
      <c r="AQ83" s="79">
        <v>5000</v>
      </c>
      <c r="AR83" s="81">
        <f t="shared" si="102"/>
        <v>2.2070336130777867E-2</v>
      </c>
      <c r="AS83" s="80">
        <f t="shared" si="141"/>
        <v>0</v>
      </c>
      <c r="AT83" s="70">
        <f t="shared" si="142"/>
        <v>0</v>
      </c>
      <c r="AU83" s="80">
        <f t="shared" si="143"/>
        <v>0</v>
      </c>
      <c r="AV83" s="70">
        <f t="shared" si="144"/>
        <v>0</v>
      </c>
      <c r="AW83" s="80">
        <f t="shared" si="145"/>
        <v>0</v>
      </c>
      <c r="AX83" s="70">
        <f t="shared" si="146"/>
        <v>5000</v>
      </c>
      <c r="AY83" s="82"/>
      <c r="BA83" s="79">
        <v>0</v>
      </c>
      <c r="BB83" s="80">
        <f t="shared" si="109"/>
        <v>0</v>
      </c>
      <c r="BC83" s="79">
        <v>0</v>
      </c>
      <c r="BD83" s="80">
        <f t="shared" si="110"/>
        <v>0</v>
      </c>
      <c r="BE83" s="79">
        <v>5685.9</v>
      </c>
      <c r="BF83" s="81">
        <f t="shared" si="111"/>
        <v>1.3449045919824054E-3</v>
      </c>
      <c r="BG83" s="80">
        <f t="shared" si="147"/>
        <v>0</v>
      </c>
      <c r="BH83" s="70">
        <f t="shared" si="148"/>
        <v>0</v>
      </c>
      <c r="BI83" s="80">
        <f t="shared" si="149"/>
        <v>0</v>
      </c>
      <c r="BJ83" s="70">
        <f t="shared" si="150"/>
        <v>5685.9</v>
      </c>
      <c r="BK83" s="82"/>
    </row>
    <row r="84" spans="2:63" ht="11.95" outlineLevel="2" thickBot="1" x14ac:dyDescent="0.3">
      <c r="B84" t="str">
        <f t="shared" si="134"/>
        <v>#showrow</v>
      </c>
      <c r="E84" s="3"/>
      <c r="F84" s="3"/>
      <c r="G84" s="3"/>
      <c r="H84" s="255" t="s">
        <v>170</v>
      </c>
      <c r="I84" s="18"/>
      <c r="J84" s="18"/>
      <c r="K84" s="18"/>
      <c r="L84" s="78"/>
      <c r="M84" s="79">
        <v>60</v>
      </c>
      <c r="N84" s="80">
        <f t="shared" si="89"/>
        <v>1.4714254330883264E-4</v>
      </c>
      <c r="O84" s="79"/>
      <c r="P84" s="80">
        <f t="shared" si="90"/>
        <v>0</v>
      </c>
      <c r="Q84" s="79"/>
      <c r="R84" s="80">
        <f t="shared" si="91"/>
        <v>0</v>
      </c>
      <c r="S84" s="79"/>
      <c r="T84" s="81">
        <f t="shared" si="92"/>
        <v>0</v>
      </c>
      <c r="U84" s="80">
        <f t="shared" si="135"/>
        <v>-1</v>
      </c>
      <c r="V84" s="70">
        <f t="shared" si="136"/>
        <v>-60</v>
      </c>
      <c r="W84" s="80">
        <f t="shared" si="137"/>
        <v>-1</v>
      </c>
      <c r="X84" s="70">
        <f t="shared" si="138"/>
        <v>-60</v>
      </c>
      <c r="Y84" s="80">
        <f t="shared" si="139"/>
        <v>-1</v>
      </c>
      <c r="Z84" s="70">
        <f t="shared" si="140"/>
        <v>-60</v>
      </c>
      <c r="AA84" s="82"/>
      <c r="AC84" s="138">
        <v>60</v>
      </c>
      <c r="AD84" s="138">
        <v>0</v>
      </c>
      <c r="AE84" s="138">
        <v>0</v>
      </c>
      <c r="AF84" s="233"/>
      <c r="AG84" s="139"/>
      <c r="AH84" s="233"/>
      <c r="AI84" s="139"/>
      <c r="AK84" s="79">
        <v>60</v>
      </c>
      <c r="AL84" s="80">
        <f t="shared" si="99"/>
        <v>1.4714254330883264E-4</v>
      </c>
      <c r="AM84" s="79">
        <v>0</v>
      </c>
      <c r="AN84" s="80">
        <f t="shared" si="100"/>
        <v>0</v>
      </c>
      <c r="AO84" s="79">
        <v>0</v>
      </c>
      <c r="AP84" s="80">
        <f t="shared" si="101"/>
        <v>0</v>
      </c>
      <c r="AQ84" s="79">
        <v>0</v>
      </c>
      <c r="AR84" s="81">
        <f t="shared" si="102"/>
        <v>0</v>
      </c>
      <c r="AS84" s="80">
        <f t="shared" si="141"/>
        <v>-1</v>
      </c>
      <c r="AT84" s="70">
        <f t="shared" si="142"/>
        <v>-60</v>
      </c>
      <c r="AU84" s="80">
        <f t="shared" si="143"/>
        <v>0</v>
      </c>
      <c r="AV84" s="70">
        <f t="shared" si="144"/>
        <v>-60</v>
      </c>
      <c r="AW84" s="80">
        <f t="shared" si="145"/>
        <v>-1</v>
      </c>
      <c r="AX84" s="70">
        <f t="shared" si="146"/>
        <v>-60</v>
      </c>
      <c r="AY84" s="82"/>
      <c r="BA84" s="79">
        <v>0</v>
      </c>
      <c r="BB84" s="80">
        <f t="shared" si="109"/>
        <v>0</v>
      </c>
      <c r="BC84" s="79">
        <v>0</v>
      </c>
      <c r="BD84" s="80">
        <f t="shared" si="110"/>
        <v>0</v>
      </c>
      <c r="BE84" s="79">
        <v>1321.46</v>
      </c>
      <c r="BF84" s="81">
        <f t="shared" si="111"/>
        <v>3.1256927172849849E-4</v>
      </c>
      <c r="BG84" s="80">
        <f t="shared" si="147"/>
        <v>0</v>
      </c>
      <c r="BH84" s="70">
        <f t="shared" si="148"/>
        <v>0</v>
      </c>
      <c r="BI84" s="80">
        <f t="shared" si="149"/>
        <v>0</v>
      </c>
      <c r="BJ84" s="70">
        <f t="shared" si="150"/>
        <v>1321.46</v>
      </c>
      <c r="BK84" s="82"/>
    </row>
    <row r="85" spans="2:63" ht="11.95" outlineLevel="2" thickBot="1" x14ac:dyDescent="0.3">
      <c r="B85" t="str">
        <f t="shared" si="134"/>
        <v>#showrow</v>
      </c>
      <c r="E85" s="3"/>
      <c r="F85" s="3"/>
      <c r="G85" s="3"/>
      <c r="H85" s="255" t="s">
        <v>171</v>
      </c>
      <c r="I85" s="18"/>
      <c r="J85" s="18"/>
      <c r="K85" s="18"/>
      <c r="L85" s="78"/>
      <c r="M85" s="79"/>
      <c r="N85" s="80">
        <f t="shared" si="89"/>
        <v>0</v>
      </c>
      <c r="O85" s="79"/>
      <c r="P85" s="80">
        <f t="shared" si="90"/>
        <v>0</v>
      </c>
      <c r="Q85" s="79"/>
      <c r="R85" s="80">
        <f t="shared" si="91"/>
        <v>0</v>
      </c>
      <c r="S85" s="79"/>
      <c r="T85" s="81">
        <f t="shared" si="92"/>
        <v>0</v>
      </c>
      <c r="U85" s="80">
        <f t="shared" si="135"/>
        <v>0</v>
      </c>
      <c r="V85" s="70">
        <f t="shared" si="136"/>
        <v>0</v>
      </c>
      <c r="W85" s="80">
        <f t="shared" si="137"/>
        <v>0</v>
      </c>
      <c r="X85" s="70">
        <f t="shared" si="138"/>
        <v>0</v>
      </c>
      <c r="Y85" s="80">
        <f t="shared" si="139"/>
        <v>0</v>
      </c>
      <c r="Z85" s="70">
        <f t="shared" si="140"/>
        <v>0</v>
      </c>
      <c r="AA85" s="82"/>
      <c r="AC85" s="138">
        <v>0</v>
      </c>
      <c r="AD85" s="138">
        <v>0</v>
      </c>
      <c r="AE85" s="138">
        <v>0</v>
      </c>
      <c r="AF85" s="233"/>
      <c r="AG85" s="139"/>
      <c r="AH85" s="233"/>
      <c r="AI85" s="139"/>
      <c r="AK85" s="79">
        <v>0</v>
      </c>
      <c r="AL85" s="80">
        <f t="shared" si="99"/>
        <v>0</v>
      </c>
      <c r="AM85" s="79">
        <v>0</v>
      </c>
      <c r="AN85" s="80">
        <f t="shared" si="100"/>
        <v>0</v>
      </c>
      <c r="AO85" s="79">
        <v>0</v>
      </c>
      <c r="AP85" s="80">
        <f t="shared" si="101"/>
        <v>0</v>
      </c>
      <c r="AQ85" s="79">
        <v>0</v>
      </c>
      <c r="AR85" s="81">
        <f t="shared" si="102"/>
        <v>0</v>
      </c>
      <c r="AS85" s="80">
        <f t="shared" si="141"/>
        <v>0</v>
      </c>
      <c r="AT85" s="70">
        <f t="shared" si="142"/>
        <v>0</v>
      </c>
      <c r="AU85" s="80">
        <f t="shared" si="143"/>
        <v>0</v>
      </c>
      <c r="AV85" s="70">
        <f t="shared" si="144"/>
        <v>0</v>
      </c>
      <c r="AW85" s="80">
        <f t="shared" si="145"/>
        <v>0</v>
      </c>
      <c r="AX85" s="70">
        <f t="shared" si="146"/>
        <v>0</v>
      </c>
      <c r="AY85" s="82"/>
      <c r="BA85" s="79">
        <v>0</v>
      </c>
      <c r="BB85" s="80">
        <f t="shared" si="109"/>
        <v>0</v>
      </c>
      <c r="BC85" s="79">
        <v>0</v>
      </c>
      <c r="BD85" s="80">
        <f t="shared" si="110"/>
        <v>0</v>
      </c>
      <c r="BE85" s="79">
        <v>812.19</v>
      </c>
      <c r="BF85" s="81">
        <f t="shared" si="111"/>
        <v>1.921099668587541E-4</v>
      </c>
      <c r="BG85" s="80">
        <f t="shared" si="147"/>
        <v>0</v>
      </c>
      <c r="BH85" s="70">
        <f t="shared" si="148"/>
        <v>0</v>
      </c>
      <c r="BI85" s="80">
        <f t="shared" si="149"/>
        <v>0</v>
      </c>
      <c r="BJ85" s="70">
        <f t="shared" si="150"/>
        <v>812.19</v>
      </c>
      <c r="BK85" s="82"/>
    </row>
    <row r="86" spans="2:63" ht="11.95" outlineLevel="2" thickBot="1" x14ac:dyDescent="0.3">
      <c r="B86" t="str">
        <f t="shared" si="134"/>
        <v>#showrow</v>
      </c>
      <c r="E86" s="3"/>
      <c r="F86" s="3"/>
      <c r="G86" s="3"/>
      <c r="H86" s="255" t="s">
        <v>172</v>
      </c>
      <c r="I86" s="18"/>
      <c r="J86" s="18"/>
      <c r="K86" s="18"/>
      <c r="L86" s="78"/>
      <c r="M86" s="79">
        <v>460.79</v>
      </c>
      <c r="N86" s="80">
        <f t="shared" si="89"/>
        <v>1.1300302088546165E-3</v>
      </c>
      <c r="O86" s="79"/>
      <c r="P86" s="80">
        <f t="shared" si="90"/>
        <v>0</v>
      </c>
      <c r="Q86" s="79"/>
      <c r="R86" s="80">
        <f t="shared" si="91"/>
        <v>0</v>
      </c>
      <c r="S86" s="79">
        <v>834.7</v>
      </c>
      <c r="T86" s="81">
        <f t="shared" si="92"/>
        <v>3.6844219136720571E-3</v>
      </c>
      <c r="U86" s="80">
        <f t="shared" si="135"/>
        <v>-1</v>
      </c>
      <c r="V86" s="70">
        <f t="shared" si="136"/>
        <v>-460.79</v>
      </c>
      <c r="W86" s="80">
        <f t="shared" si="137"/>
        <v>-1</v>
      </c>
      <c r="X86" s="70">
        <f t="shared" si="138"/>
        <v>-460.79</v>
      </c>
      <c r="Y86" s="80">
        <f t="shared" si="139"/>
        <v>0.81145424162850754</v>
      </c>
      <c r="Z86" s="70">
        <f t="shared" si="140"/>
        <v>373.91</v>
      </c>
      <c r="AA86" s="82"/>
      <c r="AC86" s="138">
        <v>460.79</v>
      </c>
      <c r="AD86" s="138">
        <v>834.7</v>
      </c>
      <c r="AE86" s="138">
        <v>0</v>
      </c>
      <c r="AF86" s="233"/>
      <c r="AG86" s="139"/>
      <c r="AH86" s="233"/>
      <c r="AI86" s="139"/>
      <c r="AK86" s="79">
        <v>460.79</v>
      </c>
      <c r="AL86" s="80">
        <f t="shared" si="99"/>
        <v>1.1300302088546165E-3</v>
      </c>
      <c r="AM86" s="79">
        <v>0</v>
      </c>
      <c r="AN86" s="80">
        <f t="shared" si="100"/>
        <v>0</v>
      </c>
      <c r="AO86" s="79">
        <v>0</v>
      </c>
      <c r="AP86" s="80">
        <f t="shared" si="101"/>
        <v>0</v>
      </c>
      <c r="AQ86" s="79">
        <v>834.7</v>
      </c>
      <c r="AR86" s="81">
        <f t="shared" si="102"/>
        <v>3.6844219136720571E-3</v>
      </c>
      <c r="AS86" s="80">
        <f t="shared" si="141"/>
        <v>-1</v>
      </c>
      <c r="AT86" s="70">
        <f t="shared" si="142"/>
        <v>-460.79</v>
      </c>
      <c r="AU86" s="80">
        <f t="shared" si="143"/>
        <v>0</v>
      </c>
      <c r="AV86" s="70">
        <f t="shared" si="144"/>
        <v>-460.79</v>
      </c>
      <c r="AW86" s="80">
        <f t="shared" si="145"/>
        <v>0.81145424162850754</v>
      </c>
      <c r="AX86" s="70">
        <f t="shared" si="146"/>
        <v>373.91</v>
      </c>
      <c r="AY86" s="82"/>
      <c r="BA86" s="79">
        <v>0</v>
      </c>
      <c r="BB86" s="80">
        <f t="shared" si="109"/>
        <v>0</v>
      </c>
      <c r="BC86" s="79">
        <v>0</v>
      </c>
      <c r="BD86" s="80">
        <f t="shared" si="110"/>
        <v>0</v>
      </c>
      <c r="BE86" s="79">
        <v>17556.07</v>
      </c>
      <c r="BF86" s="81">
        <f t="shared" si="111"/>
        <v>4.1525948680357638E-3</v>
      </c>
      <c r="BG86" s="80">
        <f t="shared" si="147"/>
        <v>0</v>
      </c>
      <c r="BH86" s="70">
        <f t="shared" si="148"/>
        <v>0</v>
      </c>
      <c r="BI86" s="80">
        <f t="shared" si="149"/>
        <v>0</v>
      </c>
      <c r="BJ86" s="70">
        <f t="shared" si="150"/>
        <v>17556.07</v>
      </c>
      <c r="BK86" s="82"/>
    </row>
    <row r="87" spans="2:63" ht="11.95" outlineLevel="2" thickBot="1" x14ac:dyDescent="0.3">
      <c r="B87" t="str">
        <f t="shared" si="134"/>
        <v>#showrow</v>
      </c>
      <c r="E87" s="3"/>
      <c r="F87" s="3"/>
      <c r="G87" s="3"/>
      <c r="H87" s="255" t="s">
        <v>173</v>
      </c>
      <c r="I87" s="18"/>
      <c r="J87" s="18"/>
      <c r="K87" s="18"/>
      <c r="L87" s="78"/>
      <c r="M87" s="79"/>
      <c r="N87" s="80">
        <f t="shared" si="89"/>
        <v>0</v>
      </c>
      <c r="O87" s="79"/>
      <c r="P87" s="80">
        <f t="shared" si="90"/>
        <v>0</v>
      </c>
      <c r="Q87" s="79"/>
      <c r="R87" s="80">
        <f t="shared" si="91"/>
        <v>0</v>
      </c>
      <c r="S87" s="79"/>
      <c r="T87" s="81">
        <f t="shared" si="92"/>
        <v>0</v>
      </c>
      <c r="U87" s="80">
        <f t="shared" si="135"/>
        <v>0</v>
      </c>
      <c r="V87" s="70">
        <f t="shared" si="136"/>
        <v>0</v>
      </c>
      <c r="W87" s="80">
        <f t="shared" si="137"/>
        <v>0</v>
      </c>
      <c r="X87" s="70">
        <f t="shared" si="138"/>
        <v>0</v>
      </c>
      <c r="Y87" s="80">
        <f t="shared" si="139"/>
        <v>0</v>
      </c>
      <c r="Z87" s="70">
        <f t="shared" si="140"/>
        <v>0</v>
      </c>
      <c r="AA87" s="82"/>
      <c r="AC87" s="138">
        <v>0</v>
      </c>
      <c r="AD87" s="138">
        <v>0</v>
      </c>
      <c r="AE87" s="138">
        <v>0</v>
      </c>
      <c r="AF87" s="233"/>
      <c r="AG87" s="139"/>
      <c r="AH87" s="233"/>
      <c r="AI87" s="139"/>
      <c r="AK87" s="79">
        <v>0</v>
      </c>
      <c r="AL87" s="80">
        <f t="shared" si="99"/>
        <v>0</v>
      </c>
      <c r="AM87" s="79">
        <v>0</v>
      </c>
      <c r="AN87" s="80">
        <f t="shared" si="100"/>
        <v>0</v>
      </c>
      <c r="AO87" s="79">
        <v>0</v>
      </c>
      <c r="AP87" s="80">
        <f t="shared" si="101"/>
        <v>0</v>
      </c>
      <c r="AQ87" s="79">
        <v>0</v>
      </c>
      <c r="AR87" s="81">
        <f t="shared" si="102"/>
        <v>0</v>
      </c>
      <c r="AS87" s="80">
        <f t="shared" si="141"/>
        <v>0</v>
      </c>
      <c r="AT87" s="70">
        <f t="shared" si="142"/>
        <v>0</v>
      </c>
      <c r="AU87" s="80">
        <f t="shared" si="143"/>
        <v>0</v>
      </c>
      <c r="AV87" s="70">
        <f t="shared" si="144"/>
        <v>0</v>
      </c>
      <c r="AW87" s="80">
        <f t="shared" si="145"/>
        <v>0</v>
      </c>
      <c r="AX87" s="70">
        <f t="shared" si="146"/>
        <v>0</v>
      </c>
      <c r="AY87" s="82"/>
      <c r="BA87" s="79">
        <v>0</v>
      </c>
      <c r="BB87" s="80">
        <f t="shared" si="109"/>
        <v>0</v>
      </c>
      <c r="BC87" s="79">
        <v>0</v>
      </c>
      <c r="BD87" s="80">
        <f t="shared" si="110"/>
        <v>0</v>
      </c>
      <c r="BE87" s="79">
        <v>615.07000000000005</v>
      </c>
      <c r="BF87" s="81">
        <f t="shared" si="111"/>
        <v>1.4548452617714315E-4</v>
      </c>
      <c r="BG87" s="80">
        <f t="shared" si="147"/>
        <v>0</v>
      </c>
      <c r="BH87" s="70">
        <f t="shared" si="148"/>
        <v>0</v>
      </c>
      <c r="BI87" s="80">
        <f t="shared" si="149"/>
        <v>0</v>
      </c>
      <c r="BJ87" s="70">
        <f t="shared" si="150"/>
        <v>615.07000000000005</v>
      </c>
      <c r="BK87" s="82"/>
    </row>
    <row r="88" spans="2:63" ht="11.95" outlineLevel="2" thickBot="1" x14ac:dyDescent="0.3">
      <c r="B88" t="str">
        <f t="shared" si="134"/>
        <v>#showrow</v>
      </c>
      <c r="E88" s="3"/>
      <c r="F88" s="3"/>
      <c r="G88" s="3"/>
      <c r="H88" s="255" t="s">
        <v>174</v>
      </c>
      <c r="I88" s="18"/>
      <c r="J88" s="18"/>
      <c r="K88" s="18"/>
      <c r="L88" s="78"/>
      <c r="M88" s="79"/>
      <c r="N88" s="80">
        <f t="shared" si="89"/>
        <v>0</v>
      </c>
      <c r="O88" s="79"/>
      <c r="P88" s="80">
        <f t="shared" si="90"/>
        <v>0</v>
      </c>
      <c r="Q88" s="79"/>
      <c r="R88" s="80">
        <f t="shared" si="91"/>
        <v>0</v>
      </c>
      <c r="S88" s="79"/>
      <c r="T88" s="81">
        <f t="shared" si="92"/>
        <v>0</v>
      </c>
      <c r="U88" s="80">
        <f t="shared" si="135"/>
        <v>0</v>
      </c>
      <c r="V88" s="70">
        <f t="shared" si="136"/>
        <v>0</v>
      </c>
      <c r="W88" s="80">
        <f t="shared" si="137"/>
        <v>0</v>
      </c>
      <c r="X88" s="70">
        <f t="shared" si="138"/>
        <v>0</v>
      </c>
      <c r="Y88" s="80">
        <f t="shared" si="139"/>
        <v>0</v>
      </c>
      <c r="Z88" s="70">
        <f t="shared" si="140"/>
        <v>0</v>
      </c>
      <c r="AA88" s="82"/>
      <c r="AC88" s="138">
        <v>0</v>
      </c>
      <c r="AD88" s="138">
        <v>0</v>
      </c>
      <c r="AE88" s="138">
        <v>0</v>
      </c>
      <c r="AF88" s="233"/>
      <c r="AG88" s="139"/>
      <c r="AH88" s="233"/>
      <c r="AI88" s="139"/>
      <c r="AK88" s="79">
        <v>0</v>
      </c>
      <c r="AL88" s="80">
        <f t="shared" si="99"/>
        <v>0</v>
      </c>
      <c r="AM88" s="79">
        <v>0</v>
      </c>
      <c r="AN88" s="80">
        <f t="shared" si="100"/>
        <v>0</v>
      </c>
      <c r="AO88" s="79">
        <v>0</v>
      </c>
      <c r="AP88" s="80">
        <f t="shared" si="101"/>
        <v>0</v>
      </c>
      <c r="AQ88" s="79">
        <v>0</v>
      </c>
      <c r="AR88" s="81">
        <f t="shared" si="102"/>
        <v>0</v>
      </c>
      <c r="AS88" s="80">
        <f t="shared" si="141"/>
        <v>0</v>
      </c>
      <c r="AT88" s="70">
        <f t="shared" si="142"/>
        <v>0</v>
      </c>
      <c r="AU88" s="80">
        <f t="shared" si="143"/>
        <v>0</v>
      </c>
      <c r="AV88" s="70">
        <f t="shared" si="144"/>
        <v>0</v>
      </c>
      <c r="AW88" s="80">
        <f t="shared" si="145"/>
        <v>0</v>
      </c>
      <c r="AX88" s="70">
        <f t="shared" si="146"/>
        <v>0</v>
      </c>
      <c r="AY88" s="82"/>
      <c r="BA88" s="79">
        <v>0</v>
      </c>
      <c r="BB88" s="80">
        <f t="shared" si="109"/>
        <v>0</v>
      </c>
      <c r="BC88" s="79">
        <v>0</v>
      </c>
      <c r="BD88" s="80">
        <f t="shared" si="110"/>
        <v>0</v>
      </c>
      <c r="BE88" s="79">
        <v>45.08</v>
      </c>
      <c r="BF88" s="81">
        <f t="shared" si="111"/>
        <v>1.0662920383152507E-5</v>
      </c>
      <c r="BG88" s="80">
        <f t="shared" si="147"/>
        <v>0</v>
      </c>
      <c r="BH88" s="70">
        <f t="shared" si="148"/>
        <v>0</v>
      </c>
      <c r="BI88" s="80">
        <f t="shared" si="149"/>
        <v>0</v>
      </c>
      <c r="BJ88" s="70">
        <f t="shared" si="150"/>
        <v>45.08</v>
      </c>
      <c r="BK88" s="82"/>
    </row>
    <row r="89" spans="2:63" ht="11.95" outlineLevel="1" thickBot="1" x14ac:dyDescent="0.3">
      <c r="E89" s="3"/>
      <c r="F89" s="3"/>
      <c r="G89" s="3"/>
      <c r="H89" s="256" t="s">
        <v>106</v>
      </c>
      <c r="I89" s="18"/>
      <c r="J89" s="18"/>
      <c r="K89" s="18"/>
      <c r="L89" s="78"/>
      <c r="M89" s="79">
        <v>-225691.61</v>
      </c>
      <c r="N89" s="80">
        <f t="shared" si="89"/>
        <v>-0.55348062498108608</v>
      </c>
      <c r="O89" s="79">
        <v>-237839.58337245201</v>
      </c>
      <c r="P89" s="80">
        <f t="shared" si="90"/>
        <v>-0.46110461031200184</v>
      </c>
      <c r="Q89" s="79">
        <v>-237839.58337245201</v>
      </c>
      <c r="R89" s="80">
        <f t="shared" si="91"/>
        <v>-0.46110461031200184</v>
      </c>
      <c r="S89" s="79">
        <v>-142585.29999999999</v>
      </c>
      <c r="T89" s="81">
        <f t="shared" si="92"/>
        <v>-0.62938109966156019</v>
      </c>
      <c r="U89" s="80">
        <f t="shared" si="93"/>
        <v>-5.3825542617432789E-2</v>
      </c>
      <c r="V89" s="70">
        <f t="shared" si="94"/>
        <v>-12147.973372452019</v>
      </c>
      <c r="W89" s="80">
        <f t="shared" si="95"/>
        <v>-5.3825542617432789E-2</v>
      </c>
      <c r="X89" s="70">
        <f t="shared" si="96"/>
        <v>-12147.973372452019</v>
      </c>
      <c r="Y89" s="80">
        <f t="shared" si="97"/>
        <v>0.36822950574015578</v>
      </c>
      <c r="Z89" s="70">
        <f t="shared" si="98"/>
        <v>83106.31</v>
      </c>
      <c r="AA89" s="82"/>
      <c r="AC89" s="138">
        <v>-225691.61</v>
      </c>
      <c r="AD89" s="138">
        <v>-142585.29999999999</v>
      </c>
      <c r="AE89" s="138">
        <v>-237839.58337245201</v>
      </c>
      <c r="AF89" s="233"/>
      <c r="AG89" s="139"/>
      <c r="AH89" s="233"/>
      <c r="AI89" s="139"/>
      <c r="AK89" s="79">
        <v>-225691.61</v>
      </c>
      <c r="AL89" s="80">
        <f t="shared" si="99"/>
        <v>-0.55348062498108608</v>
      </c>
      <c r="AM89" s="79">
        <v>-237839.58337245201</v>
      </c>
      <c r="AN89" s="80">
        <f t="shared" si="100"/>
        <v>-0.46110461031200184</v>
      </c>
      <c r="AO89" s="79">
        <v>-237839.58337245201</v>
      </c>
      <c r="AP89" s="80">
        <f t="shared" si="101"/>
        <v>-0.46110461031200184</v>
      </c>
      <c r="AQ89" s="79">
        <v>-142585.29999999999</v>
      </c>
      <c r="AR89" s="81">
        <f t="shared" si="102"/>
        <v>-0.62938109966156019</v>
      </c>
      <c r="AS89" s="80">
        <f t="shared" si="103"/>
        <v>-5.3825542617432789E-2</v>
      </c>
      <c r="AT89" s="70">
        <f t="shared" si="104"/>
        <v>-12147.973372452019</v>
      </c>
      <c r="AU89" s="80">
        <f t="shared" si="105"/>
        <v>-5.1076331366711726E-2</v>
      </c>
      <c r="AV89" s="70">
        <f t="shared" si="106"/>
        <v>-12147.973372452019</v>
      </c>
      <c r="AW89" s="80">
        <f t="shared" si="107"/>
        <v>0.36822950574015578</v>
      </c>
      <c r="AX89" s="70">
        <f t="shared" si="108"/>
        <v>83106.31</v>
      </c>
      <c r="AY89" s="82"/>
      <c r="BA89" s="79">
        <v>-3036139.47107661</v>
      </c>
      <c r="BB89" s="80">
        <f t="shared" si="109"/>
        <v>-0.45278673446538692</v>
      </c>
      <c r="BC89" s="79">
        <v>-3036139.47107661</v>
      </c>
      <c r="BD89" s="80">
        <f t="shared" si="110"/>
        <v>-0.45278673446538692</v>
      </c>
      <c r="BE89" s="79">
        <v>-2860416.38</v>
      </c>
      <c r="BF89" s="81">
        <f t="shared" si="111"/>
        <v>-0.67658367618911497</v>
      </c>
      <c r="BG89" s="80">
        <f t="shared" si="112"/>
        <v>0</v>
      </c>
      <c r="BH89" s="70">
        <f t="shared" si="113"/>
        <v>0</v>
      </c>
      <c r="BI89" s="80">
        <f t="shared" si="114"/>
        <v>5.7877147196501819E-2</v>
      </c>
      <c r="BJ89" s="70">
        <f t="shared" si="115"/>
        <v>175723.09107661014</v>
      </c>
      <c r="BK89" s="82"/>
    </row>
    <row r="90" spans="2:63" ht="11.95" hidden="1" outlineLevel="2" thickBot="1" x14ac:dyDescent="0.3">
      <c r="B90" t="str">
        <f>IF(LEFT(H90,3)="Mul", "#hiderow", "#showrow")</f>
        <v>#hiderow</v>
      </c>
      <c r="E90" s="3"/>
      <c r="F90" s="3"/>
      <c r="G90" s="3"/>
      <c r="H90" s="255" t="s">
        <v>6</v>
      </c>
      <c r="I90" s="18"/>
      <c r="J90" s="18"/>
      <c r="K90" s="18"/>
      <c r="L90" s="78"/>
      <c r="M90" s="79"/>
      <c r="N90" s="80">
        <f t="shared" si="89"/>
        <v>0</v>
      </c>
      <c r="O90" s="79"/>
      <c r="P90" s="80">
        <f t="shared" si="90"/>
        <v>0</v>
      </c>
      <c r="Q90" s="79"/>
      <c r="R90" s="80">
        <f t="shared" si="91"/>
        <v>0</v>
      </c>
      <c r="S90" s="79"/>
      <c r="T90" s="81">
        <f t="shared" si="92"/>
        <v>0</v>
      </c>
      <c r="U90" s="80">
        <f t="shared" si="93"/>
        <v>0</v>
      </c>
      <c r="V90" s="70">
        <f t="shared" si="94"/>
        <v>0</v>
      </c>
      <c r="W90" s="80">
        <f t="shared" si="95"/>
        <v>0</v>
      </c>
      <c r="X90" s="70">
        <f t="shared" si="96"/>
        <v>0</v>
      </c>
      <c r="Y90" s="80">
        <f t="shared" si="97"/>
        <v>0</v>
      </c>
      <c r="Z90" s="70">
        <f t="shared" si="98"/>
        <v>0</v>
      </c>
      <c r="AA90" s="82"/>
      <c r="AC90" s="138"/>
      <c r="AD90" s="138"/>
      <c r="AE90" s="138"/>
      <c r="AF90" s="233"/>
      <c r="AG90" s="139"/>
      <c r="AH90" s="233"/>
      <c r="AI90" s="139"/>
      <c r="AK90" s="79"/>
      <c r="AL90" s="80">
        <f t="shared" si="99"/>
        <v>0</v>
      </c>
      <c r="AM90" s="79"/>
      <c r="AN90" s="80">
        <f t="shared" si="100"/>
        <v>0</v>
      </c>
      <c r="AO90" s="79"/>
      <c r="AP90" s="80">
        <f t="shared" si="101"/>
        <v>0</v>
      </c>
      <c r="AQ90" s="79"/>
      <c r="AR90" s="81">
        <f t="shared" si="102"/>
        <v>0</v>
      </c>
      <c r="AS90" s="80">
        <f t="shared" si="103"/>
        <v>0</v>
      </c>
      <c r="AT90" s="70">
        <f t="shared" si="104"/>
        <v>0</v>
      </c>
      <c r="AU90" s="80">
        <f t="shared" si="105"/>
        <v>0</v>
      </c>
      <c r="AV90" s="70">
        <f t="shared" si="106"/>
        <v>0</v>
      </c>
      <c r="AW90" s="80">
        <f t="shared" si="107"/>
        <v>0</v>
      </c>
      <c r="AX90" s="70">
        <f t="shared" si="108"/>
        <v>0</v>
      </c>
      <c r="AY90" s="82"/>
      <c r="BA90" s="79"/>
      <c r="BB90" s="80">
        <f t="shared" si="109"/>
        <v>0</v>
      </c>
      <c r="BC90" s="79"/>
      <c r="BD90" s="80">
        <f t="shared" si="110"/>
        <v>0</v>
      </c>
      <c r="BE90" s="79"/>
      <c r="BF90" s="81">
        <f t="shared" si="111"/>
        <v>0</v>
      </c>
      <c r="BG90" s="80">
        <f t="shared" si="112"/>
        <v>0</v>
      </c>
      <c r="BH90" s="70">
        <f t="shared" si="113"/>
        <v>0</v>
      </c>
      <c r="BI90" s="80">
        <f t="shared" si="114"/>
        <v>0</v>
      </c>
      <c r="BJ90" s="70">
        <f t="shared" si="115"/>
        <v>0</v>
      </c>
      <c r="BK90" s="82"/>
    </row>
    <row r="91" spans="2:63" ht="11.95" outlineLevel="2" thickBot="1" x14ac:dyDescent="0.3">
      <c r="B91" t="str">
        <f>IF(LEFT(H91,3)="Mul", "#hiderow", "#showrow")</f>
        <v>#showrow</v>
      </c>
      <c r="E91" s="3"/>
      <c r="F91" s="3"/>
      <c r="G91" s="3"/>
      <c r="H91" s="255" t="s">
        <v>140</v>
      </c>
      <c r="I91" s="18"/>
      <c r="J91" s="18"/>
      <c r="K91" s="18"/>
      <c r="L91" s="78"/>
      <c r="M91" s="79">
        <v>-225691.61</v>
      </c>
      <c r="N91" s="80">
        <f t="shared" si="89"/>
        <v>-0.55348062498108608</v>
      </c>
      <c r="O91" s="79">
        <v>-237839.58337245201</v>
      </c>
      <c r="P91" s="80">
        <f t="shared" si="90"/>
        <v>-0.46110461031200184</v>
      </c>
      <c r="Q91" s="79">
        <v>-237839.58337245201</v>
      </c>
      <c r="R91" s="80">
        <f t="shared" si="91"/>
        <v>-0.46110461031200184</v>
      </c>
      <c r="S91" s="79">
        <v>-142585.29999999999</v>
      </c>
      <c r="T91" s="81">
        <f t="shared" si="92"/>
        <v>-0.62938109966156019</v>
      </c>
      <c r="U91" s="80">
        <f t="shared" ref="U91" si="151">IFERROR(($O91-M91)/ABS(M91),0)</f>
        <v>-5.3825542617432789E-2</v>
      </c>
      <c r="V91" s="70">
        <f t="shared" ref="V91" si="152">IFERROR((O91-$M91), 0-$M91)</f>
        <v>-12147.973372452019</v>
      </c>
      <c r="W91" s="80">
        <f t="shared" ref="W91" si="153">IFERROR((Q91-$M91)/ABS($M91),0)</f>
        <v>-5.3825542617432789E-2</v>
      </c>
      <c r="X91" s="70">
        <f t="shared" ref="X91" si="154">IFERROR((Q91-$M91), 0 -$M91)</f>
        <v>-12147.973372452019</v>
      </c>
      <c r="Y91" s="80">
        <f t="shared" ref="Y91" si="155">IFERROR((S91-$M91)/ABS($M91),0)</f>
        <v>0.36822950574015578</v>
      </c>
      <c r="Z91" s="70">
        <f t="shared" ref="Z91" si="156">IFERROR((S91-$M91),0-$M91)</f>
        <v>83106.31</v>
      </c>
      <c r="AA91" s="82"/>
      <c r="AC91" s="138">
        <v>-225691.61</v>
      </c>
      <c r="AD91" s="138">
        <v>-142585.29999999999</v>
      </c>
      <c r="AE91" s="138">
        <v>-237839.58337245201</v>
      </c>
      <c r="AF91" s="233"/>
      <c r="AG91" s="139"/>
      <c r="AH91" s="233"/>
      <c r="AI91" s="139"/>
      <c r="AK91" s="79">
        <v>-225691.61</v>
      </c>
      <c r="AL91" s="80">
        <f t="shared" si="99"/>
        <v>-0.55348062498108608</v>
      </c>
      <c r="AM91" s="79">
        <v>-237839.58337245201</v>
      </c>
      <c r="AN91" s="80">
        <f t="shared" si="100"/>
        <v>-0.46110461031200184</v>
      </c>
      <c r="AO91" s="79">
        <v>-237839.58337245201</v>
      </c>
      <c r="AP91" s="80">
        <f t="shared" si="101"/>
        <v>-0.46110461031200184</v>
      </c>
      <c r="AQ91" s="79">
        <v>-142585.29999999999</v>
      </c>
      <c r="AR91" s="81">
        <f t="shared" si="102"/>
        <v>-0.62938109966156019</v>
      </c>
      <c r="AS91" s="80">
        <f t="shared" ref="AS91" si="157">IFERROR((AM91-$AK91)/ABS($AK91),0)</f>
        <v>-5.3825542617432789E-2</v>
      </c>
      <c r="AT91" s="70">
        <f t="shared" ref="AT91" si="158">(AM91-$AK91)</f>
        <v>-12147.973372452019</v>
      </c>
      <c r="AU91" s="80">
        <f t="shared" ref="AU91" si="159">IFERROR((AO91-$AK91)/ABS($AO91),0)</f>
        <v>-5.1076331366711726E-2</v>
      </c>
      <c r="AV91" s="70">
        <f t="shared" ref="AV91" si="160">(AO91-$AK91)</f>
        <v>-12147.973372452019</v>
      </c>
      <c r="AW91" s="80">
        <f t="shared" ref="AW91" si="161">IFERROR((AQ91-$AK91)/ABS($AK91),0)</f>
        <v>0.36822950574015578</v>
      </c>
      <c r="AX91" s="70">
        <f t="shared" ref="AX91" si="162">(AQ91-$AK91)</f>
        <v>83106.31</v>
      </c>
      <c r="AY91" s="82"/>
      <c r="BA91" s="79">
        <v>-3036139.47107661</v>
      </c>
      <c r="BB91" s="80">
        <f t="shared" si="109"/>
        <v>-0.45278673446538692</v>
      </c>
      <c r="BC91" s="79">
        <v>-3036139.47107661</v>
      </c>
      <c r="BD91" s="80">
        <f t="shared" si="110"/>
        <v>-0.45278673446538692</v>
      </c>
      <c r="BE91" s="79">
        <v>-2860416.38</v>
      </c>
      <c r="BF91" s="81">
        <f t="shared" si="111"/>
        <v>-0.67658367618911497</v>
      </c>
      <c r="BG91" s="80">
        <f t="shared" ref="BG91" si="163">IFERROR((BC91-$BA91)/ABS($BA91),0)</f>
        <v>0</v>
      </c>
      <c r="BH91" s="70">
        <f t="shared" ref="BH91" si="164">(BC91-$BA91)</f>
        <v>0</v>
      </c>
      <c r="BI91" s="80">
        <f t="shared" ref="BI91" si="165">IFERROR((BE91-$BA91)/ABS($BA91),0)</f>
        <v>5.7877147196501819E-2</v>
      </c>
      <c r="BJ91" s="70">
        <f t="shared" ref="BJ91" si="166">(BE91-$BA91)</f>
        <v>175723.09107661014</v>
      </c>
      <c r="BK91" s="82"/>
    </row>
    <row r="92" spans="2:63" ht="11.95" outlineLevel="1" thickBot="1" x14ac:dyDescent="0.3">
      <c r="E92" s="3"/>
      <c r="F92" s="3"/>
      <c r="G92" s="3"/>
      <c r="H92" s="256" t="s">
        <v>107</v>
      </c>
      <c r="I92" s="18"/>
      <c r="J92" s="18"/>
      <c r="K92" s="18"/>
      <c r="L92" s="78"/>
      <c r="M92" s="79">
        <v>0</v>
      </c>
      <c r="N92" s="80">
        <f t="shared" si="89"/>
        <v>0</v>
      </c>
      <c r="O92" s="79">
        <v>0</v>
      </c>
      <c r="P92" s="80">
        <f t="shared" si="90"/>
        <v>0</v>
      </c>
      <c r="Q92" s="79">
        <v>0</v>
      </c>
      <c r="R92" s="80">
        <f t="shared" si="91"/>
        <v>0</v>
      </c>
      <c r="S92" s="79">
        <v>0</v>
      </c>
      <c r="T92" s="81">
        <f t="shared" si="92"/>
        <v>0</v>
      </c>
      <c r="U92" s="80">
        <f t="shared" si="93"/>
        <v>0</v>
      </c>
      <c r="V92" s="70">
        <f t="shared" si="94"/>
        <v>0</v>
      </c>
      <c r="W92" s="80">
        <f t="shared" si="95"/>
        <v>0</v>
      </c>
      <c r="X92" s="70">
        <f t="shared" si="96"/>
        <v>0</v>
      </c>
      <c r="Y92" s="80">
        <f t="shared" si="97"/>
        <v>0</v>
      </c>
      <c r="Z92" s="70">
        <f t="shared" si="98"/>
        <v>0</v>
      </c>
      <c r="AA92" s="82"/>
      <c r="AC92" s="138">
        <v>0</v>
      </c>
      <c r="AD92" s="138">
        <v>0</v>
      </c>
      <c r="AE92" s="138">
        <v>0</v>
      </c>
      <c r="AF92" s="233"/>
      <c r="AG92" s="139"/>
      <c r="AH92" s="233"/>
      <c r="AI92" s="139"/>
      <c r="AK92" s="79">
        <v>0</v>
      </c>
      <c r="AL92" s="80">
        <f t="shared" si="99"/>
        <v>0</v>
      </c>
      <c r="AM92" s="79">
        <v>0</v>
      </c>
      <c r="AN92" s="80">
        <f t="shared" si="100"/>
        <v>0</v>
      </c>
      <c r="AO92" s="79">
        <v>0</v>
      </c>
      <c r="AP92" s="80">
        <f t="shared" si="101"/>
        <v>0</v>
      </c>
      <c r="AQ92" s="79">
        <v>0</v>
      </c>
      <c r="AR92" s="81">
        <f t="shared" si="102"/>
        <v>0</v>
      </c>
      <c r="AS92" s="80">
        <f t="shared" si="103"/>
        <v>0</v>
      </c>
      <c r="AT92" s="70">
        <f t="shared" si="104"/>
        <v>0</v>
      </c>
      <c r="AU92" s="80">
        <f t="shared" si="105"/>
        <v>0</v>
      </c>
      <c r="AV92" s="70">
        <f t="shared" si="106"/>
        <v>0</v>
      </c>
      <c r="AW92" s="80">
        <f t="shared" si="107"/>
        <v>0</v>
      </c>
      <c r="AX92" s="70">
        <f t="shared" si="108"/>
        <v>0</v>
      </c>
      <c r="AY92" s="82"/>
      <c r="BA92" s="79">
        <v>0</v>
      </c>
      <c r="BB92" s="80">
        <f t="shared" si="109"/>
        <v>0</v>
      </c>
      <c r="BC92" s="79">
        <v>0</v>
      </c>
      <c r="BD92" s="80">
        <f t="shared" si="110"/>
        <v>0</v>
      </c>
      <c r="BE92" s="79">
        <v>7415.37</v>
      </c>
      <c r="BF92" s="81">
        <f t="shared" si="111"/>
        <v>1.7539818083766106E-3</v>
      </c>
      <c r="BG92" s="80">
        <f t="shared" si="112"/>
        <v>0</v>
      </c>
      <c r="BH92" s="70">
        <f t="shared" si="113"/>
        <v>0</v>
      </c>
      <c r="BI92" s="80">
        <f t="shared" si="114"/>
        <v>0</v>
      </c>
      <c r="BJ92" s="70">
        <f t="shared" si="115"/>
        <v>7415.37</v>
      </c>
      <c r="BK92" s="82"/>
    </row>
    <row r="93" spans="2:63" ht="11.95" hidden="1" outlineLevel="2" thickBot="1" x14ac:dyDescent="0.3">
      <c r="B93" t="str">
        <f t="shared" ref="B93" si="167">IF(LEFT(H93,3)="Mul", "#hiderow", "#showrow")</f>
        <v>#hiderow</v>
      </c>
      <c r="E93" s="3"/>
      <c r="F93" s="3"/>
      <c r="G93" s="3"/>
      <c r="H93" s="255" t="s">
        <v>6</v>
      </c>
      <c r="I93" s="18"/>
      <c r="J93" s="18"/>
      <c r="K93" s="18"/>
      <c r="L93" s="78"/>
      <c r="M93" s="79"/>
      <c r="N93" s="80">
        <f t="shared" si="89"/>
        <v>0</v>
      </c>
      <c r="O93" s="79"/>
      <c r="P93" s="80">
        <f t="shared" si="90"/>
        <v>0</v>
      </c>
      <c r="Q93" s="79"/>
      <c r="R93" s="80">
        <f t="shared" si="91"/>
        <v>0</v>
      </c>
      <c r="S93" s="79"/>
      <c r="T93" s="81">
        <f t="shared" si="92"/>
        <v>0</v>
      </c>
      <c r="U93" s="80">
        <f t="shared" si="93"/>
        <v>0</v>
      </c>
      <c r="V93" s="70">
        <f t="shared" si="94"/>
        <v>0</v>
      </c>
      <c r="W93" s="80">
        <f t="shared" si="95"/>
        <v>0</v>
      </c>
      <c r="X93" s="70">
        <f t="shared" si="96"/>
        <v>0</v>
      </c>
      <c r="Y93" s="80">
        <f t="shared" si="97"/>
        <v>0</v>
      </c>
      <c r="Z93" s="70">
        <f t="shared" si="98"/>
        <v>0</v>
      </c>
      <c r="AA93" s="82"/>
      <c r="AC93" s="138"/>
      <c r="AD93" s="138"/>
      <c r="AE93" s="138"/>
      <c r="AF93" s="233"/>
      <c r="AG93" s="139"/>
      <c r="AH93" s="233"/>
      <c r="AI93" s="139"/>
      <c r="AK93" s="79"/>
      <c r="AL93" s="80">
        <f t="shared" si="99"/>
        <v>0</v>
      </c>
      <c r="AM93" s="79"/>
      <c r="AN93" s="80">
        <f t="shared" si="100"/>
        <v>0</v>
      </c>
      <c r="AO93" s="79"/>
      <c r="AP93" s="80">
        <f t="shared" si="101"/>
        <v>0</v>
      </c>
      <c r="AQ93" s="79"/>
      <c r="AR93" s="81">
        <f t="shared" si="102"/>
        <v>0</v>
      </c>
      <c r="AS93" s="80">
        <f t="shared" si="103"/>
        <v>0</v>
      </c>
      <c r="AT93" s="70">
        <f t="shared" si="104"/>
        <v>0</v>
      </c>
      <c r="AU93" s="80">
        <f t="shared" si="105"/>
        <v>0</v>
      </c>
      <c r="AV93" s="70">
        <f t="shared" si="106"/>
        <v>0</v>
      </c>
      <c r="AW93" s="80">
        <f t="shared" si="107"/>
        <v>0</v>
      </c>
      <c r="AX93" s="70">
        <f t="shared" si="108"/>
        <v>0</v>
      </c>
      <c r="AY93" s="82"/>
      <c r="BA93" s="79"/>
      <c r="BB93" s="80">
        <f t="shared" si="109"/>
        <v>0</v>
      </c>
      <c r="BC93" s="79"/>
      <c r="BD93" s="80">
        <f t="shared" si="110"/>
        <v>0</v>
      </c>
      <c r="BE93" s="79"/>
      <c r="BF93" s="81">
        <f t="shared" si="111"/>
        <v>0</v>
      </c>
      <c r="BG93" s="80">
        <f t="shared" si="112"/>
        <v>0</v>
      </c>
      <c r="BH93" s="70">
        <f t="shared" si="113"/>
        <v>0</v>
      </c>
      <c r="BI93" s="80">
        <f t="shared" si="114"/>
        <v>0</v>
      </c>
      <c r="BJ93" s="70">
        <f t="shared" si="115"/>
        <v>0</v>
      </c>
      <c r="BK93" s="82"/>
    </row>
    <row r="94" spans="2:63" ht="11.95" outlineLevel="2" thickBot="1" x14ac:dyDescent="0.3">
      <c r="B94" t="str">
        <f t="shared" ref="B94:B96" si="168">IF(LEFT(H94,3)="Mul", "#hiderow", "#showrow")</f>
        <v>#showrow</v>
      </c>
      <c r="E94" s="3"/>
      <c r="F94" s="3"/>
      <c r="G94" s="3"/>
      <c r="H94" s="255" t="s">
        <v>480</v>
      </c>
      <c r="I94" s="18"/>
      <c r="J94" s="18"/>
      <c r="K94" s="18"/>
      <c r="L94" s="78"/>
      <c r="M94" s="79"/>
      <c r="N94" s="80">
        <f t="shared" si="89"/>
        <v>0</v>
      </c>
      <c r="O94" s="79"/>
      <c r="P94" s="80">
        <f t="shared" si="90"/>
        <v>0</v>
      </c>
      <c r="Q94" s="79"/>
      <c r="R94" s="80">
        <f t="shared" si="91"/>
        <v>0</v>
      </c>
      <c r="S94" s="79"/>
      <c r="T94" s="81">
        <f t="shared" si="92"/>
        <v>0</v>
      </c>
      <c r="U94" s="80">
        <f t="shared" ref="U94:U96" si="169">IFERROR(($O94-M94)/ABS(M94),0)</f>
        <v>0</v>
      </c>
      <c r="V94" s="70">
        <f t="shared" ref="V94:V96" si="170">IFERROR((O94-$M94), 0-$M94)</f>
        <v>0</v>
      </c>
      <c r="W94" s="80">
        <f t="shared" ref="W94:W96" si="171">IFERROR((Q94-$M94)/ABS($M94),0)</f>
        <v>0</v>
      </c>
      <c r="X94" s="70">
        <f t="shared" ref="X94:X96" si="172">IFERROR((Q94-$M94), 0 -$M94)</f>
        <v>0</v>
      </c>
      <c r="Y94" s="80">
        <f t="shared" ref="Y94:Y96" si="173">IFERROR((S94-$M94)/ABS($M94),0)</f>
        <v>0</v>
      </c>
      <c r="Z94" s="70">
        <f t="shared" ref="Z94:Z96" si="174">IFERROR((S94-$M94),0-$M94)</f>
        <v>0</v>
      </c>
      <c r="AA94" s="82"/>
      <c r="AC94" s="138">
        <v>0</v>
      </c>
      <c r="AD94" s="138">
        <v>0</v>
      </c>
      <c r="AE94" s="138">
        <v>0</v>
      </c>
      <c r="AF94" s="233"/>
      <c r="AG94" s="139"/>
      <c r="AH94" s="233"/>
      <c r="AI94" s="139"/>
      <c r="AK94" s="79">
        <v>0</v>
      </c>
      <c r="AL94" s="80">
        <f t="shared" si="99"/>
        <v>0</v>
      </c>
      <c r="AM94" s="79">
        <v>0</v>
      </c>
      <c r="AN94" s="80">
        <f t="shared" si="100"/>
        <v>0</v>
      </c>
      <c r="AO94" s="79">
        <v>0</v>
      </c>
      <c r="AP94" s="80">
        <f t="shared" si="101"/>
        <v>0</v>
      </c>
      <c r="AQ94" s="79">
        <v>0</v>
      </c>
      <c r="AR94" s="81">
        <f t="shared" si="102"/>
        <v>0</v>
      </c>
      <c r="AS94" s="80">
        <f t="shared" ref="AS94:AS96" si="175">IFERROR((AM94-$AK94)/ABS($AK94),0)</f>
        <v>0</v>
      </c>
      <c r="AT94" s="70">
        <f t="shared" ref="AT94:AT96" si="176">(AM94-$AK94)</f>
        <v>0</v>
      </c>
      <c r="AU94" s="80">
        <f t="shared" ref="AU94:AU96" si="177">IFERROR((AO94-$AK94)/ABS($AO94),0)</f>
        <v>0</v>
      </c>
      <c r="AV94" s="70">
        <f t="shared" ref="AV94:AV96" si="178">(AO94-$AK94)</f>
        <v>0</v>
      </c>
      <c r="AW94" s="80">
        <f t="shared" ref="AW94:AW96" si="179">IFERROR((AQ94-$AK94)/ABS($AK94),0)</f>
        <v>0</v>
      </c>
      <c r="AX94" s="70">
        <f t="shared" ref="AX94:AX96" si="180">(AQ94-$AK94)</f>
        <v>0</v>
      </c>
      <c r="AY94" s="82"/>
      <c r="BA94" s="79">
        <v>0</v>
      </c>
      <c r="BB94" s="80">
        <f t="shared" si="109"/>
        <v>0</v>
      </c>
      <c r="BC94" s="79">
        <v>0</v>
      </c>
      <c r="BD94" s="80">
        <f t="shared" si="110"/>
        <v>0</v>
      </c>
      <c r="BE94" s="79">
        <v>1375.99</v>
      </c>
      <c r="BF94" s="81">
        <f t="shared" si="111"/>
        <v>3.2546743163296404E-4</v>
      </c>
      <c r="BG94" s="80">
        <f t="shared" ref="BG94:BG96" si="181">IFERROR((BC94-$BA94)/ABS($BA94),0)</f>
        <v>0</v>
      </c>
      <c r="BH94" s="70">
        <f t="shared" ref="BH94:BH96" si="182">(BC94-$BA94)</f>
        <v>0</v>
      </c>
      <c r="BI94" s="80">
        <f t="shared" ref="BI94:BI96" si="183">IFERROR((BE94-$BA94)/ABS($BA94),0)</f>
        <v>0</v>
      </c>
      <c r="BJ94" s="70">
        <f t="shared" ref="BJ94:BJ96" si="184">(BE94-$BA94)</f>
        <v>1375.99</v>
      </c>
      <c r="BK94" s="82"/>
    </row>
    <row r="95" spans="2:63" ht="11.95" outlineLevel="2" thickBot="1" x14ac:dyDescent="0.3">
      <c r="B95" t="str">
        <f t="shared" si="168"/>
        <v>#showrow</v>
      </c>
      <c r="E95" s="3"/>
      <c r="F95" s="3"/>
      <c r="G95" s="3"/>
      <c r="H95" s="255" t="s">
        <v>481</v>
      </c>
      <c r="I95" s="18"/>
      <c r="J95" s="18"/>
      <c r="K95" s="18"/>
      <c r="L95" s="78"/>
      <c r="M95" s="79"/>
      <c r="N95" s="80">
        <f t="shared" si="89"/>
        <v>0</v>
      </c>
      <c r="O95" s="79"/>
      <c r="P95" s="80">
        <f t="shared" si="90"/>
        <v>0</v>
      </c>
      <c r="Q95" s="79"/>
      <c r="R95" s="80">
        <f t="shared" si="91"/>
        <v>0</v>
      </c>
      <c r="S95" s="79"/>
      <c r="T95" s="81">
        <f t="shared" si="92"/>
        <v>0</v>
      </c>
      <c r="U95" s="80">
        <f t="shared" si="169"/>
        <v>0</v>
      </c>
      <c r="V95" s="70">
        <f t="shared" si="170"/>
        <v>0</v>
      </c>
      <c r="W95" s="80">
        <f t="shared" si="171"/>
        <v>0</v>
      </c>
      <c r="X95" s="70">
        <f t="shared" si="172"/>
        <v>0</v>
      </c>
      <c r="Y95" s="80">
        <f t="shared" si="173"/>
        <v>0</v>
      </c>
      <c r="Z95" s="70">
        <f t="shared" si="174"/>
        <v>0</v>
      </c>
      <c r="AA95" s="82"/>
      <c r="AC95" s="138">
        <v>0</v>
      </c>
      <c r="AD95" s="138">
        <v>0</v>
      </c>
      <c r="AE95" s="138">
        <v>0</v>
      </c>
      <c r="AF95" s="233"/>
      <c r="AG95" s="139"/>
      <c r="AH95" s="233"/>
      <c r="AI95" s="139"/>
      <c r="AK95" s="79">
        <v>0</v>
      </c>
      <c r="AL95" s="80">
        <f t="shared" si="99"/>
        <v>0</v>
      </c>
      <c r="AM95" s="79">
        <v>0</v>
      </c>
      <c r="AN95" s="80">
        <f t="shared" si="100"/>
        <v>0</v>
      </c>
      <c r="AO95" s="79">
        <v>0</v>
      </c>
      <c r="AP95" s="80">
        <f t="shared" si="101"/>
        <v>0</v>
      </c>
      <c r="AQ95" s="79">
        <v>0</v>
      </c>
      <c r="AR95" s="81">
        <f t="shared" si="102"/>
        <v>0</v>
      </c>
      <c r="AS95" s="80">
        <f t="shared" si="175"/>
        <v>0</v>
      </c>
      <c r="AT95" s="70">
        <f t="shared" si="176"/>
        <v>0</v>
      </c>
      <c r="AU95" s="80">
        <f t="shared" si="177"/>
        <v>0</v>
      </c>
      <c r="AV95" s="70">
        <f t="shared" si="178"/>
        <v>0</v>
      </c>
      <c r="AW95" s="80">
        <f t="shared" si="179"/>
        <v>0</v>
      </c>
      <c r="AX95" s="70">
        <f t="shared" si="180"/>
        <v>0</v>
      </c>
      <c r="AY95" s="82"/>
      <c r="BA95" s="79">
        <v>0</v>
      </c>
      <c r="BB95" s="80">
        <f t="shared" si="109"/>
        <v>0</v>
      </c>
      <c r="BC95" s="79">
        <v>0</v>
      </c>
      <c r="BD95" s="80">
        <f t="shared" si="110"/>
        <v>0</v>
      </c>
      <c r="BE95" s="79">
        <v>3684.86</v>
      </c>
      <c r="BF95" s="81">
        <f t="shared" si="111"/>
        <v>8.7159203201116566E-4</v>
      </c>
      <c r="BG95" s="80">
        <f t="shared" si="181"/>
        <v>0</v>
      </c>
      <c r="BH95" s="70">
        <f t="shared" si="182"/>
        <v>0</v>
      </c>
      <c r="BI95" s="80">
        <f t="shared" si="183"/>
        <v>0</v>
      </c>
      <c r="BJ95" s="70">
        <f t="shared" si="184"/>
        <v>3684.86</v>
      </c>
      <c r="BK95" s="82"/>
    </row>
    <row r="96" spans="2:63" ht="11.95" outlineLevel="2" thickBot="1" x14ac:dyDescent="0.3">
      <c r="B96" t="str">
        <f t="shared" si="168"/>
        <v>#showrow</v>
      </c>
      <c r="E96" s="3"/>
      <c r="F96" s="3"/>
      <c r="G96" s="3"/>
      <c r="H96" s="255" t="s">
        <v>482</v>
      </c>
      <c r="I96" s="18"/>
      <c r="J96" s="18"/>
      <c r="K96" s="18"/>
      <c r="L96" s="78"/>
      <c r="M96" s="79"/>
      <c r="N96" s="80">
        <f t="shared" si="89"/>
        <v>0</v>
      </c>
      <c r="O96" s="79"/>
      <c r="P96" s="80">
        <f t="shared" si="90"/>
        <v>0</v>
      </c>
      <c r="Q96" s="79"/>
      <c r="R96" s="80">
        <f t="shared" si="91"/>
        <v>0</v>
      </c>
      <c r="S96" s="79"/>
      <c r="T96" s="81">
        <f t="shared" si="92"/>
        <v>0</v>
      </c>
      <c r="U96" s="80">
        <f t="shared" si="169"/>
        <v>0</v>
      </c>
      <c r="V96" s="70">
        <f t="shared" si="170"/>
        <v>0</v>
      </c>
      <c r="W96" s="80">
        <f t="shared" si="171"/>
        <v>0</v>
      </c>
      <c r="X96" s="70">
        <f t="shared" si="172"/>
        <v>0</v>
      </c>
      <c r="Y96" s="80">
        <f t="shared" si="173"/>
        <v>0</v>
      </c>
      <c r="Z96" s="70">
        <f t="shared" si="174"/>
        <v>0</v>
      </c>
      <c r="AA96" s="82"/>
      <c r="AC96" s="138">
        <v>0</v>
      </c>
      <c r="AD96" s="138">
        <v>0</v>
      </c>
      <c r="AE96" s="138">
        <v>0</v>
      </c>
      <c r="AF96" s="233"/>
      <c r="AG96" s="139"/>
      <c r="AH96" s="233"/>
      <c r="AI96" s="139"/>
      <c r="AK96" s="79">
        <v>0</v>
      </c>
      <c r="AL96" s="80">
        <f t="shared" si="99"/>
        <v>0</v>
      </c>
      <c r="AM96" s="79">
        <v>0</v>
      </c>
      <c r="AN96" s="80">
        <f t="shared" si="100"/>
        <v>0</v>
      </c>
      <c r="AO96" s="79">
        <v>0</v>
      </c>
      <c r="AP96" s="80">
        <f t="shared" si="101"/>
        <v>0</v>
      </c>
      <c r="AQ96" s="79">
        <v>0</v>
      </c>
      <c r="AR96" s="81">
        <f t="shared" si="102"/>
        <v>0</v>
      </c>
      <c r="AS96" s="80">
        <f t="shared" si="175"/>
        <v>0</v>
      </c>
      <c r="AT96" s="70">
        <f t="shared" si="176"/>
        <v>0</v>
      </c>
      <c r="AU96" s="80">
        <f t="shared" si="177"/>
        <v>0</v>
      </c>
      <c r="AV96" s="70">
        <f t="shared" si="178"/>
        <v>0</v>
      </c>
      <c r="AW96" s="80">
        <f t="shared" si="179"/>
        <v>0</v>
      </c>
      <c r="AX96" s="70">
        <f t="shared" si="180"/>
        <v>0</v>
      </c>
      <c r="AY96" s="82"/>
      <c r="BA96" s="79">
        <v>0</v>
      </c>
      <c r="BB96" s="80">
        <f t="shared" si="109"/>
        <v>0</v>
      </c>
      <c r="BC96" s="79">
        <v>0</v>
      </c>
      <c r="BD96" s="80">
        <f t="shared" si="110"/>
        <v>0</v>
      </c>
      <c r="BE96" s="79">
        <v>2354.52</v>
      </c>
      <c r="BF96" s="81">
        <f t="shared" si="111"/>
        <v>5.569223447324809E-4</v>
      </c>
      <c r="BG96" s="80">
        <f t="shared" si="181"/>
        <v>0</v>
      </c>
      <c r="BH96" s="70">
        <f t="shared" si="182"/>
        <v>0</v>
      </c>
      <c r="BI96" s="80">
        <f t="shared" si="183"/>
        <v>0</v>
      </c>
      <c r="BJ96" s="70">
        <f t="shared" si="184"/>
        <v>2354.52</v>
      </c>
      <c r="BK96" s="82"/>
    </row>
    <row r="97" spans="2:63" ht="11.95" outlineLevel="1" thickBot="1" x14ac:dyDescent="0.3">
      <c r="E97" s="3"/>
      <c r="F97" s="3"/>
      <c r="G97" s="3"/>
      <c r="H97" s="256" t="s">
        <v>108</v>
      </c>
      <c r="I97" s="18"/>
      <c r="J97" s="18"/>
      <c r="K97" s="18"/>
      <c r="L97" s="78"/>
      <c r="M97" s="79">
        <v>18667.43</v>
      </c>
      <c r="N97" s="80">
        <f t="shared" si="89"/>
        <v>4.5779552120660025E-2</v>
      </c>
      <c r="O97" s="79">
        <v>10000</v>
      </c>
      <c r="P97" s="80">
        <f t="shared" si="90"/>
        <v>1.9387210647351383E-2</v>
      </c>
      <c r="Q97" s="79">
        <v>10000</v>
      </c>
      <c r="R97" s="80">
        <f t="shared" si="91"/>
        <v>1.9387210647351383E-2</v>
      </c>
      <c r="S97" s="79">
        <v>8494.3700000000008</v>
      </c>
      <c r="T97" s="81">
        <f t="shared" si="92"/>
        <v>3.7494720223839116E-2</v>
      </c>
      <c r="U97" s="80">
        <f t="shared" si="93"/>
        <v>-0.46430762027767081</v>
      </c>
      <c r="V97" s="70">
        <f t="shared" si="94"/>
        <v>-8667.43</v>
      </c>
      <c r="W97" s="80">
        <f t="shared" si="95"/>
        <v>-0.46430762027767081</v>
      </c>
      <c r="X97" s="260">
        <f t="shared" si="96"/>
        <v>-8667.43</v>
      </c>
      <c r="Y97" s="80">
        <f t="shared" si="97"/>
        <v>-0.54496307204580385</v>
      </c>
      <c r="Z97" s="70">
        <f t="shared" si="98"/>
        <v>-10173.06</v>
      </c>
      <c r="AA97" s="82"/>
      <c r="AC97" s="138">
        <v>18667.43</v>
      </c>
      <c r="AD97" s="138">
        <v>8494.3700000000008</v>
      </c>
      <c r="AE97" s="138">
        <v>10000</v>
      </c>
      <c r="AF97" s="233"/>
      <c r="AG97" s="139"/>
      <c r="AH97" s="233"/>
      <c r="AI97" s="139"/>
      <c r="AK97" s="79">
        <v>18667.43</v>
      </c>
      <c r="AL97" s="80">
        <f t="shared" si="99"/>
        <v>4.5779552120660025E-2</v>
      </c>
      <c r="AM97" s="79">
        <v>10000</v>
      </c>
      <c r="AN97" s="80">
        <f t="shared" si="100"/>
        <v>1.9387210647351383E-2</v>
      </c>
      <c r="AO97" s="79">
        <v>10000</v>
      </c>
      <c r="AP97" s="80">
        <f t="shared" si="101"/>
        <v>1.9387210647351383E-2</v>
      </c>
      <c r="AQ97" s="79">
        <v>8494.3700000000008</v>
      </c>
      <c r="AR97" s="81">
        <f t="shared" si="102"/>
        <v>3.7494720223839116E-2</v>
      </c>
      <c r="AS97" s="80">
        <f t="shared" si="103"/>
        <v>-0.46430762027767081</v>
      </c>
      <c r="AT97" s="70">
        <f t="shared" si="104"/>
        <v>-8667.43</v>
      </c>
      <c r="AU97" s="80">
        <f t="shared" si="105"/>
        <v>-0.86674300000000004</v>
      </c>
      <c r="AV97" s="70">
        <f t="shared" si="106"/>
        <v>-8667.43</v>
      </c>
      <c r="AW97" s="80">
        <f t="shared" si="107"/>
        <v>-0.54496307204580385</v>
      </c>
      <c r="AX97" s="70">
        <f t="shared" si="108"/>
        <v>-10173.06</v>
      </c>
      <c r="AY97" s="82"/>
      <c r="BA97" s="79">
        <v>120000</v>
      </c>
      <c r="BB97" s="80">
        <f t="shared" si="109"/>
        <v>1.7895886751401292E-2</v>
      </c>
      <c r="BC97" s="79">
        <v>120000</v>
      </c>
      <c r="BD97" s="80">
        <f t="shared" si="110"/>
        <v>1.7895886751401292E-2</v>
      </c>
      <c r="BE97" s="79">
        <v>134219.44</v>
      </c>
      <c r="BF97" s="81">
        <f t="shared" si="111"/>
        <v>3.1747364742487023E-2</v>
      </c>
      <c r="BG97" s="80">
        <f t="shared" si="112"/>
        <v>0</v>
      </c>
      <c r="BH97" s="70">
        <f t="shared" si="113"/>
        <v>0</v>
      </c>
      <c r="BI97" s="80">
        <f t="shared" si="114"/>
        <v>0.11849533333333336</v>
      </c>
      <c r="BJ97" s="70">
        <f t="shared" si="115"/>
        <v>14219.440000000002</v>
      </c>
      <c r="BK97" s="82"/>
    </row>
    <row r="98" spans="2:63" ht="11.95" hidden="1" outlineLevel="2" thickBot="1" x14ac:dyDescent="0.3">
      <c r="B98" t="str">
        <f>IF(LEFT(H98,3)="Mul", "#hiderow", "#showrow")</f>
        <v>#hiderow</v>
      </c>
      <c r="E98" s="3"/>
      <c r="F98" s="3"/>
      <c r="G98" s="3"/>
      <c r="H98" s="255" t="s">
        <v>6</v>
      </c>
      <c r="I98" s="18"/>
      <c r="J98" s="18"/>
      <c r="K98" s="18"/>
      <c r="L98" s="78"/>
      <c r="M98" s="79"/>
      <c r="N98" s="80">
        <f t="shared" ref="N98:N129" si="185">IFERROR(M98/SUMIFS(M:M, $H:$H, "Net Sales"),0)</f>
        <v>0</v>
      </c>
      <c r="O98" s="79"/>
      <c r="P98" s="80">
        <f t="shared" ref="P98:P129" si="186">IFERROR(O98/SUMIFS(O:O, $H:$H, "Net Sales"),0)</f>
        <v>0</v>
      </c>
      <c r="Q98" s="79"/>
      <c r="R98" s="80">
        <f t="shared" ref="R98:R129" si="187">IFERROR(Q98/SUMIFS(Q:Q, $H:$H, "Net Sales"),0)</f>
        <v>0</v>
      </c>
      <c r="S98" s="79"/>
      <c r="T98" s="81">
        <f t="shared" ref="T98:T129" si="188">IFERROR(S98/SUMIFS(S:S, $H:$H, "Net Sales"),0)</f>
        <v>0</v>
      </c>
      <c r="U98" s="80">
        <f t="shared" si="93"/>
        <v>0</v>
      </c>
      <c r="V98" s="70">
        <f t="shared" si="94"/>
        <v>0</v>
      </c>
      <c r="W98" s="80">
        <f t="shared" si="95"/>
        <v>0</v>
      </c>
      <c r="X98" s="70">
        <f t="shared" si="96"/>
        <v>0</v>
      </c>
      <c r="Y98" s="80">
        <f t="shared" si="97"/>
        <v>0</v>
      </c>
      <c r="Z98" s="70">
        <f t="shared" si="98"/>
        <v>0</v>
      </c>
      <c r="AA98" s="82"/>
      <c r="AC98" s="138"/>
      <c r="AD98" s="138"/>
      <c r="AE98" s="138"/>
      <c r="AF98" s="233"/>
      <c r="AG98" s="139"/>
      <c r="AH98" s="233"/>
      <c r="AI98" s="139"/>
      <c r="AK98" s="79"/>
      <c r="AL98" s="80">
        <f t="shared" ref="AL98:AL129" si="189">IFERROR(AK98/SUMIFS(AK:AK, $H:$H, "Net Sales"),0)</f>
        <v>0</v>
      </c>
      <c r="AM98" s="79"/>
      <c r="AN98" s="80">
        <f t="shared" ref="AN98:AN129" si="190">IFERROR(AM98/SUMIFS(AM:AM, $H:$H, "Net Sales"),0)</f>
        <v>0</v>
      </c>
      <c r="AO98" s="79"/>
      <c r="AP98" s="80">
        <f t="shared" ref="AP98:AP129" si="191">IFERROR(AO98/SUMIFS(AO:AO, $H:$H, "Net Sales"),0)</f>
        <v>0</v>
      </c>
      <c r="AQ98" s="79"/>
      <c r="AR98" s="81">
        <f t="shared" ref="AR98:AR129" si="192">IFERROR(AQ98/SUMIFS(AQ:AQ, $H:$H, "Net Sales"),0)</f>
        <v>0</v>
      </c>
      <c r="AS98" s="80">
        <f t="shared" si="103"/>
        <v>0</v>
      </c>
      <c r="AT98" s="70">
        <f t="shared" si="104"/>
        <v>0</v>
      </c>
      <c r="AU98" s="80">
        <f t="shared" si="105"/>
        <v>0</v>
      </c>
      <c r="AV98" s="70">
        <f t="shared" si="106"/>
        <v>0</v>
      </c>
      <c r="AW98" s="80">
        <f t="shared" si="107"/>
        <v>0</v>
      </c>
      <c r="AX98" s="70">
        <f t="shared" si="108"/>
        <v>0</v>
      </c>
      <c r="AY98" s="82"/>
      <c r="BA98" s="79"/>
      <c r="BB98" s="80">
        <f t="shared" ref="BB98:BB129" si="193">IFERROR(BA98/SUMIFS(BA:BA, $H:$H, "Net Sales"),0)</f>
        <v>0</v>
      </c>
      <c r="BC98" s="79"/>
      <c r="BD98" s="80">
        <f t="shared" ref="BD98:BD129" si="194">IFERROR(BC98/SUMIFS(BC:BC, $H:$H, "Net Sales"),0)</f>
        <v>0</v>
      </c>
      <c r="BE98" s="79"/>
      <c r="BF98" s="81">
        <f t="shared" ref="BF98:BF129" si="195">IFERROR(BE98/SUMIFS(BE:BE, $H:$H, "Net Sales"),0)</f>
        <v>0</v>
      </c>
      <c r="BG98" s="80">
        <f t="shared" si="112"/>
        <v>0</v>
      </c>
      <c r="BH98" s="70">
        <f t="shared" si="113"/>
        <v>0</v>
      </c>
      <c r="BI98" s="80">
        <f t="shared" si="114"/>
        <v>0</v>
      </c>
      <c r="BJ98" s="70">
        <f t="shared" si="115"/>
        <v>0</v>
      </c>
      <c r="BK98" s="82"/>
    </row>
    <row r="99" spans="2:63" ht="11.95" outlineLevel="2" thickBot="1" x14ac:dyDescent="0.3">
      <c r="B99" t="str">
        <f t="shared" ref="B99:B105" si="196">IF(LEFT(H99,3)="Mul", "#hiderow", "#showrow")</f>
        <v>#showrow</v>
      </c>
      <c r="E99" s="3"/>
      <c r="F99" s="3"/>
      <c r="G99" s="3"/>
      <c r="H99" s="255" t="s">
        <v>187</v>
      </c>
      <c r="I99" s="18"/>
      <c r="J99" s="18"/>
      <c r="K99" s="18"/>
      <c r="L99" s="78"/>
      <c r="M99" s="79"/>
      <c r="N99" s="80">
        <f t="shared" si="185"/>
        <v>0</v>
      </c>
      <c r="O99" s="79">
        <v>10000</v>
      </c>
      <c r="P99" s="80">
        <f t="shared" si="186"/>
        <v>1.9387210647351383E-2</v>
      </c>
      <c r="Q99" s="79">
        <v>10000</v>
      </c>
      <c r="R99" s="80">
        <f t="shared" si="187"/>
        <v>1.9387210647351383E-2</v>
      </c>
      <c r="S99" s="79">
        <v>3157.7</v>
      </c>
      <c r="T99" s="81">
        <f t="shared" si="188"/>
        <v>1.3938300080031453E-2</v>
      </c>
      <c r="U99" s="80">
        <f t="shared" ref="U99:U105" si="197">IFERROR(($O99-M99)/ABS(M99),0)</f>
        <v>0</v>
      </c>
      <c r="V99" s="70">
        <f t="shared" ref="V99:V105" si="198">IFERROR((O99-$M99), 0-$M99)</f>
        <v>10000</v>
      </c>
      <c r="W99" s="80">
        <f t="shared" ref="W99:W105" si="199">IFERROR((Q99-$M99)/ABS($M99),0)</f>
        <v>0</v>
      </c>
      <c r="X99" s="70">
        <f t="shared" ref="X99:X105" si="200">IFERROR((Q99-$M99), 0 -$M99)</f>
        <v>10000</v>
      </c>
      <c r="Y99" s="80">
        <f t="shared" ref="Y99:Y105" si="201">IFERROR((S99-$M99)/ABS($M99),0)</f>
        <v>0</v>
      </c>
      <c r="Z99" s="70">
        <f t="shared" ref="Z99:Z105" si="202">IFERROR((S99-$M99),0-$M99)</f>
        <v>3157.7</v>
      </c>
      <c r="AA99" s="82"/>
      <c r="AC99" s="138">
        <v>0</v>
      </c>
      <c r="AD99" s="138">
        <v>3157.7</v>
      </c>
      <c r="AE99" s="138">
        <v>10000</v>
      </c>
      <c r="AF99" s="233"/>
      <c r="AG99" s="139"/>
      <c r="AH99" s="233"/>
      <c r="AI99" s="139"/>
      <c r="AK99" s="79">
        <v>0</v>
      </c>
      <c r="AL99" s="80">
        <f t="shared" si="189"/>
        <v>0</v>
      </c>
      <c r="AM99" s="79">
        <v>10000</v>
      </c>
      <c r="AN99" s="80">
        <f t="shared" si="190"/>
        <v>1.9387210647351383E-2</v>
      </c>
      <c r="AO99" s="79">
        <v>10000</v>
      </c>
      <c r="AP99" s="80">
        <f t="shared" si="191"/>
        <v>1.9387210647351383E-2</v>
      </c>
      <c r="AQ99" s="79">
        <v>3157.7</v>
      </c>
      <c r="AR99" s="81">
        <f t="shared" si="192"/>
        <v>1.3938300080031453E-2</v>
      </c>
      <c r="AS99" s="80">
        <f t="shared" ref="AS99:AS105" si="203">IFERROR((AM99-$AK99)/ABS($AK99),0)</f>
        <v>0</v>
      </c>
      <c r="AT99" s="70">
        <f t="shared" ref="AT99:AT105" si="204">(AM99-$AK99)</f>
        <v>10000</v>
      </c>
      <c r="AU99" s="80">
        <f t="shared" ref="AU99:AU105" si="205">IFERROR((AO99-$AK99)/ABS($AO99),0)</f>
        <v>1</v>
      </c>
      <c r="AV99" s="70">
        <f t="shared" ref="AV99:AV105" si="206">(AO99-$AK99)</f>
        <v>10000</v>
      </c>
      <c r="AW99" s="80">
        <f t="shared" ref="AW99:AW105" si="207">IFERROR((AQ99-$AK99)/ABS($AK99),0)</f>
        <v>0</v>
      </c>
      <c r="AX99" s="70">
        <f t="shared" ref="AX99:AX105" si="208">(AQ99-$AK99)</f>
        <v>3157.7</v>
      </c>
      <c r="AY99" s="82"/>
      <c r="BA99" s="79">
        <v>120000</v>
      </c>
      <c r="BB99" s="80">
        <f t="shared" si="193"/>
        <v>1.7895886751401292E-2</v>
      </c>
      <c r="BC99" s="79">
        <v>120000</v>
      </c>
      <c r="BD99" s="80">
        <f t="shared" si="194"/>
        <v>1.7895886751401292E-2</v>
      </c>
      <c r="BE99" s="79">
        <v>27011.439999999999</v>
      </c>
      <c r="BF99" s="81">
        <f t="shared" si="195"/>
        <v>6.3891045730767732E-3</v>
      </c>
      <c r="BG99" s="80">
        <f t="shared" ref="BG99:BG105" si="209">IFERROR((BC99-$BA99)/ABS($BA99),0)</f>
        <v>0</v>
      </c>
      <c r="BH99" s="70">
        <f t="shared" ref="BH99:BH105" si="210">(BC99-$BA99)</f>
        <v>0</v>
      </c>
      <c r="BI99" s="80">
        <f t="shared" ref="BI99:BI105" si="211">IFERROR((BE99-$BA99)/ABS($BA99),0)</f>
        <v>-0.77490466666666669</v>
      </c>
      <c r="BJ99" s="70">
        <f t="shared" ref="BJ99:BJ105" si="212">(BE99-$BA99)</f>
        <v>-92988.56</v>
      </c>
      <c r="BK99" s="82"/>
    </row>
    <row r="100" spans="2:63" ht="11.95" outlineLevel="2" thickBot="1" x14ac:dyDescent="0.3">
      <c r="B100" t="str">
        <f t="shared" si="196"/>
        <v>#showrow</v>
      </c>
      <c r="E100" s="3"/>
      <c r="F100" s="3"/>
      <c r="G100" s="3"/>
      <c r="H100" s="255" t="s">
        <v>188</v>
      </c>
      <c r="I100" s="18"/>
      <c r="J100" s="18"/>
      <c r="K100" s="18"/>
      <c r="L100" s="78"/>
      <c r="M100" s="79"/>
      <c r="N100" s="80">
        <f t="shared" si="185"/>
        <v>0</v>
      </c>
      <c r="O100" s="79"/>
      <c r="P100" s="80">
        <f t="shared" si="186"/>
        <v>0</v>
      </c>
      <c r="Q100" s="79"/>
      <c r="R100" s="80">
        <f t="shared" si="187"/>
        <v>0</v>
      </c>
      <c r="S100" s="79">
        <v>1054.5</v>
      </c>
      <c r="T100" s="81">
        <f t="shared" si="188"/>
        <v>4.6546338899810516E-3</v>
      </c>
      <c r="U100" s="80">
        <f t="shared" si="197"/>
        <v>0</v>
      </c>
      <c r="V100" s="70">
        <f t="shared" si="198"/>
        <v>0</v>
      </c>
      <c r="W100" s="80">
        <f t="shared" si="199"/>
        <v>0</v>
      </c>
      <c r="X100" s="70">
        <f t="shared" si="200"/>
        <v>0</v>
      </c>
      <c r="Y100" s="80">
        <f t="shared" si="201"/>
        <v>0</v>
      </c>
      <c r="Z100" s="70">
        <f t="shared" si="202"/>
        <v>1054.5</v>
      </c>
      <c r="AA100" s="82"/>
      <c r="AC100" s="138">
        <v>0</v>
      </c>
      <c r="AD100" s="138">
        <v>1054.5</v>
      </c>
      <c r="AE100" s="138">
        <v>0</v>
      </c>
      <c r="AF100" s="233"/>
      <c r="AG100" s="139"/>
      <c r="AH100" s="233"/>
      <c r="AI100" s="139"/>
      <c r="AK100" s="79">
        <v>0</v>
      </c>
      <c r="AL100" s="80">
        <f t="shared" si="189"/>
        <v>0</v>
      </c>
      <c r="AM100" s="79">
        <v>0</v>
      </c>
      <c r="AN100" s="80">
        <f t="shared" si="190"/>
        <v>0</v>
      </c>
      <c r="AO100" s="79">
        <v>0</v>
      </c>
      <c r="AP100" s="80">
        <f t="shared" si="191"/>
        <v>0</v>
      </c>
      <c r="AQ100" s="79">
        <v>1054.5</v>
      </c>
      <c r="AR100" s="81">
        <f t="shared" si="192"/>
        <v>4.6546338899810516E-3</v>
      </c>
      <c r="AS100" s="80">
        <f t="shared" si="203"/>
        <v>0</v>
      </c>
      <c r="AT100" s="70">
        <f t="shared" si="204"/>
        <v>0</v>
      </c>
      <c r="AU100" s="80">
        <f t="shared" si="205"/>
        <v>0</v>
      </c>
      <c r="AV100" s="70">
        <f t="shared" si="206"/>
        <v>0</v>
      </c>
      <c r="AW100" s="80">
        <f t="shared" si="207"/>
        <v>0</v>
      </c>
      <c r="AX100" s="70">
        <f t="shared" si="208"/>
        <v>1054.5</v>
      </c>
      <c r="AY100" s="82"/>
      <c r="BA100" s="79">
        <v>0</v>
      </c>
      <c r="BB100" s="80">
        <f t="shared" si="193"/>
        <v>0</v>
      </c>
      <c r="BC100" s="79">
        <v>0</v>
      </c>
      <c r="BD100" s="80">
        <f t="shared" si="194"/>
        <v>0</v>
      </c>
      <c r="BE100" s="79">
        <v>11700.16</v>
      </c>
      <c r="BF100" s="81">
        <f t="shared" si="195"/>
        <v>2.7674772526651648E-3</v>
      </c>
      <c r="BG100" s="80">
        <f t="shared" si="209"/>
        <v>0</v>
      </c>
      <c r="BH100" s="70">
        <f t="shared" si="210"/>
        <v>0</v>
      </c>
      <c r="BI100" s="80">
        <f t="shared" si="211"/>
        <v>0</v>
      </c>
      <c r="BJ100" s="70">
        <f t="shared" si="212"/>
        <v>11700.16</v>
      </c>
      <c r="BK100" s="82"/>
    </row>
    <row r="101" spans="2:63" ht="11.95" outlineLevel="2" thickBot="1" x14ac:dyDescent="0.3">
      <c r="B101" t="str">
        <f t="shared" si="196"/>
        <v>#showrow</v>
      </c>
      <c r="E101" s="3"/>
      <c r="F101" s="3"/>
      <c r="G101" s="3"/>
      <c r="H101" s="255" t="s">
        <v>189</v>
      </c>
      <c r="I101" s="18"/>
      <c r="J101" s="18"/>
      <c r="K101" s="18"/>
      <c r="L101" s="78"/>
      <c r="M101" s="79">
        <v>13733.73</v>
      </c>
      <c r="N101" s="80">
        <f t="shared" si="185"/>
        <v>3.3680266021946896E-2</v>
      </c>
      <c r="O101" s="79"/>
      <c r="P101" s="80">
        <f t="shared" si="186"/>
        <v>0</v>
      </c>
      <c r="Q101" s="79"/>
      <c r="R101" s="80">
        <f t="shared" si="187"/>
        <v>0</v>
      </c>
      <c r="S101" s="79"/>
      <c r="T101" s="81">
        <f t="shared" si="188"/>
        <v>0</v>
      </c>
      <c r="U101" s="80">
        <f t="shared" si="197"/>
        <v>-1</v>
      </c>
      <c r="V101" s="70">
        <f t="shared" si="198"/>
        <v>-13733.73</v>
      </c>
      <c r="W101" s="80">
        <f t="shared" si="199"/>
        <v>-1</v>
      </c>
      <c r="X101" s="70">
        <f t="shared" si="200"/>
        <v>-13733.73</v>
      </c>
      <c r="Y101" s="80">
        <f t="shared" si="201"/>
        <v>-1</v>
      </c>
      <c r="Z101" s="70">
        <f t="shared" si="202"/>
        <v>-13733.73</v>
      </c>
      <c r="AA101" s="82"/>
      <c r="AC101" s="138">
        <v>13733.73</v>
      </c>
      <c r="AD101" s="138">
        <v>0</v>
      </c>
      <c r="AE101" s="138">
        <v>0</v>
      </c>
      <c r="AF101" s="233"/>
      <c r="AG101" s="139"/>
      <c r="AH101" s="233"/>
      <c r="AI101" s="139"/>
      <c r="AK101" s="79">
        <v>13733.73</v>
      </c>
      <c r="AL101" s="80">
        <f t="shared" si="189"/>
        <v>3.3680266021946896E-2</v>
      </c>
      <c r="AM101" s="79">
        <v>0</v>
      </c>
      <c r="AN101" s="80">
        <f t="shared" si="190"/>
        <v>0</v>
      </c>
      <c r="AO101" s="79">
        <v>0</v>
      </c>
      <c r="AP101" s="80">
        <f t="shared" si="191"/>
        <v>0</v>
      </c>
      <c r="AQ101" s="79">
        <v>0</v>
      </c>
      <c r="AR101" s="81">
        <f t="shared" si="192"/>
        <v>0</v>
      </c>
      <c r="AS101" s="80">
        <f t="shared" si="203"/>
        <v>-1</v>
      </c>
      <c r="AT101" s="70">
        <f t="shared" si="204"/>
        <v>-13733.73</v>
      </c>
      <c r="AU101" s="80">
        <f t="shared" si="205"/>
        <v>0</v>
      </c>
      <c r="AV101" s="70">
        <f t="shared" si="206"/>
        <v>-13733.73</v>
      </c>
      <c r="AW101" s="80">
        <f t="shared" si="207"/>
        <v>-1</v>
      </c>
      <c r="AX101" s="70">
        <f t="shared" si="208"/>
        <v>-13733.73</v>
      </c>
      <c r="AY101" s="82"/>
      <c r="BA101" s="79">
        <v>0</v>
      </c>
      <c r="BB101" s="80">
        <f t="shared" si="193"/>
        <v>0</v>
      </c>
      <c r="BC101" s="79">
        <v>0</v>
      </c>
      <c r="BD101" s="80">
        <f t="shared" si="194"/>
        <v>0</v>
      </c>
      <c r="BE101" s="79">
        <v>24775.57</v>
      </c>
      <c r="BF101" s="81">
        <f t="shared" si="195"/>
        <v>5.8602469023341115E-3</v>
      </c>
      <c r="BG101" s="80">
        <f t="shared" si="209"/>
        <v>0</v>
      </c>
      <c r="BH101" s="70">
        <f t="shared" si="210"/>
        <v>0</v>
      </c>
      <c r="BI101" s="80">
        <f t="shared" si="211"/>
        <v>0</v>
      </c>
      <c r="BJ101" s="70">
        <f t="shared" si="212"/>
        <v>24775.57</v>
      </c>
      <c r="BK101" s="82"/>
    </row>
    <row r="102" spans="2:63" ht="11.95" outlineLevel="2" thickBot="1" x14ac:dyDescent="0.3">
      <c r="B102" t="str">
        <f t="shared" si="196"/>
        <v>#showrow</v>
      </c>
      <c r="E102" s="3"/>
      <c r="F102" s="3"/>
      <c r="G102" s="3"/>
      <c r="H102" s="255" t="s">
        <v>191</v>
      </c>
      <c r="I102" s="18"/>
      <c r="J102" s="18"/>
      <c r="K102" s="18"/>
      <c r="L102" s="78"/>
      <c r="M102" s="79">
        <v>4662.55</v>
      </c>
      <c r="N102" s="80">
        <f t="shared" si="185"/>
        <v>1.1434324421743294E-2</v>
      </c>
      <c r="O102" s="79"/>
      <c r="P102" s="80">
        <f t="shared" si="186"/>
        <v>0</v>
      </c>
      <c r="Q102" s="79"/>
      <c r="R102" s="80">
        <f t="shared" si="187"/>
        <v>0</v>
      </c>
      <c r="S102" s="79">
        <v>4282.17</v>
      </c>
      <c r="T102" s="81">
        <f t="shared" si="188"/>
        <v>1.8901786253826609E-2</v>
      </c>
      <c r="U102" s="80">
        <f t="shared" si="197"/>
        <v>-1</v>
      </c>
      <c r="V102" s="70">
        <f t="shared" si="198"/>
        <v>-4662.55</v>
      </c>
      <c r="W102" s="80">
        <f t="shared" si="199"/>
        <v>-1</v>
      </c>
      <c r="X102" s="70">
        <f t="shared" si="200"/>
        <v>-4662.55</v>
      </c>
      <c r="Y102" s="80">
        <f t="shared" si="201"/>
        <v>-8.1581966949416107E-2</v>
      </c>
      <c r="Z102" s="70">
        <f t="shared" si="202"/>
        <v>-380.38000000000011</v>
      </c>
      <c r="AA102" s="82"/>
      <c r="AC102" s="138">
        <v>4662.55</v>
      </c>
      <c r="AD102" s="138">
        <v>4282.17</v>
      </c>
      <c r="AE102" s="138">
        <v>0</v>
      </c>
      <c r="AF102" s="233"/>
      <c r="AG102" s="139"/>
      <c r="AH102" s="233"/>
      <c r="AI102" s="139"/>
      <c r="AK102" s="79">
        <v>4662.55</v>
      </c>
      <c r="AL102" s="80">
        <f t="shared" si="189"/>
        <v>1.1434324421743294E-2</v>
      </c>
      <c r="AM102" s="79">
        <v>0</v>
      </c>
      <c r="AN102" s="80">
        <f t="shared" si="190"/>
        <v>0</v>
      </c>
      <c r="AO102" s="79">
        <v>0</v>
      </c>
      <c r="AP102" s="80">
        <f t="shared" si="191"/>
        <v>0</v>
      </c>
      <c r="AQ102" s="79">
        <v>4282.17</v>
      </c>
      <c r="AR102" s="81">
        <f t="shared" si="192"/>
        <v>1.8901786253826609E-2</v>
      </c>
      <c r="AS102" s="80">
        <f t="shared" si="203"/>
        <v>-1</v>
      </c>
      <c r="AT102" s="70">
        <f t="shared" si="204"/>
        <v>-4662.55</v>
      </c>
      <c r="AU102" s="80">
        <f t="shared" si="205"/>
        <v>0</v>
      </c>
      <c r="AV102" s="70">
        <f t="shared" si="206"/>
        <v>-4662.55</v>
      </c>
      <c r="AW102" s="80">
        <f t="shared" si="207"/>
        <v>-8.1581966949416107E-2</v>
      </c>
      <c r="AX102" s="70">
        <f t="shared" si="208"/>
        <v>-380.38000000000011</v>
      </c>
      <c r="AY102" s="82"/>
      <c r="BA102" s="79">
        <v>0</v>
      </c>
      <c r="BB102" s="80">
        <f t="shared" si="193"/>
        <v>0</v>
      </c>
      <c r="BC102" s="79">
        <v>0</v>
      </c>
      <c r="BD102" s="80">
        <f t="shared" si="194"/>
        <v>0</v>
      </c>
      <c r="BE102" s="79">
        <v>65110.22</v>
      </c>
      <c r="BF102" s="81">
        <f t="shared" si="195"/>
        <v>1.5400734072527596E-2</v>
      </c>
      <c r="BG102" s="80">
        <f t="shared" si="209"/>
        <v>0</v>
      </c>
      <c r="BH102" s="70">
        <f t="shared" si="210"/>
        <v>0</v>
      </c>
      <c r="BI102" s="80">
        <f t="shared" si="211"/>
        <v>0</v>
      </c>
      <c r="BJ102" s="70">
        <f t="shared" si="212"/>
        <v>65110.22</v>
      </c>
      <c r="BK102" s="82"/>
    </row>
    <row r="103" spans="2:63" ht="11.95" outlineLevel="2" thickBot="1" x14ac:dyDescent="0.3">
      <c r="B103" t="str">
        <f t="shared" si="196"/>
        <v>#showrow</v>
      </c>
      <c r="E103" s="3"/>
      <c r="F103" s="3"/>
      <c r="G103" s="3"/>
      <c r="H103" s="255" t="s">
        <v>192</v>
      </c>
      <c r="I103" s="18"/>
      <c r="J103" s="18"/>
      <c r="K103" s="18"/>
      <c r="L103" s="78"/>
      <c r="M103" s="79">
        <v>271.14999999999998</v>
      </c>
      <c r="N103" s="80">
        <f t="shared" si="185"/>
        <v>6.6496167696983278E-4</v>
      </c>
      <c r="O103" s="79"/>
      <c r="P103" s="80">
        <f t="shared" si="186"/>
        <v>0</v>
      </c>
      <c r="Q103" s="79"/>
      <c r="R103" s="80">
        <f t="shared" si="187"/>
        <v>0</v>
      </c>
      <c r="S103" s="79"/>
      <c r="T103" s="81">
        <f t="shared" si="188"/>
        <v>0</v>
      </c>
      <c r="U103" s="80">
        <f t="shared" si="197"/>
        <v>-1</v>
      </c>
      <c r="V103" s="70">
        <f t="shared" si="198"/>
        <v>-271.14999999999998</v>
      </c>
      <c r="W103" s="80">
        <f t="shared" si="199"/>
        <v>-1</v>
      </c>
      <c r="X103" s="70">
        <f t="shared" si="200"/>
        <v>-271.14999999999998</v>
      </c>
      <c r="Y103" s="80">
        <f t="shared" si="201"/>
        <v>-1</v>
      </c>
      <c r="Z103" s="70">
        <f t="shared" si="202"/>
        <v>-271.14999999999998</v>
      </c>
      <c r="AA103" s="82"/>
      <c r="AC103" s="138">
        <v>271.14999999999998</v>
      </c>
      <c r="AD103" s="138">
        <v>0</v>
      </c>
      <c r="AE103" s="138">
        <v>0</v>
      </c>
      <c r="AF103" s="233"/>
      <c r="AG103" s="139"/>
      <c r="AH103" s="233"/>
      <c r="AI103" s="139"/>
      <c r="AK103" s="79">
        <v>271.14999999999998</v>
      </c>
      <c r="AL103" s="80">
        <f t="shared" si="189"/>
        <v>6.6496167696983278E-4</v>
      </c>
      <c r="AM103" s="79">
        <v>0</v>
      </c>
      <c r="AN103" s="80">
        <f t="shared" si="190"/>
        <v>0</v>
      </c>
      <c r="AO103" s="79">
        <v>0</v>
      </c>
      <c r="AP103" s="80">
        <f t="shared" si="191"/>
        <v>0</v>
      </c>
      <c r="AQ103" s="79">
        <v>0</v>
      </c>
      <c r="AR103" s="81">
        <f t="shared" si="192"/>
        <v>0</v>
      </c>
      <c r="AS103" s="80">
        <f t="shared" si="203"/>
        <v>-1</v>
      </c>
      <c r="AT103" s="70">
        <f t="shared" si="204"/>
        <v>-271.14999999999998</v>
      </c>
      <c r="AU103" s="80">
        <f t="shared" si="205"/>
        <v>0</v>
      </c>
      <c r="AV103" s="70">
        <f t="shared" si="206"/>
        <v>-271.14999999999998</v>
      </c>
      <c r="AW103" s="80">
        <f t="shared" si="207"/>
        <v>-1</v>
      </c>
      <c r="AX103" s="70">
        <f t="shared" si="208"/>
        <v>-271.14999999999998</v>
      </c>
      <c r="AY103" s="82"/>
      <c r="BA103" s="79">
        <v>0</v>
      </c>
      <c r="BB103" s="80">
        <f t="shared" si="193"/>
        <v>0</v>
      </c>
      <c r="BC103" s="79">
        <v>0</v>
      </c>
      <c r="BD103" s="80">
        <f t="shared" si="194"/>
        <v>0</v>
      </c>
      <c r="BE103" s="79">
        <v>4363.87</v>
      </c>
      <c r="BF103" s="81">
        <f t="shared" si="195"/>
        <v>1.0322004962827801E-3</v>
      </c>
      <c r="BG103" s="80">
        <f t="shared" si="209"/>
        <v>0</v>
      </c>
      <c r="BH103" s="70">
        <f t="shared" si="210"/>
        <v>0</v>
      </c>
      <c r="BI103" s="80">
        <f t="shared" si="211"/>
        <v>0</v>
      </c>
      <c r="BJ103" s="70">
        <f t="shared" si="212"/>
        <v>4363.87</v>
      </c>
      <c r="BK103" s="82"/>
    </row>
    <row r="104" spans="2:63" ht="11.95" outlineLevel="2" thickBot="1" x14ac:dyDescent="0.3">
      <c r="B104" t="str">
        <f t="shared" si="196"/>
        <v>#showrow</v>
      </c>
      <c r="E104" s="3"/>
      <c r="F104" s="3"/>
      <c r="G104" s="3"/>
      <c r="H104" s="255" t="s">
        <v>193</v>
      </c>
      <c r="I104" s="18"/>
      <c r="J104" s="18"/>
      <c r="K104" s="18"/>
      <c r="L104" s="78"/>
      <c r="M104" s="79"/>
      <c r="N104" s="80">
        <f t="shared" si="185"/>
        <v>0</v>
      </c>
      <c r="O104" s="79"/>
      <c r="P104" s="80">
        <f t="shared" si="186"/>
        <v>0</v>
      </c>
      <c r="Q104" s="79"/>
      <c r="R104" s="80">
        <f t="shared" si="187"/>
        <v>0</v>
      </c>
      <c r="S104" s="79"/>
      <c r="T104" s="81">
        <f t="shared" si="188"/>
        <v>0</v>
      </c>
      <c r="U104" s="80">
        <f t="shared" si="197"/>
        <v>0</v>
      </c>
      <c r="V104" s="70">
        <f t="shared" si="198"/>
        <v>0</v>
      </c>
      <c r="W104" s="80">
        <f t="shared" si="199"/>
        <v>0</v>
      </c>
      <c r="X104" s="70">
        <f t="shared" si="200"/>
        <v>0</v>
      </c>
      <c r="Y104" s="80">
        <f t="shared" si="201"/>
        <v>0</v>
      </c>
      <c r="Z104" s="70">
        <f t="shared" si="202"/>
        <v>0</v>
      </c>
      <c r="AA104" s="82"/>
      <c r="AC104" s="138">
        <v>0</v>
      </c>
      <c r="AD104" s="138">
        <v>0</v>
      </c>
      <c r="AE104" s="138">
        <v>0</v>
      </c>
      <c r="AF104" s="233"/>
      <c r="AG104" s="139"/>
      <c r="AH104" s="233"/>
      <c r="AI104" s="139"/>
      <c r="AK104" s="79">
        <v>0</v>
      </c>
      <c r="AL104" s="80">
        <f t="shared" si="189"/>
        <v>0</v>
      </c>
      <c r="AM104" s="79">
        <v>0</v>
      </c>
      <c r="AN104" s="80">
        <f t="shared" si="190"/>
        <v>0</v>
      </c>
      <c r="AO104" s="79">
        <v>0</v>
      </c>
      <c r="AP104" s="80">
        <f t="shared" si="191"/>
        <v>0</v>
      </c>
      <c r="AQ104" s="79">
        <v>0</v>
      </c>
      <c r="AR104" s="81">
        <f t="shared" si="192"/>
        <v>0</v>
      </c>
      <c r="AS104" s="80">
        <f t="shared" si="203"/>
        <v>0</v>
      </c>
      <c r="AT104" s="70">
        <f t="shared" si="204"/>
        <v>0</v>
      </c>
      <c r="AU104" s="80">
        <f t="shared" si="205"/>
        <v>0</v>
      </c>
      <c r="AV104" s="70">
        <f t="shared" si="206"/>
        <v>0</v>
      </c>
      <c r="AW104" s="80">
        <f t="shared" si="207"/>
        <v>0</v>
      </c>
      <c r="AX104" s="70">
        <f t="shared" si="208"/>
        <v>0</v>
      </c>
      <c r="AY104" s="82"/>
      <c r="BA104" s="79">
        <v>0</v>
      </c>
      <c r="BB104" s="80">
        <f t="shared" si="193"/>
        <v>0</v>
      </c>
      <c r="BC104" s="79">
        <v>0</v>
      </c>
      <c r="BD104" s="80">
        <f t="shared" si="194"/>
        <v>0</v>
      </c>
      <c r="BE104" s="79">
        <v>873.98</v>
      </c>
      <c r="BF104" s="81">
        <f t="shared" si="195"/>
        <v>2.0672535839546646E-4</v>
      </c>
      <c r="BG104" s="80">
        <f t="shared" si="209"/>
        <v>0</v>
      </c>
      <c r="BH104" s="70">
        <f t="shared" si="210"/>
        <v>0</v>
      </c>
      <c r="BI104" s="80">
        <f t="shared" si="211"/>
        <v>0</v>
      </c>
      <c r="BJ104" s="70">
        <f t="shared" si="212"/>
        <v>873.98</v>
      </c>
      <c r="BK104" s="82"/>
    </row>
    <row r="105" spans="2:63" ht="11.95" outlineLevel="2" thickBot="1" x14ac:dyDescent="0.3">
      <c r="B105" t="str">
        <f t="shared" si="196"/>
        <v>#showrow</v>
      </c>
      <c r="E105" s="3"/>
      <c r="F105" s="3"/>
      <c r="G105" s="3"/>
      <c r="H105" s="255" t="s">
        <v>474</v>
      </c>
      <c r="I105" s="18"/>
      <c r="J105" s="18"/>
      <c r="K105" s="18"/>
      <c r="L105" s="78"/>
      <c r="M105" s="79"/>
      <c r="N105" s="80">
        <f t="shared" si="185"/>
        <v>0</v>
      </c>
      <c r="O105" s="79"/>
      <c r="P105" s="80">
        <f t="shared" si="186"/>
        <v>0</v>
      </c>
      <c r="Q105" s="79"/>
      <c r="R105" s="80">
        <f t="shared" si="187"/>
        <v>0</v>
      </c>
      <c r="S105" s="79"/>
      <c r="T105" s="81">
        <f t="shared" si="188"/>
        <v>0</v>
      </c>
      <c r="U105" s="80">
        <f t="shared" si="197"/>
        <v>0</v>
      </c>
      <c r="V105" s="70">
        <f t="shared" si="198"/>
        <v>0</v>
      </c>
      <c r="W105" s="80">
        <f t="shared" si="199"/>
        <v>0</v>
      </c>
      <c r="X105" s="70">
        <f t="shared" si="200"/>
        <v>0</v>
      </c>
      <c r="Y105" s="80">
        <f t="shared" si="201"/>
        <v>0</v>
      </c>
      <c r="Z105" s="70">
        <f t="shared" si="202"/>
        <v>0</v>
      </c>
      <c r="AA105" s="82"/>
      <c r="AC105" s="138">
        <v>0</v>
      </c>
      <c r="AD105" s="138">
        <v>0</v>
      </c>
      <c r="AE105" s="138">
        <v>0</v>
      </c>
      <c r="AF105" s="233"/>
      <c r="AG105" s="139"/>
      <c r="AH105" s="233"/>
      <c r="AI105" s="139"/>
      <c r="AK105" s="79">
        <v>0</v>
      </c>
      <c r="AL105" s="80">
        <f t="shared" si="189"/>
        <v>0</v>
      </c>
      <c r="AM105" s="79">
        <v>0</v>
      </c>
      <c r="AN105" s="80">
        <f t="shared" si="190"/>
        <v>0</v>
      </c>
      <c r="AO105" s="79">
        <v>0</v>
      </c>
      <c r="AP105" s="80">
        <f t="shared" si="191"/>
        <v>0</v>
      </c>
      <c r="AQ105" s="79">
        <v>0</v>
      </c>
      <c r="AR105" s="81">
        <f t="shared" si="192"/>
        <v>0</v>
      </c>
      <c r="AS105" s="80">
        <f t="shared" si="203"/>
        <v>0</v>
      </c>
      <c r="AT105" s="70">
        <f t="shared" si="204"/>
        <v>0</v>
      </c>
      <c r="AU105" s="80">
        <f t="shared" si="205"/>
        <v>0</v>
      </c>
      <c r="AV105" s="70">
        <f t="shared" si="206"/>
        <v>0</v>
      </c>
      <c r="AW105" s="80">
        <f t="shared" si="207"/>
        <v>0</v>
      </c>
      <c r="AX105" s="70">
        <f t="shared" si="208"/>
        <v>0</v>
      </c>
      <c r="AY105" s="82"/>
      <c r="BA105" s="79">
        <v>0</v>
      </c>
      <c r="BB105" s="80">
        <f t="shared" si="193"/>
        <v>0</v>
      </c>
      <c r="BC105" s="79">
        <v>0</v>
      </c>
      <c r="BD105" s="80">
        <f t="shared" si="194"/>
        <v>0</v>
      </c>
      <c r="BE105" s="79">
        <v>384.2</v>
      </c>
      <c r="BF105" s="81">
        <f t="shared" si="195"/>
        <v>9.087608720512851E-5</v>
      </c>
      <c r="BG105" s="80">
        <f t="shared" si="209"/>
        <v>0</v>
      </c>
      <c r="BH105" s="70">
        <f t="shared" si="210"/>
        <v>0</v>
      </c>
      <c r="BI105" s="80">
        <f t="shared" si="211"/>
        <v>0</v>
      </c>
      <c r="BJ105" s="70">
        <f t="shared" si="212"/>
        <v>384.2</v>
      </c>
      <c r="BK105" s="82"/>
    </row>
    <row r="106" spans="2:63" ht="11.95" outlineLevel="1" thickBot="1" x14ac:dyDescent="0.3">
      <c r="E106" s="3"/>
      <c r="F106" s="3"/>
      <c r="G106" s="3"/>
      <c r="H106" s="256" t="s">
        <v>109</v>
      </c>
      <c r="I106" s="18"/>
      <c r="J106" s="18"/>
      <c r="K106" s="18"/>
      <c r="L106" s="78"/>
      <c r="M106" s="79">
        <v>7008.36</v>
      </c>
      <c r="N106" s="80">
        <f t="shared" si="185"/>
        <v>1.7187131913731505E-2</v>
      </c>
      <c r="O106" s="79">
        <v>8700</v>
      </c>
      <c r="P106" s="80">
        <f t="shared" si="186"/>
        <v>1.6866873263195702E-2</v>
      </c>
      <c r="Q106" s="79">
        <v>8700</v>
      </c>
      <c r="R106" s="80">
        <f t="shared" si="187"/>
        <v>1.6866873263195702E-2</v>
      </c>
      <c r="S106" s="79">
        <v>3980.76</v>
      </c>
      <c r="T106" s="81">
        <f t="shared" si="188"/>
        <v>1.7571342251191061E-2</v>
      </c>
      <c r="U106" s="80">
        <f t="shared" si="93"/>
        <v>0.24137458692190475</v>
      </c>
      <c r="V106" s="70">
        <f t="shared" si="94"/>
        <v>1691.6400000000003</v>
      </c>
      <c r="W106" s="80">
        <f t="shared" si="95"/>
        <v>0.24137458692190475</v>
      </c>
      <c r="X106" s="70">
        <f t="shared" si="96"/>
        <v>1691.6400000000003</v>
      </c>
      <c r="Y106" s="80">
        <f t="shared" si="97"/>
        <v>-0.43199835624882277</v>
      </c>
      <c r="Z106" s="70">
        <f t="shared" si="98"/>
        <v>-3027.5999999999995</v>
      </c>
      <c r="AA106" s="82"/>
      <c r="AC106" s="138">
        <v>7008.36</v>
      </c>
      <c r="AD106" s="138">
        <v>3980.76</v>
      </c>
      <c r="AE106" s="138">
        <v>8700</v>
      </c>
      <c r="AF106" s="233"/>
      <c r="AG106" s="139"/>
      <c r="AH106" s="233"/>
      <c r="AI106" s="139"/>
      <c r="AK106" s="79">
        <v>7008.36</v>
      </c>
      <c r="AL106" s="80">
        <f t="shared" si="189"/>
        <v>1.7187131913731505E-2</v>
      </c>
      <c r="AM106" s="79">
        <v>8700</v>
      </c>
      <c r="AN106" s="80">
        <f t="shared" si="190"/>
        <v>1.6866873263195702E-2</v>
      </c>
      <c r="AO106" s="79">
        <v>8700</v>
      </c>
      <c r="AP106" s="80">
        <f t="shared" si="191"/>
        <v>1.6866873263195702E-2</v>
      </c>
      <c r="AQ106" s="79">
        <v>3980.76</v>
      </c>
      <c r="AR106" s="81">
        <f t="shared" si="192"/>
        <v>1.7571342251191061E-2</v>
      </c>
      <c r="AS106" s="80">
        <f t="shared" si="103"/>
        <v>0.24137458692190475</v>
      </c>
      <c r="AT106" s="70">
        <f t="shared" si="104"/>
        <v>1691.6400000000003</v>
      </c>
      <c r="AU106" s="80">
        <f t="shared" si="105"/>
        <v>0.19444137931034486</v>
      </c>
      <c r="AV106" s="70">
        <f t="shared" si="106"/>
        <v>1691.6400000000003</v>
      </c>
      <c r="AW106" s="80">
        <f t="shared" si="107"/>
        <v>-0.43199835624882277</v>
      </c>
      <c r="AX106" s="70">
        <f t="shared" si="108"/>
        <v>-3027.5999999999995</v>
      </c>
      <c r="AY106" s="82"/>
      <c r="BA106" s="79">
        <v>104400</v>
      </c>
      <c r="BB106" s="80">
        <f t="shared" si="193"/>
        <v>1.5569421473719125E-2</v>
      </c>
      <c r="BC106" s="79">
        <v>104400</v>
      </c>
      <c r="BD106" s="80">
        <f t="shared" si="194"/>
        <v>1.5569421473719125E-2</v>
      </c>
      <c r="BE106" s="79">
        <v>93896.28</v>
      </c>
      <c r="BF106" s="81">
        <f t="shared" si="195"/>
        <v>2.2209595339711515E-2</v>
      </c>
      <c r="BG106" s="80">
        <f t="shared" si="112"/>
        <v>0</v>
      </c>
      <c r="BH106" s="70">
        <f t="shared" si="113"/>
        <v>0</v>
      </c>
      <c r="BI106" s="80">
        <f t="shared" si="114"/>
        <v>-0.10061034482758621</v>
      </c>
      <c r="BJ106" s="70">
        <f t="shared" si="115"/>
        <v>-10503.720000000001</v>
      </c>
      <c r="BK106" s="82"/>
    </row>
    <row r="107" spans="2:63" ht="11.95" hidden="1" outlineLevel="2" thickBot="1" x14ac:dyDescent="0.3">
      <c r="B107" t="str">
        <f>IF(LEFT(H107,3)="Mul", "#hiderow", "#showrow")</f>
        <v>#hiderow</v>
      </c>
      <c r="E107" s="3"/>
      <c r="F107" s="3"/>
      <c r="G107" s="3"/>
      <c r="H107" s="255" t="s">
        <v>6</v>
      </c>
      <c r="I107" s="18"/>
      <c r="J107" s="18"/>
      <c r="K107" s="18"/>
      <c r="L107" s="78"/>
      <c r="M107" s="79"/>
      <c r="N107" s="80">
        <f t="shared" si="185"/>
        <v>0</v>
      </c>
      <c r="O107" s="79"/>
      <c r="P107" s="80">
        <f t="shared" si="186"/>
        <v>0</v>
      </c>
      <c r="Q107" s="79"/>
      <c r="R107" s="80">
        <f t="shared" si="187"/>
        <v>0</v>
      </c>
      <c r="S107" s="79"/>
      <c r="T107" s="81">
        <f t="shared" si="188"/>
        <v>0</v>
      </c>
      <c r="U107" s="80">
        <f t="shared" si="93"/>
        <v>0</v>
      </c>
      <c r="V107" s="70">
        <f t="shared" si="94"/>
        <v>0</v>
      </c>
      <c r="W107" s="80">
        <f t="shared" si="95"/>
        <v>0</v>
      </c>
      <c r="X107" s="70">
        <f t="shared" si="96"/>
        <v>0</v>
      </c>
      <c r="Y107" s="80">
        <f t="shared" si="97"/>
        <v>0</v>
      </c>
      <c r="Z107" s="70">
        <f t="shared" si="98"/>
        <v>0</v>
      </c>
      <c r="AA107" s="82"/>
      <c r="AC107" s="138"/>
      <c r="AD107" s="138"/>
      <c r="AE107" s="138"/>
      <c r="AF107" s="233"/>
      <c r="AG107" s="139"/>
      <c r="AH107" s="233"/>
      <c r="AI107" s="139"/>
      <c r="AK107" s="79"/>
      <c r="AL107" s="80">
        <f t="shared" si="189"/>
        <v>0</v>
      </c>
      <c r="AM107" s="79"/>
      <c r="AN107" s="80">
        <f t="shared" si="190"/>
        <v>0</v>
      </c>
      <c r="AO107" s="79"/>
      <c r="AP107" s="80">
        <f t="shared" si="191"/>
        <v>0</v>
      </c>
      <c r="AQ107" s="79"/>
      <c r="AR107" s="81">
        <f t="shared" si="192"/>
        <v>0</v>
      </c>
      <c r="AS107" s="80">
        <f t="shared" si="103"/>
        <v>0</v>
      </c>
      <c r="AT107" s="70">
        <f t="shared" si="104"/>
        <v>0</v>
      </c>
      <c r="AU107" s="80">
        <f t="shared" si="105"/>
        <v>0</v>
      </c>
      <c r="AV107" s="70">
        <f t="shared" si="106"/>
        <v>0</v>
      </c>
      <c r="AW107" s="80">
        <f t="shared" si="107"/>
        <v>0</v>
      </c>
      <c r="AX107" s="70">
        <f t="shared" si="108"/>
        <v>0</v>
      </c>
      <c r="AY107" s="82"/>
      <c r="BA107" s="79"/>
      <c r="BB107" s="80">
        <f t="shared" si="193"/>
        <v>0</v>
      </c>
      <c r="BC107" s="79"/>
      <c r="BD107" s="80">
        <f t="shared" si="194"/>
        <v>0</v>
      </c>
      <c r="BE107" s="79"/>
      <c r="BF107" s="81">
        <f t="shared" si="195"/>
        <v>0</v>
      </c>
      <c r="BG107" s="80">
        <f t="shared" si="112"/>
        <v>0</v>
      </c>
      <c r="BH107" s="70">
        <f t="shared" si="113"/>
        <v>0</v>
      </c>
      <c r="BI107" s="80">
        <f t="shared" si="114"/>
        <v>0</v>
      </c>
      <c r="BJ107" s="70">
        <f t="shared" si="115"/>
        <v>0</v>
      </c>
      <c r="BK107" s="82"/>
    </row>
    <row r="108" spans="2:63" ht="11.95" outlineLevel="2" thickBot="1" x14ac:dyDescent="0.3">
      <c r="B108" t="str">
        <f t="shared" ref="B108:B112" si="213">IF(LEFT(H108,3)="Mul", "#hiderow", "#showrow")</f>
        <v>#showrow</v>
      </c>
      <c r="E108" s="3"/>
      <c r="F108" s="3"/>
      <c r="G108" s="3"/>
      <c r="H108" s="255" t="s">
        <v>152</v>
      </c>
      <c r="I108" s="18"/>
      <c r="J108" s="18"/>
      <c r="K108" s="18"/>
      <c r="L108" s="78"/>
      <c r="M108" s="79"/>
      <c r="N108" s="80">
        <f t="shared" si="185"/>
        <v>0</v>
      </c>
      <c r="O108" s="79">
        <v>500</v>
      </c>
      <c r="P108" s="80">
        <f t="shared" si="186"/>
        <v>9.6936053236756914E-4</v>
      </c>
      <c r="Q108" s="79">
        <v>500</v>
      </c>
      <c r="R108" s="80">
        <f t="shared" si="187"/>
        <v>9.6936053236756914E-4</v>
      </c>
      <c r="S108" s="79"/>
      <c r="T108" s="81">
        <f t="shared" si="188"/>
        <v>0</v>
      </c>
      <c r="U108" s="80">
        <f t="shared" ref="U108:U112" si="214">IFERROR(($O108-M108)/ABS(M108),0)</f>
        <v>0</v>
      </c>
      <c r="V108" s="70">
        <f t="shared" ref="V108:V112" si="215">IFERROR((O108-$M108), 0-$M108)</f>
        <v>500</v>
      </c>
      <c r="W108" s="80">
        <f t="shared" ref="W108:W112" si="216">IFERROR((Q108-$M108)/ABS($M108),0)</f>
        <v>0</v>
      </c>
      <c r="X108" s="70">
        <f t="shared" ref="X108:X112" si="217">IFERROR((Q108-$M108), 0 -$M108)</f>
        <v>500</v>
      </c>
      <c r="Y108" s="80">
        <f t="shared" ref="Y108:Y112" si="218">IFERROR((S108-$M108)/ABS($M108),0)</f>
        <v>0</v>
      </c>
      <c r="Z108" s="70">
        <f t="shared" ref="Z108:Z112" si="219">IFERROR((S108-$M108),0-$M108)</f>
        <v>0</v>
      </c>
      <c r="AA108" s="82"/>
      <c r="AC108" s="138">
        <v>0</v>
      </c>
      <c r="AD108" s="138">
        <v>0</v>
      </c>
      <c r="AE108" s="138">
        <v>500</v>
      </c>
      <c r="AF108" s="233"/>
      <c r="AG108" s="139"/>
      <c r="AH108" s="233"/>
      <c r="AI108" s="139"/>
      <c r="AK108" s="79">
        <v>0</v>
      </c>
      <c r="AL108" s="80">
        <f t="shared" si="189"/>
        <v>0</v>
      </c>
      <c r="AM108" s="79">
        <v>500</v>
      </c>
      <c r="AN108" s="80">
        <f t="shared" si="190"/>
        <v>9.6936053236756914E-4</v>
      </c>
      <c r="AO108" s="79">
        <v>500</v>
      </c>
      <c r="AP108" s="80">
        <f t="shared" si="191"/>
        <v>9.6936053236756914E-4</v>
      </c>
      <c r="AQ108" s="79">
        <v>0</v>
      </c>
      <c r="AR108" s="81">
        <f t="shared" si="192"/>
        <v>0</v>
      </c>
      <c r="AS108" s="80">
        <f t="shared" ref="AS108:AS112" si="220">IFERROR((AM108-$AK108)/ABS($AK108),0)</f>
        <v>0</v>
      </c>
      <c r="AT108" s="70">
        <f t="shared" ref="AT108:AT112" si="221">(AM108-$AK108)</f>
        <v>500</v>
      </c>
      <c r="AU108" s="80">
        <f t="shared" ref="AU108:AU112" si="222">IFERROR((AO108-$AK108)/ABS($AO108),0)</f>
        <v>1</v>
      </c>
      <c r="AV108" s="70">
        <f t="shared" ref="AV108:AV112" si="223">(AO108-$AK108)</f>
        <v>500</v>
      </c>
      <c r="AW108" s="80">
        <f t="shared" ref="AW108:AW112" si="224">IFERROR((AQ108-$AK108)/ABS($AK108),0)</f>
        <v>0</v>
      </c>
      <c r="AX108" s="70">
        <f t="shared" ref="AX108:AX112" si="225">(AQ108-$AK108)</f>
        <v>0</v>
      </c>
      <c r="AY108" s="82"/>
      <c r="BA108" s="79">
        <v>6000</v>
      </c>
      <c r="BB108" s="80">
        <f t="shared" si="193"/>
        <v>8.9479433757006465E-4</v>
      </c>
      <c r="BC108" s="79">
        <v>6000</v>
      </c>
      <c r="BD108" s="80">
        <f t="shared" si="194"/>
        <v>8.9479433757006465E-4</v>
      </c>
      <c r="BE108" s="79">
        <v>4361.1899999999996</v>
      </c>
      <c r="BF108" s="81">
        <f t="shared" si="195"/>
        <v>1.0315665870852012E-3</v>
      </c>
      <c r="BG108" s="80">
        <f t="shared" ref="BG108:BG112" si="226">IFERROR((BC108-$BA108)/ABS($BA108),0)</f>
        <v>0</v>
      </c>
      <c r="BH108" s="70">
        <f t="shared" ref="BH108:BH112" si="227">(BC108-$BA108)</f>
        <v>0</v>
      </c>
      <c r="BI108" s="80">
        <f t="shared" ref="BI108:BI112" si="228">IFERROR((BE108-$BA108)/ABS($BA108),0)</f>
        <v>-0.27313500000000007</v>
      </c>
      <c r="BJ108" s="70">
        <f t="shared" ref="BJ108:BJ112" si="229">(BE108-$BA108)</f>
        <v>-1638.8100000000004</v>
      </c>
      <c r="BK108" s="82"/>
    </row>
    <row r="109" spans="2:63" ht="11.95" outlineLevel="2" thickBot="1" x14ac:dyDescent="0.3">
      <c r="B109" t="str">
        <f t="shared" si="213"/>
        <v>#showrow</v>
      </c>
      <c r="E109" s="3"/>
      <c r="F109" s="3"/>
      <c r="G109" s="3"/>
      <c r="H109" s="255" t="s">
        <v>154</v>
      </c>
      <c r="I109" s="18"/>
      <c r="J109" s="18"/>
      <c r="K109" s="18"/>
      <c r="L109" s="78"/>
      <c r="M109" s="79">
        <v>5059.67</v>
      </c>
      <c r="N109" s="80">
        <f t="shared" si="185"/>
        <v>1.240821186839002E-2</v>
      </c>
      <c r="O109" s="79">
        <v>1500</v>
      </c>
      <c r="P109" s="80">
        <f t="shared" si="186"/>
        <v>2.9080815971027074E-3</v>
      </c>
      <c r="Q109" s="79">
        <v>1500</v>
      </c>
      <c r="R109" s="80">
        <f t="shared" si="187"/>
        <v>2.9080815971027074E-3</v>
      </c>
      <c r="S109" s="79">
        <v>1820.69</v>
      </c>
      <c r="T109" s="81">
        <f t="shared" si="188"/>
        <v>8.0366480579891902E-3</v>
      </c>
      <c r="U109" s="80">
        <f t="shared" si="214"/>
        <v>-0.703537977773254</v>
      </c>
      <c r="V109" s="70">
        <f t="shared" si="215"/>
        <v>-3559.67</v>
      </c>
      <c r="W109" s="80">
        <f t="shared" si="216"/>
        <v>-0.703537977773254</v>
      </c>
      <c r="X109" s="70">
        <f t="shared" si="217"/>
        <v>-3559.67</v>
      </c>
      <c r="Y109" s="80">
        <f t="shared" si="218"/>
        <v>-0.64015637383465718</v>
      </c>
      <c r="Z109" s="70">
        <f t="shared" si="219"/>
        <v>-3238.98</v>
      </c>
      <c r="AA109" s="82"/>
      <c r="AC109" s="138">
        <v>5059.67</v>
      </c>
      <c r="AD109" s="138">
        <v>1820.69</v>
      </c>
      <c r="AE109" s="138">
        <v>1500</v>
      </c>
      <c r="AF109" s="233"/>
      <c r="AG109" s="139"/>
      <c r="AH109" s="233"/>
      <c r="AI109" s="139"/>
      <c r="AK109" s="79">
        <v>5059.67</v>
      </c>
      <c r="AL109" s="80">
        <f t="shared" si="189"/>
        <v>1.240821186839002E-2</v>
      </c>
      <c r="AM109" s="79">
        <v>1500</v>
      </c>
      <c r="AN109" s="80">
        <f t="shared" si="190"/>
        <v>2.9080815971027074E-3</v>
      </c>
      <c r="AO109" s="79">
        <v>1500</v>
      </c>
      <c r="AP109" s="80">
        <f t="shared" si="191"/>
        <v>2.9080815971027074E-3</v>
      </c>
      <c r="AQ109" s="79">
        <v>1820.69</v>
      </c>
      <c r="AR109" s="81">
        <f t="shared" si="192"/>
        <v>8.0366480579891902E-3</v>
      </c>
      <c r="AS109" s="80">
        <f t="shared" si="220"/>
        <v>-0.703537977773254</v>
      </c>
      <c r="AT109" s="70">
        <f t="shared" si="221"/>
        <v>-3559.67</v>
      </c>
      <c r="AU109" s="80">
        <f t="shared" si="222"/>
        <v>-2.3731133333333334</v>
      </c>
      <c r="AV109" s="70">
        <f t="shared" si="223"/>
        <v>-3559.67</v>
      </c>
      <c r="AW109" s="80">
        <f t="shared" si="224"/>
        <v>-0.64015637383465718</v>
      </c>
      <c r="AX109" s="70">
        <f t="shared" si="225"/>
        <v>-3238.98</v>
      </c>
      <c r="AY109" s="82"/>
      <c r="BA109" s="79">
        <v>18000</v>
      </c>
      <c r="BB109" s="80">
        <f t="shared" si="193"/>
        <v>2.6843830127101938E-3</v>
      </c>
      <c r="BC109" s="79">
        <v>18000</v>
      </c>
      <c r="BD109" s="80">
        <f t="shared" si="194"/>
        <v>2.6843830127101938E-3</v>
      </c>
      <c r="BE109" s="79">
        <v>22633.599999999999</v>
      </c>
      <c r="BF109" s="81">
        <f t="shared" si="195"/>
        <v>5.3535997068349722E-3</v>
      </c>
      <c r="BG109" s="80">
        <f t="shared" si="226"/>
        <v>0</v>
      </c>
      <c r="BH109" s="70">
        <f t="shared" si="227"/>
        <v>0</v>
      </c>
      <c r="BI109" s="80">
        <f t="shared" si="228"/>
        <v>0.25742222222222216</v>
      </c>
      <c r="BJ109" s="70">
        <f t="shared" si="229"/>
        <v>4633.5999999999985</v>
      </c>
      <c r="BK109" s="82"/>
    </row>
    <row r="110" spans="2:63" ht="11.95" outlineLevel="2" thickBot="1" x14ac:dyDescent="0.3">
      <c r="B110" t="str">
        <f t="shared" si="213"/>
        <v>#showrow</v>
      </c>
      <c r="E110" s="3"/>
      <c r="F110" s="3"/>
      <c r="G110" s="3"/>
      <c r="H110" s="255" t="s">
        <v>156</v>
      </c>
      <c r="I110" s="18"/>
      <c r="J110" s="18"/>
      <c r="K110" s="18"/>
      <c r="L110" s="78"/>
      <c r="M110" s="79"/>
      <c r="N110" s="80">
        <f t="shared" si="185"/>
        <v>0</v>
      </c>
      <c r="O110" s="79">
        <v>1200</v>
      </c>
      <c r="P110" s="80">
        <f t="shared" si="186"/>
        <v>2.3264652776821661E-3</v>
      </c>
      <c r="Q110" s="79">
        <v>1200</v>
      </c>
      <c r="R110" s="80">
        <f t="shared" si="187"/>
        <v>2.3264652776821661E-3</v>
      </c>
      <c r="S110" s="79"/>
      <c r="T110" s="81">
        <f t="shared" si="188"/>
        <v>0</v>
      </c>
      <c r="U110" s="80">
        <f t="shared" si="214"/>
        <v>0</v>
      </c>
      <c r="V110" s="70">
        <f t="shared" si="215"/>
        <v>1200</v>
      </c>
      <c r="W110" s="80">
        <f t="shared" si="216"/>
        <v>0</v>
      </c>
      <c r="X110" s="70">
        <f t="shared" si="217"/>
        <v>1200</v>
      </c>
      <c r="Y110" s="80">
        <f t="shared" si="218"/>
        <v>0</v>
      </c>
      <c r="Z110" s="70">
        <f t="shared" si="219"/>
        <v>0</v>
      </c>
      <c r="AA110" s="82"/>
      <c r="AC110" s="138">
        <v>0</v>
      </c>
      <c r="AD110" s="138">
        <v>0</v>
      </c>
      <c r="AE110" s="138">
        <v>1200</v>
      </c>
      <c r="AF110" s="233"/>
      <c r="AG110" s="139"/>
      <c r="AH110" s="233"/>
      <c r="AI110" s="139"/>
      <c r="AK110" s="79">
        <v>0</v>
      </c>
      <c r="AL110" s="80">
        <f t="shared" si="189"/>
        <v>0</v>
      </c>
      <c r="AM110" s="79">
        <v>1200</v>
      </c>
      <c r="AN110" s="80">
        <f t="shared" si="190"/>
        <v>2.3264652776821661E-3</v>
      </c>
      <c r="AO110" s="79">
        <v>1200</v>
      </c>
      <c r="AP110" s="80">
        <f t="shared" si="191"/>
        <v>2.3264652776821661E-3</v>
      </c>
      <c r="AQ110" s="79">
        <v>0</v>
      </c>
      <c r="AR110" s="81">
        <f t="shared" si="192"/>
        <v>0</v>
      </c>
      <c r="AS110" s="80">
        <f t="shared" si="220"/>
        <v>0</v>
      </c>
      <c r="AT110" s="70">
        <f t="shared" si="221"/>
        <v>1200</v>
      </c>
      <c r="AU110" s="80">
        <f t="shared" si="222"/>
        <v>1</v>
      </c>
      <c r="AV110" s="70">
        <f t="shared" si="223"/>
        <v>1200</v>
      </c>
      <c r="AW110" s="80">
        <f t="shared" si="224"/>
        <v>0</v>
      </c>
      <c r="AX110" s="70">
        <f t="shared" si="225"/>
        <v>0</v>
      </c>
      <c r="AY110" s="82"/>
      <c r="BA110" s="79">
        <v>14400</v>
      </c>
      <c r="BB110" s="80">
        <f t="shared" si="193"/>
        <v>2.1475064101681551E-3</v>
      </c>
      <c r="BC110" s="79">
        <v>14400</v>
      </c>
      <c r="BD110" s="80">
        <f t="shared" si="194"/>
        <v>2.1475064101681551E-3</v>
      </c>
      <c r="BE110" s="79">
        <v>12234.57</v>
      </c>
      <c r="BF110" s="81">
        <f t="shared" si="195"/>
        <v>2.89388300426145E-3</v>
      </c>
      <c r="BG110" s="80">
        <f t="shared" si="226"/>
        <v>0</v>
      </c>
      <c r="BH110" s="70">
        <f t="shared" si="227"/>
        <v>0</v>
      </c>
      <c r="BI110" s="80">
        <f t="shared" si="228"/>
        <v>-0.15037708333333336</v>
      </c>
      <c r="BJ110" s="70">
        <f t="shared" si="229"/>
        <v>-2165.4300000000003</v>
      </c>
      <c r="BK110" s="82"/>
    </row>
    <row r="111" spans="2:63" ht="11.95" outlineLevel="2" thickBot="1" x14ac:dyDescent="0.3">
      <c r="B111" t="str">
        <f t="shared" si="213"/>
        <v>#showrow</v>
      </c>
      <c r="E111" s="3"/>
      <c r="F111" s="3"/>
      <c r="G111" s="3"/>
      <c r="H111" s="255" t="s">
        <v>157</v>
      </c>
      <c r="I111" s="18"/>
      <c r="J111" s="18"/>
      <c r="K111" s="18"/>
      <c r="L111" s="78"/>
      <c r="M111" s="79">
        <v>1948.69</v>
      </c>
      <c r="N111" s="80">
        <f t="shared" si="185"/>
        <v>4.7789200453414848E-3</v>
      </c>
      <c r="O111" s="79">
        <v>2000</v>
      </c>
      <c r="P111" s="80">
        <f t="shared" si="186"/>
        <v>3.8774421294702766E-3</v>
      </c>
      <c r="Q111" s="79">
        <v>2000</v>
      </c>
      <c r="R111" s="80">
        <f t="shared" si="187"/>
        <v>3.8774421294702766E-3</v>
      </c>
      <c r="S111" s="79"/>
      <c r="T111" s="81">
        <f t="shared" si="188"/>
        <v>0</v>
      </c>
      <c r="U111" s="80">
        <f t="shared" si="214"/>
        <v>2.6330509213882119E-2</v>
      </c>
      <c r="V111" s="70">
        <f t="shared" si="215"/>
        <v>51.309999999999945</v>
      </c>
      <c r="W111" s="80">
        <f t="shared" si="216"/>
        <v>2.6330509213882119E-2</v>
      </c>
      <c r="X111" s="70">
        <f t="shared" si="217"/>
        <v>51.309999999999945</v>
      </c>
      <c r="Y111" s="80">
        <f t="shared" si="218"/>
        <v>-1</v>
      </c>
      <c r="Z111" s="70">
        <f t="shared" si="219"/>
        <v>-1948.69</v>
      </c>
      <c r="AA111" s="82"/>
      <c r="AC111" s="138">
        <v>1948.69</v>
      </c>
      <c r="AD111" s="138">
        <v>0</v>
      </c>
      <c r="AE111" s="138">
        <v>2000</v>
      </c>
      <c r="AF111" s="233"/>
      <c r="AG111" s="139"/>
      <c r="AH111" s="233"/>
      <c r="AI111" s="139"/>
      <c r="AK111" s="79">
        <v>1948.69</v>
      </c>
      <c r="AL111" s="80">
        <f t="shared" si="189"/>
        <v>4.7789200453414848E-3</v>
      </c>
      <c r="AM111" s="79">
        <v>2000</v>
      </c>
      <c r="AN111" s="80">
        <f t="shared" si="190"/>
        <v>3.8774421294702766E-3</v>
      </c>
      <c r="AO111" s="79">
        <v>2000</v>
      </c>
      <c r="AP111" s="80">
        <f t="shared" si="191"/>
        <v>3.8774421294702766E-3</v>
      </c>
      <c r="AQ111" s="79">
        <v>0</v>
      </c>
      <c r="AR111" s="81">
        <f t="shared" si="192"/>
        <v>0</v>
      </c>
      <c r="AS111" s="80">
        <f t="shared" si="220"/>
        <v>2.6330509213882119E-2</v>
      </c>
      <c r="AT111" s="70">
        <f t="shared" si="221"/>
        <v>51.309999999999945</v>
      </c>
      <c r="AU111" s="80">
        <f t="shared" si="222"/>
        <v>2.5654999999999973E-2</v>
      </c>
      <c r="AV111" s="70">
        <f t="shared" si="223"/>
        <v>51.309999999999945</v>
      </c>
      <c r="AW111" s="80">
        <f t="shared" si="224"/>
        <v>-1</v>
      </c>
      <c r="AX111" s="70">
        <f t="shared" si="225"/>
        <v>-1948.69</v>
      </c>
      <c r="AY111" s="82"/>
      <c r="BA111" s="79">
        <v>24000</v>
      </c>
      <c r="BB111" s="80">
        <f t="shared" si="193"/>
        <v>3.5791773502802586E-3</v>
      </c>
      <c r="BC111" s="79">
        <v>24000</v>
      </c>
      <c r="BD111" s="80">
        <f t="shared" si="194"/>
        <v>3.5791773502802586E-3</v>
      </c>
      <c r="BE111" s="79">
        <v>20807.98</v>
      </c>
      <c r="BF111" s="81">
        <f t="shared" si="195"/>
        <v>4.9217798153112172E-3</v>
      </c>
      <c r="BG111" s="80">
        <f t="shared" si="226"/>
        <v>0</v>
      </c>
      <c r="BH111" s="70">
        <f t="shared" si="227"/>
        <v>0</v>
      </c>
      <c r="BI111" s="80">
        <f t="shared" si="228"/>
        <v>-0.13300083333333335</v>
      </c>
      <c r="BJ111" s="70">
        <f t="shared" si="229"/>
        <v>-3192.0200000000004</v>
      </c>
      <c r="BK111" s="82"/>
    </row>
    <row r="112" spans="2:63" ht="11.95" outlineLevel="2" thickBot="1" x14ac:dyDescent="0.3">
      <c r="B112" t="str">
        <f t="shared" si="213"/>
        <v>#showrow</v>
      </c>
      <c r="E112" s="3"/>
      <c r="F112" s="3"/>
      <c r="G112" s="3"/>
      <c r="H112" s="255" t="s">
        <v>159</v>
      </c>
      <c r="I112" s="18"/>
      <c r="J112" s="18"/>
      <c r="K112" s="18"/>
      <c r="L112" s="78"/>
      <c r="M112" s="79"/>
      <c r="N112" s="80">
        <f t="shared" si="185"/>
        <v>0</v>
      </c>
      <c r="O112" s="79">
        <v>3500</v>
      </c>
      <c r="P112" s="80">
        <f t="shared" si="186"/>
        <v>6.785523726572984E-3</v>
      </c>
      <c r="Q112" s="79">
        <v>3500</v>
      </c>
      <c r="R112" s="80">
        <f t="shared" si="187"/>
        <v>6.785523726572984E-3</v>
      </c>
      <c r="S112" s="79">
        <v>2160.0700000000002</v>
      </c>
      <c r="T112" s="81">
        <f t="shared" si="188"/>
        <v>9.5346941932018692E-3</v>
      </c>
      <c r="U112" s="80">
        <f t="shared" si="214"/>
        <v>0</v>
      </c>
      <c r="V112" s="70">
        <f t="shared" si="215"/>
        <v>3500</v>
      </c>
      <c r="W112" s="80">
        <f t="shared" si="216"/>
        <v>0</v>
      </c>
      <c r="X112" s="70">
        <f t="shared" si="217"/>
        <v>3500</v>
      </c>
      <c r="Y112" s="80">
        <f t="shared" si="218"/>
        <v>0</v>
      </c>
      <c r="Z112" s="70">
        <f t="shared" si="219"/>
        <v>2160.0700000000002</v>
      </c>
      <c r="AA112" s="82"/>
      <c r="AC112" s="138">
        <v>0</v>
      </c>
      <c r="AD112" s="138">
        <v>2160.0700000000002</v>
      </c>
      <c r="AE112" s="138">
        <v>3500</v>
      </c>
      <c r="AF112" s="233"/>
      <c r="AG112" s="139"/>
      <c r="AH112" s="233"/>
      <c r="AI112" s="139"/>
      <c r="AK112" s="79">
        <v>0</v>
      </c>
      <c r="AL112" s="80">
        <f t="shared" si="189"/>
        <v>0</v>
      </c>
      <c r="AM112" s="79">
        <v>3500</v>
      </c>
      <c r="AN112" s="80">
        <f t="shared" si="190"/>
        <v>6.785523726572984E-3</v>
      </c>
      <c r="AO112" s="79">
        <v>3500</v>
      </c>
      <c r="AP112" s="80">
        <f t="shared" si="191"/>
        <v>6.785523726572984E-3</v>
      </c>
      <c r="AQ112" s="79">
        <v>2160.0700000000002</v>
      </c>
      <c r="AR112" s="81">
        <f t="shared" si="192"/>
        <v>9.5346941932018692E-3</v>
      </c>
      <c r="AS112" s="80">
        <f t="shared" si="220"/>
        <v>0</v>
      </c>
      <c r="AT112" s="70">
        <f t="shared" si="221"/>
        <v>3500</v>
      </c>
      <c r="AU112" s="80">
        <f t="shared" si="222"/>
        <v>1</v>
      </c>
      <c r="AV112" s="70">
        <f t="shared" si="223"/>
        <v>3500</v>
      </c>
      <c r="AW112" s="80">
        <f t="shared" si="224"/>
        <v>0</v>
      </c>
      <c r="AX112" s="70">
        <f t="shared" si="225"/>
        <v>2160.0700000000002</v>
      </c>
      <c r="AY112" s="82"/>
      <c r="BA112" s="79">
        <v>42000</v>
      </c>
      <c r="BB112" s="80">
        <f t="shared" si="193"/>
        <v>6.2635603629904524E-3</v>
      </c>
      <c r="BC112" s="79">
        <v>42000</v>
      </c>
      <c r="BD112" s="80">
        <f t="shared" si="194"/>
        <v>6.2635603629904524E-3</v>
      </c>
      <c r="BE112" s="79">
        <v>33858.94</v>
      </c>
      <c r="BF112" s="81">
        <f t="shared" si="195"/>
        <v>8.0087662262186728E-3</v>
      </c>
      <c r="BG112" s="80">
        <f t="shared" si="226"/>
        <v>0</v>
      </c>
      <c r="BH112" s="70">
        <f t="shared" si="227"/>
        <v>0</v>
      </c>
      <c r="BI112" s="80">
        <f t="shared" si="228"/>
        <v>-0.19383476190476184</v>
      </c>
      <c r="BJ112" s="70">
        <f t="shared" si="229"/>
        <v>-8141.0599999999977</v>
      </c>
      <c r="BK112" s="82"/>
    </row>
    <row r="113" spans="2:63" ht="11.95" outlineLevel="1" thickBot="1" x14ac:dyDescent="0.3">
      <c r="E113" s="3"/>
      <c r="F113" s="3"/>
      <c r="G113" s="3"/>
      <c r="H113" s="256" t="s">
        <v>110</v>
      </c>
      <c r="I113" s="18"/>
      <c r="J113" s="18"/>
      <c r="K113" s="18"/>
      <c r="L113" s="78"/>
      <c r="M113" s="79">
        <v>17279.22</v>
      </c>
      <c r="N113" s="80">
        <f t="shared" si="185"/>
        <v>4.2375139619880785E-2</v>
      </c>
      <c r="O113" s="79">
        <v>37203</v>
      </c>
      <c r="P113" s="80">
        <f t="shared" si="186"/>
        <v>7.2126239771341347E-2</v>
      </c>
      <c r="Q113" s="79">
        <v>37203</v>
      </c>
      <c r="R113" s="80">
        <f t="shared" si="187"/>
        <v>7.2126239771341347E-2</v>
      </c>
      <c r="S113" s="79">
        <v>30541.99</v>
      </c>
      <c r="T113" s="81">
        <f t="shared" si="188"/>
        <v>0.13481439708057125</v>
      </c>
      <c r="U113" s="80">
        <f t="shared" si="93"/>
        <v>1.1530485751092929</v>
      </c>
      <c r="V113" s="70">
        <f t="shared" si="94"/>
        <v>19923.78</v>
      </c>
      <c r="W113" s="80">
        <f t="shared" si="95"/>
        <v>1.1530485751092929</v>
      </c>
      <c r="X113" s="259">
        <f t="shared" si="96"/>
        <v>19923.78</v>
      </c>
      <c r="Y113" s="80">
        <f t="shared" si="97"/>
        <v>0.76755605866468501</v>
      </c>
      <c r="Z113" s="70">
        <f t="shared" si="98"/>
        <v>13262.77</v>
      </c>
      <c r="AA113" s="82"/>
      <c r="AC113" s="138">
        <v>17279.22</v>
      </c>
      <c r="AD113" s="138">
        <v>30541.99</v>
      </c>
      <c r="AE113" s="138">
        <v>37203</v>
      </c>
      <c r="AF113" s="233"/>
      <c r="AG113" s="139"/>
      <c r="AH113" s="233"/>
      <c r="AI113" s="139"/>
      <c r="AK113" s="79">
        <v>17279.22</v>
      </c>
      <c r="AL113" s="80">
        <f t="shared" si="189"/>
        <v>4.2375139619880785E-2</v>
      </c>
      <c r="AM113" s="79">
        <v>37203</v>
      </c>
      <c r="AN113" s="80">
        <f t="shared" si="190"/>
        <v>7.2126239771341347E-2</v>
      </c>
      <c r="AO113" s="79">
        <v>37203</v>
      </c>
      <c r="AP113" s="80">
        <f t="shared" si="191"/>
        <v>7.2126239771341347E-2</v>
      </c>
      <c r="AQ113" s="79">
        <v>30541.99</v>
      </c>
      <c r="AR113" s="81">
        <f t="shared" si="192"/>
        <v>0.13481439708057125</v>
      </c>
      <c r="AS113" s="80">
        <f t="shared" si="103"/>
        <v>1.1530485751092929</v>
      </c>
      <c r="AT113" s="70">
        <f t="shared" si="104"/>
        <v>19923.78</v>
      </c>
      <c r="AU113" s="80">
        <f t="shared" si="105"/>
        <v>0.53554229497621153</v>
      </c>
      <c r="AV113" s="70">
        <f t="shared" si="106"/>
        <v>19923.78</v>
      </c>
      <c r="AW113" s="80">
        <f t="shared" si="107"/>
        <v>0.76755605866468501</v>
      </c>
      <c r="AX113" s="70">
        <f t="shared" si="108"/>
        <v>13262.77</v>
      </c>
      <c r="AY113" s="82"/>
      <c r="BA113" s="79">
        <v>446436</v>
      </c>
      <c r="BB113" s="80">
        <f t="shared" si="193"/>
        <v>6.6578067481238234E-2</v>
      </c>
      <c r="BC113" s="79">
        <v>446436</v>
      </c>
      <c r="BD113" s="80">
        <f t="shared" si="194"/>
        <v>6.6578067481238234E-2</v>
      </c>
      <c r="BE113" s="79">
        <v>411279.35999999999</v>
      </c>
      <c r="BF113" s="81">
        <f t="shared" si="195"/>
        <v>9.7281257118764813E-2</v>
      </c>
      <c r="BG113" s="80">
        <f t="shared" si="112"/>
        <v>0</v>
      </c>
      <c r="BH113" s="70">
        <f t="shared" si="113"/>
        <v>0</v>
      </c>
      <c r="BI113" s="80">
        <f t="shared" si="114"/>
        <v>-7.8749563207268267E-2</v>
      </c>
      <c r="BJ113" s="70">
        <f t="shared" si="115"/>
        <v>-35156.640000000014</v>
      </c>
      <c r="BK113" s="82"/>
    </row>
    <row r="114" spans="2:63" ht="11.95" hidden="1" outlineLevel="2" thickBot="1" x14ac:dyDescent="0.3">
      <c r="B114" t="str">
        <f>IF(LEFT(H114,3)="Mul", "#hiderow", "#showrow")</f>
        <v>#hiderow</v>
      </c>
      <c r="E114" s="3"/>
      <c r="F114" s="3"/>
      <c r="G114" s="3"/>
      <c r="H114" s="255" t="s">
        <v>6</v>
      </c>
      <c r="I114" s="18"/>
      <c r="J114" s="18"/>
      <c r="K114" s="18"/>
      <c r="L114" s="78"/>
      <c r="M114" s="79"/>
      <c r="N114" s="80">
        <f t="shared" si="185"/>
        <v>0</v>
      </c>
      <c r="O114" s="79"/>
      <c r="P114" s="80">
        <f t="shared" si="186"/>
        <v>0</v>
      </c>
      <c r="Q114" s="79"/>
      <c r="R114" s="80">
        <f t="shared" si="187"/>
        <v>0</v>
      </c>
      <c r="S114" s="79"/>
      <c r="T114" s="81">
        <f t="shared" si="188"/>
        <v>0</v>
      </c>
      <c r="U114" s="80">
        <f t="shared" si="93"/>
        <v>0</v>
      </c>
      <c r="V114" s="70">
        <f t="shared" si="94"/>
        <v>0</v>
      </c>
      <c r="W114" s="80">
        <f t="shared" si="95"/>
        <v>0</v>
      </c>
      <c r="X114" s="70">
        <f t="shared" si="96"/>
        <v>0</v>
      </c>
      <c r="Y114" s="80">
        <f t="shared" si="97"/>
        <v>0</v>
      </c>
      <c r="Z114" s="70">
        <f t="shared" si="98"/>
        <v>0</v>
      </c>
      <c r="AA114" s="82"/>
      <c r="AC114" s="138"/>
      <c r="AD114" s="138"/>
      <c r="AE114" s="138"/>
      <c r="AF114" s="233"/>
      <c r="AG114" s="139"/>
      <c r="AH114" s="233"/>
      <c r="AI114" s="139"/>
      <c r="AK114" s="79"/>
      <c r="AL114" s="80">
        <f t="shared" si="189"/>
        <v>0</v>
      </c>
      <c r="AM114" s="79"/>
      <c r="AN114" s="80">
        <f t="shared" si="190"/>
        <v>0</v>
      </c>
      <c r="AO114" s="79"/>
      <c r="AP114" s="80">
        <f t="shared" si="191"/>
        <v>0</v>
      </c>
      <c r="AQ114" s="79"/>
      <c r="AR114" s="81">
        <f t="shared" si="192"/>
        <v>0</v>
      </c>
      <c r="AS114" s="80">
        <f t="shared" si="103"/>
        <v>0</v>
      </c>
      <c r="AT114" s="70">
        <f t="shared" si="104"/>
        <v>0</v>
      </c>
      <c r="AU114" s="80">
        <f t="shared" si="105"/>
        <v>0</v>
      </c>
      <c r="AV114" s="70">
        <f t="shared" si="106"/>
        <v>0</v>
      </c>
      <c r="AW114" s="80">
        <f t="shared" si="107"/>
        <v>0</v>
      </c>
      <c r="AX114" s="70">
        <f t="shared" si="108"/>
        <v>0</v>
      </c>
      <c r="AY114" s="82"/>
      <c r="BA114" s="79"/>
      <c r="BB114" s="80">
        <f t="shared" si="193"/>
        <v>0</v>
      </c>
      <c r="BC114" s="79"/>
      <c r="BD114" s="80">
        <f t="shared" si="194"/>
        <v>0</v>
      </c>
      <c r="BE114" s="79"/>
      <c r="BF114" s="81">
        <f t="shared" si="195"/>
        <v>0</v>
      </c>
      <c r="BG114" s="80">
        <f t="shared" si="112"/>
        <v>0</v>
      </c>
      <c r="BH114" s="70">
        <f t="shared" si="113"/>
        <v>0</v>
      </c>
      <c r="BI114" s="80">
        <f t="shared" si="114"/>
        <v>0</v>
      </c>
      <c r="BJ114" s="70">
        <f t="shared" si="115"/>
        <v>0</v>
      </c>
      <c r="BK114" s="82"/>
    </row>
    <row r="115" spans="2:63" ht="11.95" outlineLevel="2" thickBot="1" x14ac:dyDescent="0.3">
      <c r="B115" t="str">
        <f t="shared" ref="B115:B119" si="230">IF(LEFT(H115,3)="Mul", "#hiderow", "#showrow")</f>
        <v>#showrow</v>
      </c>
      <c r="E115" s="3"/>
      <c r="F115" s="3"/>
      <c r="G115" s="3"/>
      <c r="H115" s="255" t="s">
        <v>479</v>
      </c>
      <c r="I115" s="18"/>
      <c r="J115" s="18"/>
      <c r="K115" s="18"/>
      <c r="L115" s="78"/>
      <c r="M115" s="79"/>
      <c r="N115" s="80">
        <f t="shared" si="185"/>
        <v>0</v>
      </c>
      <c r="O115" s="79">
        <v>100</v>
      </c>
      <c r="P115" s="80">
        <f t="shared" si="186"/>
        <v>1.9387210647351383E-4</v>
      </c>
      <c r="Q115" s="79">
        <v>100</v>
      </c>
      <c r="R115" s="80">
        <f t="shared" si="187"/>
        <v>1.9387210647351383E-4</v>
      </c>
      <c r="S115" s="79"/>
      <c r="T115" s="81">
        <f t="shared" si="188"/>
        <v>0</v>
      </c>
      <c r="U115" s="80">
        <f t="shared" ref="U115:U119" si="231">IFERROR(($O115-M115)/ABS(M115),0)</f>
        <v>0</v>
      </c>
      <c r="V115" s="70">
        <f t="shared" ref="V115:V119" si="232">IFERROR((O115-$M115), 0-$M115)</f>
        <v>100</v>
      </c>
      <c r="W115" s="80">
        <f t="shared" ref="W115:W119" si="233">IFERROR((Q115-$M115)/ABS($M115),0)</f>
        <v>0</v>
      </c>
      <c r="X115" s="70">
        <f t="shared" ref="X115:X119" si="234">IFERROR((Q115-$M115), 0 -$M115)</f>
        <v>100</v>
      </c>
      <c r="Y115" s="80">
        <f t="shared" ref="Y115:Y119" si="235">IFERROR((S115-$M115)/ABS($M115),0)</f>
        <v>0</v>
      </c>
      <c r="Z115" s="70">
        <f t="shared" ref="Z115:Z119" si="236">IFERROR((S115-$M115),0-$M115)</f>
        <v>0</v>
      </c>
      <c r="AA115" s="82"/>
      <c r="AC115" s="138">
        <v>0</v>
      </c>
      <c r="AD115" s="138">
        <v>0</v>
      </c>
      <c r="AE115" s="138">
        <v>100</v>
      </c>
      <c r="AF115" s="233"/>
      <c r="AG115" s="139"/>
      <c r="AH115" s="233"/>
      <c r="AI115" s="139"/>
      <c r="AK115" s="79">
        <v>0</v>
      </c>
      <c r="AL115" s="80">
        <f t="shared" si="189"/>
        <v>0</v>
      </c>
      <c r="AM115" s="79">
        <v>100</v>
      </c>
      <c r="AN115" s="80">
        <f t="shared" si="190"/>
        <v>1.9387210647351383E-4</v>
      </c>
      <c r="AO115" s="79">
        <v>100</v>
      </c>
      <c r="AP115" s="80">
        <f t="shared" si="191"/>
        <v>1.9387210647351383E-4</v>
      </c>
      <c r="AQ115" s="79">
        <v>0</v>
      </c>
      <c r="AR115" s="81">
        <f t="shared" si="192"/>
        <v>0</v>
      </c>
      <c r="AS115" s="80">
        <f t="shared" ref="AS115:AS119" si="237">IFERROR((AM115-$AK115)/ABS($AK115),0)</f>
        <v>0</v>
      </c>
      <c r="AT115" s="70">
        <f t="shared" ref="AT115:AT119" si="238">(AM115-$AK115)</f>
        <v>100</v>
      </c>
      <c r="AU115" s="80">
        <f t="shared" ref="AU115:AU119" si="239">IFERROR((AO115-$AK115)/ABS($AO115),0)</f>
        <v>1</v>
      </c>
      <c r="AV115" s="70">
        <f t="shared" ref="AV115:AV119" si="240">(AO115-$AK115)</f>
        <v>100</v>
      </c>
      <c r="AW115" s="80">
        <f t="shared" ref="AW115:AW119" si="241">IFERROR((AQ115-$AK115)/ABS($AK115),0)</f>
        <v>0</v>
      </c>
      <c r="AX115" s="70">
        <f t="shared" ref="AX115:AX119" si="242">(AQ115-$AK115)</f>
        <v>0</v>
      </c>
      <c r="AY115" s="82"/>
      <c r="BA115" s="79">
        <v>1200</v>
      </c>
      <c r="BB115" s="80">
        <f t="shared" si="193"/>
        <v>1.7895886751401291E-4</v>
      </c>
      <c r="BC115" s="79">
        <v>1200</v>
      </c>
      <c r="BD115" s="80">
        <f t="shared" si="194"/>
        <v>1.7895886751401291E-4</v>
      </c>
      <c r="BE115" s="79">
        <v>98.53</v>
      </c>
      <c r="BF115" s="81">
        <f t="shared" si="195"/>
        <v>2.3305624342325121E-5</v>
      </c>
      <c r="BG115" s="80">
        <f t="shared" ref="BG115:BG119" si="243">IFERROR((BC115-$BA115)/ABS($BA115),0)</f>
        <v>0</v>
      </c>
      <c r="BH115" s="70">
        <f t="shared" ref="BH115:BH119" si="244">(BC115-$BA115)</f>
        <v>0</v>
      </c>
      <c r="BI115" s="80">
        <f t="shared" ref="BI115:BI119" si="245">IFERROR((BE115-$BA115)/ABS($BA115),0)</f>
        <v>-0.91789166666666666</v>
      </c>
      <c r="BJ115" s="70">
        <f t="shared" ref="BJ115:BJ119" si="246">(BE115-$BA115)</f>
        <v>-1101.47</v>
      </c>
      <c r="BK115" s="82"/>
    </row>
    <row r="116" spans="2:63" ht="11.95" outlineLevel="2" thickBot="1" x14ac:dyDescent="0.3">
      <c r="B116" t="str">
        <f t="shared" si="230"/>
        <v>#showrow</v>
      </c>
      <c r="E116" s="3"/>
      <c r="F116" s="3"/>
      <c r="G116" s="3"/>
      <c r="H116" s="255" t="s">
        <v>142</v>
      </c>
      <c r="I116" s="18"/>
      <c r="J116" s="18"/>
      <c r="K116" s="18"/>
      <c r="L116" s="78"/>
      <c r="M116" s="79"/>
      <c r="N116" s="80">
        <f t="shared" si="185"/>
        <v>0</v>
      </c>
      <c r="O116" s="79">
        <v>600</v>
      </c>
      <c r="P116" s="80">
        <f t="shared" si="186"/>
        <v>1.1632326388410831E-3</v>
      </c>
      <c r="Q116" s="79">
        <v>600</v>
      </c>
      <c r="R116" s="80">
        <f t="shared" si="187"/>
        <v>1.1632326388410831E-3</v>
      </c>
      <c r="S116" s="79"/>
      <c r="T116" s="81">
        <f t="shared" si="188"/>
        <v>0</v>
      </c>
      <c r="U116" s="80">
        <f t="shared" si="231"/>
        <v>0</v>
      </c>
      <c r="V116" s="70">
        <f t="shared" si="232"/>
        <v>600</v>
      </c>
      <c r="W116" s="80">
        <f t="shared" si="233"/>
        <v>0</v>
      </c>
      <c r="X116" s="70">
        <f t="shared" si="234"/>
        <v>600</v>
      </c>
      <c r="Y116" s="80">
        <f t="shared" si="235"/>
        <v>0</v>
      </c>
      <c r="Z116" s="70">
        <f t="shared" si="236"/>
        <v>0</v>
      </c>
      <c r="AA116" s="82"/>
      <c r="AC116" s="138">
        <v>0</v>
      </c>
      <c r="AD116" s="138">
        <v>0</v>
      </c>
      <c r="AE116" s="138">
        <v>600</v>
      </c>
      <c r="AF116" s="233"/>
      <c r="AG116" s="139"/>
      <c r="AH116" s="233"/>
      <c r="AI116" s="139"/>
      <c r="AK116" s="79">
        <v>0</v>
      </c>
      <c r="AL116" s="80">
        <f t="shared" si="189"/>
        <v>0</v>
      </c>
      <c r="AM116" s="79">
        <v>600</v>
      </c>
      <c r="AN116" s="80">
        <f t="shared" si="190"/>
        <v>1.1632326388410831E-3</v>
      </c>
      <c r="AO116" s="79">
        <v>600</v>
      </c>
      <c r="AP116" s="80">
        <f t="shared" si="191"/>
        <v>1.1632326388410831E-3</v>
      </c>
      <c r="AQ116" s="79">
        <v>0</v>
      </c>
      <c r="AR116" s="81">
        <f t="shared" si="192"/>
        <v>0</v>
      </c>
      <c r="AS116" s="80">
        <f t="shared" si="237"/>
        <v>0</v>
      </c>
      <c r="AT116" s="70">
        <f t="shared" si="238"/>
        <v>600</v>
      </c>
      <c r="AU116" s="80">
        <f t="shared" si="239"/>
        <v>1</v>
      </c>
      <c r="AV116" s="70">
        <f t="shared" si="240"/>
        <v>600</v>
      </c>
      <c r="AW116" s="80">
        <f t="shared" si="241"/>
        <v>0</v>
      </c>
      <c r="AX116" s="70">
        <f t="shared" si="242"/>
        <v>0</v>
      </c>
      <c r="AY116" s="82"/>
      <c r="BA116" s="79">
        <v>7200</v>
      </c>
      <c r="BB116" s="80">
        <f t="shared" si="193"/>
        <v>1.0737532050840775E-3</v>
      </c>
      <c r="BC116" s="79">
        <v>7200</v>
      </c>
      <c r="BD116" s="80">
        <f t="shared" si="194"/>
        <v>1.0737532050840775E-3</v>
      </c>
      <c r="BE116" s="79">
        <v>6200.04</v>
      </c>
      <c r="BF116" s="81">
        <f t="shared" si="195"/>
        <v>1.4665158139387947E-3</v>
      </c>
      <c r="BG116" s="80">
        <f t="shared" si="243"/>
        <v>0</v>
      </c>
      <c r="BH116" s="70">
        <f t="shared" si="244"/>
        <v>0</v>
      </c>
      <c r="BI116" s="80">
        <f t="shared" si="245"/>
        <v>-0.13888333333333333</v>
      </c>
      <c r="BJ116" s="70">
        <f t="shared" si="246"/>
        <v>-999.96</v>
      </c>
      <c r="BK116" s="82"/>
    </row>
    <row r="117" spans="2:63" ht="11.95" outlineLevel="2" thickBot="1" x14ac:dyDescent="0.3">
      <c r="B117" t="str">
        <f t="shared" si="230"/>
        <v>#showrow</v>
      </c>
      <c r="E117" s="3"/>
      <c r="F117" s="3"/>
      <c r="G117" s="3"/>
      <c r="H117" s="255" t="s">
        <v>144</v>
      </c>
      <c r="I117" s="18"/>
      <c r="J117" s="18"/>
      <c r="K117" s="18"/>
      <c r="L117" s="78"/>
      <c r="M117" s="79"/>
      <c r="N117" s="80">
        <f t="shared" si="185"/>
        <v>0</v>
      </c>
      <c r="O117" s="79">
        <v>8000</v>
      </c>
      <c r="P117" s="80">
        <f t="shared" si="186"/>
        <v>1.5509768517881106E-2</v>
      </c>
      <c r="Q117" s="79">
        <v>8000</v>
      </c>
      <c r="R117" s="80">
        <f t="shared" si="187"/>
        <v>1.5509768517881106E-2</v>
      </c>
      <c r="S117" s="79"/>
      <c r="T117" s="81">
        <f t="shared" si="188"/>
        <v>0</v>
      </c>
      <c r="U117" s="80">
        <f t="shared" si="231"/>
        <v>0</v>
      </c>
      <c r="V117" s="70">
        <f t="shared" si="232"/>
        <v>8000</v>
      </c>
      <c r="W117" s="80">
        <f t="shared" si="233"/>
        <v>0</v>
      </c>
      <c r="X117" s="70">
        <f t="shared" si="234"/>
        <v>8000</v>
      </c>
      <c r="Y117" s="80">
        <f t="shared" si="235"/>
        <v>0</v>
      </c>
      <c r="Z117" s="70">
        <f t="shared" si="236"/>
        <v>0</v>
      </c>
      <c r="AA117" s="82"/>
      <c r="AC117" s="138">
        <v>0</v>
      </c>
      <c r="AD117" s="138">
        <v>0</v>
      </c>
      <c r="AE117" s="138">
        <v>8000</v>
      </c>
      <c r="AF117" s="233"/>
      <c r="AG117" s="139"/>
      <c r="AH117" s="233"/>
      <c r="AI117" s="139"/>
      <c r="AK117" s="79">
        <v>0</v>
      </c>
      <c r="AL117" s="80">
        <f t="shared" si="189"/>
        <v>0</v>
      </c>
      <c r="AM117" s="79">
        <v>8000</v>
      </c>
      <c r="AN117" s="80">
        <f t="shared" si="190"/>
        <v>1.5509768517881106E-2</v>
      </c>
      <c r="AO117" s="79">
        <v>8000</v>
      </c>
      <c r="AP117" s="80">
        <f t="shared" si="191"/>
        <v>1.5509768517881106E-2</v>
      </c>
      <c r="AQ117" s="79">
        <v>0</v>
      </c>
      <c r="AR117" s="81">
        <f t="shared" si="192"/>
        <v>0</v>
      </c>
      <c r="AS117" s="80">
        <f t="shared" si="237"/>
        <v>0</v>
      </c>
      <c r="AT117" s="70">
        <f t="shared" si="238"/>
        <v>8000</v>
      </c>
      <c r="AU117" s="80">
        <f t="shared" si="239"/>
        <v>1</v>
      </c>
      <c r="AV117" s="70">
        <f t="shared" si="240"/>
        <v>8000</v>
      </c>
      <c r="AW117" s="80">
        <f t="shared" si="241"/>
        <v>0</v>
      </c>
      <c r="AX117" s="70">
        <f t="shared" si="242"/>
        <v>0</v>
      </c>
      <c r="AY117" s="82"/>
      <c r="BA117" s="79">
        <v>96000</v>
      </c>
      <c r="BB117" s="80">
        <f t="shared" si="193"/>
        <v>1.4316709401121034E-2</v>
      </c>
      <c r="BC117" s="79">
        <v>96000</v>
      </c>
      <c r="BD117" s="80">
        <f t="shared" si="194"/>
        <v>1.4316709401121034E-2</v>
      </c>
      <c r="BE117" s="79">
        <v>74134.67</v>
      </c>
      <c r="BF117" s="81">
        <f t="shared" si="195"/>
        <v>1.7535316855396731E-2</v>
      </c>
      <c r="BG117" s="80">
        <f t="shared" si="243"/>
        <v>0</v>
      </c>
      <c r="BH117" s="70">
        <f t="shared" si="244"/>
        <v>0</v>
      </c>
      <c r="BI117" s="80">
        <f t="shared" si="245"/>
        <v>-0.2277638541666667</v>
      </c>
      <c r="BJ117" s="70">
        <f t="shared" si="246"/>
        <v>-21865.33</v>
      </c>
      <c r="BK117" s="82"/>
    </row>
    <row r="118" spans="2:63" ht="11.95" outlineLevel="2" thickBot="1" x14ac:dyDescent="0.3">
      <c r="B118" t="str">
        <f t="shared" si="230"/>
        <v>#showrow</v>
      </c>
      <c r="E118" s="3"/>
      <c r="F118" s="3"/>
      <c r="G118" s="3"/>
      <c r="H118" s="255" t="s">
        <v>145</v>
      </c>
      <c r="I118" s="18"/>
      <c r="J118" s="18"/>
      <c r="K118" s="18"/>
      <c r="L118" s="78"/>
      <c r="M118" s="79">
        <v>17279.22</v>
      </c>
      <c r="N118" s="80">
        <f t="shared" si="185"/>
        <v>4.2375139619880785E-2</v>
      </c>
      <c r="O118" s="79">
        <v>27000</v>
      </c>
      <c r="P118" s="80">
        <f t="shared" si="186"/>
        <v>5.2345468747848733E-2</v>
      </c>
      <c r="Q118" s="79">
        <v>27000</v>
      </c>
      <c r="R118" s="80">
        <f t="shared" si="187"/>
        <v>5.2345468747848733E-2</v>
      </c>
      <c r="S118" s="79">
        <v>29038.959999999999</v>
      </c>
      <c r="T118" s="81">
        <f t="shared" si="188"/>
        <v>0.12817992161764263</v>
      </c>
      <c r="U118" s="80">
        <f t="shared" si="231"/>
        <v>0.56257053269765633</v>
      </c>
      <c r="V118" s="70">
        <f t="shared" si="232"/>
        <v>9720.7799999999988</v>
      </c>
      <c r="W118" s="80">
        <f t="shared" si="233"/>
        <v>0.56257053269765633</v>
      </c>
      <c r="X118" s="70">
        <f t="shared" si="234"/>
        <v>9720.7799999999988</v>
      </c>
      <c r="Y118" s="80">
        <f t="shared" si="235"/>
        <v>0.6805712294883679</v>
      </c>
      <c r="Z118" s="70">
        <f t="shared" si="236"/>
        <v>11759.739999999998</v>
      </c>
      <c r="AA118" s="82"/>
      <c r="AC118" s="138">
        <v>17279.22</v>
      </c>
      <c r="AD118" s="138">
        <v>29038.959999999999</v>
      </c>
      <c r="AE118" s="138">
        <v>27000</v>
      </c>
      <c r="AF118" s="233"/>
      <c r="AG118" s="139"/>
      <c r="AH118" s="233"/>
      <c r="AI118" s="139"/>
      <c r="AK118" s="79">
        <v>17279.22</v>
      </c>
      <c r="AL118" s="80">
        <f t="shared" si="189"/>
        <v>4.2375139619880785E-2</v>
      </c>
      <c r="AM118" s="79">
        <v>27000</v>
      </c>
      <c r="AN118" s="80">
        <f t="shared" si="190"/>
        <v>5.2345468747848733E-2</v>
      </c>
      <c r="AO118" s="79">
        <v>27000</v>
      </c>
      <c r="AP118" s="80">
        <f t="shared" si="191"/>
        <v>5.2345468747848733E-2</v>
      </c>
      <c r="AQ118" s="79">
        <v>29038.959999999999</v>
      </c>
      <c r="AR118" s="81">
        <f t="shared" si="192"/>
        <v>0.12817992161764263</v>
      </c>
      <c r="AS118" s="80">
        <f t="shared" si="237"/>
        <v>0.56257053269765633</v>
      </c>
      <c r="AT118" s="70">
        <f t="shared" si="238"/>
        <v>9720.7799999999988</v>
      </c>
      <c r="AU118" s="80">
        <f t="shared" si="239"/>
        <v>0.36002888888888884</v>
      </c>
      <c r="AV118" s="70">
        <f t="shared" si="240"/>
        <v>9720.7799999999988</v>
      </c>
      <c r="AW118" s="80">
        <f t="shared" si="241"/>
        <v>0.6805712294883679</v>
      </c>
      <c r="AX118" s="70">
        <f t="shared" si="242"/>
        <v>11759.739999999998</v>
      </c>
      <c r="AY118" s="82"/>
      <c r="BA118" s="79">
        <v>324000</v>
      </c>
      <c r="BB118" s="80">
        <f t="shared" si="193"/>
        <v>4.8318894228783486E-2</v>
      </c>
      <c r="BC118" s="79">
        <v>324000</v>
      </c>
      <c r="BD118" s="80">
        <f t="shared" si="194"/>
        <v>4.8318894228783486E-2</v>
      </c>
      <c r="BE118" s="79">
        <v>312659.11</v>
      </c>
      <c r="BF118" s="81">
        <f t="shared" si="195"/>
        <v>7.3954285647677948E-2</v>
      </c>
      <c r="BG118" s="80">
        <f t="shared" si="243"/>
        <v>0</v>
      </c>
      <c r="BH118" s="70">
        <f t="shared" si="244"/>
        <v>0</v>
      </c>
      <c r="BI118" s="80">
        <f t="shared" si="245"/>
        <v>-3.5002746913580289E-2</v>
      </c>
      <c r="BJ118" s="70">
        <f t="shared" si="246"/>
        <v>-11340.890000000014</v>
      </c>
      <c r="BK118" s="82"/>
    </row>
    <row r="119" spans="2:63" ht="11.95" outlineLevel="2" thickBot="1" x14ac:dyDescent="0.3">
      <c r="B119" t="str">
        <f t="shared" si="230"/>
        <v>#showrow</v>
      </c>
      <c r="E119" s="3"/>
      <c r="F119" s="3"/>
      <c r="G119" s="3"/>
      <c r="H119" s="255" t="s">
        <v>146</v>
      </c>
      <c r="I119" s="18"/>
      <c r="J119" s="18"/>
      <c r="K119" s="18"/>
      <c r="L119" s="78"/>
      <c r="M119" s="79"/>
      <c r="N119" s="80">
        <f t="shared" si="185"/>
        <v>0</v>
      </c>
      <c r="O119" s="79">
        <v>1503</v>
      </c>
      <c r="P119" s="80">
        <f t="shared" si="186"/>
        <v>2.913897760296913E-3</v>
      </c>
      <c r="Q119" s="79">
        <v>1503</v>
      </c>
      <c r="R119" s="80">
        <f t="shared" si="187"/>
        <v>2.913897760296913E-3</v>
      </c>
      <c r="S119" s="79">
        <v>1503.03</v>
      </c>
      <c r="T119" s="81">
        <f t="shared" si="188"/>
        <v>6.6344754629286112E-3</v>
      </c>
      <c r="U119" s="80">
        <f t="shared" si="231"/>
        <v>0</v>
      </c>
      <c r="V119" s="70">
        <f t="shared" si="232"/>
        <v>1503</v>
      </c>
      <c r="W119" s="80">
        <f t="shared" si="233"/>
        <v>0</v>
      </c>
      <c r="X119" s="70">
        <f t="shared" si="234"/>
        <v>1503</v>
      </c>
      <c r="Y119" s="80">
        <f t="shared" si="235"/>
        <v>0</v>
      </c>
      <c r="Z119" s="70">
        <f t="shared" si="236"/>
        <v>1503.03</v>
      </c>
      <c r="AA119" s="82"/>
      <c r="AC119" s="138">
        <v>0</v>
      </c>
      <c r="AD119" s="138">
        <v>1503.03</v>
      </c>
      <c r="AE119" s="138">
        <v>1503</v>
      </c>
      <c r="AF119" s="233"/>
      <c r="AG119" s="139"/>
      <c r="AH119" s="233"/>
      <c r="AI119" s="139"/>
      <c r="AK119" s="79">
        <v>0</v>
      </c>
      <c r="AL119" s="80">
        <f t="shared" si="189"/>
        <v>0</v>
      </c>
      <c r="AM119" s="79">
        <v>1503</v>
      </c>
      <c r="AN119" s="80">
        <f t="shared" si="190"/>
        <v>2.913897760296913E-3</v>
      </c>
      <c r="AO119" s="79">
        <v>1503</v>
      </c>
      <c r="AP119" s="80">
        <f t="shared" si="191"/>
        <v>2.913897760296913E-3</v>
      </c>
      <c r="AQ119" s="79">
        <v>1503.03</v>
      </c>
      <c r="AR119" s="81">
        <f t="shared" si="192"/>
        <v>6.6344754629286112E-3</v>
      </c>
      <c r="AS119" s="80">
        <f t="shared" si="237"/>
        <v>0</v>
      </c>
      <c r="AT119" s="70">
        <f t="shared" si="238"/>
        <v>1503</v>
      </c>
      <c r="AU119" s="80">
        <f t="shared" si="239"/>
        <v>1</v>
      </c>
      <c r="AV119" s="70">
        <f t="shared" si="240"/>
        <v>1503</v>
      </c>
      <c r="AW119" s="80">
        <f t="shared" si="241"/>
        <v>0</v>
      </c>
      <c r="AX119" s="70">
        <f t="shared" si="242"/>
        <v>1503.03</v>
      </c>
      <c r="AY119" s="82"/>
      <c r="BA119" s="79">
        <v>18036</v>
      </c>
      <c r="BB119" s="80">
        <f t="shared" si="193"/>
        <v>2.6897517787356144E-3</v>
      </c>
      <c r="BC119" s="79">
        <v>18036</v>
      </c>
      <c r="BD119" s="80">
        <f t="shared" si="194"/>
        <v>2.6897517787356144E-3</v>
      </c>
      <c r="BE119" s="79">
        <v>18187.009999999998</v>
      </c>
      <c r="BF119" s="81">
        <f t="shared" si="195"/>
        <v>4.301833177409016E-3</v>
      </c>
      <c r="BG119" s="80">
        <f t="shared" si="243"/>
        <v>0</v>
      </c>
      <c r="BH119" s="70">
        <f t="shared" si="244"/>
        <v>0</v>
      </c>
      <c r="BI119" s="80">
        <f t="shared" si="245"/>
        <v>8.3726990463516525E-3</v>
      </c>
      <c r="BJ119" s="70">
        <f t="shared" si="246"/>
        <v>151.0099999999984</v>
      </c>
      <c r="BK119" s="82"/>
    </row>
    <row r="120" spans="2:63" ht="11.95" outlineLevel="1" thickBot="1" x14ac:dyDescent="0.3">
      <c r="E120" s="3"/>
      <c r="F120" s="3"/>
      <c r="G120" s="3"/>
      <c r="H120" s="256" t="s">
        <v>111</v>
      </c>
      <c r="I120" s="18"/>
      <c r="J120" s="18"/>
      <c r="K120" s="18"/>
      <c r="L120" s="78"/>
      <c r="M120" s="79">
        <v>9901.06</v>
      </c>
      <c r="N120" s="80">
        <f t="shared" si="185"/>
        <v>2.4281119164222507E-2</v>
      </c>
      <c r="O120" s="79">
        <v>8000</v>
      </c>
      <c r="P120" s="80">
        <f t="shared" si="186"/>
        <v>1.5509768517881106E-2</v>
      </c>
      <c r="Q120" s="79">
        <v>8000</v>
      </c>
      <c r="R120" s="80">
        <f t="shared" si="187"/>
        <v>1.5509768517881106E-2</v>
      </c>
      <c r="S120" s="79">
        <v>6470.55</v>
      </c>
      <c r="T120" s="81">
        <f t="shared" si="188"/>
        <v>2.8561442690200944E-2</v>
      </c>
      <c r="U120" s="80">
        <f t="shared" si="93"/>
        <v>-0.19200570443972662</v>
      </c>
      <c r="V120" s="70">
        <f t="shared" si="94"/>
        <v>-1901.0599999999995</v>
      </c>
      <c r="W120" s="80">
        <f t="shared" si="95"/>
        <v>-0.19200570443972662</v>
      </c>
      <c r="X120" s="70">
        <f t="shared" si="96"/>
        <v>-1901.0599999999995</v>
      </c>
      <c r="Y120" s="80">
        <f t="shared" si="97"/>
        <v>-0.34647906385780913</v>
      </c>
      <c r="Z120" s="70">
        <f t="shared" si="98"/>
        <v>-3430.5099999999993</v>
      </c>
      <c r="AA120" s="82"/>
      <c r="AC120" s="138">
        <v>9901.06</v>
      </c>
      <c r="AD120" s="138">
        <v>6470.55</v>
      </c>
      <c r="AE120" s="138">
        <v>8000</v>
      </c>
      <c r="AF120" s="233"/>
      <c r="AG120" s="139"/>
      <c r="AH120" s="233"/>
      <c r="AI120" s="139"/>
      <c r="AK120" s="79">
        <v>9901.06</v>
      </c>
      <c r="AL120" s="80">
        <f t="shared" si="189"/>
        <v>2.4281119164222507E-2</v>
      </c>
      <c r="AM120" s="79">
        <v>8000</v>
      </c>
      <c r="AN120" s="80">
        <f t="shared" si="190"/>
        <v>1.5509768517881106E-2</v>
      </c>
      <c r="AO120" s="79">
        <v>8000</v>
      </c>
      <c r="AP120" s="80">
        <f t="shared" si="191"/>
        <v>1.5509768517881106E-2</v>
      </c>
      <c r="AQ120" s="79">
        <v>6470.55</v>
      </c>
      <c r="AR120" s="81">
        <f t="shared" si="192"/>
        <v>2.8561442690200944E-2</v>
      </c>
      <c r="AS120" s="80">
        <f t="shared" si="103"/>
        <v>-0.19200570443972662</v>
      </c>
      <c r="AT120" s="70">
        <f t="shared" si="104"/>
        <v>-1901.0599999999995</v>
      </c>
      <c r="AU120" s="80">
        <f t="shared" si="105"/>
        <v>-0.23763249999999994</v>
      </c>
      <c r="AV120" s="70">
        <f t="shared" si="106"/>
        <v>-1901.0599999999995</v>
      </c>
      <c r="AW120" s="80">
        <f t="shared" si="107"/>
        <v>-0.34647906385780913</v>
      </c>
      <c r="AX120" s="70">
        <f t="shared" si="108"/>
        <v>-3430.5099999999993</v>
      </c>
      <c r="AY120" s="82"/>
      <c r="BA120" s="79">
        <v>96000</v>
      </c>
      <c r="BB120" s="80">
        <f t="shared" si="193"/>
        <v>1.4316709401121034E-2</v>
      </c>
      <c r="BC120" s="79">
        <v>96000</v>
      </c>
      <c r="BD120" s="80">
        <f t="shared" si="194"/>
        <v>1.4316709401121034E-2</v>
      </c>
      <c r="BE120" s="79">
        <v>106644.51</v>
      </c>
      <c r="BF120" s="81">
        <f t="shared" si="195"/>
        <v>2.5224976029953668E-2</v>
      </c>
      <c r="BG120" s="80">
        <f t="shared" si="112"/>
        <v>0</v>
      </c>
      <c r="BH120" s="70">
        <f t="shared" si="113"/>
        <v>0</v>
      </c>
      <c r="BI120" s="80">
        <f t="shared" si="114"/>
        <v>0.11088031249999994</v>
      </c>
      <c r="BJ120" s="70">
        <f t="shared" si="115"/>
        <v>10644.509999999995</v>
      </c>
      <c r="BK120" s="82"/>
    </row>
    <row r="121" spans="2:63" ht="11.95" hidden="1" outlineLevel="2" thickBot="1" x14ac:dyDescent="0.3">
      <c r="B121" t="str">
        <f>IF(LEFT(H121,3)="Mul", "#hiderow", "#showrow")</f>
        <v>#hiderow</v>
      </c>
      <c r="E121" s="3"/>
      <c r="F121" s="3"/>
      <c r="G121" s="3"/>
      <c r="H121" s="255" t="s">
        <v>6</v>
      </c>
      <c r="I121" s="18"/>
      <c r="J121" s="18"/>
      <c r="K121" s="18"/>
      <c r="L121" s="78"/>
      <c r="M121" s="79"/>
      <c r="N121" s="80">
        <f t="shared" si="185"/>
        <v>0</v>
      </c>
      <c r="O121" s="79"/>
      <c r="P121" s="80">
        <f t="shared" si="186"/>
        <v>0</v>
      </c>
      <c r="Q121" s="79"/>
      <c r="R121" s="80">
        <f t="shared" si="187"/>
        <v>0</v>
      </c>
      <c r="S121" s="79"/>
      <c r="T121" s="81">
        <f t="shared" si="188"/>
        <v>0</v>
      </c>
      <c r="U121" s="80">
        <f t="shared" si="93"/>
        <v>0</v>
      </c>
      <c r="V121" s="70">
        <f t="shared" si="94"/>
        <v>0</v>
      </c>
      <c r="W121" s="80">
        <f t="shared" si="95"/>
        <v>0</v>
      </c>
      <c r="X121" s="70">
        <f t="shared" si="96"/>
        <v>0</v>
      </c>
      <c r="Y121" s="80">
        <f t="shared" si="97"/>
        <v>0</v>
      </c>
      <c r="Z121" s="70">
        <f t="shared" si="98"/>
        <v>0</v>
      </c>
      <c r="AA121" s="82"/>
      <c r="AC121" s="138"/>
      <c r="AD121" s="138"/>
      <c r="AE121" s="138"/>
      <c r="AF121" s="233"/>
      <c r="AG121" s="139"/>
      <c r="AH121" s="233"/>
      <c r="AI121" s="139"/>
      <c r="AK121" s="79"/>
      <c r="AL121" s="80">
        <f t="shared" si="189"/>
        <v>0</v>
      </c>
      <c r="AM121" s="79"/>
      <c r="AN121" s="80">
        <f t="shared" si="190"/>
        <v>0</v>
      </c>
      <c r="AO121" s="79"/>
      <c r="AP121" s="80">
        <f t="shared" si="191"/>
        <v>0</v>
      </c>
      <c r="AQ121" s="79"/>
      <c r="AR121" s="81">
        <f t="shared" si="192"/>
        <v>0</v>
      </c>
      <c r="AS121" s="80">
        <f t="shared" si="103"/>
        <v>0</v>
      </c>
      <c r="AT121" s="70">
        <f t="shared" si="104"/>
        <v>0</v>
      </c>
      <c r="AU121" s="80">
        <f t="shared" si="105"/>
        <v>0</v>
      </c>
      <c r="AV121" s="70">
        <f t="shared" si="106"/>
        <v>0</v>
      </c>
      <c r="AW121" s="80">
        <f t="shared" si="107"/>
        <v>0</v>
      </c>
      <c r="AX121" s="70">
        <f t="shared" si="108"/>
        <v>0</v>
      </c>
      <c r="AY121" s="82"/>
      <c r="BA121" s="79"/>
      <c r="BB121" s="80">
        <f t="shared" si="193"/>
        <v>0</v>
      </c>
      <c r="BC121" s="79"/>
      <c r="BD121" s="80">
        <f t="shared" si="194"/>
        <v>0</v>
      </c>
      <c r="BE121" s="79"/>
      <c r="BF121" s="81">
        <f t="shared" si="195"/>
        <v>0</v>
      </c>
      <c r="BG121" s="80">
        <f t="shared" si="112"/>
        <v>0</v>
      </c>
      <c r="BH121" s="70">
        <f t="shared" si="113"/>
        <v>0</v>
      </c>
      <c r="BI121" s="80">
        <f t="shared" si="114"/>
        <v>0</v>
      </c>
      <c r="BJ121" s="70">
        <f t="shared" si="115"/>
        <v>0</v>
      </c>
      <c r="BK121" s="82"/>
    </row>
    <row r="122" spans="2:63" ht="11.95" outlineLevel="2" thickBot="1" x14ac:dyDescent="0.3">
      <c r="B122" t="str">
        <f t="shared" ref="B122:B125" si="247">IF(LEFT(H122,3)="Mul", "#hiderow", "#showrow")</f>
        <v>#showrow</v>
      </c>
      <c r="E122" s="3"/>
      <c r="F122" s="3"/>
      <c r="G122" s="3"/>
      <c r="H122" s="255" t="s">
        <v>483</v>
      </c>
      <c r="I122" s="18"/>
      <c r="J122" s="18"/>
      <c r="K122" s="18"/>
      <c r="L122" s="78"/>
      <c r="M122" s="79"/>
      <c r="N122" s="80">
        <f t="shared" si="185"/>
        <v>0</v>
      </c>
      <c r="O122" s="79"/>
      <c r="P122" s="80">
        <f t="shared" si="186"/>
        <v>0</v>
      </c>
      <c r="Q122" s="79"/>
      <c r="R122" s="80">
        <f t="shared" si="187"/>
        <v>0</v>
      </c>
      <c r="S122" s="79"/>
      <c r="T122" s="81">
        <f t="shared" si="188"/>
        <v>0</v>
      </c>
      <c r="U122" s="80">
        <f t="shared" ref="U122:U125" si="248">IFERROR(($O122-M122)/ABS(M122),0)</f>
        <v>0</v>
      </c>
      <c r="V122" s="70">
        <f t="shared" ref="V122:V125" si="249">IFERROR((O122-$M122), 0-$M122)</f>
        <v>0</v>
      </c>
      <c r="W122" s="80">
        <f t="shared" ref="W122:W125" si="250">IFERROR((Q122-$M122)/ABS($M122),0)</f>
        <v>0</v>
      </c>
      <c r="X122" s="70">
        <f t="shared" ref="X122:X125" si="251">IFERROR((Q122-$M122), 0 -$M122)</f>
        <v>0</v>
      </c>
      <c r="Y122" s="80">
        <f t="shared" ref="Y122:Y125" si="252">IFERROR((S122-$M122)/ABS($M122),0)</f>
        <v>0</v>
      </c>
      <c r="Z122" s="70">
        <f t="shared" ref="Z122:Z125" si="253">IFERROR((S122-$M122),0-$M122)</f>
        <v>0</v>
      </c>
      <c r="AA122" s="82"/>
      <c r="AC122" s="138">
        <v>0</v>
      </c>
      <c r="AD122" s="138">
        <v>0</v>
      </c>
      <c r="AE122" s="138">
        <v>0</v>
      </c>
      <c r="AF122" s="233"/>
      <c r="AG122" s="139"/>
      <c r="AH122" s="233"/>
      <c r="AI122" s="139"/>
      <c r="AK122" s="79">
        <v>0</v>
      </c>
      <c r="AL122" s="80">
        <f t="shared" si="189"/>
        <v>0</v>
      </c>
      <c r="AM122" s="79">
        <v>0</v>
      </c>
      <c r="AN122" s="80">
        <f t="shared" si="190"/>
        <v>0</v>
      </c>
      <c r="AO122" s="79">
        <v>0</v>
      </c>
      <c r="AP122" s="80">
        <f t="shared" si="191"/>
        <v>0</v>
      </c>
      <c r="AQ122" s="79">
        <v>0</v>
      </c>
      <c r="AR122" s="81">
        <f t="shared" si="192"/>
        <v>0</v>
      </c>
      <c r="AS122" s="80">
        <f t="shared" ref="AS122:AS125" si="254">IFERROR((AM122-$AK122)/ABS($AK122),0)</f>
        <v>0</v>
      </c>
      <c r="AT122" s="70">
        <f t="shared" ref="AT122:AT125" si="255">(AM122-$AK122)</f>
        <v>0</v>
      </c>
      <c r="AU122" s="80">
        <f t="shared" ref="AU122:AU125" si="256">IFERROR((AO122-$AK122)/ABS($AO122),0)</f>
        <v>0</v>
      </c>
      <c r="AV122" s="70">
        <f t="shared" ref="AV122:AV125" si="257">(AO122-$AK122)</f>
        <v>0</v>
      </c>
      <c r="AW122" s="80">
        <f t="shared" ref="AW122:AW125" si="258">IFERROR((AQ122-$AK122)/ABS($AK122),0)</f>
        <v>0</v>
      </c>
      <c r="AX122" s="70">
        <f t="shared" ref="AX122:AX125" si="259">(AQ122-$AK122)</f>
        <v>0</v>
      </c>
      <c r="AY122" s="82"/>
      <c r="BA122" s="79">
        <v>0</v>
      </c>
      <c r="BB122" s="80">
        <f t="shared" si="193"/>
        <v>0</v>
      </c>
      <c r="BC122" s="79">
        <v>0</v>
      </c>
      <c r="BD122" s="80">
        <f t="shared" si="194"/>
        <v>0</v>
      </c>
      <c r="BE122" s="79">
        <v>0.68</v>
      </c>
      <c r="BF122" s="81">
        <f t="shared" si="195"/>
        <v>1.6084263222146639E-7</v>
      </c>
      <c r="BG122" s="80">
        <f t="shared" ref="BG122:BG125" si="260">IFERROR((BC122-$BA122)/ABS($BA122),0)</f>
        <v>0</v>
      </c>
      <c r="BH122" s="70">
        <f t="shared" ref="BH122:BH125" si="261">(BC122-$BA122)</f>
        <v>0</v>
      </c>
      <c r="BI122" s="80">
        <f t="shared" ref="BI122:BI125" si="262">IFERROR((BE122-$BA122)/ABS($BA122),0)</f>
        <v>0</v>
      </c>
      <c r="BJ122" s="70">
        <f t="shared" ref="BJ122:BJ125" si="263">(BE122-$BA122)</f>
        <v>0.68</v>
      </c>
      <c r="BK122" s="82"/>
    </row>
    <row r="123" spans="2:63" ht="11.95" outlineLevel="2" thickBot="1" x14ac:dyDescent="0.3">
      <c r="B123" t="str">
        <f t="shared" si="247"/>
        <v>#showrow</v>
      </c>
      <c r="E123" s="3"/>
      <c r="F123" s="3"/>
      <c r="G123" s="3"/>
      <c r="H123" s="255" t="s">
        <v>160</v>
      </c>
      <c r="I123" s="18"/>
      <c r="J123" s="18"/>
      <c r="K123" s="18"/>
      <c r="L123" s="78"/>
      <c r="M123" s="79"/>
      <c r="N123" s="80">
        <f t="shared" si="185"/>
        <v>0</v>
      </c>
      <c r="O123" s="79"/>
      <c r="P123" s="80">
        <f t="shared" si="186"/>
        <v>0</v>
      </c>
      <c r="Q123" s="79"/>
      <c r="R123" s="80">
        <f t="shared" si="187"/>
        <v>0</v>
      </c>
      <c r="S123" s="79"/>
      <c r="T123" s="81">
        <f t="shared" si="188"/>
        <v>0</v>
      </c>
      <c r="U123" s="80">
        <f t="shared" si="248"/>
        <v>0</v>
      </c>
      <c r="V123" s="70">
        <f t="shared" si="249"/>
        <v>0</v>
      </c>
      <c r="W123" s="80">
        <f t="shared" si="250"/>
        <v>0</v>
      </c>
      <c r="X123" s="70">
        <f t="shared" si="251"/>
        <v>0</v>
      </c>
      <c r="Y123" s="80">
        <f t="shared" si="252"/>
        <v>0</v>
      </c>
      <c r="Z123" s="70">
        <f t="shared" si="253"/>
        <v>0</v>
      </c>
      <c r="AA123" s="82"/>
      <c r="AC123" s="138">
        <v>0</v>
      </c>
      <c r="AD123" s="138">
        <v>0</v>
      </c>
      <c r="AE123" s="138">
        <v>0</v>
      </c>
      <c r="AF123" s="233"/>
      <c r="AG123" s="139"/>
      <c r="AH123" s="233"/>
      <c r="AI123" s="139"/>
      <c r="AK123" s="79">
        <v>0</v>
      </c>
      <c r="AL123" s="80">
        <f t="shared" si="189"/>
        <v>0</v>
      </c>
      <c r="AM123" s="79">
        <v>0</v>
      </c>
      <c r="AN123" s="80">
        <f t="shared" si="190"/>
        <v>0</v>
      </c>
      <c r="AO123" s="79">
        <v>0</v>
      </c>
      <c r="AP123" s="80">
        <f t="shared" si="191"/>
        <v>0</v>
      </c>
      <c r="AQ123" s="79">
        <v>0</v>
      </c>
      <c r="AR123" s="81">
        <f t="shared" si="192"/>
        <v>0</v>
      </c>
      <c r="AS123" s="80">
        <f t="shared" si="254"/>
        <v>0</v>
      </c>
      <c r="AT123" s="70">
        <f t="shared" si="255"/>
        <v>0</v>
      </c>
      <c r="AU123" s="80">
        <f t="shared" si="256"/>
        <v>0</v>
      </c>
      <c r="AV123" s="70">
        <f t="shared" si="257"/>
        <v>0</v>
      </c>
      <c r="AW123" s="80">
        <f t="shared" si="258"/>
        <v>0</v>
      </c>
      <c r="AX123" s="70">
        <f t="shared" si="259"/>
        <v>0</v>
      </c>
      <c r="AY123" s="82"/>
      <c r="BA123" s="79">
        <v>0</v>
      </c>
      <c r="BB123" s="80">
        <f t="shared" si="193"/>
        <v>0</v>
      </c>
      <c r="BC123" s="79">
        <v>0</v>
      </c>
      <c r="BD123" s="80">
        <f t="shared" si="194"/>
        <v>0</v>
      </c>
      <c r="BE123" s="79">
        <v>4500</v>
      </c>
      <c r="BF123" s="81">
        <f t="shared" si="195"/>
        <v>1.0643997720538216E-3</v>
      </c>
      <c r="BG123" s="80">
        <f t="shared" si="260"/>
        <v>0</v>
      </c>
      <c r="BH123" s="70">
        <f t="shared" si="261"/>
        <v>0</v>
      </c>
      <c r="BI123" s="80">
        <f t="shared" si="262"/>
        <v>0</v>
      </c>
      <c r="BJ123" s="70">
        <f t="shared" si="263"/>
        <v>4500</v>
      </c>
      <c r="BK123" s="82"/>
    </row>
    <row r="124" spans="2:63" ht="11.95" outlineLevel="2" thickBot="1" x14ac:dyDescent="0.3">
      <c r="B124" t="str">
        <f t="shared" si="247"/>
        <v>#showrow</v>
      </c>
      <c r="E124" s="3"/>
      <c r="F124" s="3"/>
      <c r="G124" s="3"/>
      <c r="H124" s="255" t="s">
        <v>161</v>
      </c>
      <c r="I124" s="18"/>
      <c r="J124" s="18"/>
      <c r="K124" s="18"/>
      <c r="L124" s="78"/>
      <c r="M124" s="79"/>
      <c r="N124" s="80">
        <f t="shared" si="185"/>
        <v>0</v>
      </c>
      <c r="O124" s="79"/>
      <c r="P124" s="80">
        <f t="shared" si="186"/>
        <v>0</v>
      </c>
      <c r="Q124" s="79"/>
      <c r="R124" s="80">
        <f t="shared" si="187"/>
        <v>0</v>
      </c>
      <c r="S124" s="79"/>
      <c r="T124" s="81">
        <f t="shared" si="188"/>
        <v>0</v>
      </c>
      <c r="U124" s="80">
        <f t="shared" si="248"/>
        <v>0</v>
      </c>
      <c r="V124" s="70">
        <f t="shared" si="249"/>
        <v>0</v>
      </c>
      <c r="W124" s="80">
        <f t="shared" si="250"/>
        <v>0</v>
      </c>
      <c r="X124" s="70">
        <f t="shared" si="251"/>
        <v>0</v>
      </c>
      <c r="Y124" s="80">
        <f t="shared" si="252"/>
        <v>0</v>
      </c>
      <c r="Z124" s="70">
        <f t="shared" si="253"/>
        <v>0</v>
      </c>
      <c r="AA124" s="82"/>
      <c r="AC124" s="138">
        <v>0</v>
      </c>
      <c r="AD124" s="138">
        <v>0</v>
      </c>
      <c r="AE124" s="138">
        <v>0</v>
      </c>
      <c r="AF124" s="233"/>
      <c r="AG124" s="139"/>
      <c r="AH124" s="233"/>
      <c r="AI124" s="139"/>
      <c r="AK124" s="79">
        <v>0</v>
      </c>
      <c r="AL124" s="80">
        <f t="shared" si="189"/>
        <v>0</v>
      </c>
      <c r="AM124" s="79">
        <v>0</v>
      </c>
      <c r="AN124" s="80">
        <f t="shared" si="190"/>
        <v>0</v>
      </c>
      <c r="AO124" s="79">
        <v>0</v>
      </c>
      <c r="AP124" s="80">
        <f t="shared" si="191"/>
        <v>0</v>
      </c>
      <c r="AQ124" s="79">
        <v>0</v>
      </c>
      <c r="AR124" s="81">
        <f t="shared" si="192"/>
        <v>0</v>
      </c>
      <c r="AS124" s="80">
        <f t="shared" si="254"/>
        <v>0</v>
      </c>
      <c r="AT124" s="70">
        <f t="shared" si="255"/>
        <v>0</v>
      </c>
      <c r="AU124" s="80">
        <f t="shared" si="256"/>
        <v>0</v>
      </c>
      <c r="AV124" s="70">
        <f t="shared" si="257"/>
        <v>0</v>
      </c>
      <c r="AW124" s="80">
        <f t="shared" si="258"/>
        <v>0</v>
      </c>
      <c r="AX124" s="70">
        <f t="shared" si="259"/>
        <v>0</v>
      </c>
      <c r="AY124" s="82"/>
      <c r="BA124" s="79">
        <v>0</v>
      </c>
      <c r="BB124" s="80">
        <f t="shared" si="193"/>
        <v>0</v>
      </c>
      <c r="BC124" s="79">
        <v>0</v>
      </c>
      <c r="BD124" s="80">
        <f t="shared" si="194"/>
        <v>0</v>
      </c>
      <c r="BE124" s="79">
        <v>8200</v>
      </c>
      <c r="BF124" s="81">
        <f t="shared" si="195"/>
        <v>1.9395729179647416E-3</v>
      </c>
      <c r="BG124" s="80">
        <f t="shared" si="260"/>
        <v>0</v>
      </c>
      <c r="BH124" s="70">
        <f t="shared" si="261"/>
        <v>0</v>
      </c>
      <c r="BI124" s="80">
        <f t="shared" si="262"/>
        <v>0</v>
      </c>
      <c r="BJ124" s="70">
        <f t="shared" si="263"/>
        <v>8200</v>
      </c>
      <c r="BK124" s="82"/>
    </row>
    <row r="125" spans="2:63" ht="11.95" outlineLevel="2" thickBot="1" x14ac:dyDescent="0.3">
      <c r="B125" t="str">
        <f t="shared" si="247"/>
        <v>#showrow</v>
      </c>
      <c r="E125" s="3"/>
      <c r="F125" s="3"/>
      <c r="G125" s="3"/>
      <c r="H125" s="255" t="s">
        <v>162</v>
      </c>
      <c r="I125" s="18"/>
      <c r="J125" s="18"/>
      <c r="K125" s="18"/>
      <c r="L125" s="78"/>
      <c r="M125" s="79">
        <v>9901.06</v>
      </c>
      <c r="N125" s="80">
        <f t="shared" si="185"/>
        <v>2.4281119164222507E-2</v>
      </c>
      <c r="O125" s="79">
        <v>8000</v>
      </c>
      <c r="P125" s="80">
        <f t="shared" si="186"/>
        <v>1.5509768517881106E-2</v>
      </c>
      <c r="Q125" s="79">
        <v>8000</v>
      </c>
      <c r="R125" s="80">
        <f t="shared" si="187"/>
        <v>1.5509768517881106E-2</v>
      </c>
      <c r="S125" s="79">
        <v>6470.55</v>
      </c>
      <c r="T125" s="81">
        <f t="shared" si="188"/>
        <v>2.8561442690200944E-2</v>
      </c>
      <c r="U125" s="80">
        <f t="shared" si="248"/>
        <v>-0.19200570443972662</v>
      </c>
      <c r="V125" s="70">
        <f t="shared" si="249"/>
        <v>-1901.0599999999995</v>
      </c>
      <c r="W125" s="80">
        <f t="shared" si="250"/>
        <v>-0.19200570443972662</v>
      </c>
      <c r="X125" s="70">
        <f t="shared" si="251"/>
        <v>-1901.0599999999995</v>
      </c>
      <c r="Y125" s="80">
        <f t="shared" si="252"/>
        <v>-0.34647906385780913</v>
      </c>
      <c r="Z125" s="70">
        <f t="shared" si="253"/>
        <v>-3430.5099999999993</v>
      </c>
      <c r="AA125" s="82"/>
      <c r="AC125" s="138">
        <v>9901.06</v>
      </c>
      <c r="AD125" s="138">
        <v>6470.55</v>
      </c>
      <c r="AE125" s="138">
        <v>8000</v>
      </c>
      <c r="AF125" s="233"/>
      <c r="AG125" s="139"/>
      <c r="AH125" s="233"/>
      <c r="AI125" s="139"/>
      <c r="AK125" s="79">
        <v>9901.06</v>
      </c>
      <c r="AL125" s="80">
        <f t="shared" si="189"/>
        <v>2.4281119164222507E-2</v>
      </c>
      <c r="AM125" s="79">
        <v>8000</v>
      </c>
      <c r="AN125" s="80">
        <f t="shared" si="190"/>
        <v>1.5509768517881106E-2</v>
      </c>
      <c r="AO125" s="79">
        <v>8000</v>
      </c>
      <c r="AP125" s="80">
        <f t="shared" si="191"/>
        <v>1.5509768517881106E-2</v>
      </c>
      <c r="AQ125" s="79">
        <v>6470.55</v>
      </c>
      <c r="AR125" s="81">
        <f t="shared" si="192"/>
        <v>2.8561442690200944E-2</v>
      </c>
      <c r="AS125" s="80">
        <f t="shared" si="254"/>
        <v>-0.19200570443972662</v>
      </c>
      <c r="AT125" s="70">
        <f t="shared" si="255"/>
        <v>-1901.0599999999995</v>
      </c>
      <c r="AU125" s="80">
        <f t="shared" si="256"/>
        <v>-0.23763249999999994</v>
      </c>
      <c r="AV125" s="70">
        <f t="shared" si="257"/>
        <v>-1901.0599999999995</v>
      </c>
      <c r="AW125" s="80">
        <f t="shared" si="258"/>
        <v>-0.34647906385780913</v>
      </c>
      <c r="AX125" s="70">
        <f t="shared" si="259"/>
        <v>-3430.5099999999993</v>
      </c>
      <c r="AY125" s="82"/>
      <c r="BA125" s="79">
        <v>96000</v>
      </c>
      <c r="BB125" s="80">
        <f t="shared" si="193"/>
        <v>1.4316709401121034E-2</v>
      </c>
      <c r="BC125" s="79">
        <v>96000</v>
      </c>
      <c r="BD125" s="80">
        <f t="shared" si="194"/>
        <v>1.4316709401121034E-2</v>
      </c>
      <c r="BE125" s="79">
        <v>93943.83</v>
      </c>
      <c r="BF125" s="81">
        <f t="shared" si="195"/>
        <v>2.2220842497302884E-2</v>
      </c>
      <c r="BG125" s="80">
        <f t="shared" si="260"/>
        <v>0</v>
      </c>
      <c r="BH125" s="70">
        <f t="shared" si="261"/>
        <v>0</v>
      </c>
      <c r="BI125" s="80">
        <f t="shared" si="262"/>
        <v>-2.1418437499999981E-2</v>
      </c>
      <c r="BJ125" s="70">
        <f t="shared" si="263"/>
        <v>-2056.1699999999983</v>
      </c>
      <c r="BK125" s="82"/>
    </row>
    <row r="126" spans="2:63" ht="11.95" outlineLevel="1" thickBot="1" x14ac:dyDescent="0.3">
      <c r="E126" s="3"/>
      <c r="F126" s="3"/>
      <c r="G126" s="3"/>
      <c r="H126" s="256" t="s">
        <v>112</v>
      </c>
      <c r="I126" s="18"/>
      <c r="J126" s="18"/>
      <c r="K126" s="18"/>
      <c r="L126" s="78"/>
      <c r="M126" s="79">
        <v>1340.94</v>
      </c>
      <c r="N126" s="80">
        <f t="shared" si="185"/>
        <v>3.2884887004091005E-3</v>
      </c>
      <c r="O126" s="79">
        <v>0</v>
      </c>
      <c r="P126" s="80">
        <f t="shared" si="186"/>
        <v>0</v>
      </c>
      <c r="Q126" s="79">
        <v>0</v>
      </c>
      <c r="R126" s="80">
        <f t="shared" si="187"/>
        <v>0</v>
      </c>
      <c r="S126" s="79">
        <v>0</v>
      </c>
      <c r="T126" s="81">
        <f t="shared" si="188"/>
        <v>0</v>
      </c>
      <c r="U126" s="80">
        <f t="shared" si="93"/>
        <v>-1</v>
      </c>
      <c r="V126" s="70">
        <f t="shared" si="94"/>
        <v>-1340.94</v>
      </c>
      <c r="W126" s="80">
        <f t="shared" si="95"/>
        <v>-1</v>
      </c>
      <c r="X126" s="70">
        <f t="shared" si="96"/>
        <v>-1340.94</v>
      </c>
      <c r="Y126" s="80">
        <f t="shared" si="97"/>
        <v>-1</v>
      </c>
      <c r="Z126" s="70">
        <f t="shared" si="98"/>
        <v>-1340.94</v>
      </c>
      <c r="AA126" s="82"/>
      <c r="AC126" s="138">
        <v>1340.94</v>
      </c>
      <c r="AD126" s="138">
        <v>0</v>
      </c>
      <c r="AE126" s="138">
        <v>0</v>
      </c>
      <c r="AF126" s="233"/>
      <c r="AG126" s="139"/>
      <c r="AH126" s="233"/>
      <c r="AI126" s="139"/>
      <c r="AK126" s="79">
        <v>1340.94</v>
      </c>
      <c r="AL126" s="80">
        <f t="shared" si="189"/>
        <v>3.2884887004091005E-3</v>
      </c>
      <c r="AM126" s="79">
        <v>0</v>
      </c>
      <c r="AN126" s="80">
        <f t="shared" si="190"/>
        <v>0</v>
      </c>
      <c r="AO126" s="79">
        <v>0</v>
      </c>
      <c r="AP126" s="80">
        <f t="shared" si="191"/>
        <v>0</v>
      </c>
      <c r="AQ126" s="79">
        <v>0</v>
      </c>
      <c r="AR126" s="81">
        <f t="shared" si="192"/>
        <v>0</v>
      </c>
      <c r="AS126" s="80">
        <f t="shared" si="103"/>
        <v>-1</v>
      </c>
      <c r="AT126" s="70">
        <f t="shared" si="104"/>
        <v>-1340.94</v>
      </c>
      <c r="AU126" s="80">
        <f t="shared" si="105"/>
        <v>0</v>
      </c>
      <c r="AV126" s="70">
        <f t="shared" si="106"/>
        <v>-1340.94</v>
      </c>
      <c r="AW126" s="80">
        <f t="shared" si="107"/>
        <v>-1</v>
      </c>
      <c r="AX126" s="70">
        <f t="shared" si="108"/>
        <v>-1340.94</v>
      </c>
      <c r="AY126" s="82"/>
      <c r="BA126" s="79">
        <v>0</v>
      </c>
      <c r="BB126" s="80">
        <f t="shared" si="193"/>
        <v>0</v>
      </c>
      <c r="BC126" s="79">
        <v>0</v>
      </c>
      <c r="BD126" s="80">
        <f t="shared" si="194"/>
        <v>0</v>
      </c>
      <c r="BE126" s="79">
        <v>17300.14</v>
      </c>
      <c r="BF126" s="81">
        <f t="shared" si="195"/>
        <v>4.0920589049998225E-3</v>
      </c>
      <c r="BG126" s="80">
        <f t="shared" si="112"/>
        <v>0</v>
      </c>
      <c r="BH126" s="70">
        <f t="shared" si="113"/>
        <v>0</v>
      </c>
      <c r="BI126" s="80">
        <f t="shared" si="114"/>
        <v>0</v>
      </c>
      <c r="BJ126" s="70">
        <f t="shared" si="115"/>
        <v>17300.14</v>
      </c>
      <c r="BK126" s="82"/>
    </row>
    <row r="127" spans="2:63" ht="11.95" hidden="1" outlineLevel="2" thickBot="1" x14ac:dyDescent="0.3">
      <c r="B127" t="str">
        <f>IF(LEFT(H127,3)="Mul", "#hiderow", "#showrow")</f>
        <v>#hiderow</v>
      </c>
      <c r="E127" s="3"/>
      <c r="F127" s="3"/>
      <c r="G127" s="3"/>
      <c r="H127" s="255" t="s">
        <v>6</v>
      </c>
      <c r="I127" s="18"/>
      <c r="J127" s="18"/>
      <c r="K127" s="18"/>
      <c r="L127" s="78"/>
      <c r="M127" s="79"/>
      <c r="N127" s="80">
        <f t="shared" si="185"/>
        <v>0</v>
      </c>
      <c r="O127" s="79"/>
      <c r="P127" s="80">
        <f t="shared" si="186"/>
        <v>0</v>
      </c>
      <c r="Q127" s="79"/>
      <c r="R127" s="80">
        <f t="shared" si="187"/>
        <v>0</v>
      </c>
      <c r="S127" s="79"/>
      <c r="T127" s="81">
        <f t="shared" si="188"/>
        <v>0</v>
      </c>
      <c r="U127" s="80">
        <f t="shared" si="93"/>
        <v>0</v>
      </c>
      <c r="V127" s="70">
        <f t="shared" si="94"/>
        <v>0</v>
      </c>
      <c r="W127" s="80">
        <f t="shared" si="95"/>
        <v>0</v>
      </c>
      <c r="X127" s="70">
        <f t="shared" si="96"/>
        <v>0</v>
      </c>
      <c r="Y127" s="80">
        <f t="shared" si="97"/>
        <v>0</v>
      </c>
      <c r="Z127" s="70">
        <f t="shared" si="98"/>
        <v>0</v>
      </c>
      <c r="AA127" s="82"/>
      <c r="AC127" s="138"/>
      <c r="AD127" s="138"/>
      <c r="AE127" s="138"/>
      <c r="AF127" s="233"/>
      <c r="AG127" s="139"/>
      <c r="AH127" s="233"/>
      <c r="AI127" s="139"/>
      <c r="AK127" s="79"/>
      <c r="AL127" s="80">
        <f t="shared" si="189"/>
        <v>0</v>
      </c>
      <c r="AM127" s="79"/>
      <c r="AN127" s="80">
        <f t="shared" si="190"/>
        <v>0</v>
      </c>
      <c r="AO127" s="79"/>
      <c r="AP127" s="80">
        <f t="shared" si="191"/>
        <v>0</v>
      </c>
      <c r="AQ127" s="79"/>
      <c r="AR127" s="81">
        <f t="shared" si="192"/>
        <v>0</v>
      </c>
      <c r="AS127" s="80">
        <f t="shared" si="103"/>
        <v>0</v>
      </c>
      <c r="AT127" s="70">
        <f t="shared" si="104"/>
        <v>0</v>
      </c>
      <c r="AU127" s="80">
        <f t="shared" si="105"/>
        <v>0</v>
      </c>
      <c r="AV127" s="70">
        <f t="shared" si="106"/>
        <v>0</v>
      </c>
      <c r="AW127" s="80">
        <f t="shared" si="107"/>
        <v>0</v>
      </c>
      <c r="AX127" s="70">
        <f t="shared" si="108"/>
        <v>0</v>
      </c>
      <c r="AY127" s="82"/>
      <c r="BA127" s="79"/>
      <c r="BB127" s="80">
        <f t="shared" si="193"/>
        <v>0</v>
      </c>
      <c r="BC127" s="79"/>
      <c r="BD127" s="80">
        <f t="shared" si="194"/>
        <v>0</v>
      </c>
      <c r="BE127" s="79"/>
      <c r="BF127" s="81">
        <f t="shared" si="195"/>
        <v>0</v>
      </c>
      <c r="BG127" s="80">
        <f t="shared" si="112"/>
        <v>0</v>
      </c>
      <c r="BH127" s="70">
        <f t="shared" si="113"/>
        <v>0</v>
      </c>
      <c r="BI127" s="80">
        <f t="shared" si="114"/>
        <v>0</v>
      </c>
      <c r="BJ127" s="70">
        <f t="shared" si="115"/>
        <v>0</v>
      </c>
      <c r="BK127" s="82"/>
    </row>
    <row r="128" spans="2:63" ht="11.95" outlineLevel="2" thickBot="1" x14ac:dyDescent="0.3">
      <c r="B128" t="str">
        <f t="shared" ref="B128:B130" si="264">IF(LEFT(H128,3)="Mul", "#hiderow", "#showrow")</f>
        <v>#showrow</v>
      </c>
      <c r="E128" s="3"/>
      <c r="F128" s="3"/>
      <c r="G128" s="3"/>
      <c r="H128" s="255" t="s">
        <v>477</v>
      </c>
      <c r="I128" s="18"/>
      <c r="J128" s="18"/>
      <c r="K128" s="18"/>
      <c r="L128" s="78"/>
      <c r="M128" s="79"/>
      <c r="N128" s="80">
        <f t="shared" si="185"/>
        <v>0</v>
      </c>
      <c r="O128" s="79"/>
      <c r="P128" s="80">
        <f t="shared" si="186"/>
        <v>0</v>
      </c>
      <c r="Q128" s="79"/>
      <c r="R128" s="80">
        <f t="shared" si="187"/>
        <v>0</v>
      </c>
      <c r="S128" s="79"/>
      <c r="T128" s="81">
        <f t="shared" si="188"/>
        <v>0</v>
      </c>
      <c r="U128" s="80">
        <f t="shared" ref="U128:U130" si="265">IFERROR(($O128-M128)/ABS(M128),0)</f>
        <v>0</v>
      </c>
      <c r="V128" s="70">
        <f t="shared" ref="V128:V130" si="266">IFERROR((O128-$M128), 0-$M128)</f>
        <v>0</v>
      </c>
      <c r="W128" s="80">
        <f t="shared" ref="W128:W130" si="267">IFERROR((Q128-$M128)/ABS($M128),0)</f>
        <v>0</v>
      </c>
      <c r="X128" s="70">
        <f t="shared" ref="X128:X130" si="268">IFERROR((Q128-$M128), 0 -$M128)</f>
        <v>0</v>
      </c>
      <c r="Y128" s="80">
        <f t="shared" ref="Y128:Y130" si="269">IFERROR((S128-$M128)/ABS($M128),0)</f>
        <v>0</v>
      </c>
      <c r="Z128" s="70">
        <f t="shared" ref="Z128:Z130" si="270">IFERROR((S128-$M128),0-$M128)</f>
        <v>0</v>
      </c>
      <c r="AA128" s="82"/>
      <c r="AC128" s="138">
        <v>0</v>
      </c>
      <c r="AD128" s="138">
        <v>0</v>
      </c>
      <c r="AE128" s="138">
        <v>0</v>
      </c>
      <c r="AF128" s="233"/>
      <c r="AG128" s="139"/>
      <c r="AH128" s="233"/>
      <c r="AI128" s="139"/>
      <c r="AK128" s="79">
        <v>0</v>
      </c>
      <c r="AL128" s="80">
        <f t="shared" si="189"/>
        <v>0</v>
      </c>
      <c r="AM128" s="79">
        <v>0</v>
      </c>
      <c r="AN128" s="80">
        <f t="shared" si="190"/>
        <v>0</v>
      </c>
      <c r="AO128" s="79">
        <v>0</v>
      </c>
      <c r="AP128" s="80">
        <f t="shared" si="191"/>
        <v>0</v>
      </c>
      <c r="AQ128" s="79">
        <v>0</v>
      </c>
      <c r="AR128" s="81">
        <f t="shared" si="192"/>
        <v>0</v>
      </c>
      <c r="AS128" s="80">
        <f t="shared" ref="AS128:AS130" si="271">IFERROR((AM128-$AK128)/ABS($AK128),0)</f>
        <v>0</v>
      </c>
      <c r="AT128" s="70">
        <f t="shared" ref="AT128:AT130" si="272">(AM128-$AK128)</f>
        <v>0</v>
      </c>
      <c r="AU128" s="80">
        <f t="shared" ref="AU128:AU130" si="273">IFERROR((AO128-$AK128)/ABS($AO128),0)</f>
        <v>0</v>
      </c>
      <c r="AV128" s="70">
        <f t="shared" ref="AV128:AV130" si="274">(AO128-$AK128)</f>
        <v>0</v>
      </c>
      <c r="AW128" s="80">
        <f t="shared" ref="AW128:AW130" si="275">IFERROR((AQ128-$AK128)/ABS($AK128),0)</f>
        <v>0</v>
      </c>
      <c r="AX128" s="70">
        <f t="shared" ref="AX128:AX130" si="276">(AQ128-$AK128)</f>
        <v>0</v>
      </c>
      <c r="AY128" s="82"/>
      <c r="BA128" s="79">
        <v>0</v>
      </c>
      <c r="BB128" s="80">
        <f t="shared" si="193"/>
        <v>0</v>
      </c>
      <c r="BC128" s="79">
        <v>0</v>
      </c>
      <c r="BD128" s="80">
        <f t="shared" si="194"/>
        <v>0</v>
      </c>
      <c r="BE128" s="79">
        <v>-10152.44</v>
      </c>
      <c r="BF128" s="81">
        <f t="shared" si="195"/>
        <v>-2.4013899603978002E-3</v>
      </c>
      <c r="BG128" s="80">
        <f t="shared" ref="BG128:BG130" si="277">IFERROR((BC128-$BA128)/ABS($BA128),0)</f>
        <v>0</v>
      </c>
      <c r="BH128" s="70">
        <f t="shared" ref="BH128:BH130" si="278">(BC128-$BA128)</f>
        <v>0</v>
      </c>
      <c r="BI128" s="80">
        <f t="shared" ref="BI128:BI130" si="279">IFERROR((BE128-$BA128)/ABS($BA128),0)</f>
        <v>0</v>
      </c>
      <c r="BJ128" s="70">
        <f t="shared" ref="BJ128:BJ130" si="280">(BE128-$BA128)</f>
        <v>-10152.44</v>
      </c>
      <c r="BK128" s="82"/>
    </row>
    <row r="129" spans="2:63" ht="11.95" outlineLevel="2" thickBot="1" x14ac:dyDescent="0.3">
      <c r="B129" t="str">
        <f t="shared" si="264"/>
        <v>#showrow</v>
      </c>
      <c r="E129" s="3"/>
      <c r="F129" s="3"/>
      <c r="G129" s="3"/>
      <c r="H129" s="255" t="s">
        <v>141</v>
      </c>
      <c r="I129" s="18"/>
      <c r="J129" s="18"/>
      <c r="K129" s="18"/>
      <c r="L129" s="78"/>
      <c r="M129" s="79">
        <v>1340.94</v>
      </c>
      <c r="N129" s="80">
        <f t="shared" si="185"/>
        <v>3.2884887004091005E-3</v>
      </c>
      <c r="O129" s="79"/>
      <c r="P129" s="80">
        <f t="shared" si="186"/>
        <v>0</v>
      </c>
      <c r="Q129" s="79"/>
      <c r="R129" s="80">
        <f t="shared" si="187"/>
        <v>0</v>
      </c>
      <c r="S129" s="79"/>
      <c r="T129" s="81">
        <f t="shared" si="188"/>
        <v>0</v>
      </c>
      <c r="U129" s="80">
        <f t="shared" si="265"/>
        <v>-1</v>
      </c>
      <c r="V129" s="70">
        <f t="shared" si="266"/>
        <v>-1340.94</v>
      </c>
      <c r="W129" s="80">
        <f t="shared" si="267"/>
        <v>-1</v>
      </c>
      <c r="X129" s="70">
        <f t="shared" si="268"/>
        <v>-1340.94</v>
      </c>
      <c r="Y129" s="80">
        <f t="shared" si="269"/>
        <v>-1</v>
      </c>
      <c r="Z129" s="70">
        <f t="shared" si="270"/>
        <v>-1340.94</v>
      </c>
      <c r="AA129" s="82"/>
      <c r="AC129" s="138">
        <v>1340.94</v>
      </c>
      <c r="AD129" s="138">
        <v>0</v>
      </c>
      <c r="AE129" s="138">
        <v>0</v>
      </c>
      <c r="AF129" s="233"/>
      <c r="AG129" s="139"/>
      <c r="AH129" s="233"/>
      <c r="AI129" s="139"/>
      <c r="AK129" s="79">
        <v>1340.94</v>
      </c>
      <c r="AL129" s="80">
        <f t="shared" si="189"/>
        <v>3.2884887004091005E-3</v>
      </c>
      <c r="AM129" s="79">
        <v>0</v>
      </c>
      <c r="AN129" s="80">
        <f t="shared" si="190"/>
        <v>0</v>
      </c>
      <c r="AO129" s="79">
        <v>0</v>
      </c>
      <c r="AP129" s="80">
        <f t="shared" si="191"/>
        <v>0</v>
      </c>
      <c r="AQ129" s="79">
        <v>0</v>
      </c>
      <c r="AR129" s="81">
        <f t="shared" si="192"/>
        <v>0</v>
      </c>
      <c r="AS129" s="80">
        <f t="shared" si="271"/>
        <v>-1</v>
      </c>
      <c r="AT129" s="70">
        <f t="shared" si="272"/>
        <v>-1340.94</v>
      </c>
      <c r="AU129" s="80">
        <f t="shared" si="273"/>
        <v>0</v>
      </c>
      <c r="AV129" s="70">
        <f t="shared" si="274"/>
        <v>-1340.94</v>
      </c>
      <c r="AW129" s="80">
        <f t="shared" si="275"/>
        <v>-1</v>
      </c>
      <c r="AX129" s="70">
        <f t="shared" si="276"/>
        <v>-1340.94</v>
      </c>
      <c r="AY129" s="82"/>
      <c r="BA129" s="79">
        <v>0</v>
      </c>
      <c r="BB129" s="80">
        <f t="shared" si="193"/>
        <v>0</v>
      </c>
      <c r="BC129" s="79">
        <v>0</v>
      </c>
      <c r="BD129" s="80">
        <f t="shared" si="194"/>
        <v>0</v>
      </c>
      <c r="BE129" s="79">
        <v>28877.919999999998</v>
      </c>
      <c r="BF129" s="81">
        <f t="shared" si="195"/>
        <v>6.8305892145307766E-3</v>
      </c>
      <c r="BG129" s="80">
        <f t="shared" si="277"/>
        <v>0</v>
      </c>
      <c r="BH129" s="70">
        <f t="shared" si="278"/>
        <v>0</v>
      </c>
      <c r="BI129" s="80">
        <f t="shared" si="279"/>
        <v>0</v>
      </c>
      <c r="BJ129" s="70">
        <f t="shared" si="280"/>
        <v>28877.919999999998</v>
      </c>
      <c r="BK129" s="82"/>
    </row>
    <row r="130" spans="2:63" ht="11.95" outlineLevel="2" thickBot="1" x14ac:dyDescent="0.3">
      <c r="B130" t="str">
        <f t="shared" si="264"/>
        <v>#showrow</v>
      </c>
      <c r="E130" s="3"/>
      <c r="F130" s="3"/>
      <c r="G130" s="3"/>
      <c r="H130" s="255" t="s">
        <v>478</v>
      </c>
      <c r="I130" s="18"/>
      <c r="J130" s="18"/>
      <c r="K130" s="18"/>
      <c r="L130" s="78"/>
      <c r="M130" s="79"/>
      <c r="N130" s="80">
        <f t="shared" ref="N130:N161" si="281">IFERROR(M130/SUMIFS(M:M, $H:$H, "Net Sales"),0)</f>
        <v>0</v>
      </c>
      <c r="O130" s="79"/>
      <c r="P130" s="80">
        <f t="shared" ref="P130:P161" si="282">IFERROR(O130/SUMIFS(O:O, $H:$H, "Net Sales"),0)</f>
        <v>0</v>
      </c>
      <c r="Q130" s="79"/>
      <c r="R130" s="80">
        <f t="shared" ref="R130:R161" si="283">IFERROR(Q130/SUMIFS(Q:Q, $H:$H, "Net Sales"),0)</f>
        <v>0</v>
      </c>
      <c r="S130" s="79"/>
      <c r="T130" s="81">
        <f t="shared" ref="T130:T161" si="284">IFERROR(S130/SUMIFS(S:S, $H:$H, "Net Sales"),0)</f>
        <v>0</v>
      </c>
      <c r="U130" s="80">
        <f t="shared" si="265"/>
        <v>0</v>
      </c>
      <c r="V130" s="70">
        <f t="shared" si="266"/>
        <v>0</v>
      </c>
      <c r="W130" s="80">
        <f t="shared" si="267"/>
        <v>0</v>
      </c>
      <c r="X130" s="70">
        <f t="shared" si="268"/>
        <v>0</v>
      </c>
      <c r="Y130" s="80">
        <f t="shared" si="269"/>
        <v>0</v>
      </c>
      <c r="Z130" s="70">
        <f t="shared" si="270"/>
        <v>0</v>
      </c>
      <c r="AA130" s="82"/>
      <c r="AC130" s="138">
        <v>0</v>
      </c>
      <c r="AD130" s="138">
        <v>0</v>
      </c>
      <c r="AE130" s="138">
        <v>0</v>
      </c>
      <c r="AF130" s="233"/>
      <c r="AG130" s="139"/>
      <c r="AH130" s="233"/>
      <c r="AI130" s="139"/>
      <c r="AK130" s="79">
        <v>0</v>
      </c>
      <c r="AL130" s="80">
        <f t="shared" ref="AL130:AL161" si="285">IFERROR(AK130/SUMIFS(AK:AK, $H:$H, "Net Sales"),0)</f>
        <v>0</v>
      </c>
      <c r="AM130" s="79">
        <v>0</v>
      </c>
      <c r="AN130" s="80">
        <f t="shared" ref="AN130:AN161" si="286">IFERROR(AM130/SUMIFS(AM:AM, $H:$H, "Net Sales"),0)</f>
        <v>0</v>
      </c>
      <c r="AO130" s="79">
        <v>0</v>
      </c>
      <c r="AP130" s="80">
        <f t="shared" ref="AP130:AP161" si="287">IFERROR(AO130/SUMIFS(AO:AO, $H:$H, "Net Sales"),0)</f>
        <v>0</v>
      </c>
      <c r="AQ130" s="79">
        <v>0</v>
      </c>
      <c r="AR130" s="81">
        <f t="shared" ref="AR130:AR161" si="288">IFERROR(AQ130/SUMIFS(AQ:AQ, $H:$H, "Net Sales"),0)</f>
        <v>0</v>
      </c>
      <c r="AS130" s="80">
        <f t="shared" si="271"/>
        <v>0</v>
      </c>
      <c r="AT130" s="70">
        <f t="shared" si="272"/>
        <v>0</v>
      </c>
      <c r="AU130" s="80">
        <f t="shared" si="273"/>
        <v>0</v>
      </c>
      <c r="AV130" s="70">
        <f t="shared" si="274"/>
        <v>0</v>
      </c>
      <c r="AW130" s="80">
        <f t="shared" si="275"/>
        <v>0</v>
      </c>
      <c r="AX130" s="70">
        <f t="shared" si="276"/>
        <v>0</v>
      </c>
      <c r="AY130" s="82"/>
      <c r="BA130" s="79">
        <v>0</v>
      </c>
      <c r="BB130" s="80">
        <f t="shared" ref="BB130:BB161" si="289">IFERROR(BA130/SUMIFS(BA:BA, $H:$H, "Net Sales"),0)</f>
        <v>0</v>
      </c>
      <c r="BC130" s="79">
        <v>0</v>
      </c>
      <c r="BD130" s="80">
        <f t="shared" ref="BD130:BD161" si="290">IFERROR(BC130/SUMIFS(BC:BC, $H:$H, "Net Sales"),0)</f>
        <v>0</v>
      </c>
      <c r="BE130" s="79">
        <v>-1425.34</v>
      </c>
      <c r="BF130" s="81">
        <f t="shared" ref="BF130:BF161" si="291">IFERROR(BE130/SUMIFS(BE:BE, $H:$H, "Net Sales"),0)</f>
        <v>-3.3714034913315423E-4</v>
      </c>
      <c r="BG130" s="80">
        <f t="shared" si="277"/>
        <v>0</v>
      </c>
      <c r="BH130" s="70">
        <f t="shared" si="278"/>
        <v>0</v>
      </c>
      <c r="BI130" s="80">
        <f t="shared" si="279"/>
        <v>0</v>
      </c>
      <c r="BJ130" s="70">
        <f t="shared" si="280"/>
        <v>-1425.34</v>
      </c>
      <c r="BK130" s="82"/>
    </row>
    <row r="131" spans="2:63" ht="11.95" outlineLevel="1" thickBot="1" x14ac:dyDescent="0.3">
      <c r="E131" s="3"/>
      <c r="F131" s="3"/>
      <c r="G131" s="3"/>
      <c r="H131" s="256" t="s">
        <v>113</v>
      </c>
      <c r="I131" s="18"/>
      <c r="J131" s="18"/>
      <c r="K131" s="18"/>
      <c r="L131" s="78"/>
      <c r="M131" s="79">
        <v>3189.06</v>
      </c>
      <c r="N131" s="80">
        <f t="shared" si="281"/>
        <v>7.8207733194077637E-3</v>
      </c>
      <c r="O131" s="79">
        <v>0</v>
      </c>
      <c r="P131" s="80">
        <f t="shared" si="282"/>
        <v>0</v>
      </c>
      <c r="Q131" s="79">
        <v>0</v>
      </c>
      <c r="R131" s="80">
        <f t="shared" si="283"/>
        <v>0</v>
      </c>
      <c r="S131" s="79">
        <v>0</v>
      </c>
      <c r="T131" s="81">
        <f t="shared" si="284"/>
        <v>0</v>
      </c>
      <c r="U131" s="80">
        <f t="shared" si="93"/>
        <v>-1</v>
      </c>
      <c r="V131" s="70">
        <f t="shared" si="94"/>
        <v>-3189.06</v>
      </c>
      <c r="W131" s="80">
        <f t="shared" si="95"/>
        <v>-1</v>
      </c>
      <c r="X131" s="70">
        <f t="shared" si="96"/>
        <v>-3189.06</v>
      </c>
      <c r="Y131" s="80">
        <f t="shared" si="97"/>
        <v>-1</v>
      </c>
      <c r="Z131" s="70">
        <f t="shared" si="98"/>
        <v>-3189.06</v>
      </c>
      <c r="AA131" s="82"/>
      <c r="AC131" s="138">
        <v>3189.06</v>
      </c>
      <c r="AD131" s="138">
        <v>0</v>
      </c>
      <c r="AE131" s="138">
        <v>0</v>
      </c>
      <c r="AF131" s="233"/>
      <c r="AG131" s="139"/>
      <c r="AH131" s="233"/>
      <c r="AI131" s="139"/>
      <c r="AK131" s="79">
        <v>3189.06</v>
      </c>
      <c r="AL131" s="80">
        <f t="shared" si="285"/>
        <v>7.8207733194077637E-3</v>
      </c>
      <c r="AM131" s="79">
        <v>0</v>
      </c>
      <c r="AN131" s="80">
        <f t="shared" si="286"/>
        <v>0</v>
      </c>
      <c r="AO131" s="79">
        <v>0</v>
      </c>
      <c r="AP131" s="80">
        <f t="shared" si="287"/>
        <v>0</v>
      </c>
      <c r="AQ131" s="79">
        <v>0</v>
      </c>
      <c r="AR131" s="81">
        <f t="shared" si="288"/>
        <v>0</v>
      </c>
      <c r="AS131" s="80">
        <f t="shared" si="103"/>
        <v>-1</v>
      </c>
      <c r="AT131" s="70">
        <f t="shared" si="104"/>
        <v>-3189.06</v>
      </c>
      <c r="AU131" s="80">
        <f t="shared" si="105"/>
        <v>0</v>
      </c>
      <c r="AV131" s="70">
        <f t="shared" si="106"/>
        <v>-3189.06</v>
      </c>
      <c r="AW131" s="80">
        <f t="shared" si="107"/>
        <v>-1</v>
      </c>
      <c r="AX131" s="70">
        <f t="shared" si="108"/>
        <v>-3189.06</v>
      </c>
      <c r="AY131" s="82"/>
      <c r="BA131" s="79">
        <v>0</v>
      </c>
      <c r="BB131" s="80">
        <f t="shared" si="289"/>
        <v>0</v>
      </c>
      <c r="BC131" s="79">
        <v>0</v>
      </c>
      <c r="BD131" s="80">
        <f t="shared" si="290"/>
        <v>0</v>
      </c>
      <c r="BE131" s="79">
        <v>33494.26</v>
      </c>
      <c r="BF131" s="81">
        <f t="shared" si="291"/>
        <v>7.9225072686914307E-3</v>
      </c>
      <c r="BG131" s="80">
        <f t="shared" si="112"/>
        <v>0</v>
      </c>
      <c r="BH131" s="70">
        <f t="shared" si="113"/>
        <v>0</v>
      </c>
      <c r="BI131" s="80">
        <f t="shared" si="114"/>
        <v>0</v>
      </c>
      <c r="BJ131" s="70">
        <f t="shared" si="115"/>
        <v>33494.26</v>
      </c>
      <c r="BK131" s="82"/>
    </row>
    <row r="132" spans="2:63" ht="11.95" hidden="1" outlineLevel="2" thickBot="1" x14ac:dyDescent="0.3">
      <c r="B132" t="str">
        <f>IF(LEFT(H132,3)="Mul", "#hiderow", "#showrow")</f>
        <v>#hiderow</v>
      </c>
      <c r="E132" s="3"/>
      <c r="F132" s="3"/>
      <c r="G132" s="3"/>
      <c r="H132" s="255" t="s">
        <v>6</v>
      </c>
      <c r="I132" s="18"/>
      <c r="J132" s="18"/>
      <c r="K132" s="18"/>
      <c r="L132" s="78"/>
      <c r="M132" s="79"/>
      <c r="N132" s="80">
        <f t="shared" si="281"/>
        <v>0</v>
      </c>
      <c r="O132" s="79"/>
      <c r="P132" s="80">
        <f t="shared" si="282"/>
        <v>0</v>
      </c>
      <c r="Q132" s="79"/>
      <c r="R132" s="80">
        <f t="shared" si="283"/>
        <v>0</v>
      </c>
      <c r="S132" s="79"/>
      <c r="T132" s="81">
        <f t="shared" si="284"/>
        <v>0</v>
      </c>
      <c r="U132" s="80">
        <f t="shared" si="93"/>
        <v>0</v>
      </c>
      <c r="V132" s="70">
        <f t="shared" si="94"/>
        <v>0</v>
      </c>
      <c r="W132" s="80">
        <f t="shared" si="95"/>
        <v>0</v>
      </c>
      <c r="X132" s="70">
        <f t="shared" si="96"/>
        <v>0</v>
      </c>
      <c r="Y132" s="80">
        <f t="shared" si="97"/>
        <v>0</v>
      </c>
      <c r="Z132" s="70">
        <f t="shared" si="98"/>
        <v>0</v>
      </c>
      <c r="AA132" s="82"/>
      <c r="AC132" s="138"/>
      <c r="AD132" s="138"/>
      <c r="AE132" s="138"/>
      <c r="AF132" s="233"/>
      <c r="AG132" s="139"/>
      <c r="AH132" s="233"/>
      <c r="AI132" s="139"/>
      <c r="AK132" s="79"/>
      <c r="AL132" s="80">
        <f t="shared" si="285"/>
        <v>0</v>
      </c>
      <c r="AM132" s="79"/>
      <c r="AN132" s="80">
        <f t="shared" si="286"/>
        <v>0</v>
      </c>
      <c r="AO132" s="79"/>
      <c r="AP132" s="80">
        <f t="shared" si="287"/>
        <v>0</v>
      </c>
      <c r="AQ132" s="79"/>
      <c r="AR132" s="81">
        <f t="shared" si="288"/>
        <v>0</v>
      </c>
      <c r="AS132" s="80">
        <f t="shared" si="103"/>
        <v>0</v>
      </c>
      <c r="AT132" s="70">
        <f t="shared" si="104"/>
        <v>0</v>
      </c>
      <c r="AU132" s="80">
        <f t="shared" si="105"/>
        <v>0</v>
      </c>
      <c r="AV132" s="70">
        <f t="shared" si="106"/>
        <v>0</v>
      </c>
      <c r="AW132" s="80">
        <f t="shared" si="107"/>
        <v>0</v>
      </c>
      <c r="AX132" s="70">
        <f t="shared" si="108"/>
        <v>0</v>
      </c>
      <c r="AY132" s="82"/>
      <c r="BA132" s="79"/>
      <c r="BB132" s="80">
        <f t="shared" si="289"/>
        <v>0</v>
      </c>
      <c r="BC132" s="79"/>
      <c r="BD132" s="80">
        <f t="shared" si="290"/>
        <v>0</v>
      </c>
      <c r="BE132" s="79"/>
      <c r="BF132" s="81">
        <f t="shared" si="291"/>
        <v>0</v>
      </c>
      <c r="BG132" s="80">
        <f t="shared" si="112"/>
        <v>0</v>
      </c>
      <c r="BH132" s="70">
        <f t="shared" si="113"/>
        <v>0</v>
      </c>
      <c r="BI132" s="80">
        <f t="shared" si="114"/>
        <v>0</v>
      </c>
      <c r="BJ132" s="70">
        <f t="shared" si="115"/>
        <v>0</v>
      </c>
      <c r="BK132" s="82"/>
    </row>
    <row r="133" spans="2:63" ht="11.95" outlineLevel="2" thickBot="1" x14ac:dyDescent="0.3">
      <c r="B133" t="str">
        <f>IF(LEFT(H133,3)="Mul", "#hiderow", "#showrow")</f>
        <v>#showrow</v>
      </c>
      <c r="E133" s="3"/>
      <c r="F133" s="3"/>
      <c r="G133" s="3"/>
      <c r="H133" s="255" t="s">
        <v>180</v>
      </c>
      <c r="I133" s="18"/>
      <c r="J133" s="18"/>
      <c r="K133" s="18"/>
      <c r="L133" s="78"/>
      <c r="M133" s="79">
        <v>3189.06</v>
      </c>
      <c r="N133" s="80">
        <f t="shared" si="281"/>
        <v>7.8207733194077637E-3</v>
      </c>
      <c r="O133" s="79"/>
      <c r="P133" s="80">
        <f t="shared" si="282"/>
        <v>0</v>
      </c>
      <c r="Q133" s="79"/>
      <c r="R133" s="80">
        <f t="shared" si="283"/>
        <v>0</v>
      </c>
      <c r="S133" s="79"/>
      <c r="T133" s="81">
        <f t="shared" si="284"/>
        <v>0</v>
      </c>
      <c r="U133" s="80">
        <f t="shared" ref="U133" si="292">IFERROR(($O133-M133)/ABS(M133),0)</f>
        <v>-1</v>
      </c>
      <c r="V133" s="70">
        <f t="shared" ref="V133" si="293">IFERROR((O133-$M133), 0-$M133)</f>
        <v>-3189.06</v>
      </c>
      <c r="W133" s="80">
        <f t="shared" ref="W133" si="294">IFERROR((Q133-$M133)/ABS($M133),0)</f>
        <v>-1</v>
      </c>
      <c r="X133" s="70">
        <f t="shared" ref="X133" si="295">IFERROR((Q133-$M133), 0 -$M133)</f>
        <v>-3189.06</v>
      </c>
      <c r="Y133" s="80">
        <f t="shared" ref="Y133" si="296">IFERROR((S133-$M133)/ABS($M133),0)</f>
        <v>-1</v>
      </c>
      <c r="Z133" s="70">
        <f t="shared" ref="Z133" si="297">IFERROR((S133-$M133),0-$M133)</f>
        <v>-3189.06</v>
      </c>
      <c r="AA133" s="82"/>
      <c r="AC133" s="138">
        <v>3189.06</v>
      </c>
      <c r="AD133" s="138">
        <v>0</v>
      </c>
      <c r="AE133" s="138">
        <v>0</v>
      </c>
      <c r="AF133" s="233"/>
      <c r="AG133" s="139"/>
      <c r="AH133" s="233"/>
      <c r="AI133" s="139"/>
      <c r="AK133" s="79">
        <v>3189.06</v>
      </c>
      <c r="AL133" s="80">
        <f t="shared" si="285"/>
        <v>7.8207733194077637E-3</v>
      </c>
      <c r="AM133" s="79">
        <v>0</v>
      </c>
      <c r="AN133" s="80">
        <f t="shared" si="286"/>
        <v>0</v>
      </c>
      <c r="AO133" s="79">
        <v>0</v>
      </c>
      <c r="AP133" s="80">
        <f t="shared" si="287"/>
        <v>0</v>
      </c>
      <c r="AQ133" s="79">
        <v>0</v>
      </c>
      <c r="AR133" s="81">
        <f t="shared" si="288"/>
        <v>0</v>
      </c>
      <c r="AS133" s="80">
        <f t="shared" ref="AS133" si="298">IFERROR((AM133-$AK133)/ABS($AK133),0)</f>
        <v>-1</v>
      </c>
      <c r="AT133" s="70">
        <f t="shared" ref="AT133" si="299">(AM133-$AK133)</f>
        <v>-3189.06</v>
      </c>
      <c r="AU133" s="80">
        <f t="shared" ref="AU133" si="300">IFERROR((AO133-$AK133)/ABS($AO133),0)</f>
        <v>0</v>
      </c>
      <c r="AV133" s="70">
        <f t="shared" ref="AV133" si="301">(AO133-$AK133)</f>
        <v>-3189.06</v>
      </c>
      <c r="AW133" s="80">
        <f t="shared" ref="AW133" si="302">IFERROR((AQ133-$AK133)/ABS($AK133),0)</f>
        <v>-1</v>
      </c>
      <c r="AX133" s="70">
        <f t="shared" ref="AX133" si="303">(AQ133-$AK133)</f>
        <v>-3189.06</v>
      </c>
      <c r="AY133" s="82"/>
      <c r="BA133" s="79">
        <v>0</v>
      </c>
      <c r="BB133" s="80">
        <f t="shared" si="289"/>
        <v>0</v>
      </c>
      <c r="BC133" s="79">
        <v>0</v>
      </c>
      <c r="BD133" s="80">
        <f t="shared" si="290"/>
        <v>0</v>
      </c>
      <c r="BE133" s="79">
        <v>33494.26</v>
      </c>
      <c r="BF133" s="81">
        <f t="shared" si="291"/>
        <v>7.9225072686914307E-3</v>
      </c>
      <c r="BG133" s="80">
        <f t="shared" ref="BG133" si="304">IFERROR((BC133-$BA133)/ABS($BA133),0)</f>
        <v>0</v>
      </c>
      <c r="BH133" s="70">
        <f t="shared" ref="BH133" si="305">(BC133-$BA133)</f>
        <v>0</v>
      </c>
      <c r="BI133" s="80">
        <f t="shared" ref="BI133" si="306">IFERROR((BE133-$BA133)/ABS($BA133),0)</f>
        <v>0</v>
      </c>
      <c r="BJ133" s="70">
        <f t="shared" ref="BJ133" si="307">(BE133-$BA133)</f>
        <v>33494.26</v>
      </c>
      <c r="BK133" s="82"/>
    </row>
    <row r="134" spans="2:63" ht="11.95" outlineLevel="1" collapsed="1" thickBot="1" x14ac:dyDescent="0.3">
      <c r="E134" s="3"/>
      <c r="F134" s="3"/>
      <c r="G134" s="3"/>
      <c r="H134" s="256" t="s">
        <v>114</v>
      </c>
      <c r="I134" s="18"/>
      <c r="J134" s="18"/>
      <c r="K134" s="18"/>
      <c r="L134" s="78"/>
      <c r="M134" s="79">
        <v>0</v>
      </c>
      <c r="N134" s="80">
        <f t="shared" si="281"/>
        <v>0</v>
      </c>
      <c r="O134" s="79">
        <v>0</v>
      </c>
      <c r="P134" s="80">
        <f t="shared" si="282"/>
        <v>0</v>
      </c>
      <c r="Q134" s="79">
        <v>0</v>
      </c>
      <c r="R134" s="80">
        <f t="shared" si="283"/>
        <v>0</v>
      </c>
      <c r="S134" s="79">
        <v>0</v>
      </c>
      <c r="T134" s="81">
        <f t="shared" si="284"/>
        <v>0</v>
      </c>
      <c r="U134" s="80">
        <f t="shared" si="93"/>
        <v>0</v>
      </c>
      <c r="V134" s="70">
        <f t="shared" si="94"/>
        <v>0</v>
      </c>
      <c r="W134" s="80">
        <f t="shared" si="95"/>
        <v>0</v>
      </c>
      <c r="X134" s="70">
        <f t="shared" si="96"/>
        <v>0</v>
      </c>
      <c r="Y134" s="80">
        <f t="shared" si="97"/>
        <v>0</v>
      </c>
      <c r="Z134" s="70">
        <f t="shared" si="98"/>
        <v>0</v>
      </c>
      <c r="AA134" s="82"/>
      <c r="AC134" s="138">
        <v>0</v>
      </c>
      <c r="AD134" s="138">
        <v>0</v>
      </c>
      <c r="AE134" s="138">
        <v>0</v>
      </c>
      <c r="AF134" s="233"/>
      <c r="AG134" s="139"/>
      <c r="AH134" s="233"/>
      <c r="AI134" s="139"/>
      <c r="AK134" s="79">
        <v>0</v>
      </c>
      <c r="AL134" s="80">
        <f t="shared" si="285"/>
        <v>0</v>
      </c>
      <c r="AM134" s="79">
        <v>0</v>
      </c>
      <c r="AN134" s="80">
        <f t="shared" si="286"/>
        <v>0</v>
      </c>
      <c r="AO134" s="79">
        <v>0</v>
      </c>
      <c r="AP134" s="80">
        <f t="shared" si="287"/>
        <v>0</v>
      </c>
      <c r="AQ134" s="79">
        <v>0</v>
      </c>
      <c r="AR134" s="81">
        <f t="shared" si="288"/>
        <v>0</v>
      </c>
      <c r="AS134" s="80">
        <f t="shared" si="103"/>
        <v>0</v>
      </c>
      <c r="AT134" s="70">
        <f t="shared" si="104"/>
        <v>0</v>
      </c>
      <c r="AU134" s="80">
        <f t="shared" si="105"/>
        <v>0</v>
      </c>
      <c r="AV134" s="70">
        <f t="shared" si="106"/>
        <v>0</v>
      </c>
      <c r="AW134" s="80">
        <f t="shared" si="107"/>
        <v>0</v>
      </c>
      <c r="AX134" s="70">
        <f t="shared" si="108"/>
        <v>0</v>
      </c>
      <c r="AY134" s="82"/>
      <c r="BA134" s="79">
        <v>0</v>
      </c>
      <c r="BB134" s="80">
        <f t="shared" si="289"/>
        <v>0</v>
      </c>
      <c r="BC134" s="79">
        <v>0</v>
      </c>
      <c r="BD134" s="80">
        <f t="shared" si="290"/>
        <v>0</v>
      </c>
      <c r="BE134" s="79">
        <v>0</v>
      </c>
      <c r="BF134" s="81">
        <f t="shared" si="291"/>
        <v>0</v>
      </c>
      <c r="BG134" s="80">
        <f t="shared" si="112"/>
        <v>0</v>
      </c>
      <c r="BH134" s="70">
        <f t="shared" si="113"/>
        <v>0</v>
      </c>
      <c r="BI134" s="80">
        <f t="shared" si="114"/>
        <v>0</v>
      </c>
      <c r="BJ134" s="70">
        <f t="shared" si="115"/>
        <v>0</v>
      </c>
      <c r="BK134" s="82"/>
    </row>
    <row r="135" spans="2:63" ht="11.95" hidden="1" outlineLevel="2" thickBot="1" x14ac:dyDescent="0.3">
      <c r="B135" t="str">
        <f>IF(LEFT(H135,3)="Mul", "#hiderow", "#showrow")</f>
        <v>#hiderow</v>
      </c>
      <c r="E135" s="3"/>
      <c r="F135" s="3"/>
      <c r="G135" s="3"/>
      <c r="H135" s="255" t="s">
        <v>6</v>
      </c>
      <c r="I135" s="18"/>
      <c r="J135" s="18"/>
      <c r="K135" s="18"/>
      <c r="L135" s="78"/>
      <c r="M135" s="79"/>
      <c r="N135" s="80">
        <f t="shared" si="281"/>
        <v>0</v>
      </c>
      <c r="O135" s="79"/>
      <c r="P135" s="80">
        <f t="shared" si="282"/>
        <v>0</v>
      </c>
      <c r="Q135" s="79"/>
      <c r="R135" s="80">
        <f t="shared" si="283"/>
        <v>0</v>
      </c>
      <c r="S135" s="79"/>
      <c r="T135" s="81">
        <f t="shared" si="284"/>
        <v>0</v>
      </c>
      <c r="U135" s="80">
        <f t="shared" si="93"/>
        <v>0</v>
      </c>
      <c r="V135" s="70">
        <f t="shared" si="94"/>
        <v>0</v>
      </c>
      <c r="W135" s="80">
        <f t="shared" si="95"/>
        <v>0</v>
      </c>
      <c r="X135" s="70">
        <f t="shared" si="96"/>
        <v>0</v>
      </c>
      <c r="Y135" s="80">
        <f t="shared" si="97"/>
        <v>0</v>
      </c>
      <c r="Z135" s="70">
        <f t="shared" si="98"/>
        <v>0</v>
      </c>
      <c r="AA135" s="82"/>
      <c r="AC135" s="138"/>
      <c r="AD135" s="138"/>
      <c r="AE135" s="138"/>
      <c r="AF135" s="233"/>
      <c r="AG135" s="139"/>
      <c r="AH135" s="233"/>
      <c r="AI135" s="139"/>
      <c r="AK135" s="79"/>
      <c r="AL135" s="80">
        <f t="shared" si="285"/>
        <v>0</v>
      </c>
      <c r="AM135" s="79"/>
      <c r="AN135" s="80">
        <f t="shared" si="286"/>
        <v>0</v>
      </c>
      <c r="AO135" s="79"/>
      <c r="AP135" s="80">
        <f t="shared" si="287"/>
        <v>0</v>
      </c>
      <c r="AQ135" s="79"/>
      <c r="AR135" s="81">
        <f t="shared" si="288"/>
        <v>0</v>
      </c>
      <c r="AS135" s="80">
        <f t="shared" si="103"/>
        <v>0</v>
      </c>
      <c r="AT135" s="70">
        <f t="shared" si="104"/>
        <v>0</v>
      </c>
      <c r="AU135" s="80">
        <f t="shared" si="105"/>
        <v>0</v>
      </c>
      <c r="AV135" s="70">
        <f t="shared" si="106"/>
        <v>0</v>
      </c>
      <c r="AW135" s="80">
        <f t="shared" si="107"/>
        <v>0</v>
      </c>
      <c r="AX135" s="70">
        <f t="shared" si="108"/>
        <v>0</v>
      </c>
      <c r="AY135" s="82"/>
      <c r="BA135" s="79"/>
      <c r="BB135" s="80">
        <f t="shared" si="289"/>
        <v>0</v>
      </c>
      <c r="BC135" s="79"/>
      <c r="BD135" s="80">
        <f t="shared" si="290"/>
        <v>0</v>
      </c>
      <c r="BE135" s="79"/>
      <c r="BF135" s="81">
        <f t="shared" si="291"/>
        <v>0</v>
      </c>
      <c r="BG135" s="80">
        <f t="shared" si="112"/>
        <v>0</v>
      </c>
      <c r="BH135" s="70">
        <f t="shared" si="113"/>
        <v>0</v>
      </c>
      <c r="BI135" s="80">
        <f t="shared" si="114"/>
        <v>0</v>
      </c>
      <c r="BJ135" s="70">
        <f t="shared" si="115"/>
        <v>0</v>
      </c>
      <c r="BK135" s="82"/>
    </row>
    <row r="136" spans="2:63" ht="11.95" x14ac:dyDescent="0.25">
      <c r="B136" t="str">
        <f>B65</f>
        <v>#showrow</v>
      </c>
      <c r="E136" s="19"/>
      <c r="F136" s="19"/>
      <c r="G136" s="19"/>
      <c r="H136" s="19" t="s">
        <v>81</v>
      </c>
      <c r="I136" s="85"/>
      <c r="J136" s="85"/>
      <c r="K136" s="85"/>
      <c r="L136" s="144">
        <v>-1</v>
      </c>
      <c r="M136" s="85">
        <f>SUMIFS(M66:M135,$I66:$I135,"&lt;&gt;"&amp;$I$29,$E66:$E135,"&lt;&gt;*[-]*",$F66:$F135,"&lt;&gt;*[-]*",$G66:$G135,"&lt;&gt;*[-]*", $H66:$H135, "Operating Expenses")</f>
        <v>0</v>
      </c>
      <c r="N136" s="86">
        <f t="shared" si="281"/>
        <v>0</v>
      </c>
      <c r="O136" s="85">
        <f>SUMIFS(O66:O135,$I66:$I135,"&lt;&gt;"&amp;$I$29,$E66:$E135,"&lt;&gt;*[-]*",$F66:$F135,"&lt;&gt;*[-]*",$G66:$G135,"&lt;&gt;*[-]*", $H66:$H135, "Operating Expenses")</f>
        <v>1.5E-10</v>
      </c>
      <c r="P136" s="86">
        <f t="shared" si="282"/>
        <v>2.9080815971027074E-16</v>
      </c>
      <c r="Q136" s="85">
        <f>SUMIFS(Q66:Q135,$I66:$I135,"&lt;&gt;"&amp;$I$29,$E66:$E135,"&lt;&gt;*[-]*",$F66:$F135,"&lt;&gt;*[-]*",$G66:$G135,"&lt;&gt;*[-]*", $H66:$H135, "Operating Expenses")</f>
        <v>1.5E-10</v>
      </c>
      <c r="R136" s="86">
        <f t="shared" si="283"/>
        <v>2.9080815971027074E-16</v>
      </c>
      <c r="S136" s="85">
        <f>SUMIFS(S66:S135,$I66:$I135,"&lt;&gt;"&amp;$I$29,$E66:$E135,"&lt;&gt;*[-]*",$F66:$F135,"&lt;&gt;*[-]*",$G66:$G135,"&lt;&gt;*[-]*", $H66:$H135, "Operating Expenses")</f>
        <v>-8173.07</v>
      </c>
      <c r="T136" s="86">
        <f t="shared" si="284"/>
        <v>-3.6076480424075331E-2</v>
      </c>
      <c r="U136" s="86">
        <f>IFERROR(($O136-M136)/ABS(M136),0)</f>
        <v>0</v>
      </c>
      <c r="V136" s="87">
        <f>IFERROR((O136-$M136), 0-$M136)</f>
        <v>1.5E-10</v>
      </c>
      <c r="W136" s="86">
        <f>IFERROR((Q136-$M136)/ABS($M136),0)</f>
        <v>0</v>
      </c>
      <c r="X136" s="87">
        <f>IFERROR((Q136-$M136), 0 -$M136)</f>
        <v>1.5E-10</v>
      </c>
      <c r="Y136" s="86">
        <f>IFERROR((S136-$M136)/ABS($M136),0)</f>
        <v>0</v>
      </c>
      <c r="Z136" s="87">
        <f>IFERROR((S136-$M136),0-$M136)</f>
        <v>-8173.07</v>
      </c>
      <c r="AA136" s="88"/>
      <c r="AC136" s="142">
        <f>SUMIFS(AC66:AC135,$I66:$I135,"&lt;&gt;"&amp;$I$29,$E66:$E135,"&lt;&gt;*[-]*",$F66:$F135,"&lt;&gt;*[-]*",$G66:$G135,"&lt;&gt;*[-]*", $H66:$H135, "Operating Expenses")</f>
        <v>0</v>
      </c>
      <c r="AD136" s="142">
        <f>SUMIFS(AD66:AD135,$I66:$I135,"&lt;&gt;"&amp;$I$29,$E66:$E135,"&lt;&gt;*[-]*",$F66:$F135,"&lt;&gt;*[-]*",$G66:$G135,"&lt;&gt;*[-]*", $H66:$H135, "Operating Expenses")</f>
        <v>-8173.07</v>
      </c>
      <c r="AE136" s="142">
        <f>SUMIFS(AE66:AE135,$I66:$I135,"&lt;&gt;"&amp;$I$29,$E66:$E135,"&lt;&gt;*[-]*",$F66:$F135,"&lt;&gt;*[-]*",$G66:$G135,"&lt;&gt;*[-]*", $H66:$H135, "Operating Expenses")</f>
        <v>1.5E-10</v>
      </c>
      <c r="AF136" s="173">
        <f>IFERROR((AD136-$AC136)/ABS($AC136),0)</f>
        <v>0</v>
      </c>
      <c r="AG136" s="143">
        <f>(AD136-$AC136)</f>
        <v>-8173.07</v>
      </c>
      <c r="AH136" s="173">
        <f>IFERROR((AE136-$AC136)/ABS($AC136),0)</f>
        <v>0</v>
      </c>
      <c r="AI136" s="143">
        <f>(AE136-$AC136)</f>
        <v>1.5E-10</v>
      </c>
      <c r="AK136" s="85">
        <f>SUMIFS(AK66:AK135,$I66:$I135,"&lt;&gt;"&amp;$I$29,$E66:$E135,"&lt;&gt;*[-]*",$F66:$F135,"&lt;&gt;*[-]*",$G66:$G135,"&lt;&gt;*[-]*", $H66:$H135, "Operating Expenses")</f>
        <v>0</v>
      </c>
      <c r="AL136" s="86">
        <f t="shared" si="285"/>
        <v>0</v>
      </c>
      <c r="AM136" s="85">
        <f>SUMIFS(AM66:AM135,$I66:$I135,"&lt;&gt;"&amp;$I$29,$E66:$E135,"&lt;&gt;*[-]*",$F66:$F135,"&lt;&gt;*[-]*",$G66:$G135,"&lt;&gt;*[-]*", $H66:$H135, "Operating Expenses")</f>
        <v>1.5E-10</v>
      </c>
      <c r="AN136" s="86">
        <f t="shared" si="286"/>
        <v>2.9080815971027074E-16</v>
      </c>
      <c r="AO136" s="85">
        <f>SUMIFS(AO66:AO135,$I66:$I135,"&lt;&gt;"&amp;$I$29,$E66:$E135,"&lt;&gt;*[-]*",$F66:$F135,"&lt;&gt;*[-]*",$G66:$G135,"&lt;&gt;*[-]*", $H66:$H135, "Operating Expenses")</f>
        <v>1.5E-10</v>
      </c>
      <c r="AP136" s="86">
        <f t="shared" si="287"/>
        <v>2.9080815971027074E-16</v>
      </c>
      <c r="AQ136" s="85">
        <f>SUMIFS(AQ66:AQ135,$I66:$I135,"&lt;&gt;"&amp;$I$29,$E66:$E135,"&lt;&gt;*[-]*",$F66:$F135,"&lt;&gt;*[-]*",$G66:$G135,"&lt;&gt;*[-]*", $H66:$H135, "Operating Expenses")</f>
        <v>-8173.07</v>
      </c>
      <c r="AR136" s="86">
        <f t="shared" si="288"/>
        <v>-3.6076480424075331E-2</v>
      </c>
      <c r="AS136" s="86">
        <f>IFERROR((AM136-$AK136)/ABS($AK136),0)</f>
        <v>0</v>
      </c>
      <c r="AT136" s="87">
        <f>(AM136-$AK136)</f>
        <v>1.5E-10</v>
      </c>
      <c r="AU136" s="86">
        <f>IFERROR((AO136-$AK136)/ABS($AO136),0)</f>
        <v>1</v>
      </c>
      <c r="AV136" s="87">
        <f>(AO136-$AK136)</f>
        <v>1.5E-10</v>
      </c>
      <c r="AW136" s="86">
        <f>IFERROR((AQ136-$AK136)/ABS($AK136),0)</f>
        <v>0</v>
      </c>
      <c r="AX136" s="87">
        <f>(AQ136-$AK136)</f>
        <v>-8173.07</v>
      </c>
      <c r="AY136" s="88"/>
      <c r="BA136" s="85">
        <f>SUMIFS(BA66:BA135,$I66:$I135,"&lt;&gt;"&amp;$I$29,$E66:$E135,"&lt;&gt;*[-]*",$F66:$F135,"&lt;&gt;*[-]*",$G66:$G135,"&lt;&gt;*[-]*", $H66:$H135, "Operating Expenses")</f>
        <v>-7.5E-10</v>
      </c>
      <c r="BB136" s="86">
        <f t="shared" si="289"/>
        <v>-1.1184929219625807E-16</v>
      </c>
      <c r="BC136" s="85">
        <f>SUMIFS(BC66:BC135,$I66:$I135,"&lt;&gt;"&amp;$I$29,$E66:$E135,"&lt;&gt;*[-]*",$F66:$F135,"&lt;&gt;*[-]*",$G66:$G135,"&lt;&gt;*[-]*", $H66:$H135, "Operating Expenses")</f>
        <v>-7.5E-10</v>
      </c>
      <c r="BD136" s="86">
        <f t="shared" si="290"/>
        <v>-1.1184929219625807E-16</v>
      </c>
      <c r="BE136" s="85">
        <f>SUMIFS(BE66:BE135,$I66:$I135,"&lt;&gt;"&amp;$I$29,$E66:$E135,"&lt;&gt;*[-]*",$F66:$F135,"&lt;&gt;*[-]*",$G66:$G135,"&lt;&gt;*[-]*", $H66:$H135, "Operating Expenses")</f>
        <v>0</v>
      </c>
      <c r="BF136" s="86">
        <f t="shared" si="291"/>
        <v>0</v>
      </c>
      <c r="BG136" s="86">
        <f>IFERROR((BC136-$BA136)/ABS($BA136),0)</f>
        <v>0</v>
      </c>
      <c r="BH136" s="87">
        <f>(BC136-$BA136)</f>
        <v>0</v>
      </c>
      <c r="BI136" s="86">
        <f>IFERROR((BE136-$BA136)/ABS($BA136),0)</f>
        <v>1</v>
      </c>
      <c r="BJ136" s="87">
        <f>(BE136-$BA136)</f>
        <v>7.5E-10</v>
      </c>
      <c r="BK136" s="88"/>
    </row>
    <row r="137" spans="2:63" x14ac:dyDescent="0.25">
      <c r="N137" s="145"/>
      <c r="P137" s="145"/>
      <c r="R137" s="145"/>
      <c r="T137" s="145"/>
      <c r="U137" s="145"/>
      <c r="V137" s="84"/>
      <c r="W137" s="145"/>
      <c r="X137" s="84"/>
      <c r="Y137" s="145"/>
      <c r="Z137" s="84"/>
      <c r="AA137" s="84"/>
      <c r="AF137" s="169"/>
      <c r="AG137" s="140"/>
      <c r="AH137" s="169"/>
      <c r="AI137" s="140"/>
      <c r="AL137" s="145"/>
      <c r="AN137" s="145"/>
      <c r="AP137" s="145"/>
      <c r="AR137" s="145"/>
      <c r="AS137" s="145"/>
      <c r="AT137" s="84"/>
      <c r="AU137" s="145"/>
      <c r="AV137" s="84"/>
      <c r="AW137" s="145"/>
      <c r="AX137" s="84"/>
      <c r="AY137" s="84"/>
      <c r="BB137" s="145"/>
      <c r="BD137" s="145"/>
      <c r="BF137" s="145"/>
      <c r="BG137" s="145"/>
      <c r="BH137" s="84"/>
      <c r="BI137" s="145"/>
      <c r="BJ137" s="84"/>
      <c r="BK137" s="84"/>
    </row>
    <row r="138" spans="2:63" x14ac:dyDescent="0.25">
      <c r="B138" s="24" t="str">
        <f>B136</f>
        <v>#showrow</v>
      </c>
      <c r="C138" s="24"/>
      <c r="D138" s="24"/>
      <c r="E138" s="24"/>
      <c r="F138" s="24"/>
      <c r="G138" s="24"/>
      <c r="H138" s="24" t="s">
        <v>32</v>
      </c>
      <c r="I138" s="24"/>
      <c r="J138" s="24"/>
      <c r="K138" s="24"/>
      <c r="L138" s="24"/>
      <c r="M138" s="26">
        <f>M62-M136-M149</f>
        <v>-195780.92000000004</v>
      </c>
      <c r="N138" s="153">
        <f>IFERROR(M138/SUMIFS(M:M, $H:$H, "Net Sales"),0)</f>
        <v>-0.48012837500238503</v>
      </c>
      <c r="O138" s="26">
        <f>O62-O136-O149</f>
        <v>65350.715170448842</v>
      </c>
      <c r="P138" s="153">
        <f>IFERROR(O138/SUMIFS(O:O, $H:$H, "Net Sales"),0)</f>
        <v>0.12669680809645534</v>
      </c>
      <c r="Q138" s="26">
        <f>Q62-Q136-Q149</f>
        <v>65350.715170448842</v>
      </c>
      <c r="R138" s="153">
        <f>IFERROR(Q138/SUMIFS(Q:Q, $H:$H, "Net Sales"),0)</f>
        <v>0.12669680809645534</v>
      </c>
      <c r="S138" s="26">
        <f>S62-S136-S149</f>
        <v>-5352.1500000000015</v>
      </c>
      <c r="T138" s="153">
        <f>IFERROR(S138/SUMIFS(S:S, $H:$H, "Net Sales"),0)</f>
        <v>-2.3624749904468556E-2</v>
      </c>
      <c r="U138" s="153">
        <f>IFERROR((M138-$O138)/ABS($O138),0)</f>
        <v>-3.9958496932950305</v>
      </c>
      <c r="V138" s="92">
        <f>(M138-$O138)</f>
        <v>-261131.63517044889</v>
      </c>
      <c r="W138" s="153">
        <f>IFERROR(($M138-Q138)/ABS(Q138),0)</f>
        <v>-3.9958496932950305</v>
      </c>
      <c r="X138" s="92">
        <f>($M138-Q138)</f>
        <v>-261131.63517044889</v>
      </c>
      <c r="Y138" s="153">
        <f>IFERROR(($M138-S138)/ABS(S138),0)</f>
        <v>-35.579864166736733</v>
      </c>
      <c r="Z138" s="92">
        <f>($M138-S138)</f>
        <v>-190428.77000000005</v>
      </c>
      <c r="AA138" s="88"/>
      <c r="AC138" s="234">
        <f>AC62-AC136-AC149</f>
        <v>-195780.92000000004</v>
      </c>
      <c r="AD138" s="234">
        <f>AD62-AD136-AD149</f>
        <v>-5352.1500000000015</v>
      </c>
      <c r="AE138" s="234">
        <f>AE62-AE136-AE149</f>
        <v>65350.715170448842</v>
      </c>
      <c r="AF138" s="235">
        <f>IFERROR((AC138-$AD138)/ABS($AD138),0)</f>
        <v>-35.579864166736733</v>
      </c>
      <c r="AG138" s="238">
        <f>(AC138-$AD138)</f>
        <v>-190428.77000000005</v>
      </c>
      <c r="AH138" s="233">
        <f>IFERROR(($AC138-AD138)/ABS(AD138),0)</f>
        <v>-35.579864166736733</v>
      </c>
      <c r="AI138" s="238">
        <f>($AC138-AE138)</f>
        <v>-261131.63517044889</v>
      </c>
      <c r="AK138" s="26">
        <f>AK62-AK136-AK149</f>
        <v>-195780.92000000004</v>
      </c>
      <c r="AL138" s="153">
        <f>IFERROR(AK138/SUMIFS(AK:AK, $H:$H, "Net Sales"),0)</f>
        <v>-0.48012837500238503</v>
      </c>
      <c r="AM138" s="26">
        <f>AM62-AM136-AM149</f>
        <v>65350.715170448842</v>
      </c>
      <c r="AN138" s="153">
        <f>IFERROR(AM138/SUMIFS(AM:AM, $H:$H, "Net Sales"),0)</f>
        <v>0.12669680809645534</v>
      </c>
      <c r="AO138" s="26">
        <f>AO62-AO136-AO149</f>
        <v>65350.715170448842</v>
      </c>
      <c r="AP138" s="153">
        <f>IFERROR(AO138/SUMIFS(AO:AO, $H:$H, "Net Sales"),0)</f>
        <v>0.12669680809645534</v>
      </c>
      <c r="AQ138" s="26">
        <f>AQ62-AQ136-AQ149</f>
        <v>-5352.1500000000015</v>
      </c>
      <c r="AR138" s="153">
        <f>IFERROR(AQ138/SUMIFS(AQ:AQ, $H:$H, "Net Sales"),0)</f>
        <v>-2.3624749904468556E-2</v>
      </c>
      <c r="AS138" s="153">
        <f>IFERROR((AK138-$AM138)/ABS($AM138),0)</f>
        <v>-3.9958496932950305</v>
      </c>
      <c r="AT138" s="92">
        <f>(AK138-$AM138)</f>
        <v>-261131.63517044889</v>
      </c>
      <c r="AU138" s="153">
        <f>IFERROR(($AK138-AO138)/ABS(AO138),0)</f>
        <v>-3.9958496932950305</v>
      </c>
      <c r="AV138" s="92">
        <f>($AK138-AO138)</f>
        <v>-261131.63517044889</v>
      </c>
      <c r="AW138" s="153">
        <f>IFERROR(($AK138-AQ138)/ABS(AQ138),0)</f>
        <v>-35.579864166736733</v>
      </c>
      <c r="AX138" s="92">
        <f>($AK138-AQ138)</f>
        <v>-190428.77000000005</v>
      </c>
      <c r="AY138" s="88"/>
      <c r="BA138" s="26">
        <f>BA62-BA136-BA149</f>
        <v>905334.40998110059</v>
      </c>
      <c r="BB138" s="153">
        <f>IFERROR(BA138/SUMIFS(BA:BA, $H:$H, "Net Sales"),0)</f>
        <v>0.1350146839430707</v>
      </c>
      <c r="BC138" s="26">
        <f>BC62-BC136-BC149</f>
        <v>905334.40998110059</v>
      </c>
      <c r="BD138" s="153">
        <f>IFERROR(BC138/SUMIFS(BC:BC, $H:$H, "Net Sales"),0)</f>
        <v>0.1350146839430707</v>
      </c>
      <c r="BE138" s="26">
        <f>BE62-BE136-BE149</f>
        <v>-190502.59000000008</v>
      </c>
      <c r="BF138" s="153">
        <f>IFERROR(BE138/SUMIFS(BE:BE, $H:$H, "Net Sales"),0)</f>
        <v>-4.5060202971480605E-2</v>
      </c>
      <c r="BG138" s="153">
        <f>IFERROR((BA138-$BC138)/ABS($BC138),0)</f>
        <v>0</v>
      </c>
      <c r="BH138" s="92">
        <f>(BA138-$BC138)</f>
        <v>0</v>
      </c>
      <c r="BI138" s="153">
        <f>IFERROR(($BA138-BE138)/ABS(BE138),0)</f>
        <v>5.75234698898897</v>
      </c>
      <c r="BJ138" s="92">
        <f>($BA138-BE138)</f>
        <v>1095836.9999811007</v>
      </c>
      <c r="BK138" s="104"/>
    </row>
    <row r="139" spans="2:63" x14ac:dyDescent="0.25">
      <c r="H139" s="27" t="s">
        <v>33</v>
      </c>
      <c r="M139" s="96">
        <f>IFERROR(M138/M40,"")</f>
        <v>-0.48012837500238503</v>
      </c>
      <c r="N139" s="105"/>
      <c r="O139" s="96">
        <f>IFERROR(O138/O40,"")</f>
        <v>0.12669680809645534</v>
      </c>
      <c r="P139" s="105"/>
      <c r="Q139" s="96">
        <f>IFERROR(Q138/Q40,"")</f>
        <v>0.12669680809645534</v>
      </c>
      <c r="R139" s="105"/>
      <c r="S139" s="96">
        <f>IFERROR(S138/S40,"")</f>
        <v>-2.3624749904468556E-2</v>
      </c>
      <c r="T139" s="105"/>
      <c r="U139" s="105"/>
      <c r="V139" s="106"/>
      <c r="W139" s="105"/>
      <c r="X139" s="106"/>
      <c r="Y139" s="105"/>
      <c r="Z139" s="106"/>
      <c r="AA139" s="106"/>
      <c r="AC139" s="239">
        <f>IFERROR(AC138/AC40,"")</f>
        <v>-0.48012837500238503</v>
      </c>
      <c r="AD139" s="239">
        <f>IFERROR(AD138/AD40,"")</f>
        <v>-2.3624749904468556E-2</v>
      </c>
      <c r="AE139" s="239">
        <f>IFERROR(AE138/AE40,"")</f>
        <v>0.12669680809645534</v>
      </c>
      <c r="AF139" s="169"/>
      <c r="AG139" s="140"/>
      <c r="AH139" s="169"/>
      <c r="AI139" s="140"/>
      <c r="AK139" s="96">
        <f>IFERROR(AK138/AK40,"")</f>
        <v>-0.48012837500238503</v>
      </c>
      <c r="AL139" s="105"/>
      <c r="AM139" s="96">
        <f>IFERROR(AM138/AM40,"")</f>
        <v>0.12669680809645534</v>
      </c>
      <c r="AN139" s="105"/>
      <c r="AO139" s="96">
        <f>IFERROR(AO138/AO40,"")</f>
        <v>0.12669680809645534</v>
      </c>
      <c r="AP139" s="105"/>
      <c r="AQ139" s="96">
        <f>IFERROR(AQ138/AQ40,"")</f>
        <v>-2.3624749904468556E-2</v>
      </c>
      <c r="AR139" s="105"/>
      <c r="AS139" s="105"/>
      <c r="AT139" s="106"/>
      <c r="AU139" s="105"/>
      <c r="AV139" s="106"/>
      <c r="AW139" s="105"/>
      <c r="AX139" s="106"/>
      <c r="AY139" s="106"/>
      <c r="BA139" s="96">
        <f>IFERROR(BA138/BA40,"")</f>
        <v>0.1350146839430707</v>
      </c>
      <c r="BB139" s="105"/>
      <c r="BC139" s="96">
        <f>IFERROR(BC138/BC40,"")</f>
        <v>0.1350146839430707</v>
      </c>
      <c r="BD139" s="105"/>
      <c r="BE139" s="96">
        <f>IFERROR(BE138/BE40,"")</f>
        <v>-4.5060202971480605E-2</v>
      </c>
      <c r="BF139" s="105"/>
      <c r="BG139" s="105"/>
      <c r="BH139" s="106"/>
      <c r="BI139" s="105"/>
      <c r="BJ139" s="106"/>
      <c r="BK139" s="109"/>
    </row>
    <row r="140" spans="2:63" x14ac:dyDescent="0.25">
      <c r="N140" s="145"/>
      <c r="P140" s="145"/>
      <c r="R140" s="145"/>
      <c r="T140" s="145"/>
      <c r="U140" s="145"/>
      <c r="V140" s="84"/>
      <c r="W140" s="145"/>
      <c r="X140" s="84"/>
      <c r="Y140" s="145"/>
      <c r="Z140" s="84"/>
      <c r="AA140" s="84"/>
      <c r="AF140" s="169"/>
      <c r="AG140" s="140"/>
      <c r="AH140" s="169"/>
      <c r="AI140" s="140"/>
      <c r="AL140" s="145"/>
      <c r="AN140" s="145"/>
      <c r="AP140" s="145"/>
      <c r="AR140" s="145"/>
      <c r="AS140" s="145"/>
      <c r="AT140" s="84"/>
      <c r="AU140" s="145"/>
      <c r="AV140" s="84"/>
      <c r="AW140" s="145"/>
      <c r="AX140" s="84"/>
      <c r="AY140" s="84"/>
      <c r="BB140" s="145"/>
      <c r="BD140" s="145"/>
      <c r="BF140" s="145"/>
      <c r="BG140" s="145"/>
      <c r="BH140" s="84"/>
      <c r="BI140" s="145"/>
      <c r="BJ140" s="84"/>
      <c r="BK140" s="84"/>
    </row>
    <row r="141" spans="2:63" ht="12.45" thickBot="1" x14ac:dyDescent="0.3">
      <c r="E141" s="4"/>
      <c r="F141" s="4"/>
      <c r="G141" s="4"/>
      <c r="H141" s="4" t="s">
        <v>18</v>
      </c>
      <c r="I141" s="4"/>
      <c r="J141" s="5"/>
      <c r="K141" s="5"/>
      <c r="L141" s="5"/>
      <c r="M141" s="5"/>
      <c r="N141" s="152"/>
      <c r="O141" s="5"/>
      <c r="P141" s="152"/>
      <c r="Q141" s="5"/>
      <c r="R141" s="152"/>
      <c r="S141" s="5"/>
      <c r="T141" s="152"/>
      <c r="U141" s="152"/>
      <c r="V141" s="75"/>
      <c r="W141" s="152"/>
      <c r="X141" s="75"/>
      <c r="Y141" s="152"/>
      <c r="Z141" s="75"/>
      <c r="AA141" s="75"/>
      <c r="AC141" s="133"/>
      <c r="AD141" s="133"/>
      <c r="AE141" s="133"/>
      <c r="AF141" s="171"/>
      <c r="AG141" s="134"/>
      <c r="AH141" s="171"/>
      <c r="AI141" s="134"/>
      <c r="AK141" s="5"/>
      <c r="AL141" s="152"/>
      <c r="AM141" s="5"/>
      <c r="AN141" s="152"/>
      <c r="AO141" s="5"/>
      <c r="AP141" s="152"/>
      <c r="AQ141" s="5"/>
      <c r="AR141" s="152"/>
      <c r="AS141" s="152"/>
      <c r="AT141" s="75"/>
      <c r="AU141" s="152"/>
      <c r="AV141" s="75"/>
      <c r="AW141" s="152"/>
      <c r="AX141" s="75"/>
      <c r="AY141" s="75"/>
      <c r="BA141" s="5"/>
      <c r="BB141" s="152"/>
      <c r="BC141" s="5"/>
      <c r="BD141" s="152"/>
      <c r="BE141" s="5"/>
      <c r="BF141" s="152"/>
      <c r="BG141" s="152"/>
      <c r="BH141" s="75"/>
      <c r="BI141" s="152"/>
      <c r="BJ141" s="75"/>
      <c r="BK141" s="75"/>
    </row>
    <row r="142" spans="2:63" ht="11.95" hidden="1" thickBot="1" x14ac:dyDescent="0.3">
      <c r="B142" t="s">
        <v>1</v>
      </c>
      <c r="E142" s="3"/>
      <c r="F142" s="3"/>
      <c r="G142" s="3"/>
      <c r="H142" s="3"/>
      <c r="I142" s="18"/>
      <c r="J142" s="18"/>
      <c r="K142" s="18"/>
      <c r="L142" s="78"/>
      <c r="M142" s="79"/>
      <c r="N142" s="80">
        <f t="shared" ref="N142:N148" si="308">IFERROR(M142/SUMIFS(M:M, $H:$H, "Net Sales"),0)</f>
        <v>0</v>
      </c>
      <c r="O142" s="79"/>
      <c r="P142" s="80">
        <f t="shared" ref="P142:P148" si="309">IFERROR(O142/SUMIFS(O:O, $H:$H, "Net Sales"),0)</f>
        <v>0</v>
      </c>
      <c r="Q142" s="79"/>
      <c r="R142" s="80">
        <f t="shared" ref="R142:R148" si="310">IFERROR(Q142/SUMIFS(Q:Q, $H:$H, "Net Sales"),0)</f>
        <v>0</v>
      </c>
      <c r="S142" s="79"/>
      <c r="T142" s="81">
        <f t="shared" ref="T142:T149" si="311">IFERROR(S142/SUMIFS(S:S, $H:$H, "Net Sales"),0)</f>
        <v>0</v>
      </c>
      <c r="U142" s="80">
        <f t="shared" ref="U142:U147" si="312">IFERROR(($O142-M142)/ABS(M142),0)</f>
        <v>0</v>
      </c>
      <c r="V142" s="70">
        <f t="shared" ref="V142:V147" si="313">IFERROR((O142-$M142), 0-$M142)</f>
        <v>0</v>
      </c>
      <c r="W142" s="80">
        <f t="shared" ref="W142:W147" si="314">IFERROR((Q142-$M142)/ABS($M142),0)</f>
        <v>0</v>
      </c>
      <c r="X142" s="70">
        <f t="shared" ref="X142:X147" si="315">IFERROR((Q142-$M142), 0 -$M142)</f>
        <v>0</v>
      </c>
      <c r="Y142" s="80">
        <f t="shared" ref="Y142:Y147" si="316">IFERROR((S142-$M142)/ABS($M142),0)</f>
        <v>0</v>
      </c>
      <c r="Z142" s="70">
        <f t="shared" ref="Z142:Z147" si="317">IFERROR((S142-$M142),0-$M142)</f>
        <v>0</v>
      </c>
      <c r="AA142" s="82"/>
      <c r="AC142" s="138"/>
      <c r="AD142" s="138"/>
      <c r="AE142" s="138"/>
      <c r="AF142" s="172"/>
      <c r="AG142" s="139"/>
      <c r="AH142" s="172"/>
      <c r="AI142" s="139"/>
      <c r="AK142" s="79"/>
      <c r="AL142" s="80">
        <f t="shared" ref="AL142:AL149" si="318">IFERROR(AK142/SUMIFS(AK:AK, $H:$H, "Net Sales"),0)</f>
        <v>0</v>
      </c>
      <c r="AM142" s="79"/>
      <c r="AN142" s="80">
        <f t="shared" ref="AN142:AN149" si="319">IFERROR(AM142/SUMIFS(AM:AM, $H:$H, "Net Sales"),0)</f>
        <v>0</v>
      </c>
      <c r="AO142" s="79"/>
      <c r="AP142" s="80">
        <f t="shared" ref="AP142:AP149" si="320">IFERROR(AO142/SUMIFS(AO:AO, $H:$H, "Net Sales"),0)</f>
        <v>0</v>
      </c>
      <c r="AQ142" s="79"/>
      <c r="AR142" s="81">
        <f t="shared" ref="AR142:AR149" si="321">IFERROR(AQ142/SUMIFS(AQ:AQ, $H:$H, "Net Sales"),0)</f>
        <v>0</v>
      </c>
      <c r="AS142" s="80">
        <f t="shared" ref="AS142:AS147" si="322">IFERROR((AM142-$AK142)/ABS($AK142),0)</f>
        <v>0</v>
      </c>
      <c r="AT142" s="70">
        <f t="shared" ref="AT142:AT147" si="323">(AM142-$AK142)</f>
        <v>0</v>
      </c>
      <c r="AU142" s="80">
        <f t="shared" ref="AU142:AU147" si="324">IFERROR((AO142-$AK142)/ABS($AO142),0)</f>
        <v>0</v>
      </c>
      <c r="AV142" s="70">
        <f t="shared" ref="AV142:AV147" si="325">(AO142-$AK142)</f>
        <v>0</v>
      </c>
      <c r="AW142" s="80">
        <f t="shared" ref="AW142:AW147" si="326">IFERROR((AQ142-$AK142)/ABS($AK142),0)</f>
        <v>0</v>
      </c>
      <c r="AX142" s="70">
        <f t="shared" ref="AX142:AX147" si="327">(AQ142-$AK142)</f>
        <v>0</v>
      </c>
      <c r="AY142" s="82"/>
      <c r="BA142" s="79"/>
      <c r="BB142" s="80">
        <f t="shared" ref="BB142:BB149" si="328">IFERROR(BA142/SUMIFS(BA:BA, $H:$H, "Net Sales"),0)</f>
        <v>0</v>
      </c>
      <c r="BC142" s="79"/>
      <c r="BD142" s="80">
        <f t="shared" ref="BD142:BD149" si="329">IFERROR(BC142/SUMIFS(BC:BC, $H:$H, "Net Sales"),0)</f>
        <v>0</v>
      </c>
      <c r="BE142" s="79"/>
      <c r="BF142" s="81">
        <f t="shared" ref="BF142:BF149" si="330">IFERROR(BE142/SUMIFS(BE:BE, $H:$H, "Net Sales"),0)</f>
        <v>0</v>
      </c>
      <c r="BG142" s="80">
        <f t="shared" ref="BG142:BG147" si="331">IFERROR((BC142-$BA142)/ABS($BA142),0)</f>
        <v>0</v>
      </c>
      <c r="BH142" s="70">
        <f t="shared" ref="BH142:BH147" si="332">(BC142-$BA142)</f>
        <v>0</v>
      </c>
      <c r="BI142" s="80">
        <f t="shared" ref="BI142:BI147" si="333">IFERROR((BE142-$BA142)/ABS($BA142),0)</f>
        <v>0</v>
      </c>
      <c r="BJ142" s="70">
        <f t="shared" ref="BJ142:BJ147" si="334">(BE142-$BA142)</f>
        <v>0</v>
      </c>
      <c r="BK142" s="82"/>
    </row>
    <row r="143" spans="2:63" ht="11.95" thickBot="1" x14ac:dyDescent="0.3">
      <c r="E143" s="3"/>
      <c r="F143" s="3"/>
      <c r="G143" s="3"/>
      <c r="H143" s="253" t="s">
        <v>18</v>
      </c>
      <c r="I143" s="18"/>
      <c r="J143" s="18"/>
      <c r="K143" s="18"/>
      <c r="L143" s="78"/>
      <c r="M143" s="79">
        <v>0</v>
      </c>
      <c r="N143" s="80">
        <f t="shared" si="308"/>
        <v>0</v>
      </c>
      <c r="O143" s="79">
        <v>0</v>
      </c>
      <c r="P143" s="80">
        <f t="shared" si="309"/>
        <v>0</v>
      </c>
      <c r="Q143" s="79">
        <v>0</v>
      </c>
      <c r="R143" s="80">
        <f t="shared" si="310"/>
        <v>0</v>
      </c>
      <c r="S143" s="79">
        <v>0</v>
      </c>
      <c r="T143" s="81">
        <f t="shared" si="311"/>
        <v>0</v>
      </c>
      <c r="U143" s="80">
        <f t="shared" si="312"/>
        <v>0</v>
      </c>
      <c r="V143" s="70">
        <f t="shared" si="313"/>
        <v>0</v>
      </c>
      <c r="W143" s="80">
        <f t="shared" si="314"/>
        <v>0</v>
      </c>
      <c r="X143" s="70">
        <f t="shared" si="315"/>
        <v>0</v>
      </c>
      <c r="Y143" s="80">
        <f t="shared" si="316"/>
        <v>0</v>
      </c>
      <c r="Z143" s="70">
        <f t="shared" si="317"/>
        <v>0</v>
      </c>
      <c r="AA143" s="70"/>
      <c r="AC143" s="138">
        <v>0</v>
      </c>
      <c r="AD143" s="138">
        <v>0</v>
      </c>
      <c r="AE143" s="138">
        <v>0</v>
      </c>
      <c r="AF143" s="172">
        <f t="shared" ref="AF143" si="335">IFERROR(($AC143-AD143)/ABS(AD143),0)</f>
        <v>0</v>
      </c>
      <c r="AG143" s="139">
        <f>($AC143-AD143)</f>
        <v>0</v>
      </c>
      <c r="AH143" s="172">
        <f>IFERROR(($AC143-AE143)/ABS(AE143),0)</f>
        <v>0</v>
      </c>
      <c r="AI143" s="139">
        <f>($AC143-AE143)</f>
        <v>0</v>
      </c>
      <c r="AK143" s="79">
        <v>0</v>
      </c>
      <c r="AL143" s="80">
        <f t="shared" si="318"/>
        <v>0</v>
      </c>
      <c r="AM143" s="79">
        <v>0</v>
      </c>
      <c r="AN143" s="80">
        <f t="shared" si="319"/>
        <v>0</v>
      </c>
      <c r="AO143" s="79">
        <v>0</v>
      </c>
      <c r="AP143" s="80">
        <f t="shared" si="320"/>
        <v>0</v>
      </c>
      <c r="AQ143" s="79">
        <v>0</v>
      </c>
      <c r="AR143" s="81">
        <f t="shared" si="321"/>
        <v>0</v>
      </c>
      <c r="AS143" s="80">
        <f t="shared" si="322"/>
        <v>0</v>
      </c>
      <c r="AT143" s="70">
        <f t="shared" si="323"/>
        <v>0</v>
      </c>
      <c r="AU143" s="80">
        <f t="shared" si="324"/>
        <v>0</v>
      </c>
      <c r="AV143" s="70">
        <f t="shared" si="325"/>
        <v>0</v>
      </c>
      <c r="AW143" s="80">
        <f t="shared" si="326"/>
        <v>0</v>
      </c>
      <c r="AX143" s="70">
        <f t="shared" si="327"/>
        <v>0</v>
      </c>
      <c r="AY143" s="70"/>
      <c r="BA143" s="79">
        <v>0</v>
      </c>
      <c r="BB143" s="80">
        <f t="shared" si="328"/>
        <v>0</v>
      </c>
      <c r="BC143" s="79">
        <v>0</v>
      </c>
      <c r="BD143" s="80">
        <f t="shared" si="329"/>
        <v>0</v>
      </c>
      <c r="BE143" s="79">
        <v>163.76</v>
      </c>
      <c r="BF143" s="81">
        <f t="shared" si="330"/>
        <v>3.873469037145196E-5</v>
      </c>
      <c r="BG143" s="80">
        <f t="shared" si="331"/>
        <v>0</v>
      </c>
      <c r="BH143" s="70">
        <f t="shared" si="332"/>
        <v>0</v>
      </c>
      <c r="BI143" s="80">
        <f t="shared" si="333"/>
        <v>0</v>
      </c>
      <c r="BJ143" s="70">
        <f t="shared" si="334"/>
        <v>163.76</v>
      </c>
      <c r="BK143" s="70"/>
    </row>
    <row r="144" spans="2:63" ht="11.95" outlineLevel="1" collapsed="1" thickBot="1" x14ac:dyDescent="0.3">
      <c r="E144" s="3"/>
      <c r="F144" s="3"/>
      <c r="G144" s="3"/>
      <c r="H144" s="256" t="s">
        <v>115</v>
      </c>
      <c r="I144" s="18"/>
      <c r="J144" s="18"/>
      <c r="K144" s="18"/>
      <c r="L144" s="78"/>
      <c r="M144" s="79">
        <v>0</v>
      </c>
      <c r="N144" s="80">
        <f t="shared" si="308"/>
        <v>0</v>
      </c>
      <c r="O144" s="79">
        <v>0</v>
      </c>
      <c r="P144" s="80">
        <f t="shared" si="309"/>
        <v>0</v>
      </c>
      <c r="Q144" s="79">
        <v>0</v>
      </c>
      <c r="R144" s="80">
        <f t="shared" si="310"/>
        <v>0</v>
      </c>
      <c r="S144" s="79">
        <v>0</v>
      </c>
      <c r="T144" s="81">
        <f t="shared" si="311"/>
        <v>0</v>
      </c>
      <c r="U144" s="80">
        <f t="shared" si="312"/>
        <v>0</v>
      </c>
      <c r="V144" s="70">
        <f t="shared" si="313"/>
        <v>0</v>
      </c>
      <c r="W144" s="80">
        <f t="shared" si="314"/>
        <v>0</v>
      </c>
      <c r="X144" s="70">
        <f t="shared" si="315"/>
        <v>0</v>
      </c>
      <c r="Y144" s="80">
        <f t="shared" si="316"/>
        <v>0</v>
      </c>
      <c r="Z144" s="70">
        <f t="shared" si="317"/>
        <v>0</v>
      </c>
      <c r="AA144" s="70"/>
      <c r="AC144" s="138">
        <v>0</v>
      </c>
      <c r="AD144" s="138">
        <v>0</v>
      </c>
      <c r="AE144" s="138">
        <v>0</v>
      </c>
      <c r="AF144" s="233"/>
      <c r="AG144" s="139"/>
      <c r="AH144" s="233"/>
      <c r="AI144" s="139"/>
      <c r="AK144" s="79">
        <v>0</v>
      </c>
      <c r="AL144" s="80">
        <f t="shared" si="318"/>
        <v>0</v>
      </c>
      <c r="AM144" s="79">
        <v>0</v>
      </c>
      <c r="AN144" s="80">
        <f t="shared" si="319"/>
        <v>0</v>
      </c>
      <c r="AO144" s="79">
        <v>0</v>
      </c>
      <c r="AP144" s="80">
        <f t="shared" si="320"/>
        <v>0</v>
      </c>
      <c r="AQ144" s="79">
        <v>0</v>
      </c>
      <c r="AR144" s="81">
        <f t="shared" si="321"/>
        <v>0</v>
      </c>
      <c r="AS144" s="80">
        <f t="shared" si="322"/>
        <v>0</v>
      </c>
      <c r="AT144" s="70">
        <f t="shared" si="323"/>
        <v>0</v>
      </c>
      <c r="AU144" s="80">
        <f t="shared" si="324"/>
        <v>0</v>
      </c>
      <c r="AV144" s="70">
        <f t="shared" si="325"/>
        <v>0</v>
      </c>
      <c r="AW144" s="80">
        <f t="shared" si="326"/>
        <v>0</v>
      </c>
      <c r="AX144" s="70">
        <f t="shared" si="327"/>
        <v>0</v>
      </c>
      <c r="AY144" s="70"/>
      <c r="BA144" s="79">
        <v>0</v>
      </c>
      <c r="BB144" s="80">
        <f t="shared" si="328"/>
        <v>0</v>
      </c>
      <c r="BC144" s="79">
        <v>0</v>
      </c>
      <c r="BD144" s="80">
        <f t="shared" si="329"/>
        <v>0</v>
      </c>
      <c r="BE144" s="79">
        <v>0</v>
      </c>
      <c r="BF144" s="81">
        <f t="shared" si="330"/>
        <v>0</v>
      </c>
      <c r="BG144" s="80">
        <f t="shared" si="331"/>
        <v>0</v>
      </c>
      <c r="BH144" s="70">
        <f t="shared" si="332"/>
        <v>0</v>
      </c>
      <c r="BI144" s="80">
        <f t="shared" si="333"/>
        <v>0</v>
      </c>
      <c r="BJ144" s="70">
        <f t="shared" si="334"/>
        <v>0</v>
      </c>
      <c r="BK144" s="70"/>
    </row>
    <row r="145" spans="2:63" ht="11.95" hidden="1" outlineLevel="2" thickBot="1" x14ac:dyDescent="0.3">
      <c r="B145" t="str">
        <f>IF(LEFT(H145,3)="Mul", "#hiderow", "#showrow")</f>
        <v>#hiderow</v>
      </c>
      <c r="E145" s="3"/>
      <c r="F145" s="3"/>
      <c r="G145" s="3"/>
      <c r="H145" s="255" t="s">
        <v>6</v>
      </c>
      <c r="I145" s="18"/>
      <c r="J145" s="18"/>
      <c r="K145" s="18"/>
      <c r="L145" s="78"/>
      <c r="M145" s="79"/>
      <c r="N145" s="80">
        <f t="shared" si="308"/>
        <v>0</v>
      </c>
      <c r="O145" s="79"/>
      <c r="P145" s="80">
        <f t="shared" si="309"/>
        <v>0</v>
      </c>
      <c r="Q145" s="79"/>
      <c r="R145" s="80">
        <f t="shared" si="310"/>
        <v>0</v>
      </c>
      <c r="S145" s="79"/>
      <c r="T145" s="81">
        <f t="shared" si="311"/>
        <v>0</v>
      </c>
      <c r="U145" s="80">
        <f t="shared" si="312"/>
        <v>0</v>
      </c>
      <c r="V145" s="70">
        <f t="shared" si="313"/>
        <v>0</v>
      </c>
      <c r="W145" s="80">
        <f t="shared" si="314"/>
        <v>0</v>
      </c>
      <c r="X145" s="70">
        <f t="shared" si="315"/>
        <v>0</v>
      </c>
      <c r="Y145" s="80">
        <f t="shared" si="316"/>
        <v>0</v>
      </c>
      <c r="Z145" s="70">
        <f t="shared" si="317"/>
        <v>0</v>
      </c>
      <c r="AA145" s="70"/>
      <c r="AC145" s="138"/>
      <c r="AD145" s="138"/>
      <c r="AE145" s="138"/>
      <c r="AF145" s="233"/>
      <c r="AG145" s="139"/>
      <c r="AH145" s="233"/>
      <c r="AI145" s="139"/>
      <c r="AK145" s="79"/>
      <c r="AL145" s="80">
        <f t="shared" si="318"/>
        <v>0</v>
      </c>
      <c r="AM145" s="79"/>
      <c r="AN145" s="80">
        <f t="shared" si="319"/>
        <v>0</v>
      </c>
      <c r="AO145" s="79"/>
      <c r="AP145" s="80">
        <f t="shared" si="320"/>
        <v>0</v>
      </c>
      <c r="AQ145" s="79"/>
      <c r="AR145" s="81">
        <f t="shared" si="321"/>
        <v>0</v>
      </c>
      <c r="AS145" s="80">
        <f t="shared" si="322"/>
        <v>0</v>
      </c>
      <c r="AT145" s="70">
        <f t="shared" si="323"/>
        <v>0</v>
      </c>
      <c r="AU145" s="80">
        <f t="shared" si="324"/>
        <v>0</v>
      </c>
      <c r="AV145" s="70">
        <f t="shared" si="325"/>
        <v>0</v>
      </c>
      <c r="AW145" s="80">
        <f t="shared" si="326"/>
        <v>0</v>
      </c>
      <c r="AX145" s="70">
        <f t="shared" si="327"/>
        <v>0</v>
      </c>
      <c r="AY145" s="70"/>
      <c r="BA145" s="79"/>
      <c r="BB145" s="80">
        <f t="shared" si="328"/>
        <v>0</v>
      </c>
      <c r="BC145" s="79"/>
      <c r="BD145" s="80">
        <f t="shared" si="329"/>
        <v>0</v>
      </c>
      <c r="BE145" s="79"/>
      <c r="BF145" s="81">
        <f t="shared" si="330"/>
        <v>0</v>
      </c>
      <c r="BG145" s="80">
        <f t="shared" si="331"/>
        <v>0</v>
      </c>
      <c r="BH145" s="70">
        <f t="shared" si="332"/>
        <v>0</v>
      </c>
      <c r="BI145" s="80">
        <f t="shared" si="333"/>
        <v>0</v>
      </c>
      <c r="BJ145" s="70">
        <f t="shared" si="334"/>
        <v>0</v>
      </c>
      <c r="BK145" s="70"/>
    </row>
    <row r="146" spans="2:63" ht="11.95" outlineLevel="1" thickBot="1" x14ac:dyDescent="0.3">
      <c r="E146" s="3"/>
      <c r="F146" s="3"/>
      <c r="G146" s="3"/>
      <c r="H146" s="256" t="s">
        <v>116</v>
      </c>
      <c r="I146" s="18"/>
      <c r="J146" s="18"/>
      <c r="K146" s="18"/>
      <c r="L146" s="78"/>
      <c r="M146" s="79">
        <v>0</v>
      </c>
      <c r="N146" s="80">
        <f t="shared" si="308"/>
        <v>0</v>
      </c>
      <c r="O146" s="79">
        <v>0</v>
      </c>
      <c r="P146" s="80">
        <f t="shared" si="309"/>
        <v>0</v>
      </c>
      <c r="Q146" s="79">
        <v>0</v>
      </c>
      <c r="R146" s="80">
        <f t="shared" si="310"/>
        <v>0</v>
      </c>
      <c r="S146" s="79">
        <v>0</v>
      </c>
      <c r="T146" s="81">
        <f t="shared" si="311"/>
        <v>0</v>
      </c>
      <c r="U146" s="80">
        <f t="shared" si="312"/>
        <v>0</v>
      </c>
      <c r="V146" s="70">
        <f t="shared" si="313"/>
        <v>0</v>
      </c>
      <c r="W146" s="80">
        <f t="shared" si="314"/>
        <v>0</v>
      </c>
      <c r="X146" s="70">
        <f t="shared" si="315"/>
        <v>0</v>
      </c>
      <c r="Y146" s="80">
        <f t="shared" si="316"/>
        <v>0</v>
      </c>
      <c r="Z146" s="70">
        <f t="shared" si="317"/>
        <v>0</v>
      </c>
      <c r="AA146" s="70"/>
      <c r="AC146" s="138">
        <v>0</v>
      </c>
      <c r="AD146" s="138">
        <v>0</v>
      </c>
      <c r="AE146" s="138">
        <v>0</v>
      </c>
      <c r="AF146" s="233"/>
      <c r="AG146" s="139"/>
      <c r="AH146" s="233"/>
      <c r="AI146" s="139"/>
      <c r="AK146" s="79">
        <v>0</v>
      </c>
      <c r="AL146" s="80">
        <f t="shared" si="318"/>
        <v>0</v>
      </c>
      <c r="AM146" s="79">
        <v>0</v>
      </c>
      <c r="AN146" s="80">
        <f t="shared" si="319"/>
        <v>0</v>
      </c>
      <c r="AO146" s="79">
        <v>0</v>
      </c>
      <c r="AP146" s="80">
        <f t="shared" si="320"/>
        <v>0</v>
      </c>
      <c r="AQ146" s="79">
        <v>0</v>
      </c>
      <c r="AR146" s="81">
        <f t="shared" si="321"/>
        <v>0</v>
      </c>
      <c r="AS146" s="80">
        <f t="shared" si="322"/>
        <v>0</v>
      </c>
      <c r="AT146" s="70">
        <f t="shared" si="323"/>
        <v>0</v>
      </c>
      <c r="AU146" s="80">
        <f t="shared" si="324"/>
        <v>0</v>
      </c>
      <c r="AV146" s="70">
        <f t="shared" si="325"/>
        <v>0</v>
      </c>
      <c r="AW146" s="80">
        <f t="shared" si="326"/>
        <v>0</v>
      </c>
      <c r="AX146" s="70">
        <f t="shared" si="327"/>
        <v>0</v>
      </c>
      <c r="AY146" s="70"/>
      <c r="BA146" s="79">
        <v>0</v>
      </c>
      <c r="BB146" s="80">
        <f t="shared" si="328"/>
        <v>0</v>
      </c>
      <c r="BC146" s="79">
        <v>0</v>
      </c>
      <c r="BD146" s="80">
        <f t="shared" si="329"/>
        <v>0</v>
      </c>
      <c r="BE146" s="79">
        <v>163.76</v>
      </c>
      <c r="BF146" s="81">
        <f t="shared" si="330"/>
        <v>3.873469037145196E-5</v>
      </c>
      <c r="BG146" s="80">
        <f t="shared" si="331"/>
        <v>0</v>
      </c>
      <c r="BH146" s="70">
        <f t="shared" si="332"/>
        <v>0</v>
      </c>
      <c r="BI146" s="80">
        <f t="shared" si="333"/>
        <v>0</v>
      </c>
      <c r="BJ146" s="70">
        <f t="shared" si="334"/>
        <v>163.76</v>
      </c>
      <c r="BK146" s="70"/>
    </row>
    <row r="147" spans="2:63" ht="11.95" hidden="1" outlineLevel="2" thickBot="1" x14ac:dyDescent="0.3">
      <c r="B147" t="str">
        <f>IF(LEFT(H147,3)="Mul", "#hiderow", "#showrow")</f>
        <v>#hiderow</v>
      </c>
      <c r="E147" s="3"/>
      <c r="F147" s="3"/>
      <c r="G147" s="3"/>
      <c r="H147" s="255" t="s">
        <v>6</v>
      </c>
      <c r="I147" s="18"/>
      <c r="J147" s="18"/>
      <c r="K147" s="18"/>
      <c r="L147" s="78"/>
      <c r="M147" s="79"/>
      <c r="N147" s="80">
        <f t="shared" si="308"/>
        <v>0</v>
      </c>
      <c r="O147" s="79"/>
      <c r="P147" s="80">
        <f t="shared" si="309"/>
        <v>0</v>
      </c>
      <c r="Q147" s="79"/>
      <c r="R147" s="80">
        <f t="shared" si="310"/>
        <v>0</v>
      </c>
      <c r="S147" s="79"/>
      <c r="T147" s="81">
        <f t="shared" si="311"/>
        <v>0</v>
      </c>
      <c r="U147" s="80">
        <f t="shared" si="312"/>
        <v>0</v>
      </c>
      <c r="V147" s="70">
        <f t="shared" si="313"/>
        <v>0</v>
      </c>
      <c r="W147" s="80">
        <f t="shared" si="314"/>
        <v>0</v>
      </c>
      <c r="X147" s="70">
        <f t="shared" si="315"/>
        <v>0</v>
      </c>
      <c r="Y147" s="80">
        <f t="shared" si="316"/>
        <v>0</v>
      </c>
      <c r="Z147" s="70">
        <f t="shared" si="317"/>
        <v>0</v>
      </c>
      <c r="AA147" s="70"/>
      <c r="AC147" s="138"/>
      <c r="AD147" s="138"/>
      <c r="AE147" s="138"/>
      <c r="AF147" s="233"/>
      <c r="AG147" s="139"/>
      <c r="AH147" s="233"/>
      <c r="AI147" s="139"/>
      <c r="AK147" s="79"/>
      <c r="AL147" s="80">
        <f t="shared" si="318"/>
        <v>0</v>
      </c>
      <c r="AM147" s="79"/>
      <c r="AN147" s="80">
        <f t="shared" si="319"/>
        <v>0</v>
      </c>
      <c r="AO147" s="79"/>
      <c r="AP147" s="80">
        <f t="shared" si="320"/>
        <v>0</v>
      </c>
      <c r="AQ147" s="79"/>
      <c r="AR147" s="81">
        <f t="shared" si="321"/>
        <v>0</v>
      </c>
      <c r="AS147" s="80">
        <f t="shared" si="322"/>
        <v>0</v>
      </c>
      <c r="AT147" s="70">
        <f t="shared" si="323"/>
        <v>0</v>
      </c>
      <c r="AU147" s="80">
        <f t="shared" si="324"/>
        <v>0</v>
      </c>
      <c r="AV147" s="70">
        <f t="shared" si="325"/>
        <v>0</v>
      </c>
      <c r="AW147" s="80">
        <f t="shared" si="326"/>
        <v>0</v>
      </c>
      <c r="AX147" s="70">
        <f t="shared" si="327"/>
        <v>0</v>
      </c>
      <c r="AY147" s="70"/>
      <c r="BA147" s="79"/>
      <c r="BB147" s="80">
        <f t="shared" si="328"/>
        <v>0</v>
      </c>
      <c r="BC147" s="79"/>
      <c r="BD147" s="80">
        <f t="shared" si="329"/>
        <v>0</v>
      </c>
      <c r="BE147" s="79"/>
      <c r="BF147" s="81">
        <f t="shared" si="330"/>
        <v>0</v>
      </c>
      <c r="BG147" s="80">
        <f t="shared" si="331"/>
        <v>0</v>
      </c>
      <c r="BH147" s="70">
        <f t="shared" si="332"/>
        <v>0</v>
      </c>
      <c r="BI147" s="80">
        <f t="shared" si="333"/>
        <v>0</v>
      </c>
      <c r="BJ147" s="70">
        <f t="shared" si="334"/>
        <v>0</v>
      </c>
      <c r="BK147" s="70"/>
    </row>
    <row r="148" spans="2:63" ht="11.95" outlineLevel="2" thickBot="1" x14ac:dyDescent="0.3">
      <c r="B148" t="str">
        <f>IF(LEFT(H148,3)="Mul", "#hiderow", "#showrow")</f>
        <v>#showrow</v>
      </c>
      <c r="E148" s="3"/>
      <c r="F148" s="3"/>
      <c r="G148" s="3"/>
      <c r="H148" s="255" t="s">
        <v>484</v>
      </c>
      <c r="I148" s="18"/>
      <c r="J148" s="18"/>
      <c r="K148" s="18"/>
      <c r="L148" s="78"/>
      <c r="M148" s="79"/>
      <c r="N148" s="80">
        <f t="shared" si="308"/>
        <v>0</v>
      </c>
      <c r="O148" s="79"/>
      <c r="P148" s="80">
        <f t="shared" si="309"/>
        <v>0</v>
      </c>
      <c r="Q148" s="79"/>
      <c r="R148" s="80">
        <f t="shared" si="310"/>
        <v>0</v>
      </c>
      <c r="S148" s="79"/>
      <c r="T148" s="81">
        <f t="shared" si="311"/>
        <v>0</v>
      </c>
      <c r="U148" s="80">
        <f t="shared" ref="U148" si="336">IFERROR(($O148-M148)/ABS(M148),0)</f>
        <v>0</v>
      </c>
      <c r="V148" s="70">
        <f t="shared" ref="V148" si="337">IFERROR((O148-$M148), 0-$M148)</f>
        <v>0</v>
      </c>
      <c r="W148" s="80">
        <f t="shared" ref="W148" si="338">IFERROR((Q148-$M148)/ABS($M148),0)</f>
        <v>0</v>
      </c>
      <c r="X148" s="70">
        <f t="shared" ref="X148" si="339">IFERROR((Q148-$M148), 0 -$M148)</f>
        <v>0</v>
      </c>
      <c r="Y148" s="80">
        <f t="shared" ref="Y148" si="340">IFERROR((S148-$M148)/ABS($M148),0)</f>
        <v>0</v>
      </c>
      <c r="Z148" s="70">
        <f t="shared" ref="Z148" si="341">IFERROR((S148-$M148),0-$M148)</f>
        <v>0</v>
      </c>
      <c r="AA148" s="70"/>
      <c r="AC148" s="138">
        <v>0</v>
      </c>
      <c r="AD148" s="138">
        <v>0</v>
      </c>
      <c r="AE148" s="138">
        <v>0</v>
      </c>
      <c r="AF148" s="233"/>
      <c r="AG148" s="139"/>
      <c r="AH148" s="233"/>
      <c r="AI148" s="139"/>
      <c r="AK148" s="79">
        <v>0</v>
      </c>
      <c r="AL148" s="80">
        <f t="shared" si="318"/>
        <v>0</v>
      </c>
      <c r="AM148" s="79">
        <v>0</v>
      </c>
      <c r="AN148" s="80">
        <f t="shared" si="319"/>
        <v>0</v>
      </c>
      <c r="AO148" s="79">
        <v>0</v>
      </c>
      <c r="AP148" s="80">
        <f t="shared" si="320"/>
        <v>0</v>
      </c>
      <c r="AQ148" s="79">
        <v>0</v>
      </c>
      <c r="AR148" s="81">
        <f t="shared" si="321"/>
        <v>0</v>
      </c>
      <c r="AS148" s="80">
        <f t="shared" ref="AS148" si="342">IFERROR((AM148-$AK148)/ABS($AK148),0)</f>
        <v>0</v>
      </c>
      <c r="AT148" s="70">
        <f t="shared" ref="AT148" si="343">(AM148-$AK148)</f>
        <v>0</v>
      </c>
      <c r="AU148" s="80">
        <f t="shared" ref="AU148" si="344">IFERROR((AO148-$AK148)/ABS($AO148),0)</f>
        <v>0</v>
      </c>
      <c r="AV148" s="70">
        <f t="shared" ref="AV148" si="345">(AO148-$AK148)</f>
        <v>0</v>
      </c>
      <c r="AW148" s="80">
        <f t="shared" ref="AW148" si="346">IFERROR((AQ148-$AK148)/ABS($AK148),0)</f>
        <v>0</v>
      </c>
      <c r="AX148" s="70">
        <f t="shared" ref="AX148" si="347">(AQ148-$AK148)</f>
        <v>0</v>
      </c>
      <c r="AY148" s="70"/>
      <c r="BA148" s="79">
        <v>0</v>
      </c>
      <c r="BB148" s="80">
        <f t="shared" si="328"/>
        <v>0</v>
      </c>
      <c r="BC148" s="79">
        <v>0</v>
      </c>
      <c r="BD148" s="80">
        <f t="shared" si="329"/>
        <v>0</v>
      </c>
      <c r="BE148" s="79">
        <v>163.76</v>
      </c>
      <c r="BF148" s="81">
        <f t="shared" si="330"/>
        <v>3.873469037145196E-5</v>
      </c>
      <c r="BG148" s="80">
        <f t="shared" ref="BG148" si="348">IFERROR((BC148-$BA148)/ABS($BA148),0)</f>
        <v>0</v>
      </c>
      <c r="BH148" s="70">
        <f t="shared" ref="BH148" si="349">(BC148-$BA148)</f>
        <v>0</v>
      </c>
      <c r="BI148" s="80">
        <f t="shared" ref="BI148" si="350">IFERROR((BE148-$BA148)/ABS($BA148),0)</f>
        <v>0</v>
      </c>
      <c r="BJ148" s="70">
        <f t="shared" ref="BJ148" si="351">(BE148-$BA148)</f>
        <v>163.76</v>
      </c>
      <c r="BK148" s="70"/>
    </row>
    <row r="149" spans="2:63" ht="11.95" x14ac:dyDescent="0.25">
      <c r="E149" s="19"/>
      <c r="F149" s="19"/>
      <c r="G149" s="19"/>
      <c r="H149" s="19" t="s">
        <v>82</v>
      </c>
      <c r="I149" s="85"/>
      <c r="J149" s="85"/>
      <c r="K149" s="85"/>
      <c r="L149" s="144">
        <v>-1</v>
      </c>
      <c r="M149" s="85">
        <f>SUMIFS(M143:M147,$I143:$I147,"&lt;&gt;"&amp;$I$29,$E143:$E147,"&lt;&gt;*[-]*",$F143:$F147,"&lt;&gt;*[-]*",$G143:$G147,"&lt;&gt;*[-]*",$H143:$H147,"Other Income/Expense")</f>
        <v>0</v>
      </c>
      <c r="N149" s="86"/>
      <c r="O149" s="85">
        <f>SUMIFS(O143:O147,$I143:$I147,"&lt;&gt;"&amp;$I$29,$E143:$E147,"&lt;&gt;*[-]*",$F143:$F147,"&lt;&gt;*[-]*",$G143:$G147,"&lt;&gt;*[-]*",$H143:$H147,"Other Income/Expense")</f>
        <v>0</v>
      </c>
      <c r="P149" s="86"/>
      <c r="Q149" s="85">
        <f>SUMIFS(Q143:Q147,$I143:$I147,"&lt;&gt;"&amp;$I$29,$E143:$E147,"&lt;&gt;*[-]*",$F143:$F147,"&lt;&gt;*[-]*",$G143:$G147,"&lt;&gt;*[-]*",$H143:$H147,"Other Income/Expense")</f>
        <v>0</v>
      </c>
      <c r="R149" s="86"/>
      <c r="S149" s="85">
        <f>SUMIFS(S143:S147,$I143:$I147,"&lt;&gt;"&amp;$I$29,$E143:$E147,"&lt;&gt;*[-]*",$F143:$F147,"&lt;&gt;*[-]*",$G143:$G147,"&lt;&gt;*[-]*",$H143:$H147,"Other Income/Expense")</f>
        <v>0</v>
      </c>
      <c r="T149" s="86">
        <f t="shared" si="311"/>
        <v>0</v>
      </c>
      <c r="U149" s="86">
        <f>IFERROR(($O149-M149)/ABS(M149),0)</f>
        <v>0</v>
      </c>
      <c r="V149" s="87">
        <f>IFERROR((O149-$M149), 0-$M149)</f>
        <v>0</v>
      </c>
      <c r="W149" s="86">
        <f>IFERROR((Q149-$M149)/ABS($M149),0)</f>
        <v>0</v>
      </c>
      <c r="X149" s="87">
        <f>IFERROR((Q149-$M149), 0 -$M149)</f>
        <v>0</v>
      </c>
      <c r="Y149" s="86">
        <f>IFERROR((S149-$M149)/ABS($M149),0)</f>
        <v>0</v>
      </c>
      <c r="Z149" s="87">
        <f>IFERROR((S149-$M149),0-$M149)</f>
        <v>0</v>
      </c>
      <c r="AA149" s="87"/>
      <c r="AC149" s="142">
        <f>SUMIFS(AC143:AC147,$I143:$I147,"&lt;&gt;"&amp;$I$29,$E143:$E147,"&lt;&gt;*[-]*",$F143:$F147,"&lt;&gt;*[-]*",$G143:$G147,"&lt;&gt;*[-]*",$H143:$H147,"Other Income/Expense")</f>
        <v>0</v>
      </c>
      <c r="AD149" s="142">
        <f>SUMIFS(AD143:AD147,$I143:$I147,"&lt;&gt;"&amp;$I$29,$E143:$E147,"&lt;&gt;*[-]*",$F143:$F147,"&lt;&gt;*[-]*",$G143:$G147,"&lt;&gt;*[-]*",$H143:$H147,"Other Income/Expense")</f>
        <v>0</v>
      </c>
      <c r="AE149" s="142">
        <f>SUMIFS(AE143:AE147,$I143:$I147,"&lt;&gt;"&amp;$I$29,$E143:$E147,"&lt;&gt;*[-]*",$F143:$F147,"&lt;&gt;*[-]*",$G143:$G147,"&lt;&gt;*[-]*",$H143:$H147,"Other Income/Expense")</f>
        <v>0</v>
      </c>
      <c r="AF149" s="173">
        <f t="shared" ref="AF149" si="352">IFERROR(($AC149-AD149)/ABS(AD149),0)</f>
        <v>0</v>
      </c>
      <c r="AG149" s="143">
        <f>($AC149-AD149)</f>
        <v>0</v>
      </c>
      <c r="AH149" s="173">
        <f>IFERROR(($AC149-AE149)/ABS(AE149),0)</f>
        <v>0</v>
      </c>
      <c r="AI149" s="143">
        <f>($AC149-AE149)</f>
        <v>0</v>
      </c>
      <c r="AK149" s="85">
        <f>SUMIFS(AK143:AK147,$I143:$I147,"&lt;&gt;"&amp;$I$29,$E143:$E147,"&lt;&gt;*[-]*",$F143:$F147,"&lt;&gt;*[-]*",$G143:$G147,"&lt;&gt;*[-]*",$H143:$H147,"Other Income/Expense")</f>
        <v>0</v>
      </c>
      <c r="AL149" s="86">
        <f t="shared" si="318"/>
        <v>0</v>
      </c>
      <c r="AM149" s="85">
        <f>SUMIFS(AM143:AM147,$I143:$I147,"&lt;&gt;"&amp;$I$29,$E143:$E147,"&lt;&gt;*[-]*",$F143:$F147,"&lt;&gt;*[-]*",$G143:$G147,"&lt;&gt;*[-]*",$H143:$H147,"Other Income/Expense")</f>
        <v>0</v>
      </c>
      <c r="AN149" s="86">
        <f t="shared" si="319"/>
        <v>0</v>
      </c>
      <c r="AO149" s="85">
        <f>SUMIFS(AO143:AO147,$I143:$I147,"&lt;&gt;"&amp;$I$29,$E143:$E147,"&lt;&gt;*[-]*",$F143:$F147,"&lt;&gt;*[-]*",$G143:$G147,"&lt;&gt;*[-]*",$H143:$H147,"Other Income/Expense")</f>
        <v>0</v>
      </c>
      <c r="AP149" s="86">
        <f t="shared" si="320"/>
        <v>0</v>
      </c>
      <c r="AQ149" s="85">
        <f>SUMIFS(AQ143:AQ147,$I143:$I147,"&lt;&gt;"&amp;$I$29,$E143:$E147,"&lt;&gt;*[-]*",$F143:$F147,"&lt;&gt;*[-]*",$G143:$G147,"&lt;&gt;*[-]*",$H143:$H147,"Other Income/Expense")</f>
        <v>0</v>
      </c>
      <c r="AR149" s="86">
        <f t="shared" si="321"/>
        <v>0</v>
      </c>
      <c r="AS149" s="86">
        <f>IFERROR((AM149-$AK149)/ABS($AK149),0)</f>
        <v>0</v>
      </c>
      <c r="AT149" s="87">
        <f>(AM149-$AK149)</f>
        <v>0</v>
      </c>
      <c r="AU149" s="86">
        <f>IFERROR((AO149-$AK149)/ABS($AO149),0)</f>
        <v>0</v>
      </c>
      <c r="AV149" s="87">
        <f>(AO149-$AK149)</f>
        <v>0</v>
      </c>
      <c r="AW149" s="86">
        <f>IFERROR((AQ149-$AK149)/ABS($AK149),0)</f>
        <v>0</v>
      </c>
      <c r="AX149" s="87">
        <f>(AQ149-$AK149)</f>
        <v>0</v>
      </c>
      <c r="AY149" s="87"/>
      <c r="BA149" s="85">
        <f>SUMIFS(BA143:BA147,$I143:$I147,"&lt;&gt;"&amp;$I$29,$E143:$E147,"&lt;&gt;*[-]*",$F143:$F147,"&lt;&gt;*[-]*",$G143:$G147,"&lt;&gt;*[-]*",$H143:$H147,"Other Income/Expense")</f>
        <v>0</v>
      </c>
      <c r="BB149" s="86">
        <f t="shared" si="328"/>
        <v>0</v>
      </c>
      <c r="BC149" s="85">
        <f>SUMIFS(BC143:BC147,$I143:$I147,"&lt;&gt;"&amp;$I$29,$E143:$E147,"&lt;&gt;*[-]*",$F143:$F147,"&lt;&gt;*[-]*",$G143:$G147,"&lt;&gt;*[-]*",$H143:$H147,"Other Income/Expense")</f>
        <v>0</v>
      </c>
      <c r="BD149" s="86">
        <f t="shared" si="329"/>
        <v>0</v>
      </c>
      <c r="BE149" s="85">
        <f>SUMIFS(BE143:BE147,$I143:$I147,"&lt;&gt;"&amp;$I$29,$E143:$E147,"&lt;&gt;*[-]*",$F143:$F147,"&lt;&gt;*[-]*",$G143:$G147,"&lt;&gt;*[-]*",$H143:$H147,"Other Income/Expense")</f>
        <v>163.76</v>
      </c>
      <c r="BF149" s="86">
        <f t="shared" si="330"/>
        <v>3.873469037145196E-5</v>
      </c>
      <c r="BG149" s="86">
        <f>IFERROR((BC149-$BA149)/ABS($BA149),0)</f>
        <v>0</v>
      </c>
      <c r="BH149" s="87">
        <f>(BC149-$BA149)</f>
        <v>0</v>
      </c>
      <c r="BI149" s="86">
        <f>IFERROR((BE149-$BA149)/ABS($BA149),0)</f>
        <v>0</v>
      </c>
      <c r="BJ149" s="87">
        <f>(BE149-$BA149)</f>
        <v>163.76</v>
      </c>
      <c r="BK149" s="87"/>
    </row>
    <row r="150" spans="2:63" x14ac:dyDescent="0.25">
      <c r="N150" s="145"/>
      <c r="P150" s="145"/>
      <c r="R150" s="145"/>
      <c r="T150" s="145"/>
      <c r="U150" s="145"/>
      <c r="V150" s="84"/>
      <c r="W150" s="145"/>
      <c r="X150" s="84"/>
      <c r="Y150" s="145"/>
      <c r="Z150" s="84"/>
      <c r="AA150" s="84"/>
      <c r="AF150" s="169"/>
      <c r="AG150" s="140"/>
      <c r="AH150" s="169"/>
      <c r="AI150" s="140"/>
      <c r="AL150" s="145"/>
      <c r="AN150" s="145"/>
      <c r="AP150" s="145"/>
      <c r="AR150" s="145"/>
      <c r="AS150" s="145"/>
      <c r="AT150" s="84"/>
      <c r="AU150" s="145"/>
      <c r="AV150" s="84"/>
      <c r="AW150" s="145"/>
      <c r="AX150" s="84"/>
      <c r="AY150" s="84"/>
      <c r="BB150" s="145"/>
      <c r="BD150" s="145"/>
      <c r="BF150" s="145"/>
      <c r="BG150" s="145"/>
      <c r="BH150" s="84"/>
      <c r="BI150" s="145"/>
      <c r="BJ150" s="84"/>
      <c r="BK150" s="84"/>
    </row>
    <row r="151" spans="2:63" ht="12.45" thickBot="1" x14ac:dyDescent="0.3">
      <c r="E151" s="4"/>
      <c r="F151" s="4"/>
      <c r="G151" s="4"/>
      <c r="H151" s="4" t="s">
        <v>19</v>
      </c>
      <c r="I151" s="4"/>
      <c r="J151" s="5"/>
      <c r="K151" s="5"/>
      <c r="L151" s="5"/>
      <c r="M151" s="5"/>
      <c r="N151" s="152"/>
      <c r="O151" s="5"/>
      <c r="P151" s="152"/>
      <c r="Q151" s="5"/>
      <c r="R151" s="152"/>
      <c r="S151" s="5"/>
      <c r="T151" s="152"/>
      <c r="U151" s="152"/>
      <c r="V151" s="75"/>
      <c r="W151" s="152"/>
      <c r="X151" s="75"/>
      <c r="Y151" s="152"/>
      <c r="Z151" s="75"/>
      <c r="AA151" s="75"/>
      <c r="AC151" s="133"/>
      <c r="AD151" s="133"/>
      <c r="AE151" s="133"/>
      <c r="AF151" s="171"/>
      <c r="AG151" s="134"/>
      <c r="AH151" s="171"/>
      <c r="AI151" s="134"/>
      <c r="AK151" s="23"/>
      <c r="AL151" s="152"/>
      <c r="AM151" s="23"/>
      <c r="AN151" s="152"/>
      <c r="AO151" s="23"/>
      <c r="AP151" s="152"/>
      <c r="AQ151" s="5"/>
      <c r="AR151" s="152"/>
      <c r="AS151" s="152"/>
      <c r="AT151" s="75"/>
      <c r="AU151" s="152"/>
      <c r="AV151" s="75"/>
      <c r="AW151" s="152"/>
      <c r="AX151" s="75"/>
      <c r="AY151" s="75"/>
      <c r="BA151" s="5"/>
      <c r="BB151" s="152"/>
      <c r="BC151" s="5"/>
      <c r="BD151" s="152"/>
      <c r="BE151" s="5"/>
      <c r="BF151" s="152"/>
      <c r="BG151" s="152"/>
      <c r="BH151" s="75"/>
      <c r="BI151" s="152"/>
      <c r="BJ151" s="75"/>
      <c r="BK151" s="75"/>
    </row>
    <row r="152" spans="2:63" ht="11.95" hidden="1" thickBot="1" x14ac:dyDescent="0.3">
      <c r="B152" t="s">
        <v>1</v>
      </c>
      <c r="E152" s="3"/>
      <c r="F152" s="3"/>
      <c r="G152" s="3"/>
      <c r="H152" s="3" t="s">
        <v>19</v>
      </c>
      <c r="I152" s="18"/>
      <c r="J152" s="18"/>
      <c r="K152" s="18"/>
      <c r="L152" s="78"/>
      <c r="M152" s="79">
        <v>0</v>
      </c>
      <c r="N152" s="80">
        <f>IFERROR(M152/SUMIFS(M:M, $H:$H, "Net Sales"),0)</f>
        <v>0</v>
      </c>
      <c r="O152" s="79">
        <v>0</v>
      </c>
      <c r="P152" s="80">
        <f>IFERROR(O152/SUMIFS(O:O, $H:$H, "Net Sales"),0)</f>
        <v>0</v>
      </c>
      <c r="Q152" s="79">
        <v>0</v>
      </c>
      <c r="R152" s="80">
        <f>IFERROR(Q152/SUMIFS(Q:Q, $H:$H, "Net Sales"),0)</f>
        <v>0</v>
      </c>
      <c r="S152" s="79">
        <v>0</v>
      </c>
      <c r="T152" s="81">
        <f>IFERROR(S152/SUMIFS(S:S, $H:$H, "Net Sales"),0)</f>
        <v>0</v>
      </c>
      <c r="U152" s="80">
        <f t="shared" ref="U152:U153" si="353">IFERROR(($O152-M152)/ABS(M152),0)</f>
        <v>0</v>
      </c>
      <c r="V152" s="70">
        <f t="shared" ref="V152:V153" si="354">IFERROR((O152-$M152), 0-$M152)</f>
        <v>0</v>
      </c>
      <c r="W152" s="80">
        <f t="shared" ref="W152:W153" si="355">IFERROR((Q152-$M152)/ABS($M152),0)</f>
        <v>0</v>
      </c>
      <c r="X152" s="70">
        <f t="shared" ref="X152:X153" si="356">IFERROR((Q152-$M152), 0 -$M152)</f>
        <v>0</v>
      </c>
      <c r="Y152" s="80">
        <f t="shared" ref="Y152:Y153" si="357">IFERROR((S152-$M152)/ABS($M152),0)</f>
        <v>0</v>
      </c>
      <c r="Z152" s="70">
        <f t="shared" ref="Z152:Z153" si="358">IFERROR((S152-$M152),0-$M152)</f>
        <v>0</v>
      </c>
      <c r="AA152" s="70"/>
      <c r="AC152" s="138">
        <v>0</v>
      </c>
      <c r="AD152" s="138">
        <v>0</v>
      </c>
      <c r="AE152" s="138">
        <v>0</v>
      </c>
      <c r="AF152" s="172"/>
      <c r="AG152" s="139"/>
      <c r="AH152" s="172"/>
      <c r="AI152" s="139"/>
      <c r="AK152" s="79">
        <v>0</v>
      </c>
      <c r="AL152" s="80">
        <f>IFERROR(AK152/SUMIFS(AK:AK, $H:$H, "Net Sales"),0)</f>
        <v>0</v>
      </c>
      <c r="AM152" s="79">
        <v>0</v>
      </c>
      <c r="AN152" s="80">
        <f>IFERROR(AM152/SUMIFS(AM:AM, $H:$H, "Net Sales"),0)</f>
        <v>0</v>
      </c>
      <c r="AO152" s="79">
        <v>0</v>
      </c>
      <c r="AP152" s="80">
        <f>IFERROR(AO152/SUMIFS(AO:AO, $H:$H, "Net Sales"),0)</f>
        <v>0</v>
      </c>
      <c r="AQ152" s="79">
        <v>0</v>
      </c>
      <c r="AR152" s="81">
        <f>IFERROR(AQ152/SUMIFS(AQ:AQ, $H:$H, "Net Sales"),0)</f>
        <v>0</v>
      </c>
      <c r="AS152" s="80">
        <f t="shared" ref="AS152:AS153" si="359">IFERROR((AM152-$AK152)/ABS($AK152),0)</f>
        <v>0</v>
      </c>
      <c r="AT152" s="70">
        <f t="shared" ref="AT152:AT153" si="360">(AM152-$AK152)</f>
        <v>0</v>
      </c>
      <c r="AU152" s="80">
        <f t="shared" ref="AU152:AU153" si="361">IFERROR((AO152-$AK152)/ABS($AO152),0)</f>
        <v>0</v>
      </c>
      <c r="AV152" s="70">
        <f t="shared" ref="AV152:AV153" si="362">(AO152-$AK152)</f>
        <v>0</v>
      </c>
      <c r="AW152" s="80">
        <f t="shared" ref="AW152:AW153" si="363">IFERROR((AQ152-$AK152)/ABS($AK152),0)</f>
        <v>0</v>
      </c>
      <c r="AX152" s="70">
        <f t="shared" ref="AX152:AX153" si="364">(AQ152-$AK152)</f>
        <v>0</v>
      </c>
      <c r="AY152" s="70"/>
      <c r="BA152" s="79">
        <v>0</v>
      </c>
      <c r="BB152" s="80">
        <f>IFERROR(BA152/SUMIFS(BA:BA, $H:$H, "Net Sales"),0)</f>
        <v>0</v>
      </c>
      <c r="BC152" s="79">
        <v>0</v>
      </c>
      <c r="BD152" s="80">
        <f>IFERROR(BC152/SUMIFS(BC:BC, $H:$H, "Net Sales"),0)</f>
        <v>0</v>
      </c>
      <c r="BE152" s="79">
        <v>0</v>
      </c>
      <c r="BF152" s="81">
        <f>IFERROR(BE152/SUMIFS(BE:BE, $H:$H, "Net Sales"),0)</f>
        <v>0</v>
      </c>
      <c r="BG152" s="80">
        <f t="shared" ref="BG152:BG153" si="365">IFERROR((BC152-$BA152)/ABS($BA152),0)</f>
        <v>0</v>
      </c>
      <c r="BH152" s="70">
        <f t="shared" ref="BH152:BH153" si="366">(BC152-$BA152)</f>
        <v>0</v>
      </c>
      <c r="BI152" s="80">
        <f t="shared" ref="BI152:BI153" si="367">IFERROR((BE152-$BA152)/ABS($BA152),0)</f>
        <v>0</v>
      </c>
      <c r="BJ152" s="70">
        <f t="shared" ref="BJ152:BJ153" si="368">(BE152-$BA152)</f>
        <v>0</v>
      </c>
      <c r="BK152" s="70"/>
    </row>
    <row r="153" spans="2:63" ht="11.95" hidden="1" thickBot="1" x14ac:dyDescent="0.3">
      <c r="B153" t="str">
        <f>IF(LEFT(H153,3)="Mul", "#hiderow", "#showrow")</f>
        <v>#hiderow</v>
      </c>
      <c r="E153" s="3"/>
      <c r="F153" s="3"/>
      <c r="G153" s="3"/>
      <c r="H153" s="255" t="s">
        <v>6</v>
      </c>
      <c r="I153" s="18"/>
      <c r="J153" s="18"/>
      <c r="K153" s="18"/>
      <c r="L153" s="78"/>
      <c r="M153" s="79"/>
      <c r="N153" s="80">
        <f>IFERROR(M153/SUMIFS(M:M, $H:$H, "Net Sales"),0)</f>
        <v>0</v>
      </c>
      <c r="O153" s="79">
        <v>0</v>
      </c>
      <c r="P153" s="80">
        <f>IFERROR(O153/SUMIFS(O:O, $H:$H, "Net Sales"),0)</f>
        <v>0</v>
      </c>
      <c r="Q153" s="79">
        <v>0</v>
      </c>
      <c r="R153" s="80">
        <f>IFERROR(Q153/SUMIFS(Q:Q, $H:$H, "Net Sales"),0)</f>
        <v>0</v>
      </c>
      <c r="S153" s="79"/>
      <c r="T153" s="81">
        <f>IFERROR(S153/SUMIFS(S:S, $H:$H, "Net Sales"),0)</f>
        <v>0</v>
      </c>
      <c r="U153" s="80">
        <f t="shared" si="353"/>
        <v>0</v>
      </c>
      <c r="V153" s="70">
        <f t="shared" si="354"/>
        <v>0</v>
      </c>
      <c r="W153" s="80">
        <f t="shared" si="355"/>
        <v>0</v>
      </c>
      <c r="X153" s="70">
        <f t="shared" si="356"/>
        <v>0</v>
      </c>
      <c r="Y153" s="80">
        <f t="shared" si="357"/>
        <v>0</v>
      </c>
      <c r="Z153" s="70">
        <f t="shared" si="358"/>
        <v>0</v>
      </c>
      <c r="AA153" s="70"/>
      <c r="AC153" s="138"/>
      <c r="AD153" s="138"/>
      <c r="AE153" s="138"/>
      <c r="AF153" s="172">
        <f t="shared" ref="AF153:AF154" si="369">IFERROR(($AC153-AD153)/ABS(AD153),0)</f>
        <v>0</v>
      </c>
      <c r="AG153" s="139">
        <f>($AC153-AD153)</f>
        <v>0</v>
      </c>
      <c r="AH153" s="172">
        <f>IFERROR(($AC153-AE153)/ABS(AE153),0)</f>
        <v>0</v>
      </c>
      <c r="AI153" s="139">
        <f>($AC153-AE153)</f>
        <v>0</v>
      </c>
      <c r="AK153" s="79"/>
      <c r="AL153" s="80">
        <f>IFERROR(AK153/SUMIFS(AK:AK, $H:$H, "Net Sales"),0)</f>
        <v>0</v>
      </c>
      <c r="AM153" s="79"/>
      <c r="AN153" s="80">
        <f>IFERROR(AM153/SUMIFS(AM:AM, $H:$H, "Net Sales"),0)</f>
        <v>0</v>
      </c>
      <c r="AO153" s="79"/>
      <c r="AP153" s="80">
        <f>IFERROR(AO153/SUMIFS(AO:AO, $H:$H, "Net Sales"),0)</f>
        <v>0</v>
      </c>
      <c r="AQ153" s="79"/>
      <c r="AR153" s="81">
        <f>IFERROR(AQ153/SUMIFS(AQ:AQ, $H:$H, "Net Sales"),0)</f>
        <v>0</v>
      </c>
      <c r="AS153" s="80">
        <f t="shared" si="359"/>
        <v>0</v>
      </c>
      <c r="AT153" s="70">
        <f t="shared" si="360"/>
        <v>0</v>
      </c>
      <c r="AU153" s="80">
        <f t="shared" si="361"/>
        <v>0</v>
      </c>
      <c r="AV153" s="70">
        <f t="shared" si="362"/>
        <v>0</v>
      </c>
      <c r="AW153" s="80">
        <f t="shared" si="363"/>
        <v>0</v>
      </c>
      <c r="AX153" s="70">
        <f t="shared" si="364"/>
        <v>0</v>
      </c>
      <c r="AY153" s="70"/>
      <c r="BA153" s="79"/>
      <c r="BB153" s="80">
        <f>IFERROR(BA153/SUMIFS(BA:BA, $H:$H, "Net Sales"),0)</f>
        <v>0</v>
      </c>
      <c r="BC153" s="79"/>
      <c r="BD153" s="80">
        <f>IFERROR(BC153/SUMIFS(BC:BC, $H:$H, "Net Sales"),0)</f>
        <v>0</v>
      </c>
      <c r="BE153" s="79"/>
      <c r="BF153" s="81">
        <f>IFERROR(BE153/SUMIFS(BE:BE, $H:$H, "Net Sales"),0)</f>
        <v>0</v>
      </c>
      <c r="BG153" s="80">
        <f t="shared" si="365"/>
        <v>0</v>
      </c>
      <c r="BH153" s="70">
        <f t="shared" si="366"/>
        <v>0</v>
      </c>
      <c r="BI153" s="80">
        <f t="shared" si="367"/>
        <v>0</v>
      </c>
      <c r="BJ153" s="70">
        <f t="shared" si="368"/>
        <v>0</v>
      </c>
      <c r="BK153" s="70"/>
    </row>
    <row r="154" spans="2:63" ht="11.95" x14ac:dyDescent="0.25">
      <c r="E154" s="19"/>
      <c r="F154" s="19"/>
      <c r="G154" s="19"/>
      <c r="H154" s="19" t="s">
        <v>83</v>
      </c>
      <c r="I154" s="85"/>
      <c r="J154" s="85"/>
      <c r="K154" s="85"/>
      <c r="L154" s="144">
        <v>-1</v>
      </c>
      <c r="M154" s="85">
        <f>SUMIFS(M152:M153,$I152:$I153,"&lt;&gt;"&amp;$I$29,$E152:$E153,"&lt;&gt;*[-]*",$F152:$F153,"&lt;&gt;*[-]*",$G152:$G153,"&lt;&gt;*[-]*",$H152:$H153,"Income Tax Expense/Benefit")</f>
        <v>0</v>
      </c>
      <c r="N154" s="86"/>
      <c r="O154" s="85">
        <f>SUMIFS(O152:O153,$I152:$I153,"&lt;&gt;"&amp;$I$29,$E152:$E153,"&lt;&gt;*[-]*",$F152:$F153,"&lt;&gt;*[-]*",$G152:$G153,"&lt;&gt;*[-]*",$H152:$H153,"Income Tax Expense/Benefit")</f>
        <v>0</v>
      </c>
      <c r="P154" s="86"/>
      <c r="Q154" s="85">
        <f>SUMIFS(Q152:Q153,$I152:$I153,"&lt;&gt;"&amp;$I$29,$E152:$E153,"&lt;&gt;*[-]*",$F152:$F153,"&lt;&gt;*[-]*",$G152:$G153,"&lt;&gt;*[-]*",$H152:$H153,"Income Tax Expense/Benefit")</f>
        <v>0</v>
      </c>
      <c r="R154" s="86"/>
      <c r="S154" s="85">
        <f>SUMIFS(S152:S153,$I152:$I153,"&lt;&gt;"&amp;$I$29,$E152:$E153,"&lt;&gt;*[-]*",$F152:$F153,"&lt;&gt;*[-]*",$G152:$G153,"&lt;&gt;*[-]*",$H152:$H153,"Income Tax Expense/Benefit")</f>
        <v>0</v>
      </c>
      <c r="T154" s="86">
        <f>IFERROR(S154/SUMIFS(S:S, $H:$H, "Net Sales"),0)</f>
        <v>0</v>
      </c>
      <c r="U154" s="86">
        <f>IFERROR(($O154-M154)/ABS(M154),0)</f>
        <v>0</v>
      </c>
      <c r="V154" s="87">
        <f>IFERROR((O154-$M154), 0-$M154)</f>
        <v>0</v>
      </c>
      <c r="W154" s="86">
        <f>IFERROR((Q154-$M154)/ABS($M154),0)</f>
        <v>0</v>
      </c>
      <c r="X154" s="87">
        <f>IFERROR((Q154-$M154), 0 -$M154)</f>
        <v>0</v>
      </c>
      <c r="Y154" s="86">
        <f>IFERROR((S154-$M154)/ABS($M154),0)</f>
        <v>0</v>
      </c>
      <c r="Z154" s="87">
        <f>IFERROR((S154-$M154),0-$M154)</f>
        <v>0</v>
      </c>
      <c r="AA154" s="87"/>
      <c r="AC154" s="142">
        <f>SUMIFS(AC152:AC153,$I152:$I153,"&lt;&gt;"&amp;$I$29,$E152:$E153,"&lt;&gt;*[-]*",$F152:$F153,"&lt;&gt;*[-]*",$G152:$G153,"&lt;&gt;*[-]*",$H152:$H153,"Income Tax Expense/Benefit")</f>
        <v>0</v>
      </c>
      <c r="AD154" s="142">
        <f>SUMIFS(AD152:AD153,$I152:$I153,"&lt;&gt;"&amp;$I$29,$E152:$E153,"&lt;&gt;*[-]*",$F152:$F153,"&lt;&gt;*[-]*",$G152:$G153,"&lt;&gt;*[-]*",$H152:$H153,"Income Tax Expense/Benefit")</f>
        <v>0</v>
      </c>
      <c r="AE154" s="142">
        <f>SUMIFS(AE152:AE153,$I152:$I153,"&lt;&gt;"&amp;$I$29,$E152:$E153,"&lt;&gt;*[-]*",$F152:$F153,"&lt;&gt;*[-]*",$G152:$G153,"&lt;&gt;*[-]*",$H152:$H153,"Income Tax Expense/Benefit")</f>
        <v>0</v>
      </c>
      <c r="AF154" s="173">
        <f t="shared" si="369"/>
        <v>0</v>
      </c>
      <c r="AG154" s="143">
        <f>($AC154-AD154)</f>
        <v>0</v>
      </c>
      <c r="AH154" s="173">
        <f>IFERROR(($AC154-AE154)/ABS(AE154),0)</f>
        <v>0</v>
      </c>
      <c r="AI154" s="143">
        <f>($AC154-AE154)</f>
        <v>0</v>
      </c>
      <c r="AK154" s="85">
        <f>SUMIFS(AK152:AK153,$I152:$I153,"&lt;&gt;"&amp;$I$29,$E152:$E153,"&lt;&gt;*[-]*",$F152:$F153,"&lt;&gt;*[-]*",$G152:$G153,"&lt;&gt;*[-]*",$H152:$H153,"Income Tax Expense/Benefit")</f>
        <v>0</v>
      </c>
      <c r="AL154" s="86">
        <f>IFERROR(AK154/SUMIFS(AK:AK, $H:$H, "Net Sales"),0)</f>
        <v>0</v>
      </c>
      <c r="AM154" s="85">
        <f>SUMIFS(AM152:AM153,$I152:$I153,"&lt;&gt;"&amp;$I$29,$E152:$E153,"&lt;&gt;*[-]*",$F152:$F153,"&lt;&gt;*[-]*",$G152:$G153,"&lt;&gt;*[-]*",$H152:$H153,"Income Tax Expense/Benefit")</f>
        <v>0</v>
      </c>
      <c r="AN154" s="86">
        <f>IFERROR(AM154/SUMIFS(AM:AM, $H:$H, "Net Sales"),0)</f>
        <v>0</v>
      </c>
      <c r="AO154" s="85">
        <f>SUMIFS(AO152:AO153,$I152:$I153,"&lt;&gt;"&amp;$I$29,$E152:$E153,"&lt;&gt;*[-]*",$F152:$F153,"&lt;&gt;*[-]*",$G152:$G153,"&lt;&gt;*[-]*",$H152:$H153,"Income Tax Expense/Benefit")</f>
        <v>0</v>
      </c>
      <c r="AP154" s="86">
        <f>IFERROR(AO154/SUMIFS(AO:AO, $H:$H, "Net Sales"),0)</f>
        <v>0</v>
      </c>
      <c r="AQ154" s="85">
        <f>SUMIFS(AQ152:AQ153,$I152:$I153,"&lt;&gt;"&amp;$I$29,$E152:$E153,"&lt;&gt;*[-]*",$F152:$F153,"&lt;&gt;*[-]*",$G152:$G153,"&lt;&gt;*[-]*",$H152:$H153,"Income Tax Expense/Benefit")</f>
        <v>0</v>
      </c>
      <c r="AR154" s="86">
        <f>IFERROR(AQ154/SUMIFS(AQ:AQ, $H:$H, "Net Sales"),0)</f>
        <v>0</v>
      </c>
      <c r="AS154" s="86">
        <f>IFERROR((AM154-$AK154)/ABS($AK154),0)</f>
        <v>0</v>
      </c>
      <c r="AT154" s="87">
        <f>(AM154-$AK154)</f>
        <v>0</v>
      </c>
      <c r="AU154" s="86">
        <f>IFERROR((AO154-$AK154)/ABS($AO154),0)</f>
        <v>0</v>
      </c>
      <c r="AV154" s="87">
        <f>(AO154-$AK154)</f>
        <v>0</v>
      </c>
      <c r="AW154" s="86">
        <f>IFERROR((AQ154-$AK154)/ABS($AK154),0)</f>
        <v>0</v>
      </c>
      <c r="AX154" s="87">
        <f>(AQ154-$AK154)</f>
        <v>0</v>
      </c>
      <c r="AY154" s="87"/>
      <c r="BA154" s="85">
        <f>SUMIFS(BA152:BA153,$I152:$I153,"&lt;&gt;"&amp;$I$29,$E152:$E153,"&lt;&gt;*[-]*",$F152:$F153,"&lt;&gt;*[-]*",$G152:$G153,"&lt;&gt;*[-]*",$H152:$H153,"Income Tax Expense/Benefit")</f>
        <v>0</v>
      </c>
      <c r="BB154" s="86">
        <f>IFERROR(BA154/SUMIFS(BA:BA, $H:$H, "Net Sales"),0)</f>
        <v>0</v>
      </c>
      <c r="BC154" s="85">
        <f>SUMIFS(BC152:BC153,$I152:$I153,"&lt;&gt;"&amp;$I$29,$E152:$E153,"&lt;&gt;*[-]*",$F152:$F153,"&lt;&gt;*[-]*",$G152:$G153,"&lt;&gt;*[-]*",$H152:$H153,"Income Tax Expense/Benefit")</f>
        <v>0</v>
      </c>
      <c r="BD154" s="86">
        <f>IFERROR(BC154/SUMIFS(BC:BC, $H:$H, "Net Sales"),0)</f>
        <v>0</v>
      </c>
      <c r="BE154" s="85">
        <f>SUMIFS(BE152:BE153,$I152:$I153,"&lt;&gt;"&amp;$I$29,$E152:$E153,"&lt;&gt;*[-]*",$F152:$F153,"&lt;&gt;*[-]*",$G152:$G153,"&lt;&gt;*[-]*",$H152:$H153,"Income Tax Expense/Benefit")</f>
        <v>0</v>
      </c>
      <c r="BF154" s="86">
        <f>IFERROR(BE154/SUMIFS(BE:BE, $H:$H, "Net Sales"),0)</f>
        <v>0</v>
      </c>
      <c r="BG154" s="86">
        <f>IFERROR((BC154-$BA154)/ABS($BA154),0)</f>
        <v>0</v>
      </c>
      <c r="BH154" s="87">
        <f>(BC154-$BA154)</f>
        <v>0</v>
      </c>
      <c r="BI154" s="86">
        <f>IFERROR((BE154-$BA154)/ABS($BA154),0)</f>
        <v>0</v>
      </c>
      <c r="BJ154" s="87">
        <f>(BE154-$BA154)</f>
        <v>0</v>
      </c>
      <c r="BK154" s="87"/>
    </row>
    <row r="155" spans="2:63" x14ac:dyDescent="0.25">
      <c r="N155" s="145"/>
      <c r="P155" s="145"/>
      <c r="R155" s="145"/>
      <c r="T155" s="145"/>
      <c r="U155" s="145"/>
      <c r="V155" s="84"/>
      <c r="W155" s="145"/>
      <c r="X155" s="84"/>
      <c r="Y155" s="145"/>
      <c r="Z155" s="84"/>
      <c r="AA155" s="84"/>
      <c r="AF155" s="169"/>
      <c r="AG155" s="140"/>
      <c r="AH155" s="169"/>
      <c r="AI155" s="140"/>
      <c r="AL155" s="145"/>
      <c r="AN155" s="145"/>
      <c r="AP155" s="145"/>
      <c r="AR155" s="145"/>
      <c r="AS155" s="145"/>
      <c r="AT155" s="84"/>
      <c r="AU155" s="145"/>
      <c r="AV155" s="84"/>
      <c r="AW155" s="145"/>
      <c r="AX155" s="84"/>
      <c r="AY155" s="84"/>
      <c r="BB155" s="145"/>
      <c r="BD155" s="145"/>
      <c r="BF155" s="145"/>
      <c r="BG155" s="145"/>
      <c r="BH155" s="84"/>
      <c r="BI155" s="145"/>
      <c r="BJ155" s="84"/>
      <c r="BK155" s="84"/>
    </row>
    <row r="156" spans="2:63" ht="12.45" thickBot="1" x14ac:dyDescent="0.3">
      <c r="E156" s="4"/>
      <c r="F156" s="4"/>
      <c r="G156" s="4"/>
      <c r="H156" s="4" t="s">
        <v>28</v>
      </c>
      <c r="I156" s="4"/>
      <c r="J156" s="5"/>
      <c r="K156" s="5"/>
      <c r="L156" s="5"/>
      <c r="M156" s="5"/>
      <c r="N156" s="152"/>
      <c r="O156" s="5"/>
      <c r="P156" s="152"/>
      <c r="Q156" s="5"/>
      <c r="R156" s="152"/>
      <c r="S156" s="5"/>
      <c r="T156" s="152"/>
      <c r="U156" s="152"/>
      <c r="V156" s="75"/>
      <c r="W156" s="152"/>
      <c r="X156" s="75"/>
      <c r="Y156" s="152"/>
      <c r="Z156" s="75"/>
      <c r="AA156" s="75"/>
      <c r="AC156" s="133"/>
      <c r="AD156" s="133"/>
      <c r="AE156" s="133"/>
      <c r="AF156" s="171"/>
      <c r="AG156" s="134"/>
      <c r="AH156" s="171"/>
      <c r="AI156" s="134"/>
      <c r="AK156" s="5"/>
      <c r="AL156" s="152"/>
      <c r="AM156" s="5"/>
      <c r="AN156" s="152"/>
      <c r="AO156" s="5"/>
      <c r="AP156" s="152"/>
      <c r="AQ156" s="5"/>
      <c r="AR156" s="152"/>
      <c r="AS156" s="152"/>
      <c r="AT156" s="75"/>
      <c r="AU156" s="152"/>
      <c r="AV156" s="75"/>
      <c r="AW156" s="152"/>
      <c r="AX156" s="75"/>
      <c r="AY156" s="75"/>
      <c r="BA156" s="5"/>
      <c r="BB156" s="152"/>
      <c r="BC156" s="5"/>
      <c r="BD156" s="152"/>
      <c r="BE156" s="5"/>
      <c r="BF156" s="152"/>
      <c r="BG156" s="152"/>
      <c r="BH156" s="75"/>
      <c r="BI156" s="152"/>
      <c r="BJ156" s="75"/>
      <c r="BK156" s="75"/>
    </row>
    <row r="157" spans="2:63" ht="11.95" hidden="1" thickBot="1" x14ac:dyDescent="0.3">
      <c r="B157" t="s">
        <v>1</v>
      </c>
      <c r="E157" s="3"/>
      <c r="F157" s="3"/>
      <c r="G157" s="3"/>
      <c r="H157" s="3" t="s">
        <v>28</v>
      </c>
      <c r="I157" s="18"/>
      <c r="J157" s="18"/>
      <c r="K157" s="18"/>
      <c r="L157" s="78"/>
      <c r="M157" s="79">
        <v>37664.959999999999</v>
      </c>
      <c r="N157" s="80">
        <f t="shared" ref="N157:N165" si="370">IFERROR(M157/SUMIFS(M:M, $H:$H, "Net Sales"),0)</f>
        <v>9.2368633467090816E-2</v>
      </c>
      <c r="O157" s="79">
        <v>0</v>
      </c>
      <c r="P157" s="80">
        <f t="shared" ref="P157:P165" si="371">IFERROR(O157/SUMIFS(O:O, $H:$H, "Net Sales"),0)</f>
        <v>0</v>
      </c>
      <c r="Q157" s="79">
        <v>0</v>
      </c>
      <c r="R157" s="80">
        <f t="shared" ref="R157:R165" si="372">IFERROR(Q157/SUMIFS(Q:Q, $H:$H, "Net Sales"),0)</f>
        <v>0</v>
      </c>
      <c r="S157" s="79">
        <v>27562.59</v>
      </c>
      <c r="T157" s="81">
        <f t="shared" ref="T157:T166" si="373">IFERROR(S157/SUMIFS(S:S, $H:$H, "Net Sales"),0)</f>
        <v>0.12166312518696334</v>
      </c>
      <c r="U157" s="80">
        <f t="shared" ref="U157:U158" si="374">IFERROR(($O157-M157)/ABS(M157),0)</f>
        <v>-1</v>
      </c>
      <c r="V157" s="70">
        <f t="shared" ref="V157:V158" si="375">IFERROR((O157-$M157), 0-$M157)</f>
        <v>-37664.959999999999</v>
      </c>
      <c r="W157" s="80">
        <f t="shared" ref="W157:W158" si="376">IFERROR((Q157-$M157)/ABS($M157),0)</f>
        <v>-1</v>
      </c>
      <c r="X157" s="70">
        <f t="shared" ref="X157:X158" si="377">IFERROR((Q157-$M157), 0 -$M157)</f>
        <v>-37664.959999999999</v>
      </c>
      <c r="Y157" s="80">
        <f t="shared" ref="Y157:Y158" si="378">IFERROR((S157-$M157)/ABS($M157),0)</f>
        <v>-0.26821666610026929</v>
      </c>
      <c r="Z157" s="70">
        <f t="shared" ref="Z157:Z158" si="379">IFERROR((S157-$M157),0-$M157)</f>
        <v>-10102.369999999999</v>
      </c>
      <c r="AA157" s="70"/>
      <c r="AC157" s="138">
        <v>37664.959999999999</v>
      </c>
      <c r="AD157" s="138">
        <v>27562.59</v>
      </c>
      <c r="AE157" s="138">
        <v>0</v>
      </c>
      <c r="AF157" s="172"/>
      <c r="AG157" s="139"/>
      <c r="AH157" s="172"/>
      <c r="AI157" s="139"/>
      <c r="AK157" s="79">
        <v>37664.959999999999</v>
      </c>
      <c r="AL157" s="80">
        <f t="shared" ref="AL157:AL166" si="380">IFERROR(AK157/SUMIFS(AK:AK, $H:$H, "Net Sales"),0)</f>
        <v>9.2368633467090816E-2</v>
      </c>
      <c r="AM157" s="79">
        <v>0</v>
      </c>
      <c r="AN157" s="80">
        <f t="shared" ref="AN157:AN166" si="381">IFERROR(AM157/SUMIFS(AM:AM, $H:$H, "Net Sales"),0)</f>
        <v>0</v>
      </c>
      <c r="AO157" s="79">
        <v>0</v>
      </c>
      <c r="AP157" s="80">
        <f t="shared" ref="AP157:AP166" si="382">IFERROR(AO157/SUMIFS(AO:AO, $H:$H, "Net Sales"),0)</f>
        <v>0</v>
      </c>
      <c r="AQ157" s="79">
        <v>27562.59</v>
      </c>
      <c r="AR157" s="81">
        <f t="shared" ref="AR157:AR166" si="383">IFERROR(AQ157/SUMIFS(AQ:AQ, $H:$H, "Net Sales"),0)</f>
        <v>0.12166312518696334</v>
      </c>
      <c r="AS157" s="80">
        <f t="shared" ref="AS157:AS158" si="384">IFERROR((AM157-$AK157)/ABS($AK157),0)</f>
        <v>-1</v>
      </c>
      <c r="AT157" s="70">
        <f t="shared" ref="AT157:AT158" si="385">(AM157-$AK157)</f>
        <v>-37664.959999999999</v>
      </c>
      <c r="AU157" s="80">
        <f t="shared" ref="AU157:AU158" si="386">IFERROR((AO157-$AK157)/ABS($AO157),0)</f>
        <v>0</v>
      </c>
      <c r="AV157" s="70">
        <f t="shared" ref="AV157:AV158" si="387">(AO157-$AK157)</f>
        <v>-37664.959999999999</v>
      </c>
      <c r="AW157" s="80">
        <f t="shared" ref="AW157:AW158" si="388">IFERROR((AQ157-$AK157)/ABS($AK157),0)</f>
        <v>-0.26821666610026929</v>
      </c>
      <c r="AX157" s="70">
        <f t="shared" ref="AX157:AX158" si="389">(AQ157-$AK157)</f>
        <v>-10102.369999999999</v>
      </c>
      <c r="AY157" s="70"/>
      <c r="BA157" s="79">
        <v>0</v>
      </c>
      <c r="BB157" s="80">
        <f t="shared" ref="BB157:BB166" si="390">IFERROR(BA157/SUMIFS(BA:BA, $H:$H, "Net Sales"),0)</f>
        <v>0</v>
      </c>
      <c r="BC157" s="79">
        <v>0</v>
      </c>
      <c r="BD157" s="80">
        <f t="shared" ref="BD157:BD166" si="391">IFERROR(BC157/SUMIFS(BC:BC, $H:$H, "Net Sales"),0)</f>
        <v>0</v>
      </c>
      <c r="BE157" s="79">
        <v>373830.65</v>
      </c>
      <c r="BF157" s="81">
        <f t="shared" ref="BF157:BF166" si="392">IFERROR(BE157/SUMIFS(BE:BE, $H:$H, "Net Sales"),0)</f>
        <v>8.8423390810384889E-2</v>
      </c>
      <c r="BG157" s="80">
        <f t="shared" ref="BG157:BG158" si="393">IFERROR((BC157-$BA157)/ABS($BA157),0)</f>
        <v>0</v>
      </c>
      <c r="BH157" s="70">
        <f t="shared" ref="BH157:BH158" si="394">(BC157-$BA157)</f>
        <v>0</v>
      </c>
      <c r="BI157" s="80">
        <f t="shared" ref="BI157:BI158" si="395">IFERROR((BE157-$BA157)/ABS($BA157),0)</f>
        <v>0</v>
      </c>
      <c r="BJ157" s="70">
        <f t="shared" ref="BJ157:BJ158" si="396">(BE157-$BA157)</f>
        <v>373830.65</v>
      </c>
      <c r="BK157" s="70"/>
    </row>
    <row r="158" spans="2:63" ht="11.95" hidden="1" thickBot="1" x14ac:dyDescent="0.3">
      <c r="B158" t="str">
        <f>IF(LEFT(H158,3)="Mul", "#hiderow", "#showrow")</f>
        <v>#hiderow</v>
      </c>
      <c r="E158" s="3"/>
      <c r="F158" s="3"/>
      <c r="G158" s="3"/>
      <c r="H158" s="255" t="s">
        <v>6</v>
      </c>
      <c r="I158" s="18"/>
      <c r="J158" s="18"/>
      <c r="K158" s="18"/>
      <c r="L158" s="78"/>
      <c r="M158" s="79"/>
      <c r="N158" s="80">
        <f t="shared" si="370"/>
        <v>0</v>
      </c>
      <c r="O158" s="79">
        <v>0</v>
      </c>
      <c r="P158" s="80">
        <f t="shared" si="371"/>
        <v>0</v>
      </c>
      <c r="Q158" s="79">
        <v>0</v>
      </c>
      <c r="R158" s="80">
        <f t="shared" si="372"/>
        <v>0</v>
      </c>
      <c r="S158" s="79"/>
      <c r="T158" s="81">
        <f t="shared" si="373"/>
        <v>0</v>
      </c>
      <c r="U158" s="80">
        <f t="shared" si="374"/>
        <v>0</v>
      </c>
      <c r="V158" s="70">
        <f t="shared" si="375"/>
        <v>0</v>
      </c>
      <c r="W158" s="80">
        <f t="shared" si="376"/>
        <v>0</v>
      </c>
      <c r="X158" s="70">
        <f t="shared" si="377"/>
        <v>0</v>
      </c>
      <c r="Y158" s="80">
        <f t="shared" si="378"/>
        <v>0</v>
      </c>
      <c r="Z158" s="70">
        <f t="shared" si="379"/>
        <v>0</v>
      </c>
      <c r="AA158" s="70"/>
      <c r="AC158" s="138"/>
      <c r="AD158" s="138"/>
      <c r="AE158" s="138"/>
      <c r="AF158" s="172">
        <f t="shared" ref="AF158:AF166" si="397">IFERROR(($AC158-AD158)/ABS(AD158),0)</f>
        <v>0</v>
      </c>
      <c r="AG158" s="139">
        <f>($AC158-AD158)</f>
        <v>0</v>
      </c>
      <c r="AH158" s="172">
        <f>IFERROR(($AC158-AE158)/ABS(AE158),0)</f>
        <v>0</v>
      </c>
      <c r="AI158" s="139">
        <f>($AC158-AE158)</f>
        <v>0</v>
      </c>
      <c r="AK158" s="79"/>
      <c r="AL158" s="80">
        <f t="shared" si="380"/>
        <v>0</v>
      </c>
      <c r="AM158" s="79"/>
      <c r="AN158" s="80">
        <f t="shared" si="381"/>
        <v>0</v>
      </c>
      <c r="AO158" s="79"/>
      <c r="AP158" s="80">
        <f t="shared" si="382"/>
        <v>0</v>
      </c>
      <c r="AQ158" s="79"/>
      <c r="AR158" s="81">
        <f t="shared" si="383"/>
        <v>0</v>
      </c>
      <c r="AS158" s="80">
        <f t="shared" si="384"/>
        <v>0</v>
      </c>
      <c r="AT158" s="70">
        <f t="shared" si="385"/>
        <v>0</v>
      </c>
      <c r="AU158" s="80">
        <f t="shared" si="386"/>
        <v>0</v>
      </c>
      <c r="AV158" s="70">
        <f t="shared" si="387"/>
        <v>0</v>
      </c>
      <c r="AW158" s="80">
        <f t="shared" si="388"/>
        <v>0</v>
      </c>
      <c r="AX158" s="70">
        <f t="shared" si="389"/>
        <v>0</v>
      </c>
      <c r="AY158" s="70"/>
      <c r="BA158" s="79"/>
      <c r="BB158" s="80">
        <f t="shared" si="390"/>
        <v>0</v>
      </c>
      <c r="BC158" s="79"/>
      <c r="BD158" s="80">
        <f t="shared" si="391"/>
        <v>0</v>
      </c>
      <c r="BE158" s="79"/>
      <c r="BF158" s="81">
        <f t="shared" si="392"/>
        <v>0</v>
      </c>
      <c r="BG158" s="80">
        <f t="shared" si="393"/>
        <v>0</v>
      </c>
      <c r="BH158" s="70">
        <f t="shared" si="394"/>
        <v>0</v>
      </c>
      <c r="BI158" s="80">
        <f t="shared" si="395"/>
        <v>0</v>
      </c>
      <c r="BJ158" s="70">
        <f t="shared" si="396"/>
        <v>0</v>
      </c>
      <c r="BK158" s="70"/>
    </row>
    <row r="159" spans="2:63" ht="11.95" thickBot="1" x14ac:dyDescent="0.3">
      <c r="B159" t="str">
        <f t="shared" ref="B159:B165" si="398">IF(LEFT(H159,3)="Mul", "#hiderow", "#showrow")</f>
        <v>#showrow</v>
      </c>
      <c r="E159" s="3"/>
      <c r="F159" s="3"/>
      <c r="G159" s="3"/>
      <c r="H159" s="255" t="s">
        <v>475</v>
      </c>
      <c r="I159" s="18"/>
      <c r="J159" s="18"/>
      <c r="K159" s="18"/>
      <c r="L159" s="78"/>
      <c r="M159" s="79">
        <v>24.23</v>
      </c>
      <c r="N159" s="80">
        <f t="shared" si="370"/>
        <v>5.9421063739550244E-5</v>
      </c>
      <c r="O159" s="79"/>
      <c r="P159" s="80">
        <f t="shared" si="371"/>
        <v>0</v>
      </c>
      <c r="Q159" s="79"/>
      <c r="R159" s="80">
        <f t="shared" si="372"/>
        <v>0</v>
      </c>
      <c r="S159" s="79"/>
      <c r="T159" s="81">
        <f t="shared" si="373"/>
        <v>0</v>
      </c>
      <c r="U159" s="80">
        <f t="shared" ref="U159:U165" si="399">IFERROR(($O159-M159)/ABS(M159),0)</f>
        <v>-1</v>
      </c>
      <c r="V159" s="70">
        <f t="shared" ref="V159:V165" si="400">IFERROR((O159-$M159), 0-$M159)</f>
        <v>-24.23</v>
      </c>
      <c r="W159" s="80">
        <f t="shared" ref="W159:W165" si="401">IFERROR((Q159-$M159)/ABS($M159),0)</f>
        <v>-1</v>
      </c>
      <c r="X159" s="70">
        <f t="shared" ref="X159:X165" si="402">IFERROR((Q159-$M159), 0 -$M159)</f>
        <v>-24.23</v>
      </c>
      <c r="Y159" s="80">
        <f t="shared" ref="Y159:Y165" si="403">IFERROR((S159-$M159)/ABS($M159),0)</f>
        <v>-1</v>
      </c>
      <c r="Z159" s="70">
        <f t="shared" ref="Z159:Z165" si="404">IFERROR((S159-$M159),0-$M159)</f>
        <v>-24.23</v>
      </c>
      <c r="AA159" s="70"/>
      <c r="AC159" s="138">
        <v>24.23</v>
      </c>
      <c r="AD159" s="138">
        <v>0</v>
      </c>
      <c r="AE159" s="138">
        <v>0</v>
      </c>
      <c r="AF159" s="172">
        <f t="shared" ref="AF159:AF165" si="405">IFERROR(($AC159-AD159)/ABS(AD159),0)</f>
        <v>0</v>
      </c>
      <c r="AG159" s="139">
        <f t="shared" ref="AG159:AG165" si="406">($AC159-AD159)</f>
        <v>24.23</v>
      </c>
      <c r="AH159" s="172">
        <f t="shared" ref="AH159:AH165" si="407">IFERROR(($AC159-AE159)/ABS(AE159),0)</f>
        <v>0</v>
      </c>
      <c r="AI159" s="139">
        <f t="shared" ref="AI159:AI165" si="408">($AC159-AE159)</f>
        <v>24.23</v>
      </c>
      <c r="AK159" s="79">
        <v>24.23</v>
      </c>
      <c r="AL159" s="80">
        <f t="shared" si="380"/>
        <v>5.9421063739550244E-5</v>
      </c>
      <c r="AM159" s="79">
        <v>0</v>
      </c>
      <c r="AN159" s="80">
        <f t="shared" si="381"/>
        <v>0</v>
      </c>
      <c r="AO159" s="79">
        <v>0</v>
      </c>
      <c r="AP159" s="80">
        <f t="shared" si="382"/>
        <v>0</v>
      </c>
      <c r="AQ159" s="79">
        <v>0</v>
      </c>
      <c r="AR159" s="81">
        <f t="shared" si="383"/>
        <v>0</v>
      </c>
      <c r="AS159" s="80">
        <f t="shared" ref="AS159:AS165" si="409">IFERROR((AM159-$AK159)/ABS($AK159),0)</f>
        <v>-1</v>
      </c>
      <c r="AT159" s="70">
        <f t="shared" ref="AT159:AT165" si="410">(AM159-$AK159)</f>
        <v>-24.23</v>
      </c>
      <c r="AU159" s="80">
        <f t="shared" ref="AU159:AU165" si="411">IFERROR((AO159-$AK159)/ABS($AO159),0)</f>
        <v>0</v>
      </c>
      <c r="AV159" s="70">
        <f t="shared" ref="AV159:AV165" si="412">(AO159-$AK159)</f>
        <v>-24.23</v>
      </c>
      <c r="AW159" s="80">
        <f t="shared" ref="AW159:AW165" si="413">IFERROR((AQ159-$AK159)/ABS($AK159),0)</f>
        <v>-1</v>
      </c>
      <c r="AX159" s="70">
        <f t="shared" ref="AX159:AX165" si="414">(AQ159-$AK159)</f>
        <v>-24.23</v>
      </c>
      <c r="AY159" s="70"/>
      <c r="BA159" s="79">
        <v>0</v>
      </c>
      <c r="BB159" s="80">
        <f t="shared" si="390"/>
        <v>0</v>
      </c>
      <c r="BC159" s="79">
        <v>0</v>
      </c>
      <c r="BD159" s="80">
        <f t="shared" si="391"/>
        <v>0</v>
      </c>
      <c r="BE159" s="79">
        <v>290.77</v>
      </c>
      <c r="BF159" s="81">
        <f t="shared" si="392"/>
        <v>6.8776782604464381E-5</v>
      </c>
      <c r="BG159" s="80">
        <f t="shared" ref="BG159:BG165" si="415">IFERROR((BC159-$BA159)/ABS($BA159),0)</f>
        <v>0</v>
      </c>
      <c r="BH159" s="70">
        <f t="shared" ref="BH159:BH165" si="416">(BC159-$BA159)</f>
        <v>0</v>
      </c>
      <c r="BI159" s="80">
        <f t="shared" ref="BI159:BI165" si="417">IFERROR((BE159-$BA159)/ABS($BA159),0)</f>
        <v>0</v>
      </c>
      <c r="BJ159" s="70">
        <f t="shared" ref="BJ159:BJ165" si="418">(BE159-$BA159)</f>
        <v>290.77</v>
      </c>
      <c r="BK159" s="70"/>
    </row>
    <row r="160" spans="2:63" ht="11.95" thickBot="1" x14ac:dyDescent="0.3">
      <c r="B160" t="str">
        <f t="shared" si="398"/>
        <v>#showrow</v>
      </c>
      <c r="E160" s="3"/>
      <c r="F160" s="3"/>
      <c r="G160" s="3"/>
      <c r="H160" s="255" t="s">
        <v>175</v>
      </c>
      <c r="I160" s="18"/>
      <c r="J160" s="18"/>
      <c r="K160" s="18"/>
      <c r="L160" s="78"/>
      <c r="M160" s="79">
        <v>2478.5300000000002</v>
      </c>
      <c r="N160" s="80">
        <f t="shared" si="370"/>
        <v>6.0782867977873497E-3</v>
      </c>
      <c r="O160" s="79"/>
      <c r="P160" s="80">
        <f t="shared" si="371"/>
        <v>0</v>
      </c>
      <c r="Q160" s="79"/>
      <c r="R160" s="80">
        <f t="shared" si="372"/>
        <v>0</v>
      </c>
      <c r="S160" s="79">
        <v>1794.59</v>
      </c>
      <c r="T160" s="81">
        <f t="shared" si="373"/>
        <v>7.9214409033865289E-3</v>
      </c>
      <c r="U160" s="80">
        <f t="shared" si="399"/>
        <v>-1</v>
      </c>
      <c r="V160" s="70">
        <f t="shared" si="400"/>
        <v>-2478.5300000000002</v>
      </c>
      <c r="W160" s="80">
        <f t="shared" si="401"/>
        <v>-1</v>
      </c>
      <c r="X160" s="70">
        <f t="shared" si="402"/>
        <v>-2478.5300000000002</v>
      </c>
      <c r="Y160" s="80">
        <f t="shared" si="403"/>
        <v>-0.27594582272556728</v>
      </c>
      <c r="Z160" s="70">
        <f t="shared" si="404"/>
        <v>-683.94000000000028</v>
      </c>
      <c r="AA160" s="70"/>
      <c r="AC160" s="138">
        <v>2478.5300000000002</v>
      </c>
      <c r="AD160" s="138">
        <v>1794.59</v>
      </c>
      <c r="AE160" s="138">
        <v>0</v>
      </c>
      <c r="AF160" s="172">
        <f t="shared" si="405"/>
        <v>0.38111212031717567</v>
      </c>
      <c r="AG160" s="139">
        <f t="shared" si="406"/>
        <v>683.94000000000028</v>
      </c>
      <c r="AH160" s="172">
        <f t="shared" si="407"/>
        <v>0</v>
      </c>
      <c r="AI160" s="139">
        <f t="shared" si="408"/>
        <v>2478.5300000000002</v>
      </c>
      <c r="AK160" s="79">
        <v>2478.5300000000002</v>
      </c>
      <c r="AL160" s="80">
        <f t="shared" si="380"/>
        <v>6.0782867977873497E-3</v>
      </c>
      <c r="AM160" s="79">
        <v>0</v>
      </c>
      <c r="AN160" s="80">
        <f t="shared" si="381"/>
        <v>0</v>
      </c>
      <c r="AO160" s="79">
        <v>0</v>
      </c>
      <c r="AP160" s="80">
        <f t="shared" si="382"/>
        <v>0</v>
      </c>
      <c r="AQ160" s="79">
        <v>1794.59</v>
      </c>
      <c r="AR160" s="81">
        <f t="shared" si="383"/>
        <v>7.9214409033865289E-3</v>
      </c>
      <c r="AS160" s="80">
        <f t="shared" si="409"/>
        <v>-1</v>
      </c>
      <c r="AT160" s="70">
        <f t="shared" si="410"/>
        <v>-2478.5300000000002</v>
      </c>
      <c r="AU160" s="80">
        <f t="shared" si="411"/>
        <v>0</v>
      </c>
      <c r="AV160" s="70">
        <f t="shared" si="412"/>
        <v>-2478.5300000000002</v>
      </c>
      <c r="AW160" s="80">
        <f t="shared" si="413"/>
        <v>-0.27594582272556728</v>
      </c>
      <c r="AX160" s="70">
        <f t="shared" si="414"/>
        <v>-683.94000000000028</v>
      </c>
      <c r="AY160" s="70"/>
      <c r="BA160" s="79">
        <v>0</v>
      </c>
      <c r="BB160" s="80">
        <f t="shared" si="390"/>
        <v>0</v>
      </c>
      <c r="BC160" s="79">
        <v>0</v>
      </c>
      <c r="BD160" s="80">
        <f t="shared" si="391"/>
        <v>0</v>
      </c>
      <c r="BE160" s="79">
        <v>30703.58</v>
      </c>
      <c r="BF160" s="81">
        <f t="shared" si="392"/>
        <v>7.2624185673858402E-3</v>
      </c>
      <c r="BG160" s="80">
        <f t="shared" si="415"/>
        <v>0</v>
      </c>
      <c r="BH160" s="70">
        <f t="shared" si="416"/>
        <v>0</v>
      </c>
      <c r="BI160" s="80">
        <f t="shared" si="417"/>
        <v>0</v>
      </c>
      <c r="BJ160" s="70">
        <f t="shared" si="418"/>
        <v>30703.58</v>
      </c>
      <c r="BK160" s="70"/>
    </row>
    <row r="161" spans="2:63" ht="11.95" thickBot="1" x14ac:dyDescent="0.3">
      <c r="B161" t="str">
        <f t="shared" si="398"/>
        <v>#showrow</v>
      </c>
      <c r="E161" s="3"/>
      <c r="F161" s="3"/>
      <c r="G161" s="3"/>
      <c r="H161" s="255" t="s">
        <v>176</v>
      </c>
      <c r="I161" s="18"/>
      <c r="J161" s="18"/>
      <c r="K161" s="18"/>
      <c r="L161" s="78"/>
      <c r="M161" s="79">
        <v>1532.05</v>
      </c>
      <c r="N161" s="80">
        <f t="shared" si="370"/>
        <v>3.7571622246049506E-3</v>
      </c>
      <c r="O161" s="79"/>
      <c r="P161" s="80">
        <f t="shared" si="371"/>
        <v>0</v>
      </c>
      <c r="Q161" s="79"/>
      <c r="R161" s="80">
        <f t="shared" si="372"/>
        <v>0</v>
      </c>
      <c r="S161" s="79">
        <v>337.11</v>
      </c>
      <c r="T161" s="81">
        <f t="shared" si="373"/>
        <v>1.4880262026093054E-3</v>
      </c>
      <c r="U161" s="80">
        <f t="shared" si="399"/>
        <v>-1</v>
      </c>
      <c r="V161" s="70">
        <f t="shared" si="400"/>
        <v>-1532.05</v>
      </c>
      <c r="W161" s="80">
        <f t="shared" si="401"/>
        <v>-1</v>
      </c>
      <c r="X161" s="70">
        <f t="shared" si="402"/>
        <v>-1532.05</v>
      </c>
      <c r="Y161" s="80">
        <f t="shared" si="403"/>
        <v>-0.77996148950752264</v>
      </c>
      <c r="Z161" s="70">
        <f t="shared" si="404"/>
        <v>-1194.94</v>
      </c>
      <c r="AA161" s="70"/>
      <c r="AC161" s="138">
        <v>1532.05</v>
      </c>
      <c r="AD161" s="138">
        <v>337.11</v>
      </c>
      <c r="AE161" s="138">
        <v>0</v>
      </c>
      <c r="AF161" s="172">
        <f t="shared" si="405"/>
        <v>3.5446590133784226</v>
      </c>
      <c r="AG161" s="139">
        <f t="shared" si="406"/>
        <v>1194.94</v>
      </c>
      <c r="AH161" s="172">
        <f t="shared" si="407"/>
        <v>0</v>
      </c>
      <c r="AI161" s="139">
        <f t="shared" si="408"/>
        <v>1532.05</v>
      </c>
      <c r="AK161" s="79">
        <v>1532.05</v>
      </c>
      <c r="AL161" s="80">
        <f t="shared" si="380"/>
        <v>3.7571622246049506E-3</v>
      </c>
      <c r="AM161" s="79">
        <v>0</v>
      </c>
      <c r="AN161" s="80">
        <f t="shared" si="381"/>
        <v>0</v>
      </c>
      <c r="AO161" s="79">
        <v>0</v>
      </c>
      <c r="AP161" s="80">
        <f t="shared" si="382"/>
        <v>0</v>
      </c>
      <c r="AQ161" s="79">
        <v>337.11</v>
      </c>
      <c r="AR161" s="81">
        <f t="shared" si="383"/>
        <v>1.4880262026093054E-3</v>
      </c>
      <c r="AS161" s="80">
        <f t="shared" si="409"/>
        <v>-1</v>
      </c>
      <c r="AT161" s="70">
        <f t="shared" si="410"/>
        <v>-1532.05</v>
      </c>
      <c r="AU161" s="80">
        <f t="shared" si="411"/>
        <v>0</v>
      </c>
      <c r="AV161" s="70">
        <f t="shared" si="412"/>
        <v>-1532.05</v>
      </c>
      <c r="AW161" s="80">
        <f t="shared" si="413"/>
        <v>-0.77996148950752264</v>
      </c>
      <c r="AX161" s="70">
        <f t="shared" si="414"/>
        <v>-1194.94</v>
      </c>
      <c r="AY161" s="70"/>
      <c r="BA161" s="79">
        <v>0</v>
      </c>
      <c r="BB161" s="80">
        <f t="shared" si="390"/>
        <v>0</v>
      </c>
      <c r="BC161" s="79">
        <v>0</v>
      </c>
      <c r="BD161" s="80">
        <f t="shared" si="391"/>
        <v>0</v>
      </c>
      <c r="BE161" s="79">
        <v>14579.66</v>
      </c>
      <c r="BF161" s="81">
        <f t="shared" si="392"/>
        <v>3.4485748401382713E-3</v>
      </c>
      <c r="BG161" s="80">
        <f t="shared" si="415"/>
        <v>0</v>
      </c>
      <c r="BH161" s="70">
        <f t="shared" si="416"/>
        <v>0</v>
      </c>
      <c r="BI161" s="80">
        <f t="shared" si="417"/>
        <v>0</v>
      </c>
      <c r="BJ161" s="70">
        <f t="shared" si="418"/>
        <v>14579.66</v>
      </c>
      <c r="BK161" s="70"/>
    </row>
    <row r="162" spans="2:63" ht="11.95" thickBot="1" x14ac:dyDescent="0.3">
      <c r="B162" t="str">
        <f t="shared" si="398"/>
        <v>#showrow</v>
      </c>
      <c r="E162" s="3"/>
      <c r="F162" s="3"/>
      <c r="G162" s="3"/>
      <c r="H162" s="255" t="s">
        <v>177</v>
      </c>
      <c r="I162" s="18"/>
      <c r="J162" s="18"/>
      <c r="K162" s="18"/>
      <c r="L162" s="78"/>
      <c r="M162" s="79">
        <v>2328.5</v>
      </c>
      <c r="N162" s="80">
        <f t="shared" si="370"/>
        <v>5.7103568682436131E-3</v>
      </c>
      <c r="O162" s="79"/>
      <c r="P162" s="80">
        <f t="shared" si="371"/>
        <v>0</v>
      </c>
      <c r="Q162" s="79"/>
      <c r="R162" s="80">
        <f t="shared" si="372"/>
        <v>0</v>
      </c>
      <c r="S162" s="79">
        <v>642.75</v>
      </c>
      <c r="T162" s="81">
        <f t="shared" si="373"/>
        <v>2.8371417096114946E-3</v>
      </c>
      <c r="U162" s="80">
        <f t="shared" si="399"/>
        <v>-1</v>
      </c>
      <c r="V162" s="70">
        <f t="shared" si="400"/>
        <v>-2328.5</v>
      </c>
      <c r="W162" s="80">
        <f t="shared" si="401"/>
        <v>-1</v>
      </c>
      <c r="X162" s="70">
        <f t="shared" si="402"/>
        <v>-2328.5</v>
      </c>
      <c r="Y162" s="80">
        <f t="shared" si="403"/>
        <v>-0.72396392527378139</v>
      </c>
      <c r="Z162" s="70">
        <f t="shared" si="404"/>
        <v>-1685.75</v>
      </c>
      <c r="AA162" s="70"/>
      <c r="AC162" s="138">
        <v>2328.5</v>
      </c>
      <c r="AD162" s="138">
        <v>642.75</v>
      </c>
      <c r="AE162" s="138">
        <v>0</v>
      </c>
      <c r="AF162" s="172">
        <f t="shared" si="405"/>
        <v>2.6227148969272656</v>
      </c>
      <c r="AG162" s="139">
        <f t="shared" si="406"/>
        <v>1685.75</v>
      </c>
      <c r="AH162" s="172">
        <f t="shared" si="407"/>
        <v>0</v>
      </c>
      <c r="AI162" s="139">
        <f t="shared" si="408"/>
        <v>2328.5</v>
      </c>
      <c r="AK162" s="79">
        <v>2328.5</v>
      </c>
      <c r="AL162" s="80">
        <f t="shared" si="380"/>
        <v>5.7103568682436131E-3</v>
      </c>
      <c r="AM162" s="79">
        <v>0</v>
      </c>
      <c r="AN162" s="80">
        <f t="shared" si="381"/>
        <v>0</v>
      </c>
      <c r="AO162" s="79">
        <v>0</v>
      </c>
      <c r="AP162" s="80">
        <f t="shared" si="382"/>
        <v>0</v>
      </c>
      <c r="AQ162" s="79">
        <v>642.75</v>
      </c>
      <c r="AR162" s="81">
        <f t="shared" si="383"/>
        <v>2.8371417096114946E-3</v>
      </c>
      <c r="AS162" s="80">
        <f t="shared" si="409"/>
        <v>-1</v>
      </c>
      <c r="AT162" s="70">
        <f t="shared" si="410"/>
        <v>-2328.5</v>
      </c>
      <c r="AU162" s="80">
        <f t="shared" si="411"/>
        <v>0</v>
      </c>
      <c r="AV162" s="70">
        <f t="shared" si="412"/>
        <v>-2328.5</v>
      </c>
      <c r="AW162" s="80">
        <f t="shared" si="413"/>
        <v>-0.72396392527378139</v>
      </c>
      <c r="AX162" s="70">
        <f t="shared" si="414"/>
        <v>-1685.75</v>
      </c>
      <c r="AY162" s="70"/>
      <c r="BA162" s="79">
        <v>0</v>
      </c>
      <c r="BB162" s="80">
        <f t="shared" si="390"/>
        <v>0</v>
      </c>
      <c r="BC162" s="79">
        <v>0</v>
      </c>
      <c r="BD162" s="80">
        <f t="shared" si="391"/>
        <v>0</v>
      </c>
      <c r="BE162" s="79">
        <v>13243.82</v>
      </c>
      <c r="BF162" s="81">
        <f t="shared" si="392"/>
        <v>3.1326042198048542E-3</v>
      </c>
      <c r="BG162" s="80">
        <f t="shared" si="415"/>
        <v>0</v>
      </c>
      <c r="BH162" s="70">
        <f t="shared" si="416"/>
        <v>0</v>
      </c>
      <c r="BI162" s="80">
        <f t="shared" si="417"/>
        <v>0</v>
      </c>
      <c r="BJ162" s="70">
        <f t="shared" si="418"/>
        <v>13243.82</v>
      </c>
      <c r="BK162" s="70"/>
    </row>
    <row r="163" spans="2:63" ht="11.95" thickBot="1" x14ac:dyDescent="0.3">
      <c r="B163" t="str">
        <f t="shared" si="398"/>
        <v>#showrow</v>
      </c>
      <c r="E163" s="3"/>
      <c r="F163" s="3"/>
      <c r="G163" s="3"/>
      <c r="H163" s="255" t="s">
        <v>178</v>
      </c>
      <c r="I163" s="18"/>
      <c r="J163" s="18"/>
      <c r="K163" s="18"/>
      <c r="L163" s="78"/>
      <c r="M163" s="79">
        <v>1012.84</v>
      </c>
      <c r="N163" s="80">
        <f t="shared" si="370"/>
        <v>2.4838642260819675E-3</v>
      </c>
      <c r="O163" s="79"/>
      <c r="P163" s="80">
        <f t="shared" si="371"/>
        <v>0</v>
      </c>
      <c r="Q163" s="79"/>
      <c r="R163" s="80">
        <f t="shared" si="372"/>
        <v>0</v>
      </c>
      <c r="S163" s="79">
        <v>1012.84</v>
      </c>
      <c r="T163" s="81">
        <f t="shared" si="373"/>
        <v>4.4707438493394105E-3</v>
      </c>
      <c r="U163" s="80">
        <f t="shared" si="399"/>
        <v>-1</v>
      </c>
      <c r="V163" s="70">
        <f t="shared" si="400"/>
        <v>-1012.84</v>
      </c>
      <c r="W163" s="80">
        <f t="shared" si="401"/>
        <v>-1</v>
      </c>
      <c r="X163" s="70">
        <f t="shared" si="402"/>
        <v>-1012.84</v>
      </c>
      <c r="Y163" s="80">
        <f t="shared" si="403"/>
        <v>0</v>
      </c>
      <c r="Z163" s="70">
        <f t="shared" si="404"/>
        <v>0</v>
      </c>
      <c r="AA163" s="70"/>
      <c r="AC163" s="138">
        <v>1012.84</v>
      </c>
      <c r="AD163" s="138">
        <v>1012.84</v>
      </c>
      <c r="AE163" s="138">
        <v>0</v>
      </c>
      <c r="AF163" s="172">
        <f t="shared" si="405"/>
        <v>0</v>
      </c>
      <c r="AG163" s="139">
        <f t="shared" si="406"/>
        <v>0</v>
      </c>
      <c r="AH163" s="172">
        <f t="shared" si="407"/>
        <v>0</v>
      </c>
      <c r="AI163" s="139">
        <f t="shared" si="408"/>
        <v>1012.84</v>
      </c>
      <c r="AK163" s="79">
        <v>1012.84</v>
      </c>
      <c r="AL163" s="80">
        <f t="shared" si="380"/>
        <v>2.4838642260819675E-3</v>
      </c>
      <c r="AM163" s="79">
        <v>0</v>
      </c>
      <c r="AN163" s="80">
        <f t="shared" si="381"/>
        <v>0</v>
      </c>
      <c r="AO163" s="79">
        <v>0</v>
      </c>
      <c r="AP163" s="80">
        <f t="shared" si="382"/>
        <v>0</v>
      </c>
      <c r="AQ163" s="79">
        <v>1012.84</v>
      </c>
      <c r="AR163" s="81">
        <f t="shared" si="383"/>
        <v>4.4707438493394105E-3</v>
      </c>
      <c r="AS163" s="80">
        <f t="shared" si="409"/>
        <v>-1</v>
      </c>
      <c r="AT163" s="70">
        <f t="shared" si="410"/>
        <v>-1012.84</v>
      </c>
      <c r="AU163" s="80">
        <f t="shared" si="411"/>
        <v>0</v>
      </c>
      <c r="AV163" s="70">
        <f t="shared" si="412"/>
        <v>-1012.84</v>
      </c>
      <c r="AW163" s="80">
        <f t="shared" si="413"/>
        <v>0</v>
      </c>
      <c r="AX163" s="70">
        <f t="shared" si="414"/>
        <v>0</v>
      </c>
      <c r="AY163" s="70"/>
      <c r="BA163" s="79">
        <v>0</v>
      </c>
      <c r="BB163" s="80">
        <f t="shared" si="390"/>
        <v>0</v>
      </c>
      <c r="BC163" s="79">
        <v>0</v>
      </c>
      <c r="BD163" s="80">
        <f t="shared" si="391"/>
        <v>0</v>
      </c>
      <c r="BE163" s="79">
        <v>12480.8</v>
      </c>
      <c r="BF163" s="81">
        <f t="shared" si="392"/>
        <v>2.9521245944554081E-3</v>
      </c>
      <c r="BG163" s="80">
        <f t="shared" si="415"/>
        <v>0</v>
      </c>
      <c r="BH163" s="70">
        <f t="shared" si="416"/>
        <v>0</v>
      </c>
      <c r="BI163" s="80">
        <f t="shared" si="417"/>
        <v>0</v>
      </c>
      <c r="BJ163" s="70">
        <f t="shared" si="418"/>
        <v>12480.8</v>
      </c>
      <c r="BK163" s="70"/>
    </row>
    <row r="164" spans="2:63" ht="11.95" thickBot="1" x14ac:dyDescent="0.3">
      <c r="B164" t="str">
        <f t="shared" si="398"/>
        <v>#showrow</v>
      </c>
      <c r="E164" s="3"/>
      <c r="F164" s="3"/>
      <c r="G164" s="3"/>
      <c r="H164" s="255" t="s">
        <v>179</v>
      </c>
      <c r="I164" s="18"/>
      <c r="J164" s="18"/>
      <c r="K164" s="18"/>
      <c r="L164" s="78"/>
      <c r="M164" s="79">
        <v>9144.41</v>
      </c>
      <c r="N164" s="80">
        <f t="shared" si="370"/>
        <v>2.2425529074312035E-2</v>
      </c>
      <c r="O164" s="79"/>
      <c r="P164" s="80">
        <f t="shared" si="371"/>
        <v>0</v>
      </c>
      <c r="Q164" s="79"/>
      <c r="R164" s="80">
        <f t="shared" si="372"/>
        <v>0</v>
      </c>
      <c r="S164" s="79">
        <v>2630.9</v>
      </c>
      <c r="T164" s="81">
        <f t="shared" si="373"/>
        <v>1.1612969465292697E-2</v>
      </c>
      <c r="U164" s="80">
        <f t="shared" si="399"/>
        <v>-1</v>
      </c>
      <c r="V164" s="70">
        <f t="shared" si="400"/>
        <v>-9144.41</v>
      </c>
      <c r="W164" s="80">
        <f t="shared" si="401"/>
        <v>-1</v>
      </c>
      <c r="X164" s="70">
        <f t="shared" si="402"/>
        <v>-9144.41</v>
      </c>
      <c r="Y164" s="80">
        <f t="shared" si="403"/>
        <v>-0.71229417753578417</v>
      </c>
      <c r="Z164" s="70">
        <f t="shared" si="404"/>
        <v>-6513.51</v>
      </c>
      <c r="AA164" s="70"/>
      <c r="AC164" s="138">
        <v>9144.41</v>
      </c>
      <c r="AD164" s="138">
        <v>2630.9</v>
      </c>
      <c r="AE164" s="138">
        <v>0</v>
      </c>
      <c r="AF164" s="172">
        <f t="shared" si="405"/>
        <v>2.4757725493177238</v>
      </c>
      <c r="AG164" s="139">
        <f t="shared" si="406"/>
        <v>6513.51</v>
      </c>
      <c r="AH164" s="172">
        <f t="shared" si="407"/>
        <v>0</v>
      </c>
      <c r="AI164" s="139">
        <f t="shared" si="408"/>
        <v>9144.41</v>
      </c>
      <c r="AK164" s="79">
        <v>9144.41</v>
      </c>
      <c r="AL164" s="80">
        <f t="shared" si="380"/>
        <v>2.2425529074312035E-2</v>
      </c>
      <c r="AM164" s="79">
        <v>0</v>
      </c>
      <c r="AN164" s="80">
        <f t="shared" si="381"/>
        <v>0</v>
      </c>
      <c r="AO164" s="79">
        <v>0</v>
      </c>
      <c r="AP164" s="80">
        <f t="shared" si="382"/>
        <v>0</v>
      </c>
      <c r="AQ164" s="79">
        <v>2630.9</v>
      </c>
      <c r="AR164" s="81">
        <f t="shared" si="383"/>
        <v>1.1612969465292697E-2</v>
      </c>
      <c r="AS164" s="80">
        <f t="shared" si="409"/>
        <v>-1</v>
      </c>
      <c r="AT164" s="70">
        <f t="shared" si="410"/>
        <v>-9144.41</v>
      </c>
      <c r="AU164" s="80">
        <f t="shared" si="411"/>
        <v>0</v>
      </c>
      <c r="AV164" s="70">
        <f t="shared" si="412"/>
        <v>-9144.41</v>
      </c>
      <c r="AW164" s="80">
        <f t="shared" si="413"/>
        <v>-0.71229417753578417</v>
      </c>
      <c r="AX164" s="70">
        <f t="shared" si="414"/>
        <v>-6513.51</v>
      </c>
      <c r="AY164" s="70"/>
      <c r="BA164" s="79">
        <v>0</v>
      </c>
      <c r="BB164" s="80">
        <f t="shared" si="390"/>
        <v>0</v>
      </c>
      <c r="BC164" s="79">
        <v>0</v>
      </c>
      <c r="BD164" s="80">
        <f t="shared" si="391"/>
        <v>0</v>
      </c>
      <c r="BE164" s="79">
        <v>48799.22</v>
      </c>
      <c r="BF164" s="81">
        <f t="shared" si="392"/>
        <v>1.154263969875651E-2</v>
      </c>
      <c r="BG164" s="80">
        <f t="shared" si="415"/>
        <v>0</v>
      </c>
      <c r="BH164" s="70">
        <f t="shared" si="416"/>
        <v>0</v>
      </c>
      <c r="BI164" s="80">
        <f t="shared" si="417"/>
        <v>0</v>
      </c>
      <c r="BJ164" s="70">
        <f t="shared" si="418"/>
        <v>48799.22</v>
      </c>
      <c r="BK164" s="70"/>
    </row>
    <row r="165" spans="2:63" ht="11.95" thickBot="1" x14ac:dyDescent="0.3">
      <c r="B165" t="str">
        <f t="shared" si="398"/>
        <v>#showrow</v>
      </c>
      <c r="E165" s="3"/>
      <c r="F165" s="3"/>
      <c r="G165" s="3"/>
      <c r="H165" s="255" t="s">
        <v>476</v>
      </c>
      <c r="I165" s="18"/>
      <c r="J165" s="18"/>
      <c r="K165" s="18"/>
      <c r="L165" s="78"/>
      <c r="M165" s="79">
        <v>21144.400000000001</v>
      </c>
      <c r="N165" s="80">
        <f t="shared" si="370"/>
        <v>5.1854013212321352E-2</v>
      </c>
      <c r="O165" s="79"/>
      <c r="P165" s="80">
        <f t="shared" si="371"/>
        <v>0</v>
      </c>
      <c r="Q165" s="79"/>
      <c r="R165" s="80">
        <f t="shared" si="372"/>
        <v>0</v>
      </c>
      <c r="S165" s="79">
        <v>21144.400000000001</v>
      </c>
      <c r="T165" s="81">
        <f t="shared" si="373"/>
        <v>9.3332803056723909E-2</v>
      </c>
      <c r="U165" s="80">
        <f t="shared" si="399"/>
        <v>-1</v>
      </c>
      <c r="V165" s="70">
        <f t="shared" si="400"/>
        <v>-21144.400000000001</v>
      </c>
      <c r="W165" s="80">
        <f t="shared" si="401"/>
        <v>-1</v>
      </c>
      <c r="X165" s="70">
        <f t="shared" si="402"/>
        <v>-21144.400000000001</v>
      </c>
      <c r="Y165" s="80">
        <f t="shared" si="403"/>
        <v>0</v>
      </c>
      <c r="Z165" s="70">
        <f t="shared" si="404"/>
        <v>0</v>
      </c>
      <c r="AA165" s="70"/>
      <c r="AC165" s="138">
        <v>21144.400000000001</v>
      </c>
      <c r="AD165" s="138">
        <v>21144.400000000001</v>
      </c>
      <c r="AE165" s="138">
        <v>0</v>
      </c>
      <c r="AF165" s="172">
        <f t="shared" si="405"/>
        <v>0</v>
      </c>
      <c r="AG165" s="139">
        <f t="shared" si="406"/>
        <v>0</v>
      </c>
      <c r="AH165" s="172">
        <f t="shared" si="407"/>
        <v>0</v>
      </c>
      <c r="AI165" s="139">
        <f t="shared" si="408"/>
        <v>21144.400000000001</v>
      </c>
      <c r="AK165" s="79">
        <v>21144.400000000001</v>
      </c>
      <c r="AL165" s="80">
        <f t="shared" si="380"/>
        <v>5.1854013212321352E-2</v>
      </c>
      <c r="AM165" s="79">
        <v>0</v>
      </c>
      <c r="AN165" s="80">
        <f t="shared" si="381"/>
        <v>0</v>
      </c>
      <c r="AO165" s="79">
        <v>0</v>
      </c>
      <c r="AP165" s="80">
        <f t="shared" si="382"/>
        <v>0</v>
      </c>
      <c r="AQ165" s="79">
        <v>21144.400000000001</v>
      </c>
      <c r="AR165" s="81">
        <f t="shared" si="383"/>
        <v>9.3332803056723909E-2</v>
      </c>
      <c r="AS165" s="80">
        <f t="shared" si="409"/>
        <v>-1</v>
      </c>
      <c r="AT165" s="70">
        <f t="shared" si="410"/>
        <v>-21144.400000000001</v>
      </c>
      <c r="AU165" s="80">
        <f t="shared" si="411"/>
        <v>0</v>
      </c>
      <c r="AV165" s="70">
        <f t="shared" si="412"/>
        <v>-21144.400000000001</v>
      </c>
      <c r="AW165" s="80">
        <f t="shared" si="413"/>
        <v>0</v>
      </c>
      <c r="AX165" s="70">
        <f t="shared" si="414"/>
        <v>0</v>
      </c>
      <c r="AY165" s="70"/>
      <c r="BA165" s="79">
        <v>0</v>
      </c>
      <c r="BB165" s="80">
        <f t="shared" si="390"/>
        <v>0</v>
      </c>
      <c r="BC165" s="79">
        <v>0</v>
      </c>
      <c r="BD165" s="80">
        <f t="shared" si="391"/>
        <v>0</v>
      </c>
      <c r="BE165" s="79">
        <v>253732.8</v>
      </c>
      <c r="BF165" s="81">
        <f t="shared" si="392"/>
        <v>6.0016252107239536E-2</v>
      </c>
      <c r="BG165" s="80">
        <f t="shared" si="415"/>
        <v>0</v>
      </c>
      <c r="BH165" s="70">
        <f t="shared" si="416"/>
        <v>0</v>
      </c>
      <c r="BI165" s="80">
        <f t="shared" si="417"/>
        <v>0</v>
      </c>
      <c r="BJ165" s="70">
        <f t="shared" si="418"/>
        <v>253732.8</v>
      </c>
      <c r="BK165" s="70"/>
    </row>
    <row r="166" spans="2:63" ht="11.95" x14ac:dyDescent="0.25">
      <c r="E166" s="19"/>
      <c r="F166" s="19"/>
      <c r="G166" s="19"/>
      <c r="H166" s="19" t="s">
        <v>84</v>
      </c>
      <c r="I166" s="85"/>
      <c r="J166" s="85"/>
      <c r="K166" s="85"/>
      <c r="L166" s="144">
        <v>-1</v>
      </c>
      <c r="M166" s="85">
        <f>SUMIFS(M157:M158,$I157:$I158,"&lt;&gt;"&amp;$I$29,$E157:$E158,"&lt;&gt;*[-]*",$F157:$F158,"&lt;&gt;*[-]*",$G157:$G158,"&lt;&gt;*[-]*",$H157:$H158,"Depreciation &amp; Amortization")</f>
        <v>37664.959999999999</v>
      </c>
      <c r="N166" s="86"/>
      <c r="O166" s="85">
        <f>SUMIFS(O157:O158,$I157:$I158,"&lt;&gt;"&amp;$I$29,$E157:$E158,"&lt;&gt;*[-]*",$F157:$F158,"&lt;&gt;*[-]*",$G157:$G158,"&lt;&gt;*[-]*",$H157:$H158,"Depreciation &amp; Amortization")</f>
        <v>0</v>
      </c>
      <c r="P166" s="86"/>
      <c r="Q166" s="85">
        <f>SUMIFS(Q157:Q158,$I157:$I158,"&lt;&gt;"&amp;$I$29,$E157:$E158,"&lt;&gt;*[-]*",$F157:$F158,"&lt;&gt;*[-]*",$G157:$G158,"&lt;&gt;*[-]*",$H157:$H158,"Depreciation &amp; Amortization")</f>
        <v>0</v>
      </c>
      <c r="R166" s="86"/>
      <c r="S166" s="85">
        <f>SUMIFS(S157:S158,$I157:$I158,"&lt;&gt;"&amp;$I$29,$E157:$E158,"&lt;&gt;*[-]*",$F157:$F158,"&lt;&gt;*[-]*",$G157:$G158,"&lt;&gt;*[-]*",$H157:$H158,"Depreciation &amp; Amortization")</f>
        <v>27562.59</v>
      </c>
      <c r="T166" s="86">
        <f t="shared" si="373"/>
        <v>0.12166312518696334</v>
      </c>
      <c r="U166" s="86">
        <f>IFERROR(($O166-M166)/ABS(M166),0)</f>
        <v>-1</v>
      </c>
      <c r="V166" s="87">
        <f>IFERROR((O166-$M166), 0-$M166)</f>
        <v>-37664.959999999999</v>
      </c>
      <c r="W166" s="86">
        <f>IFERROR((Q166-$M166)/ABS($M166),0)</f>
        <v>-1</v>
      </c>
      <c r="X166" s="87">
        <f>IFERROR((Q166-$M166), 0 -$M166)</f>
        <v>-37664.959999999999</v>
      </c>
      <c r="Y166" s="86">
        <f>IFERROR((S166-$M166)/ABS($M166),0)</f>
        <v>-0.26821666610026929</v>
      </c>
      <c r="Z166" s="87">
        <f>IFERROR((S166-$M166),0-$M166)</f>
        <v>-10102.369999999999</v>
      </c>
      <c r="AA166" s="87"/>
      <c r="AC166" s="142">
        <f>SUMIFS(AC157:AC158,$I157:$I158,"&lt;&gt;"&amp;$I$29,$E157:$E158,"&lt;&gt;*[-]*",$F157:$F158,"&lt;&gt;*[-]*",$G157:$G158,"&lt;&gt;*[-]*",$H157:$H158,"Depreciation &amp; Amortization")</f>
        <v>37664.959999999999</v>
      </c>
      <c r="AD166" s="142">
        <f>SUMIFS(AD157:AD158,$I157:$I158,"&lt;&gt;"&amp;$I$29,$E157:$E158,"&lt;&gt;*[-]*",$F157:$F158,"&lt;&gt;*[-]*",$G157:$G158,"&lt;&gt;*[-]*",$H157:$H158,"Depreciation &amp; Amortization")</f>
        <v>27562.59</v>
      </c>
      <c r="AE166" s="142">
        <f>SUMIFS(AE157:AE158,$I157:$I158,"&lt;&gt;"&amp;$I$29,$E157:$E158,"&lt;&gt;*[-]*",$F157:$F158,"&lt;&gt;*[-]*",$G157:$G158,"&lt;&gt;*[-]*",$H157:$H158,"Depreciation &amp; Amortization")</f>
        <v>0</v>
      </c>
      <c r="AF166" s="173">
        <f t="shared" si="397"/>
        <v>0.36652469887626665</v>
      </c>
      <c r="AG166" s="143">
        <f>($AC166-AD166)</f>
        <v>10102.369999999999</v>
      </c>
      <c r="AH166" s="173">
        <f>IFERROR(($AC166-AE166)/ABS(AE166),0)</f>
        <v>0</v>
      </c>
      <c r="AI166" s="143">
        <f>($AC166-AE166)</f>
        <v>37664.959999999999</v>
      </c>
      <c r="AK166" s="85">
        <f>SUMIFS(AK157:AK158,$I157:$I158,"&lt;&gt;"&amp;$I$29,$E157:$E158,"&lt;&gt;*[-]*",$F157:$F158,"&lt;&gt;*[-]*",$G157:$G158,"&lt;&gt;*[-]*",$H157:$H158,"Depreciation &amp; Amortization")</f>
        <v>37664.959999999999</v>
      </c>
      <c r="AL166" s="86">
        <f t="shared" si="380"/>
        <v>9.2368633467090816E-2</v>
      </c>
      <c r="AM166" s="85">
        <f>SUMIFS(AM157:AM158,$I157:$I158,"&lt;&gt;"&amp;$I$29,$E157:$E158,"&lt;&gt;*[-]*",$F157:$F158,"&lt;&gt;*[-]*",$G157:$G158,"&lt;&gt;*[-]*",$H157:$H158,"Depreciation &amp; Amortization")</f>
        <v>0</v>
      </c>
      <c r="AN166" s="86">
        <f t="shared" si="381"/>
        <v>0</v>
      </c>
      <c r="AO166" s="85">
        <f>SUMIFS(AO157:AO158,$I157:$I158,"&lt;&gt;"&amp;$I$29,$E157:$E158,"&lt;&gt;*[-]*",$F157:$F158,"&lt;&gt;*[-]*",$G157:$G158,"&lt;&gt;*[-]*",$H157:$H158,"Depreciation &amp; Amortization")</f>
        <v>0</v>
      </c>
      <c r="AP166" s="86">
        <f t="shared" si="382"/>
        <v>0</v>
      </c>
      <c r="AQ166" s="85">
        <f>SUMIFS(AQ157:AQ158,$I157:$I158,"&lt;&gt;"&amp;$I$29,$E157:$E158,"&lt;&gt;*[-]*",$F157:$F158,"&lt;&gt;*[-]*",$G157:$G158,"&lt;&gt;*[-]*",$H157:$H158,"Depreciation &amp; Amortization")</f>
        <v>27562.59</v>
      </c>
      <c r="AR166" s="86">
        <f t="shared" si="383"/>
        <v>0.12166312518696334</v>
      </c>
      <c r="AS166" s="86">
        <f>IFERROR((AM166-$AK166)/ABS($AK166),0)</f>
        <v>-1</v>
      </c>
      <c r="AT166" s="87">
        <f>(AM166-$AK166)</f>
        <v>-37664.959999999999</v>
      </c>
      <c r="AU166" s="86">
        <f>IFERROR((AO166-$AK166)/ABS($AO166),0)</f>
        <v>0</v>
      </c>
      <c r="AV166" s="87">
        <f>(AO166-$AK166)</f>
        <v>-37664.959999999999</v>
      </c>
      <c r="AW166" s="86">
        <f>IFERROR((AQ166-$AK166)/ABS($AK166),0)</f>
        <v>-0.26821666610026929</v>
      </c>
      <c r="AX166" s="87">
        <f>(AQ166-$AK166)</f>
        <v>-10102.369999999999</v>
      </c>
      <c r="AY166" s="87"/>
      <c r="BA166" s="85">
        <f>SUMIFS(BA157:BA158,$I157:$I158,"&lt;&gt;"&amp;$I$29,$E157:$E158,"&lt;&gt;*[-]*",$F157:$F158,"&lt;&gt;*[-]*",$G157:$G158,"&lt;&gt;*[-]*",$H157:$H158,"Depreciation &amp; Amortization")</f>
        <v>0</v>
      </c>
      <c r="BB166" s="86">
        <f t="shared" si="390"/>
        <v>0</v>
      </c>
      <c r="BC166" s="85">
        <f>SUMIFS(BC157:BC158,$I157:$I158,"&lt;&gt;"&amp;$I$29,$E157:$E158,"&lt;&gt;*[-]*",$F157:$F158,"&lt;&gt;*[-]*",$G157:$G158,"&lt;&gt;*[-]*",$H157:$H158,"Depreciation &amp; Amortization")</f>
        <v>0</v>
      </c>
      <c r="BD166" s="86">
        <f t="shared" si="391"/>
        <v>0</v>
      </c>
      <c r="BE166" s="85">
        <f>SUMIFS(BE157:BE158,$I157:$I158,"&lt;&gt;"&amp;$I$29,$E157:$E158,"&lt;&gt;*[-]*",$F157:$F158,"&lt;&gt;*[-]*",$G157:$G158,"&lt;&gt;*[-]*",$H157:$H158,"Depreciation &amp; Amortization")</f>
        <v>373830.65</v>
      </c>
      <c r="BF166" s="86">
        <f t="shared" si="392"/>
        <v>8.8423390810384889E-2</v>
      </c>
      <c r="BG166" s="86">
        <f>IFERROR((BC166-$BA166)/ABS($BA166),0)</f>
        <v>0</v>
      </c>
      <c r="BH166" s="87">
        <f>(BC166-$BA166)</f>
        <v>0</v>
      </c>
      <c r="BI166" s="86">
        <f>IFERROR((BE166-$BA166)/ABS($BA166),0)</f>
        <v>0</v>
      </c>
      <c r="BJ166" s="87">
        <f>(BE166-$BA166)</f>
        <v>373830.65</v>
      </c>
      <c r="BK166" s="87"/>
    </row>
    <row r="167" spans="2:63" x14ac:dyDescent="0.25">
      <c r="N167" s="145"/>
      <c r="P167" s="145"/>
      <c r="R167" s="145"/>
      <c r="T167" s="145"/>
      <c r="U167" s="145"/>
      <c r="V167" s="84"/>
      <c r="W167" s="145"/>
      <c r="X167" s="84"/>
      <c r="Y167" s="145"/>
      <c r="Z167" s="84"/>
      <c r="AA167" s="84"/>
      <c r="AF167" s="169"/>
      <c r="AG167" s="140"/>
      <c r="AH167" s="169"/>
      <c r="AI167" s="140"/>
      <c r="AL167" s="145"/>
      <c r="AN167" s="145"/>
      <c r="AP167" s="145"/>
      <c r="AR167" s="145"/>
      <c r="AS167" s="145"/>
      <c r="AT167" s="84"/>
      <c r="AU167" s="145"/>
      <c r="AV167" s="84"/>
      <c r="AW167" s="145"/>
      <c r="AX167" s="84"/>
      <c r="AY167" s="84"/>
      <c r="BB167" s="145"/>
      <c r="BD167" s="145"/>
      <c r="BF167" s="145"/>
      <c r="BG167" s="145"/>
      <c r="BH167" s="84"/>
      <c r="BI167" s="145"/>
      <c r="BJ167" s="84"/>
      <c r="BK167" s="84"/>
    </row>
    <row r="168" spans="2:63" ht="12.45" thickBot="1" x14ac:dyDescent="0.3">
      <c r="E168" s="4"/>
      <c r="F168" s="4"/>
      <c r="G168" s="4"/>
      <c r="H168" s="4" t="s">
        <v>29</v>
      </c>
      <c r="I168" s="4"/>
      <c r="J168" s="5"/>
      <c r="K168" s="5"/>
      <c r="L168" s="5"/>
      <c r="M168" s="5"/>
      <c r="N168" s="152"/>
      <c r="O168" s="5"/>
      <c r="P168" s="152"/>
      <c r="Q168" s="5"/>
      <c r="R168" s="152"/>
      <c r="S168" s="5"/>
      <c r="T168" s="152"/>
      <c r="U168" s="152"/>
      <c r="V168" s="75"/>
      <c r="W168" s="152"/>
      <c r="X168" s="75"/>
      <c r="Y168" s="152"/>
      <c r="Z168" s="75"/>
      <c r="AA168" s="75"/>
      <c r="AC168" s="133"/>
      <c r="AD168" s="133"/>
      <c r="AE168" s="133"/>
      <c r="AF168" s="171"/>
      <c r="AG168" s="134"/>
      <c r="AH168" s="171"/>
      <c r="AI168" s="134"/>
      <c r="AK168" s="5"/>
      <c r="AL168" s="152"/>
      <c r="AM168" s="5"/>
      <c r="AN168" s="152"/>
      <c r="AO168" s="5"/>
      <c r="AP168" s="152"/>
      <c r="AQ168" s="5"/>
      <c r="AR168" s="152"/>
      <c r="AS168" s="152"/>
      <c r="AT168" s="75"/>
      <c r="AU168" s="152"/>
      <c r="AV168" s="75"/>
      <c r="AW168" s="152"/>
      <c r="AX168" s="75"/>
      <c r="AY168" s="75"/>
      <c r="BA168" s="5"/>
      <c r="BB168" s="152"/>
      <c r="BC168" s="5"/>
      <c r="BD168" s="152"/>
      <c r="BE168" s="5"/>
      <c r="BF168" s="152"/>
      <c r="BG168" s="152"/>
      <c r="BH168" s="75"/>
      <c r="BI168" s="152"/>
      <c r="BJ168" s="75"/>
      <c r="BK168" s="75"/>
    </row>
    <row r="169" spans="2:63" ht="11.95" hidden="1" thickBot="1" x14ac:dyDescent="0.3">
      <c r="B169" t="s">
        <v>1</v>
      </c>
      <c r="E169" s="3"/>
      <c r="F169" s="3"/>
      <c r="G169" s="3"/>
      <c r="H169" s="3" t="s">
        <v>119</v>
      </c>
      <c r="I169" s="18"/>
      <c r="J169" s="18"/>
      <c r="K169" s="18"/>
      <c r="L169" s="78"/>
      <c r="M169" s="79">
        <v>0</v>
      </c>
      <c r="N169" s="80">
        <f>IFERROR(M169/SUMIFS(M:M, $H:$H, "Net Sales"),0)</f>
        <v>0</v>
      </c>
      <c r="O169" s="79">
        <v>0</v>
      </c>
      <c r="P169" s="80">
        <f>IFERROR(O169/SUMIFS(O:O, $H:$H, "Net Sales"),0)</f>
        <v>0</v>
      </c>
      <c r="Q169" s="79">
        <v>0</v>
      </c>
      <c r="R169" s="80">
        <f>IFERROR(Q169/SUMIFS(Q:Q, $H:$H, "Net Sales"),0)</f>
        <v>0</v>
      </c>
      <c r="S169" s="79">
        <v>0</v>
      </c>
      <c r="T169" s="81">
        <f>IFERROR(S169/SUMIFS(S:S, $H:$H, "Net Sales"),0)</f>
        <v>0</v>
      </c>
      <c r="U169" s="80">
        <f t="shared" ref="U169:U170" si="419">IFERROR(($O169-M169)/ABS(M169),0)</f>
        <v>0</v>
      </c>
      <c r="V169" s="70">
        <f t="shared" ref="V169:V170" si="420">IFERROR((O169-$M169), 0-$M169)</f>
        <v>0</v>
      </c>
      <c r="W169" s="80">
        <f t="shared" ref="W169:W170" si="421">IFERROR((Q169-$M169)/ABS($M169),0)</f>
        <v>0</v>
      </c>
      <c r="X169" s="70">
        <f t="shared" ref="X169:X170" si="422">IFERROR((Q169-$M169), 0 -$M169)</f>
        <v>0</v>
      </c>
      <c r="Y169" s="80">
        <f t="shared" ref="Y169:Y170" si="423">IFERROR((S169-$M169)/ABS($M169),0)</f>
        <v>0</v>
      </c>
      <c r="Z169" s="70">
        <f t="shared" ref="Z169:Z170" si="424">IFERROR((S169-$M169),0-$M169)</f>
        <v>0</v>
      </c>
      <c r="AA169" s="70"/>
      <c r="AC169" s="138">
        <v>0</v>
      </c>
      <c r="AD169" s="138">
        <v>0</v>
      </c>
      <c r="AE169" s="138">
        <v>0</v>
      </c>
      <c r="AF169" s="172"/>
      <c r="AG169" s="139"/>
      <c r="AH169" s="172"/>
      <c r="AI169" s="139"/>
      <c r="AK169" s="79">
        <v>0</v>
      </c>
      <c r="AL169" s="80">
        <f>IFERROR(AK169/SUMIFS(AK:AK, $H:$H, "Net Sales"),0)</f>
        <v>0</v>
      </c>
      <c r="AM169" s="79">
        <v>0</v>
      </c>
      <c r="AN169" s="80">
        <f>IFERROR(AM169/SUMIFS(AM:AM, $H:$H, "Net Sales"),0)</f>
        <v>0</v>
      </c>
      <c r="AO169" s="79">
        <v>0</v>
      </c>
      <c r="AP169" s="80">
        <f>IFERROR(AO169/SUMIFS(AO:AO, $H:$H, "Net Sales"),0)</f>
        <v>0</v>
      </c>
      <c r="AQ169" s="79">
        <v>0</v>
      </c>
      <c r="AR169" s="81">
        <f>IFERROR(AQ169/SUMIFS(AQ:AQ, $H:$H, "Net Sales"),0)</f>
        <v>0</v>
      </c>
      <c r="AS169" s="80">
        <f t="shared" ref="AS169:AS170" si="425">IFERROR((AM169-$AK169)/ABS($AK169),0)</f>
        <v>0</v>
      </c>
      <c r="AT169" s="70">
        <f t="shared" ref="AT169:AT170" si="426">(AM169-$AK169)</f>
        <v>0</v>
      </c>
      <c r="AU169" s="80">
        <f t="shared" ref="AU169:AU170" si="427">IFERROR((AO169-$AK169)/ABS($AO169),0)</f>
        <v>0</v>
      </c>
      <c r="AV169" s="70">
        <f t="shared" ref="AV169:AV170" si="428">(AO169-$AK169)</f>
        <v>0</v>
      </c>
      <c r="AW169" s="80">
        <f t="shared" ref="AW169:AW170" si="429">IFERROR((AQ169-$AK169)/ABS($AK169),0)</f>
        <v>0</v>
      </c>
      <c r="AX169" s="70">
        <f t="shared" ref="AX169:AX170" si="430">(AQ169-$AK169)</f>
        <v>0</v>
      </c>
      <c r="AY169" s="70"/>
      <c r="BA169" s="79">
        <v>0</v>
      </c>
      <c r="BB169" s="80">
        <f>IFERROR(BA169/SUMIFS(BA:BA, $H:$H, "Net Sales"),0)</f>
        <v>0</v>
      </c>
      <c r="BC169" s="79">
        <v>0</v>
      </c>
      <c r="BD169" s="80">
        <f>IFERROR(BC169/SUMIFS(BC:BC, $H:$H, "Net Sales"),0)</f>
        <v>0</v>
      </c>
      <c r="BE169" s="79">
        <v>0</v>
      </c>
      <c r="BF169" s="81">
        <f>IFERROR(BE169/SUMIFS(BE:BE, $H:$H, "Net Sales"),0)</f>
        <v>0</v>
      </c>
      <c r="BG169" s="80">
        <f t="shared" ref="BG169:BG170" si="431">IFERROR((BC169-$BA169)/ABS($BA169),0)</f>
        <v>0</v>
      </c>
      <c r="BH169" s="70">
        <f t="shared" ref="BH169:BH170" si="432">(BC169-$BA169)</f>
        <v>0</v>
      </c>
      <c r="BI169" s="80">
        <f t="shared" ref="BI169:BI170" si="433">IFERROR((BE169-$BA169)/ABS($BA169),0)</f>
        <v>0</v>
      </c>
      <c r="BJ169" s="70">
        <f t="shared" ref="BJ169:BJ170" si="434">(BE169-$BA169)</f>
        <v>0</v>
      </c>
      <c r="BK169" s="70"/>
    </row>
    <row r="170" spans="2:63" ht="11.95" hidden="1" thickBot="1" x14ac:dyDescent="0.3">
      <c r="B170" t="str">
        <f>IF(LEFT(H170,3)="Mul", "#hiderow", "#showrow")</f>
        <v>#hiderow</v>
      </c>
      <c r="E170" s="3"/>
      <c r="F170" s="3"/>
      <c r="G170" s="3"/>
      <c r="H170" s="255" t="s">
        <v>6</v>
      </c>
      <c r="I170" s="18"/>
      <c r="J170" s="18"/>
      <c r="K170" s="18"/>
      <c r="L170" s="78"/>
      <c r="M170" s="79"/>
      <c r="N170" s="80">
        <f>IFERROR(M170/SUMIFS(M:M, $H:$H, "Net Sales"),0)</f>
        <v>0</v>
      </c>
      <c r="O170" s="79">
        <v>0</v>
      </c>
      <c r="P170" s="80">
        <f>IFERROR(O170/SUMIFS(O:O, $H:$H, "Net Sales"),0)</f>
        <v>0</v>
      </c>
      <c r="Q170" s="79">
        <v>0</v>
      </c>
      <c r="R170" s="80">
        <f>IFERROR(Q170/SUMIFS(Q:Q, $H:$H, "Net Sales"),0)</f>
        <v>0</v>
      </c>
      <c r="S170" s="79"/>
      <c r="T170" s="81">
        <f>IFERROR(S170/SUMIFS(S:S, $H:$H, "Net Sales"),0)</f>
        <v>0</v>
      </c>
      <c r="U170" s="80">
        <f t="shared" si="419"/>
        <v>0</v>
      </c>
      <c r="V170" s="70">
        <f t="shared" si="420"/>
        <v>0</v>
      </c>
      <c r="W170" s="80">
        <f t="shared" si="421"/>
        <v>0</v>
      </c>
      <c r="X170" s="70">
        <f t="shared" si="422"/>
        <v>0</v>
      </c>
      <c r="Y170" s="80">
        <f t="shared" si="423"/>
        <v>0</v>
      </c>
      <c r="Z170" s="70">
        <f t="shared" si="424"/>
        <v>0</v>
      </c>
      <c r="AA170" s="70"/>
      <c r="AC170" s="138"/>
      <c r="AD170" s="138"/>
      <c r="AE170" s="138"/>
      <c r="AF170" s="172">
        <f t="shared" ref="AF170:AF171" si="435">IFERROR(($AC170-AD170)/ABS(AD170),0)</f>
        <v>0</v>
      </c>
      <c r="AG170" s="139">
        <f>($AC170-AD170)</f>
        <v>0</v>
      </c>
      <c r="AH170" s="172">
        <f>IFERROR(($AC170-AE170)/ABS(AE170),0)</f>
        <v>0</v>
      </c>
      <c r="AI170" s="139">
        <f>($AC170-AE170)</f>
        <v>0</v>
      </c>
      <c r="AK170" s="79"/>
      <c r="AL170" s="80">
        <f>IFERROR(AK170/SUMIFS(AK:AK, $H:$H, "Net Sales"),0)</f>
        <v>0</v>
      </c>
      <c r="AM170" s="79"/>
      <c r="AN170" s="80">
        <f>IFERROR(AM170/SUMIFS(AM:AM, $H:$H, "Net Sales"),0)</f>
        <v>0</v>
      </c>
      <c r="AO170" s="79"/>
      <c r="AP170" s="80">
        <f>IFERROR(AO170/SUMIFS(AO:AO, $H:$H, "Net Sales"),0)</f>
        <v>0</v>
      </c>
      <c r="AQ170" s="79"/>
      <c r="AR170" s="81">
        <f>IFERROR(AQ170/SUMIFS(AQ:AQ, $H:$H, "Net Sales"),0)</f>
        <v>0</v>
      </c>
      <c r="AS170" s="80">
        <f t="shared" si="425"/>
        <v>0</v>
      </c>
      <c r="AT170" s="70">
        <f t="shared" si="426"/>
        <v>0</v>
      </c>
      <c r="AU170" s="80">
        <f t="shared" si="427"/>
        <v>0</v>
      </c>
      <c r="AV170" s="70">
        <f t="shared" si="428"/>
        <v>0</v>
      </c>
      <c r="AW170" s="80">
        <f t="shared" si="429"/>
        <v>0</v>
      </c>
      <c r="AX170" s="70">
        <f t="shared" si="430"/>
        <v>0</v>
      </c>
      <c r="AY170" s="70"/>
      <c r="BA170" s="79"/>
      <c r="BB170" s="80">
        <f>IFERROR(BA170/SUMIFS(BA:BA, $H:$H, "Net Sales"),0)</f>
        <v>0</v>
      </c>
      <c r="BC170" s="79"/>
      <c r="BD170" s="80">
        <f>IFERROR(BC170/SUMIFS(BC:BC, $H:$H, "Net Sales"),0)</f>
        <v>0</v>
      </c>
      <c r="BE170" s="79"/>
      <c r="BF170" s="81">
        <f>IFERROR(BE170/SUMIFS(BE:BE, $H:$H, "Net Sales"),0)</f>
        <v>0</v>
      </c>
      <c r="BG170" s="80">
        <f t="shared" si="431"/>
        <v>0</v>
      </c>
      <c r="BH170" s="70">
        <f t="shared" si="432"/>
        <v>0</v>
      </c>
      <c r="BI170" s="80">
        <f t="shared" si="433"/>
        <v>0</v>
      </c>
      <c r="BJ170" s="70">
        <f t="shared" si="434"/>
        <v>0</v>
      </c>
      <c r="BK170" s="70"/>
    </row>
    <row r="171" spans="2:63" ht="11.95" x14ac:dyDescent="0.25">
      <c r="E171" s="19"/>
      <c r="F171" s="19"/>
      <c r="G171" s="19"/>
      <c r="H171" s="19" t="s">
        <v>85</v>
      </c>
      <c r="I171" s="85"/>
      <c r="J171" s="85"/>
      <c r="K171" s="85"/>
      <c r="L171" s="144">
        <v>-1</v>
      </c>
      <c r="M171" s="85">
        <f>SUMIFS(M169:M170,$I169:$I170,"&lt;&gt;"&amp;$I$29,$E169:$E170,"&lt;&gt;*[-]*",$F169:$F170,"&lt;&gt;*[-]*",$G169:$G170,"&lt;&gt;*[-]*",$H169:$H170,"Restructuring")</f>
        <v>0</v>
      </c>
      <c r="N171" s="86"/>
      <c r="O171" s="85">
        <f>SUMIFS(O169:O170,$I169:$I170,"&lt;&gt;"&amp;$I$29,$E169:$E170,"&lt;&gt;*[-]*",$F169:$F170,"&lt;&gt;*[-]*",$G169:$G170,"&lt;&gt;*[-]*",$H169:$H170,"Restructuring")</f>
        <v>0</v>
      </c>
      <c r="P171" s="86"/>
      <c r="Q171" s="85">
        <f>SUMIFS(Q169:Q170,$I169:$I170,"&lt;&gt;"&amp;$I$29,$E169:$E170,"&lt;&gt;*[-]*",$F169:$F170,"&lt;&gt;*[-]*",$G169:$G170,"&lt;&gt;*[-]*",$H169:$H170,"Restructuring")</f>
        <v>0</v>
      </c>
      <c r="R171" s="86"/>
      <c r="S171" s="85">
        <f>SUMIFS(S169:S170,$I169:$I170,"&lt;&gt;"&amp;$I$29,$E169:$E170,"&lt;&gt;*[-]*",$F169:$F170,"&lt;&gt;*[-]*",$G169:$G170,"&lt;&gt;*[-]*",$H169:$H170,"Restructuring")</f>
        <v>0</v>
      </c>
      <c r="T171" s="86">
        <f>IFERROR(S171/SUMIFS(S:S, $H:$H, "Net Sales"),0)</f>
        <v>0</v>
      </c>
      <c r="U171" s="86">
        <f>IFERROR(($O171-M171)/ABS(M171),0)</f>
        <v>0</v>
      </c>
      <c r="V171" s="87">
        <f>IFERROR((O171-$M171), 0-$M171)</f>
        <v>0</v>
      </c>
      <c r="W171" s="86">
        <f>IFERROR((Q171-$M171)/ABS($M171),0)</f>
        <v>0</v>
      </c>
      <c r="X171" s="87">
        <f>IFERROR((Q171-$M171), 0 -$M171)</f>
        <v>0</v>
      </c>
      <c r="Y171" s="86">
        <f>IFERROR((S171-$M171)/ABS($M171),0)</f>
        <v>0</v>
      </c>
      <c r="Z171" s="87">
        <f>IFERROR((S171-$M171),0-$M171)</f>
        <v>0</v>
      </c>
      <c r="AA171" s="87"/>
      <c r="AC171" s="142">
        <f>SUMIFS(AC170:AC170,$I170:$I170,"&lt;&gt;"&amp;$I$29,$E170:$E170,"&lt;&gt;*[-]*",$F170:$F170,"&lt;&gt;*[-]*",$G170:$G170,"&lt;&gt;*[-]*",$H170:$H170,"*Restructuring*")</f>
        <v>0</v>
      </c>
      <c r="AD171" s="142">
        <f>SUMIFS(AD170:AD170,$I170:$I170,"&lt;&gt;"&amp;$I$29,$E170:$E170,"&lt;&gt;*[-]*",$F170:$F170,"&lt;&gt;*[-]*",$G170:$G170,"&lt;&gt;*[-]*",$H170:$H170,"*Restructuring*")</f>
        <v>0</v>
      </c>
      <c r="AE171" s="142">
        <f>SUMIFS(AE170:AE170,$I170:$I170,"&lt;&gt;"&amp;$I$29,$E170:$E170,"&lt;&gt;*[-]*",$F170:$F170,"&lt;&gt;*[-]*",$G170:$G170,"&lt;&gt;*[-]*",$H170:$H170,"*Restructuring*")</f>
        <v>0</v>
      </c>
      <c r="AF171" s="173">
        <f t="shared" si="435"/>
        <v>0</v>
      </c>
      <c r="AG171" s="143">
        <f>($AC171-AD171)</f>
        <v>0</v>
      </c>
      <c r="AH171" s="173">
        <f>IFERROR(($AC171-AE171)/ABS(AE171),0)</f>
        <v>0</v>
      </c>
      <c r="AI171" s="143">
        <f>($AC171-AE171)</f>
        <v>0</v>
      </c>
      <c r="AK171" s="85">
        <f>SUMIFS(AK169:AK170,$I169:$I170,"&lt;&gt;"&amp;$I$29,$E169:$E170,"&lt;&gt;*[-]*",$F169:$F170,"&lt;&gt;*[-]*",$G169:$G170,"&lt;&gt;*[-]*",$H169:$H170,"Restructuring")</f>
        <v>0</v>
      </c>
      <c r="AL171" s="86">
        <f>IFERROR(AK171/SUMIFS(AK:AK, $H:$H, "Net Sales"),0)</f>
        <v>0</v>
      </c>
      <c r="AM171" s="85">
        <f>SUMIFS(AM169:AM170,$I169:$I170,"&lt;&gt;"&amp;$I$29,$E169:$E170,"&lt;&gt;*[-]*",$F169:$F170,"&lt;&gt;*[-]*",$G169:$G170,"&lt;&gt;*[-]*",$H169:$H170,"Restructuring")</f>
        <v>0</v>
      </c>
      <c r="AN171" s="86">
        <f>IFERROR(AM171/SUMIFS(AM:AM, $H:$H, "Net Sales"),0)</f>
        <v>0</v>
      </c>
      <c r="AO171" s="85">
        <f>SUMIFS(AO169:AO170,$I169:$I170,"&lt;&gt;"&amp;$I$29,$E169:$E170,"&lt;&gt;*[-]*",$F169:$F170,"&lt;&gt;*[-]*",$G169:$G170,"&lt;&gt;*[-]*",$H169:$H170,"Restructuring")</f>
        <v>0</v>
      </c>
      <c r="AP171" s="86">
        <f>IFERROR(AO171/SUMIFS(AO:AO, $H:$H, "Net Sales"),0)</f>
        <v>0</v>
      </c>
      <c r="AQ171" s="85">
        <f>SUMIFS(AQ169:AQ170,$I169:$I170,"&lt;&gt;"&amp;$I$29,$E169:$E170,"&lt;&gt;*[-]*",$F169:$F170,"&lt;&gt;*[-]*",$G169:$G170,"&lt;&gt;*[-]*",$H169:$H170,"Restructuring")</f>
        <v>0</v>
      </c>
      <c r="AR171" s="86">
        <f>IFERROR(AQ171/SUMIFS(AQ:AQ, $H:$H, "Net Sales"),0)</f>
        <v>0</v>
      </c>
      <c r="AS171" s="86">
        <f>IFERROR((AM171-$AK171)/ABS($AK171),0)</f>
        <v>0</v>
      </c>
      <c r="AT171" s="87">
        <f>(AM171-$AK171)</f>
        <v>0</v>
      </c>
      <c r="AU171" s="86">
        <f>IFERROR((AO171-$AK171)/ABS($AO171),0)</f>
        <v>0</v>
      </c>
      <c r="AV171" s="87">
        <f>(AO171-$AK171)</f>
        <v>0</v>
      </c>
      <c r="AW171" s="86">
        <f>IFERROR((AQ171-$AK171)/ABS($AK171),0)</f>
        <v>0</v>
      </c>
      <c r="AX171" s="87">
        <f>(AQ171-$AK171)</f>
        <v>0</v>
      </c>
      <c r="AY171" s="87"/>
      <c r="BA171" s="85">
        <f>SUMIFS(BA169:BA170,$I169:$I170,"&lt;&gt;"&amp;$I$29,$E169:$E170,"&lt;&gt;*[-]*",$F169:$F170,"&lt;&gt;*[-]*",$G169:$G170,"&lt;&gt;*[-]*",$H169:$H170,"Restructuring")</f>
        <v>0</v>
      </c>
      <c r="BB171" s="86">
        <f>IFERROR(BA171/SUMIFS(BA:BA, $H:$H, "Net Sales"),0)</f>
        <v>0</v>
      </c>
      <c r="BC171" s="85">
        <f>SUMIFS(BC169:BC170,$I169:$I170,"&lt;&gt;"&amp;$I$29,$E169:$E170,"&lt;&gt;*[-]*",$F169:$F170,"&lt;&gt;*[-]*",$G169:$G170,"&lt;&gt;*[-]*",$H169:$H170,"Restructuring")</f>
        <v>0</v>
      </c>
      <c r="BD171" s="86">
        <f>IFERROR(BC171/SUMIFS(BC:BC, $H:$H, "Net Sales"),0)</f>
        <v>0</v>
      </c>
      <c r="BE171" s="85">
        <f>SUMIFS(BE169:BE170,$I169:$I170,"&lt;&gt;"&amp;$I$29,$E169:$E170,"&lt;&gt;*[-]*",$F169:$F170,"&lt;&gt;*[-]*",$G169:$G170,"&lt;&gt;*[-]*",$H169:$H170,"Restructuring")</f>
        <v>0</v>
      </c>
      <c r="BF171" s="86">
        <f>IFERROR(BE171/SUMIFS(BE:BE, $H:$H, "Net Sales"),0)</f>
        <v>0</v>
      </c>
      <c r="BG171" s="86">
        <f>IFERROR((BC171-$BA171)/ABS($BA171),0)</f>
        <v>0</v>
      </c>
      <c r="BH171" s="87">
        <f>(BC171-$BA171)</f>
        <v>0</v>
      </c>
      <c r="BI171" s="86">
        <f>IFERROR((BE171-$BA171)/ABS($BA171),0)</f>
        <v>0</v>
      </c>
      <c r="BJ171" s="87">
        <f>(BE171-$BA171)</f>
        <v>0</v>
      </c>
      <c r="BK171" s="87"/>
    </row>
    <row r="172" spans="2:63" x14ac:dyDescent="0.25">
      <c r="N172" s="145"/>
      <c r="P172" s="145"/>
      <c r="R172" s="145"/>
      <c r="T172" s="145"/>
      <c r="U172" s="145"/>
      <c r="V172" s="84"/>
      <c r="W172" s="145"/>
      <c r="X172" s="84"/>
      <c r="Y172" s="145"/>
      <c r="Z172" s="84"/>
      <c r="AA172" s="84"/>
      <c r="AF172" s="169"/>
      <c r="AG172" s="140"/>
      <c r="AH172" s="169"/>
      <c r="AI172" s="140"/>
      <c r="AL172" s="145"/>
      <c r="AN172" s="145"/>
      <c r="AP172" s="145"/>
      <c r="AR172" s="145"/>
      <c r="AS172" s="145"/>
      <c r="AT172" s="84"/>
      <c r="AU172" s="145"/>
      <c r="AV172" s="84"/>
      <c r="AW172" s="145"/>
      <c r="AX172" s="84"/>
      <c r="AY172" s="84"/>
      <c r="BB172" s="145"/>
      <c r="BD172" s="145"/>
      <c r="BF172" s="145"/>
      <c r="BG172" s="145"/>
      <c r="BH172" s="84"/>
      <c r="BI172" s="145"/>
      <c r="BJ172" s="84"/>
      <c r="BK172" s="84"/>
    </row>
    <row r="173" spans="2:63" ht="12.45" thickBot="1" x14ac:dyDescent="0.3">
      <c r="E173" s="4"/>
      <c r="F173" s="4"/>
      <c r="G173" s="4"/>
      <c r="H173" s="4" t="s">
        <v>30</v>
      </c>
      <c r="I173" s="4"/>
      <c r="J173" s="5"/>
      <c r="K173" s="5"/>
      <c r="L173" s="5"/>
      <c r="M173" s="5"/>
      <c r="N173" s="152"/>
      <c r="O173" s="5"/>
      <c r="P173" s="152"/>
      <c r="Q173" s="5"/>
      <c r="R173" s="152"/>
      <c r="S173" s="5"/>
      <c r="T173" s="152"/>
      <c r="U173" s="152"/>
      <c r="V173" s="75"/>
      <c r="W173" s="152"/>
      <c r="X173" s="75"/>
      <c r="Y173" s="152"/>
      <c r="Z173" s="75"/>
      <c r="AA173" s="75"/>
      <c r="AC173" s="133"/>
      <c r="AD173" s="133"/>
      <c r="AE173" s="133"/>
      <c r="AF173" s="171"/>
      <c r="AG173" s="134"/>
      <c r="AH173" s="171"/>
      <c r="AI173" s="134"/>
      <c r="AK173" s="5"/>
      <c r="AL173" s="152"/>
      <c r="AM173" s="5"/>
      <c r="AN173" s="152"/>
      <c r="AO173" s="5"/>
      <c r="AP173" s="152"/>
      <c r="AQ173" s="5"/>
      <c r="AR173" s="152"/>
      <c r="AS173" s="152"/>
      <c r="AT173" s="75"/>
      <c r="AU173" s="152"/>
      <c r="AV173" s="75"/>
      <c r="AW173" s="152"/>
      <c r="AX173" s="75"/>
      <c r="AY173" s="75"/>
      <c r="BA173" s="5"/>
      <c r="BB173" s="152"/>
      <c r="BC173" s="5"/>
      <c r="BD173" s="152"/>
      <c r="BE173" s="5"/>
      <c r="BF173" s="152"/>
      <c r="BG173" s="152"/>
      <c r="BH173" s="75"/>
      <c r="BI173" s="152"/>
      <c r="BJ173" s="75"/>
      <c r="BK173" s="75"/>
    </row>
    <row r="174" spans="2:63" ht="11.95" hidden="1" thickBot="1" x14ac:dyDescent="0.3">
      <c r="B174" t="s">
        <v>1</v>
      </c>
      <c r="E174" s="3"/>
      <c r="F174" s="3"/>
      <c r="G174" s="3"/>
      <c r="H174" s="3" t="s">
        <v>30</v>
      </c>
      <c r="I174" s="18"/>
      <c r="J174" s="18"/>
      <c r="K174" s="18"/>
      <c r="L174" s="78"/>
      <c r="M174" s="79">
        <v>0</v>
      </c>
      <c r="N174" s="80">
        <f>IFERROR(M174/SUMIFS(M:M, $H:$H, "Net Sales"),0)</f>
        <v>0</v>
      </c>
      <c r="O174" s="79">
        <v>0</v>
      </c>
      <c r="P174" s="80">
        <f>IFERROR(O174/SUMIFS(O:O, $H:$H, "Net Sales"),0)</f>
        <v>0</v>
      </c>
      <c r="Q174" s="79">
        <v>0</v>
      </c>
      <c r="R174" s="80">
        <f>IFERROR(Q174/SUMIFS(Q:Q, $H:$H, "Net Sales"),0)</f>
        <v>0</v>
      </c>
      <c r="S174" s="79">
        <v>0</v>
      </c>
      <c r="T174" s="81">
        <f>IFERROR(S174/SUMIFS(S:S, $H:$H, "Net Sales"),0)</f>
        <v>0</v>
      </c>
      <c r="U174" s="80">
        <f t="shared" ref="U174:U175" si="436">IFERROR(($O174-M174)/ABS(M174),0)</f>
        <v>0</v>
      </c>
      <c r="V174" s="70">
        <f t="shared" ref="V174:V175" si="437">IFERROR((O174-$M174), 0-$M174)</f>
        <v>0</v>
      </c>
      <c r="W174" s="80">
        <f t="shared" ref="W174:W175" si="438">IFERROR((Q174-$M174)/ABS($M174),0)</f>
        <v>0</v>
      </c>
      <c r="X174" s="70">
        <f t="shared" ref="X174:X175" si="439">IFERROR((Q174-$M174), 0 -$M174)</f>
        <v>0</v>
      </c>
      <c r="Y174" s="80">
        <f t="shared" ref="Y174:Y175" si="440">IFERROR((S174-$M174)/ABS($M174),0)</f>
        <v>0</v>
      </c>
      <c r="Z174" s="70">
        <f t="shared" ref="Z174:Z175" si="441">IFERROR((S174-$M174),0-$M174)</f>
        <v>0</v>
      </c>
      <c r="AA174" s="70"/>
      <c r="AC174" s="138">
        <v>0</v>
      </c>
      <c r="AD174" s="138">
        <v>0</v>
      </c>
      <c r="AE174" s="138">
        <v>0</v>
      </c>
      <c r="AF174" s="172"/>
      <c r="AG174" s="139"/>
      <c r="AH174" s="172"/>
      <c r="AI174" s="139"/>
      <c r="AK174" s="79">
        <v>0</v>
      </c>
      <c r="AL174" s="80">
        <f>IFERROR(AK174/SUMIFS(AK:AK, $H:$H, "Net Sales"),0)</f>
        <v>0</v>
      </c>
      <c r="AM174" s="79">
        <v>0</v>
      </c>
      <c r="AN174" s="80">
        <f>IFERROR(AM174/SUMIFS(AM:AM, $H:$H, "Net Sales"),0)</f>
        <v>0</v>
      </c>
      <c r="AO174" s="79">
        <v>0</v>
      </c>
      <c r="AP174" s="80">
        <f>IFERROR(AO174/SUMIFS(AO:AO, $H:$H, "Net Sales"),0)</f>
        <v>0</v>
      </c>
      <c r="AQ174" s="79">
        <v>0</v>
      </c>
      <c r="AR174" s="81">
        <f>IFERROR(AQ174/SUMIFS(AQ:AQ, $H:$H, "Net Sales"),0)</f>
        <v>0</v>
      </c>
      <c r="AS174" s="80">
        <f t="shared" ref="AS174:AS175" si="442">IFERROR((AM174-$AK174)/ABS($AK174),0)</f>
        <v>0</v>
      </c>
      <c r="AT174" s="70">
        <f t="shared" ref="AT174:AT175" si="443">(AM174-$AK174)</f>
        <v>0</v>
      </c>
      <c r="AU174" s="80">
        <f t="shared" ref="AU174:AU175" si="444">IFERROR((AO174-$AK174)/ABS($AO174),0)</f>
        <v>0</v>
      </c>
      <c r="AV174" s="70">
        <f t="shared" ref="AV174:AV175" si="445">(AO174-$AK174)</f>
        <v>0</v>
      </c>
      <c r="AW174" s="80">
        <f t="shared" ref="AW174:AW175" si="446">IFERROR((AQ174-$AK174)/ABS($AK174),0)</f>
        <v>0</v>
      </c>
      <c r="AX174" s="70">
        <f t="shared" ref="AX174:AX175" si="447">(AQ174-$AK174)</f>
        <v>0</v>
      </c>
      <c r="AY174" s="70"/>
      <c r="BA174" s="79">
        <v>0</v>
      </c>
      <c r="BB174" s="80">
        <f>IFERROR(BA174/SUMIFS(BA:BA, $H:$H, "Net Sales"),0)</f>
        <v>0</v>
      </c>
      <c r="BC174" s="79">
        <v>0</v>
      </c>
      <c r="BD174" s="80">
        <f>IFERROR(BC174/SUMIFS(BC:BC, $H:$H, "Net Sales"),0)</f>
        <v>0</v>
      </c>
      <c r="BE174" s="79">
        <v>0</v>
      </c>
      <c r="BF174" s="81">
        <f>IFERROR(BE174/SUMIFS(BE:BE, $H:$H, "Net Sales"),0)</f>
        <v>0</v>
      </c>
      <c r="BG174" s="80">
        <f t="shared" ref="BG174:BG175" si="448">IFERROR((BC174-$BA174)/ABS($BA174),0)</f>
        <v>0</v>
      </c>
      <c r="BH174" s="70">
        <f t="shared" ref="BH174:BH175" si="449">(BC174-$BA174)</f>
        <v>0</v>
      </c>
      <c r="BI174" s="80">
        <f t="shared" ref="BI174:BI175" si="450">IFERROR((BE174-$BA174)/ABS($BA174),0)</f>
        <v>0</v>
      </c>
      <c r="BJ174" s="70">
        <f t="shared" ref="BJ174:BJ175" si="451">(BE174-$BA174)</f>
        <v>0</v>
      </c>
      <c r="BK174" s="70"/>
    </row>
    <row r="175" spans="2:63" ht="11.95" hidden="1" thickBot="1" x14ac:dyDescent="0.3">
      <c r="B175" t="str">
        <f>IF(LEFT(H175,3)="Mul", "#hiderow", "#showrow")</f>
        <v>#hiderow</v>
      </c>
      <c r="E175" s="3"/>
      <c r="F175" s="3"/>
      <c r="G175" s="3"/>
      <c r="H175" s="255" t="s">
        <v>6</v>
      </c>
      <c r="I175" s="18"/>
      <c r="J175" s="18"/>
      <c r="K175" s="18"/>
      <c r="L175" s="78"/>
      <c r="M175" s="79"/>
      <c r="N175" s="80">
        <f>IFERROR(M175/SUMIFS(M:M, $H:$H, "Net Sales"),0)</f>
        <v>0</v>
      </c>
      <c r="O175" s="79">
        <v>0</v>
      </c>
      <c r="P175" s="80">
        <f>IFERROR(O175/SUMIFS(O:O, $H:$H, "Net Sales"),0)</f>
        <v>0</v>
      </c>
      <c r="Q175" s="79">
        <v>0</v>
      </c>
      <c r="R175" s="80">
        <f>IFERROR(Q175/SUMIFS(Q:Q, $H:$H, "Net Sales"),0)</f>
        <v>0</v>
      </c>
      <c r="S175" s="79"/>
      <c r="T175" s="81">
        <f>IFERROR(S175/SUMIFS(S:S, $H:$H, "Net Sales"),0)</f>
        <v>0</v>
      </c>
      <c r="U175" s="80">
        <f t="shared" si="436"/>
        <v>0</v>
      </c>
      <c r="V175" s="70">
        <f t="shared" si="437"/>
        <v>0</v>
      </c>
      <c r="W175" s="80">
        <f t="shared" si="438"/>
        <v>0</v>
      </c>
      <c r="X175" s="70">
        <f t="shared" si="439"/>
        <v>0</v>
      </c>
      <c r="Y175" s="80">
        <f t="shared" si="440"/>
        <v>0</v>
      </c>
      <c r="Z175" s="70">
        <f t="shared" si="441"/>
        <v>0</v>
      </c>
      <c r="AA175" s="70"/>
      <c r="AC175" s="138"/>
      <c r="AD175" s="138"/>
      <c r="AE175" s="138"/>
      <c r="AF175" s="172">
        <f t="shared" ref="AF175:AF176" si="452">IFERROR(($AC175-AD175)/ABS(AD175),0)</f>
        <v>0</v>
      </c>
      <c r="AG175" s="139">
        <f>($AC175-AD175)</f>
        <v>0</v>
      </c>
      <c r="AH175" s="172">
        <f>IFERROR(($AC175-AE175)/ABS(AE175),0)</f>
        <v>0</v>
      </c>
      <c r="AI175" s="139">
        <f>($AC175-AE175)</f>
        <v>0</v>
      </c>
      <c r="AK175" s="79"/>
      <c r="AL175" s="80">
        <f>IFERROR(AK175/SUMIFS(AK:AK, $H:$H, "Net Sales"),0)</f>
        <v>0</v>
      </c>
      <c r="AM175" s="79"/>
      <c r="AN175" s="80">
        <f>IFERROR(AM175/SUMIFS(AM:AM, $H:$H, "Net Sales"),0)</f>
        <v>0</v>
      </c>
      <c r="AO175" s="79"/>
      <c r="AP175" s="80">
        <f>IFERROR(AO175/SUMIFS(AO:AO, $H:$H, "Net Sales"),0)</f>
        <v>0</v>
      </c>
      <c r="AQ175" s="79"/>
      <c r="AR175" s="81">
        <f>IFERROR(AQ175/SUMIFS(AQ:AQ, $H:$H, "Net Sales"),0)</f>
        <v>0</v>
      </c>
      <c r="AS175" s="80">
        <f t="shared" si="442"/>
        <v>0</v>
      </c>
      <c r="AT175" s="70">
        <f t="shared" si="443"/>
        <v>0</v>
      </c>
      <c r="AU175" s="80">
        <f t="shared" si="444"/>
        <v>0</v>
      </c>
      <c r="AV175" s="70">
        <f t="shared" si="445"/>
        <v>0</v>
      </c>
      <c r="AW175" s="80">
        <f t="shared" si="446"/>
        <v>0</v>
      </c>
      <c r="AX175" s="70">
        <f t="shared" si="447"/>
        <v>0</v>
      </c>
      <c r="AY175" s="70"/>
      <c r="BA175" s="79"/>
      <c r="BB175" s="80">
        <f>IFERROR(BA175/SUMIFS(BA:BA, $H:$H, "Net Sales"),0)</f>
        <v>0</v>
      </c>
      <c r="BC175" s="79"/>
      <c r="BD175" s="80">
        <f>IFERROR(BC175/SUMIFS(BC:BC, $H:$H, "Net Sales"),0)</f>
        <v>0</v>
      </c>
      <c r="BE175" s="79"/>
      <c r="BF175" s="81">
        <f>IFERROR(BE175/SUMIFS(BE:BE, $H:$H, "Net Sales"),0)</f>
        <v>0</v>
      </c>
      <c r="BG175" s="80">
        <f t="shared" si="448"/>
        <v>0</v>
      </c>
      <c r="BH175" s="70">
        <f t="shared" si="449"/>
        <v>0</v>
      </c>
      <c r="BI175" s="80">
        <f t="shared" si="450"/>
        <v>0</v>
      </c>
      <c r="BJ175" s="70">
        <f t="shared" si="451"/>
        <v>0</v>
      </c>
      <c r="BK175" s="70"/>
    </row>
    <row r="176" spans="2:63" ht="11.95" x14ac:dyDescent="0.25">
      <c r="E176" s="19"/>
      <c r="F176" s="19"/>
      <c r="G176" s="19"/>
      <c r="H176" s="19" t="s">
        <v>86</v>
      </c>
      <c r="I176" s="85"/>
      <c r="J176" s="85"/>
      <c r="K176" s="85"/>
      <c r="L176" s="144">
        <v>-1</v>
      </c>
      <c r="M176" s="85">
        <f>SUMIFS(M174:M175,$I174:$I175,"&lt;&gt;"&amp;$I$29,$E174:$E175,"&lt;&gt;*[-]*",$F174:$F175,"&lt;&gt;*[-]*",$G174:$G175,"&lt;&gt;*[-]*",$H174:$H175,"Pension")</f>
        <v>0</v>
      </c>
      <c r="N176" s="86"/>
      <c r="O176" s="85">
        <f>SUMIFS(O174:O175,$I174:$I175,"&lt;&gt;"&amp;$I$29,$E174:$E175,"&lt;&gt;*[-]*",$F174:$F175,"&lt;&gt;*[-]*",$G174:$G175,"&lt;&gt;*[-]*",$H174:$H175,"Pension")</f>
        <v>0</v>
      </c>
      <c r="P176" s="86"/>
      <c r="Q176" s="85">
        <f>SUMIFS(Q174:Q175,$I174:$I175,"&lt;&gt;"&amp;$I$29,$E174:$E175,"&lt;&gt;*[-]*",$F174:$F175,"&lt;&gt;*[-]*",$G174:$G175,"&lt;&gt;*[-]*",$H174:$H175,"Pension")</f>
        <v>0</v>
      </c>
      <c r="R176" s="86"/>
      <c r="S176" s="85">
        <f>SUMIFS(S174:S175,$I174:$I175,"&lt;&gt;"&amp;$I$29,$E174:$E175,"&lt;&gt;*[-]*",$F174:$F175,"&lt;&gt;*[-]*",$G174:$G175,"&lt;&gt;*[-]*",$H174:$H175,"Pension")</f>
        <v>0</v>
      </c>
      <c r="T176" s="86">
        <f>IFERROR(S176/SUMIFS(S:S, $H:$H, "Net Sales"),0)</f>
        <v>0</v>
      </c>
      <c r="U176" s="86">
        <f>IFERROR(($O176-M176)/ABS(M176),0)</f>
        <v>0</v>
      </c>
      <c r="V176" s="87">
        <f>IFERROR((O176-$M176), 0-$M176)</f>
        <v>0</v>
      </c>
      <c r="W176" s="86">
        <f>IFERROR((Q176-$M176)/ABS($M176),0)</f>
        <v>0</v>
      </c>
      <c r="X176" s="87">
        <f>IFERROR((Q176-$M176), 0 -$M176)</f>
        <v>0</v>
      </c>
      <c r="Y176" s="86">
        <f>IFERROR((S176-$M176)/ABS($M176),0)</f>
        <v>0</v>
      </c>
      <c r="Z176" s="87">
        <f>IFERROR((S176-$M176),0-$M176)</f>
        <v>0</v>
      </c>
      <c r="AA176" s="87"/>
      <c r="AC176" s="142">
        <f>SUMIFS(AC175:AC175,$I175:$I175,"&lt;&gt;"&amp;$I$29,$E175:$E175,"&lt;&gt;*[-]*",$F175:$F175,"&lt;&gt;*[-]*",$G175:$G175,"&lt;&gt;*[-]*",$H175:$H175,"Pension")</f>
        <v>0</v>
      </c>
      <c r="AD176" s="142">
        <f>SUMIFS(AD175:AD175,$I175:$I175,"&lt;&gt;"&amp;$I$29,$E175:$E175,"&lt;&gt;*[-]*",$F175:$F175,"&lt;&gt;*[-]*",$G175:$G175,"&lt;&gt;*[-]*",$H175:$H175,"Pension")</f>
        <v>0</v>
      </c>
      <c r="AE176" s="142">
        <f>SUMIFS(AE175:AE175,$I175:$I175,"&lt;&gt;"&amp;$I$29,$E175:$E175,"&lt;&gt;*[-]*",$F175:$F175,"&lt;&gt;*[-]*",$G175:$G175,"&lt;&gt;*[-]*",$H175:$H175,"Pension")</f>
        <v>0</v>
      </c>
      <c r="AF176" s="173">
        <f t="shared" si="452"/>
        <v>0</v>
      </c>
      <c r="AG176" s="143">
        <f>($AC176-AD176)</f>
        <v>0</v>
      </c>
      <c r="AH176" s="173">
        <f>IFERROR(($AC176-AE176)/ABS(AE176),0)</f>
        <v>0</v>
      </c>
      <c r="AI176" s="143">
        <f>($AC176-AE176)</f>
        <v>0</v>
      </c>
      <c r="AK176" s="85">
        <f>SUMIFS(AK174:AK175,$I174:$I175,"&lt;&gt;"&amp;$I$29,$E174:$E175,"&lt;&gt;*[-]*",$F174:$F175,"&lt;&gt;*[-]*",$G174:$G175,"&lt;&gt;*[-]*",$H174:$H175,"Pension")</f>
        <v>0</v>
      </c>
      <c r="AL176" s="86">
        <f>IFERROR(AK176/SUMIFS(AK:AK, $H:$H, "Net Sales"),0)</f>
        <v>0</v>
      </c>
      <c r="AM176" s="85">
        <f>SUMIFS(AM174:AM175,$I174:$I175,"&lt;&gt;"&amp;$I$29,$E174:$E175,"&lt;&gt;*[-]*",$F174:$F175,"&lt;&gt;*[-]*",$G174:$G175,"&lt;&gt;*[-]*",$H174:$H175,"Pension")</f>
        <v>0</v>
      </c>
      <c r="AN176" s="86">
        <f>IFERROR(AM176/SUMIFS(AM:AM, $H:$H, "Net Sales"),0)</f>
        <v>0</v>
      </c>
      <c r="AO176" s="85">
        <f>SUMIFS(AO174:AO175,$I174:$I175,"&lt;&gt;"&amp;$I$29,$E174:$E175,"&lt;&gt;*[-]*",$F174:$F175,"&lt;&gt;*[-]*",$G174:$G175,"&lt;&gt;*[-]*",$H174:$H175,"Pension")</f>
        <v>0</v>
      </c>
      <c r="AP176" s="86">
        <f>IFERROR(AO176/SUMIFS(AO:AO, $H:$H, "Net Sales"),0)</f>
        <v>0</v>
      </c>
      <c r="AQ176" s="85">
        <f>SUMIFS(AQ174:AQ175,$I174:$I175,"&lt;&gt;"&amp;$I$29,$E174:$E175,"&lt;&gt;*[-]*",$F174:$F175,"&lt;&gt;*[-]*",$G174:$G175,"&lt;&gt;*[-]*",$H174:$H175,"Pension")</f>
        <v>0</v>
      </c>
      <c r="AR176" s="86">
        <f>IFERROR(AQ176/SUMIFS(AQ:AQ, $H:$H, "Net Sales"),0)</f>
        <v>0</v>
      </c>
      <c r="AS176" s="86">
        <f>IFERROR((AM176-$AK176)/ABS($AK176),0)</f>
        <v>0</v>
      </c>
      <c r="AT176" s="87">
        <f>(AM176-$AK176)</f>
        <v>0</v>
      </c>
      <c r="AU176" s="86">
        <f>IFERROR((AO176-$AK176)/ABS($AO176),0)</f>
        <v>0</v>
      </c>
      <c r="AV176" s="87">
        <f>(AO176-$AK176)</f>
        <v>0</v>
      </c>
      <c r="AW176" s="86">
        <f>IFERROR((AQ176-$AK176)/ABS($AK176),0)</f>
        <v>0</v>
      </c>
      <c r="AX176" s="87">
        <f>(AQ176-$AK176)</f>
        <v>0</v>
      </c>
      <c r="AY176" s="87"/>
      <c r="BA176" s="85">
        <f>SUMIFS(BA174:BA175,$I174:$I175,"&lt;&gt;"&amp;$I$29,$E174:$E175,"&lt;&gt;*[-]*",$F174:$F175,"&lt;&gt;*[-]*",$G174:$G175,"&lt;&gt;*[-]*",$H174:$H175,"Pension")</f>
        <v>0</v>
      </c>
      <c r="BB176" s="86">
        <f>IFERROR(BA176/SUMIFS(BA:BA, $H:$H, "Net Sales"),0)</f>
        <v>0</v>
      </c>
      <c r="BC176" s="85">
        <f>SUMIFS(BC174:BC175,$I174:$I175,"&lt;&gt;"&amp;$I$29,$E174:$E175,"&lt;&gt;*[-]*",$F174:$F175,"&lt;&gt;*[-]*",$G174:$G175,"&lt;&gt;*[-]*",$H174:$H175,"Pension")</f>
        <v>0</v>
      </c>
      <c r="BD176" s="86">
        <f>IFERROR(BC176/SUMIFS(BC:BC, $H:$H, "Net Sales"),0)</f>
        <v>0</v>
      </c>
      <c r="BE176" s="85">
        <f>SUMIFS(BE174:BE175,$I174:$I175,"&lt;&gt;"&amp;$I$29,$E174:$E175,"&lt;&gt;*[-]*",$F174:$F175,"&lt;&gt;*[-]*",$G174:$G175,"&lt;&gt;*[-]*",$H174:$H175,"Pension")</f>
        <v>0</v>
      </c>
      <c r="BF176" s="86">
        <f>IFERROR(BE176/SUMIFS(BE:BE, $H:$H, "Net Sales"),0)</f>
        <v>0</v>
      </c>
      <c r="BG176" s="86">
        <f>IFERROR((BC176-$BA176)/ABS($BA176),0)</f>
        <v>0</v>
      </c>
      <c r="BH176" s="87">
        <f>(BC176-$BA176)</f>
        <v>0</v>
      </c>
      <c r="BI176" s="86">
        <f>IFERROR((BE176-$BA176)/ABS($BA176),0)</f>
        <v>0</v>
      </c>
      <c r="BJ176" s="87">
        <f>(BE176-$BA176)</f>
        <v>0</v>
      </c>
      <c r="BK176" s="87"/>
    </row>
    <row r="177" spans="1:72" x14ac:dyDescent="0.25">
      <c r="N177" s="145"/>
      <c r="P177" s="145"/>
      <c r="R177" s="145"/>
      <c r="T177" s="145"/>
      <c r="U177" s="145"/>
      <c r="V177" s="84"/>
      <c r="W177" s="145"/>
      <c r="X177" s="84"/>
      <c r="Y177" s="145"/>
      <c r="Z177" s="84"/>
      <c r="AA177" s="84"/>
      <c r="AF177" s="169"/>
      <c r="AG177" s="140"/>
      <c r="AH177" s="169"/>
      <c r="AI177" s="140"/>
      <c r="AL177" s="145"/>
      <c r="AN177" s="145"/>
      <c r="AP177" s="145"/>
      <c r="AR177" s="145"/>
      <c r="AS177" s="145"/>
      <c r="AT177" s="84"/>
      <c r="AU177" s="145"/>
      <c r="AV177" s="84"/>
      <c r="AW177" s="145"/>
      <c r="AX177" s="84"/>
      <c r="AY177" s="84"/>
      <c r="BB177" s="145"/>
      <c r="BD177" s="145"/>
      <c r="BF177" s="145"/>
      <c r="BG177" s="145"/>
      <c r="BH177" s="84"/>
      <c r="BI177" s="145"/>
      <c r="BJ177" s="84"/>
      <c r="BK177" s="84"/>
    </row>
    <row r="178" spans="1:72" ht="12.45" thickBot="1" x14ac:dyDescent="0.3">
      <c r="E178" s="4"/>
      <c r="F178" s="4"/>
      <c r="G178" s="4"/>
      <c r="H178" s="4" t="s">
        <v>45</v>
      </c>
      <c r="I178" s="4"/>
      <c r="J178" s="5"/>
      <c r="K178" s="5"/>
      <c r="L178" s="5"/>
      <c r="M178" s="5"/>
      <c r="N178" s="152"/>
      <c r="O178" s="5"/>
      <c r="P178" s="152"/>
      <c r="Q178" s="5"/>
      <c r="R178" s="152"/>
      <c r="S178" s="5"/>
      <c r="T178" s="152"/>
      <c r="U178" s="152"/>
      <c r="V178" s="75"/>
      <c r="W178" s="152"/>
      <c r="X178" s="75"/>
      <c r="Y178" s="152"/>
      <c r="Z178" s="75"/>
      <c r="AA178" s="75"/>
      <c r="AC178" s="133"/>
      <c r="AD178" s="133"/>
      <c r="AE178" s="133"/>
      <c r="AF178" s="171"/>
      <c r="AG178" s="134"/>
      <c r="AH178" s="171"/>
      <c r="AI178" s="134"/>
      <c r="AK178" s="5"/>
      <c r="AL178" s="152"/>
      <c r="AM178" s="5"/>
      <c r="AN178" s="152"/>
      <c r="AO178" s="5"/>
      <c r="AP178" s="152"/>
      <c r="AQ178" s="5"/>
      <c r="AR178" s="152"/>
      <c r="AS178" s="152"/>
      <c r="AT178" s="75"/>
      <c r="AU178" s="152"/>
      <c r="AV178" s="75"/>
      <c r="AW178" s="152"/>
      <c r="AX178" s="75"/>
      <c r="AY178" s="75"/>
      <c r="BA178" s="5"/>
      <c r="BB178" s="152"/>
      <c r="BC178" s="5"/>
      <c r="BD178" s="152"/>
      <c r="BE178" s="5"/>
      <c r="BF178" s="152"/>
      <c r="BG178" s="152"/>
      <c r="BH178" s="75"/>
      <c r="BI178" s="152"/>
      <c r="BJ178" s="75"/>
      <c r="BK178" s="75"/>
    </row>
    <row r="179" spans="1:72" ht="11.95" hidden="1" thickBot="1" x14ac:dyDescent="0.3">
      <c r="B179" t="s">
        <v>1</v>
      </c>
      <c r="E179" s="3"/>
      <c r="F179" s="3"/>
      <c r="G179" s="3"/>
      <c r="H179" s="3" t="s">
        <v>45</v>
      </c>
      <c r="I179" s="18"/>
      <c r="J179" s="18"/>
      <c r="K179" s="18"/>
      <c r="L179" s="78"/>
      <c r="M179" s="79">
        <v>0</v>
      </c>
      <c r="N179" s="80">
        <f>IFERROR(M179/SUMIFS(M:M, $H:$H, "Net Sales"),0)</f>
        <v>0</v>
      </c>
      <c r="O179" s="79">
        <v>0</v>
      </c>
      <c r="P179" s="80">
        <f>IFERROR(O179/SUMIFS(O:O, $H:$H, "Net Sales"),0)</f>
        <v>0</v>
      </c>
      <c r="Q179" s="79">
        <v>0</v>
      </c>
      <c r="R179" s="80">
        <f>IFERROR(Q179/SUMIFS(Q:Q, $H:$H, "Net Sales"),0)</f>
        <v>0</v>
      </c>
      <c r="S179" s="79">
        <v>0</v>
      </c>
      <c r="T179" s="81">
        <f>IFERROR(S179/SUMIFS(S:S, $H:$H, "Net Sales"),0)</f>
        <v>0</v>
      </c>
      <c r="U179" s="80">
        <f t="shared" ref="U179:U180" si="453">IFERROR(($O179-M179)/ABS(M179),0)</f>
        <v>0</v>
      </c>
      <c r="V179" s="70">
        <f t="shared" ref="V179:V180" si="454">IFERROR((O179-$M179), 0-$M179)</f>
        <v>0</v>
      </c>
      <c r="W179" s="80">
        <f t="shared" ref="W179:W180" si="455">IFERROR((Q179-$M179)/ABS($M179),0)</f>
        <v>0</v>
      </c>
      <c r="X179" s="70">
        <f t="shared" ref="X179:X180" si="456">IFERROR((Q179-$M179), 0 -$M179)</f>
        <v>0</v>
      </c>
      <c r="Y179" s="80">
        <f t="shared" ref="Y179:Y180" si="457">IFERROR((S179-$M179)/ABS($M179),0)</f>
        <v>0</v>
      </c>
      <c r="Z179" s="70">
        <f t="shared" ref="Z179:Z180" si="458">IFERROR((S179-$M179),0-$M179)</f>
        <v>0</v>
      </c>
      <c r="AA179" s="70"/>
      <c r="AC179" s="138">
        <v>0</v>
      </c>
      <c r="AD179" s="138">
        <v>0</v>
      </c>
      <c r="AE179" s="138">
        <v>0</v>
      </c>
      <c r="AF179" s="172"/>
      <c r="AG179" s="139"/>
      <c r="AH179" s="172"/>
      <c r="AI179" s="139"/>
      <c r="AK179" s="79">
        <v>0</v>
      </c>
      <c r="AL179" s="80">
        <f>IFERROR(AK179/SUMIFS(AK:AK, $H:$H, "Net Sales"),0)</f>
        <v>0</v>
      </c>
      <c r="AM179" s="79">
        <v>0</v>
      </c>
      <c r="AN179" s="80">
        <f>IFERROR(AM179/SUMIFS(AM:AM, $H:$H, "Net Sales"),0)</f>
        <v>0</v>
      </c>
      <c r="AO179" s="79">
        <v>0</v>
      </c>
      <c r="AP179" s="80">
        <f>IFERROR(AO179/SUMIFS(AO:AO, $H:$H, "Net Sales"),0)</f>
        <v>0</v>
      </c>
      <c r="AQ179" s="79">
        <v>0</v>
      </c>
      <c r="AR179" s="81">
        <f>IFERROR(AQ179/SUMIFS(AQ:AQ, $H:$H, "Net Sales"),0)</f>
        <v>0</v>
      </c>
      <c r="AS179" s="80">
        <f t="shared" ref="AS179:AS180" si="459">IFERROR((AM179-$AK179)/ABS($AK179),0)</f>
        <v>0</v>
      </c>
      <c r="AT179" s="70">
        <f t="shared" ref="AT179:AT180" si="460">(AM179-$AK179)</f>
        <v>0</v>
      </c>
      <c r="AU179" s="80">
        <f t="shared" ref="AU179:AU180" si="461">IFERROR((AO179-$AK179)/ABS($AO179),0)</f>
        <v>0</v>
      </c>
      <c r="AV179" s="70">
        <f t="shared" ref="AV179:AV180" si="462">(AO179-$AK179)</f>
        <v>0</v>
      </c>
      <c r="AW179" s="80">
        <f t="shared" ref="AW179:AW180" si="463">IFERROR((AQ179-$AK179)/ABS($AK179),0)</f>
        <v>0</v>
      </c>
      <c r="AX179" s="70">
        <f t="shared" ref="AX179:AX180" si="464">(AQ179-$AK179)</f>
        <v>0</v>
      </c>
      <c r="AY179" s="70"/>
      <c r="BA179" s="79">
        <v>0</v>
      </c>
      <c r="BB179" s="80">
        <f>IFERROR(BA179/SUMIFS(BA:BA, $H:$H, "Net Sales"),0)</f>
        <v>0</v>
      </c>
      <c r="BC179" s="79">
        <v>0</v>
      </c>
      <c r="BD179" s="80">
        <f>IFERROR(BC179/SUMIFS(BC:BC, $H:$H, "Net Sales"),0)</f>
        <v>0</v>
      </c>
      <c r="BE179" s="79">
        <v>0</v>
      </c>
      <c r="BF179" s="81">
        <f>IFERROR(BE179/SUMIFS(BE:BE, $H:$H, "Net Sales"),0)</f>
        <v>0</v>
      </c>
      <c r="BG179" s="80">
        <f t="shared" ref="BG179:BG180" si="465">IFERROR((BC179-$BA179)/ABS($BA179),0)</f>
        <v>0</v>
      </c>
      <c r="BH179" s="70">
        <f t="shared" ref="BH179:BH180" si="466">(BC179-$BA179)</f>
        <v>0</v>
      </c>
      <c r="BI179" s="80">
        <f t="shared" ref="BI179:BI180" si="467">IFERROR((BE179-$BA179)/ABS($BA179),0)</f>
        <v>0</v>
      </c>
      <c r="BJ179" s="70">
        <f t="shared" ref="BJ179:BJ180" si="468">(BE179-$BA179)</f>
        <v>0</v>
      </c>
      <c r="BK179" s="70"/>
    </row>
    <row r="180" spans="1:72" ht="11.95" hidden="1" thickBot="1" x14ac:dyDescent="0.3">
      <c r="B180" t="str">
        <f>IF(LEFT(H180,3)="Mul", "#hiderow", "#showrow")</f>
        <v>#hiderow</v>
      </c>
      <c r="E180" s="3"/>
      <c r="F180" s="3"/>
      <c r="G180" s="3"/>
      <c r="H180" s="255" t="s">
        <v>6</v>
      </c>
      <c r="I180" s="18"/>
      <c r="J180" s="18"/>
      <c r="K180" s="18"/>
      <c r="L180" s="78"/>
      <c r="M180" s="79"/>
      <c r="N180" s="80">
        <f>IFERROR(M180/SUMIFS(M:M, $H:$H, "Net Sales"),0)</f>
        <v>0</v>
      </c>
      <c r="O180" s="79">
        <v>0</v>
      </c>
      <c r="P180" s="80">
        <f>IFERROR(O180/SUMIFS(O:O, $H:$H, "Net Sales"),0)</f>
        <v>0</v>
      </c>
      <c r="Q180" s="79">
        <v>0</v>
      </c>
      <c r="R180" s="80">
        <f>IFERROR(Q180/SUMIFS(Q:Q, $H:$H, "Net Sales"),0)</f>
        <v>0</v>
      </c>
      <c r="S180" s="79"/>
      <c r="T180" s="81">
        <f>IFERROR(S180/SUMIFS(S:S, $H:$H, "Net Sales"),0)</f>
        <v>0</v>
      </c>
      <c r="U180" s="80">
        <f t="shared" si="453"/>
        <v>0</v>
      </c>
      <c r="V180" s="70">
        <f t="shared" si="454"/>
        <v>0</v>
      </c>
      <c r="W180" s="80">
        <f t="shared" si="455"/>
        <v>0</v>
      </c>
      <c r="X180" s="70">
        <f t="shared" si="456"/>
        <v>0</v>
      </c>
      <c r="Y180" s="80">
        <f t="shared" si="457"/>
        <v>0</v>
      </c>
      <c r="Z180" s="70">
        <f t="shared" si="458"/>
        <v>0</v>
      </c>
      <c r="AA180" s="70"/>
      <c r="AC180" s="138"/>
      <c r="AD180" s="138"/>
      <c r="AE180" s="138"/>
      <c r="AF180" s="172">
        <f t="shared" ref="AF180:AF181" si="469">IFERROR(($AC180-AD180)/ABS(AD180),0)</f>
        <v>0</v>
      </c>
      <c r="AG180" s="139">
        <f>($AC180-AD180)</f>
        <v>0</v>
      </c>
      <c r="AH180" s="172">
        <f>IFERROR(($AC180-AE180)/ABS(AE180),0)</f>
        <v>0</v>
      </c>
      <c r="AI180" s="139">
        <f>($AC180-AE180)</f>
        <v>0</v>
      </c>
      <c r="AK180" s="79"/>
      <c r="AL180" s="80">
        <f>IFERROR(AK180/SUMIFS(AK:AK, $H:$H, "Net Sales"),0)</f>
        <v>0</v>
      </c>
      <c r="AM180" s="79"/>
      <c r="AN180" s="80">
        <f>IFERROR(AM180/SUMIFS(AM:AM, $H:$H, "Net Sales"),0)</f>
        <v>0</v>
      </c>
      <c r="AO180" s="79"/>
      <c r="AP180" s="80">
        <f>IFERROR(AO180/SUMIFS(AO:AO, $H:$H, "Net Sales"),0)</f>
        <v>0</v>
      </c>
      <c r="AQ180" s="79"/>
      <c r="AR180" s="81">
        <f>IFERROR(AQ180/SUMIFS(AQ:AQ, $H:$H, "Net Sales"),0)</f>
        <v>0</v>
      </c>
      <c r="AS180" s="80">
        <f t="shared" si="459"/>
        <v>0</v>
      </c>
      <c r="AT180" s="70">
        <f t="shared" si="460"/>
        <v>0</v>
      </c>
      <c r="AU180" s="80">
        <f t="shared" si="461"/>
        <v>0</v>
      </c>
      <c r="AV180" s="70">
        <f t="shared" si="462"/>
        <v>0</v>
      </c>
      <c r="AW180" s="80">
        <f t="shared" si="463"/>
        <v>0</v>
      </c>
      <c r="AX180" s="70">
        <f t="shared" si="464"/>
        <v>0</v>
      </c>
      <c r="AY180" s="70"/>
      <c r="BA180" s="79"/>
      <c r="BB180" s="80">
        <f>IFERROR(BA180/SUMIFS(BA:BA, $H:$H, "Net Sales"),0)</f>
        <v>0</v>
      </c>
      <c r="BC180" s="79"/>
      <c r="BD180" s="80">
        <f>IFERROR(BC180/SUMIFS(BC:BC, $H:$H, "Net Sales"),0)</f>
        <v>0</v>
      </c>
      <c r="BE180" s="79"/>
      <c r="BF180" s="81">
        <f>IFERROR(BE180/SUMIFS(BE:BE, $H:$H, "Net Sales"),0)</f>
        <v>0</v>
      </c>
      <c r="BG180" s="80">
        <f t="shared" si="465"/>
        <v>0</v>
      </c>
      <c r="BH180" s="70">
        <f t="shared" si="466"/>
        <v>0</v>
      </c>
      <c r="BI180" s="80">
        <f t="shared" si="467"/>
        <v>0</v>
      </c>
      <c r="BJ180" s="70">
        <f t="shared" si="468"/>
        <v>0</v>
      </c>
      <c r="BK180" s="70"/>
    </row>
    <row r="181" spans="1:72" ht="11.95" x14ac:dyDescent="0.25">
      <c r="E181" s="19"/>
      <c r="F181" s="19"/>
      <c r="G181" s="19"/>
      <c r="H181" s="19" t="s">
        <v>87</v>
      </c>
      <c r="I181" s="85"/>
      <c r="J181" s="85"/>
      <c r="K181" s="85"/>
      <c r="L181" s="144">
        <v>-1</v>
      </c>
      <c r="M181" s="85">
        <f>SUMIFS(M179:M180,$I179:$I180,"&lt;&gt;"&amp;$I$29,$E179:$E180,"&lt;&gt;*[-]*",$F179:$F180,"&lt;&gt;*[-]*",$G179:$G180,"&lt;&gt;*[-]*",$H179:$H180,"Interest Expense")</f>
        <v>0</v>
      </c>
      <c r="N181" s="86"/>
      <c r="O181" s="85">
        <f>SUMIFS(O179:O180,$I179:$I180,"&lt;&gt;"&amp;$I$29,$E179:$E180,"&lt;&gt;*[-]*",$F179:$F180,"&lt;&gt;*[-]*",$G179:$G180,"&lt;&gt;*[-]*",$H179:$H180,"Interest Expense")</f>
        <v>0</v>
      </c>
      <c r="P181" s="86"/>
      <c r="Q181" s="85">
        <f>SUMIFS(Q179:Q180,$I179:$I180,"&lt;&gt;"&amp;$I$29,$E179:$E180,"&lt;&gt;*[-]*",$F179:$F180,"&lt;&gt;*[-]*",$G179:$G180,"&lt;&gt;*[-]*",$H179:$H180,"Interest Expense")</f>
        <v>0</v>
      </c>
      <c r="R181" s="86"/>
      <c r="S181" s="85">
        <f>SUMIFS(S179:S180,$I179:$I180,"&lt;&gt;"&amp;$I$29,$E179:$E180,"&lt;&gt;*[-]*",$F179:$F180,"&lt;&gt;*[-]*",$G179:$G180,"&lt;&gt;*[-]*",$H179:$H180,"Interest Expense")</f>
        <v>0</v>
      </c>
      <c r="T181" s="86">
        <f>IFERROR(S181/SUMIFS(S:S, $H:$H, "Net Sales"),0)</f>
        <v>0</v>
      </c>
      <c r="U181" s="86">
        <f>IFERROR(($O181-M181)/ABS(M181),0)</f>
        <v>0</v>
      </c>
      <c r="V181" s="87">
        <f>IFERROR((O181-$M181), 0-$M181)</f>
        <v>0</v>
      </c>
      <c r="W181" s="86">
        <f>IFERROR((Q181-$M181)/ABS($M181),0)</f>
        <v>0</v>
      </c>
      <c r="X181" s="87">
        <f>IFERROR((Q181-$M181), 0 -$M181)</f>
        <v>0</v>
      </c>
      <c r="Y181" s="86">
        <f>IFERROR((S181-$M181)/ABS($M181),0)</f>
        <v>0</v>
      </c>
      <c r="Z181" s="87">
        <f>IFERROR((S181-$M181),0-$M181)</f>
        <v>0</v>
      </c>
      <c r="AA181" s="87"/>
      <c r="AC181" s="142">
        <f>SUMIFS(AC179:AC180,$I179:$I180,"&lt;&gt;"&amp;$I$29,$E179:$E180,"&lt;&gt;*[-]*",$F179:$F180,"&lt;&gt;*[-]*",$G179:$G180,"&lt;&gt;*[-]*",$H179:$H180,"Interest Expense")</f>
        <v>0</v>
      </c>
      <c r="AD181" s="142">
        <f>SUMIFS(AD179:AD180,$I179:$I180,"&lt;&gt;"&amp;$I$29,$E179:$E180,"&lt;&gt;*[-]*",$F179:$F180,"&lt;&gt;*[-]*",$G179:$G180,"&lt;&gt;*[-]*",$H179:$H180,"Interest Expense")</f>
        <v>0</v>
      </c>
      <c r="AE181" s="142">
        <f>SUMIFS(AE179:AE180,$I179:$I180,"&lt;&gt;"&amp;$I$29,$E179:$E180,"&lt;&gt;*[-]*",$F179:$F180,"&lt;&gt;*[-]*",$G179:$G180,"&lt;&gt;*[-]*",$H179:$H180,"Interest Expense")</f>
        <v>0</v>
      </c>
      <c r="AF181" s="173">
        <f t="shared" si="469"/>
        <v>0</v>
      </c>
      <c r="AG181" s="143">
        <f>($AC181-AD181)</f>
        <v>0</v>
      </c>
      <c r="AH181" s="173">
        <f>IFERROR(($AC181-AE181)/ABS(AE181),0)</f>
        <v>0</v>
      </c>
      <c r="AI181" s="143">
        <f>($AC181-AE181)</f>
        <v>0</v>
      </c>
      <c r="AK181" s="85">
        <f>SUMIFS(AK179:AK180,$I179:$I180,"&lt;&gt;"&amp;$I$29,$E179:$E180,"&lt;&gt;*[-]*",$F179:$F180,"&lt;&gt;*[-]*",$G179:$G180,"&lt;&gt;*[-]*",$H179:$H180,"Interest Expense")</f>
        <v>0</v>
      </c>
      <c r="AL181" s="86">
        <f>IFERROR(AK181/SUMIFS(AK:AK, $H:$H, "Net Sales"),0)</f>
        <v>0</v>
      </c>
      <c r="AM181" s="85">
        <f>SUMIFS(AM179:AM180,$I179:$I180,"&lt;&gt;"&amp;$I$29,$E179:$E180,"&lt;&gt;*[-]*",$F179:$F180,"&lt;&gt;*[-]*",$G179:$G180,"&lt;&gt;*[-]*",$H179:$H180,"Interest Expense")</f>
        <v>0</v>
      </c>
      <c r="AN181" s="86">
        <f>IFERROR(AM181/SUMIFS(AM:AM, $H:$H, "Net Sales"),0)</f>
        <v>0</v>
      </c>
      <c r="AO181" s="85">
        <f>SUMIFS(AO179:AO180,$I179:$I180,"&lt;&gt;"&amp;$I$29,$E179:$E180,"&lt;&gt;*[-]*",$F179:$F180,"&lt;&gt;*[-]*",$G179:$G180,"&lt;&gt;*[-]*",$H179:$H180,"Interest Expense")</f>
        <v>0</v>
      </c>
      <c r="AP181" s="86">
        <f>IFERROR(AO181/SUMIFS(AO:AO, $H:$H, "Net Sales"),0)</f>
        <v>0</v>
      </c>
      <c r="AQ181" s="85">
        <f>SUMIFS(AQ179:AQ180,$I179:$I180,"&lt;&gt;"&amp;$I$29,$E179:$E180,"&lt;&gt;*[-]*",$F179:$F180,"&lt;&gt;*[-]*",$G179:$G180,"&lt;&gt;*[-]*",$H179:$H180,"Interest Expense")</f>
        <v>0</v>
      </c>
      <c r="AR181" s="86">
        <f>IFERROR(AQ181/SUMIFS(AQ:AQ, $H:$H, "Net Sales"),0)</f>
        <v>0</v>
      </c>
      <c r="AS181" s="86">
        <f>IFERROR((AM181-$AK181)/ABS($AK181),0)</f>
        <v>0</v>
      </c>
      <c r="AT181" s="87">
        <f>(AM181-$AK181)</f>
        <v>0</v>
      </c>
      <c r="AU181" s="86">
        <f>IFERROR((AO181-$AK181)/ABS($AO181),0)</f>
        <v>0</v>
      </c>
      <c r="AV181" s="87">
        <f>(AO181-$AK181)</f>
        <v>0</v>
      </c>
      <c r="AW181" s="86">
        <f>IFERROR((AQ181-$AK181)/ABS($AK181),0)</f>
        <v>0</v>
      </c>
      <c r="AX181" s="87">
        <f>(AQ181-$AK181)</f>
        <v>0</v>
      </c>
      <c r="AY181" s="87"/>
      <c r="BA181" s="85">
        <f>SUMIFS(BA179:BA180,$I179:$I180,"&lt;&gt;"&amp;$I$29,$E179:$E180,"&lt;&gt;*[-]*",$F179:$F180,"&lt;&gt;*[-]*",$G179:$G180,"&lt;&gt;*[-]*",$H179:$H180,"Interest Expense")</f>
        <v>0</v>
      </c>
      <c r="BB181" s="86">
        <f>IFERROR(BA181/SUMIFS(BA:BA, $H:$H, "Net Sales"),0)</f>
        <v>0</v>
      </c>
      <c r="BC181" s="85">
        <f>SUMIFS(BC179:BC180,$I179:$I180,"&lt;&gt;"&amp;$I$29,$E179:$E180,"&lt;&gt;*[-]*",$F179:$F180,"&lt;&gt;*[-]*",$G179:$G180,"&lt;&gt;*[-]*",$H179:$H180,"Interest Expense")</f>
        <v>0</v>
      </c>
      <c r="BD181" s="86">
        <f>IFERROR(BC181/SUMIFS(BC:BC, $H:$H, "Net Sales"),0)</f>
        <v>0</v>
      </c>
      <c r="BE181" s="85">
        <f>SUMIFS(BE179:BE180,$I179:$I180,"&lt;&gt;"&amp;$I$29,$E179:$E180,"&lt;&gt;*[-]*",$F179:$F180,"&lt;&gt;*[-]*",$G179:$G180,"&lt;&gt;*[-]*",$H179:$H180,"Interest Expense")</f>
        <v>0</v>
      </c>
      <c r="BF181" s="86">
        <f>IFERROR(BE181/SUMIFS(BE:BE, $H:$H, "Net Sales"),0)</f>
        <v>0</v>
      </c>
      <c r="BG181" s="86">
        <f>IFERROR((BC181-$BA181)/ABS($BA181),0)</f>
        <v>0</v>
      </c>
      <c r="BH181" s="87">
        <f>(BC181-$BA181)</f>
        <v>0</v>
      </c>
      <c r="BI181" s="86">
        <f>IFERROR((BE181-$BA181)/ABS($BA181),0)</f>
        <v>0</v>
      </c>
      <c r="BJ181" s="87">
        <f>(BE181-$BA181)</f>
        <v>0</v>
      </c>
      <c r="BK181" s="87"/>
    </row>
    <row r="182" spans="1:72" x14ac:dyDescent="0.25">
      <c r="N182" s="145"/>
      <c r="P182" s="145"/>
      <c r="R182" s="145"/>
      <c r="T182" s="145"/>
      <c r="U182" s="145"/>
      <c r="V182" s="84"/>
      <c r="W182" s="145"/>
      <c r="X182" s="84"/>
      <c r="Y182" s="145"/>
      <c r="Z182" s="84"/>
      <c r="AA182" s="84"/>
      <c r="AF182" s="169"/>
      <c r="AG182" s="140"/>
      <c r="AH182" s="169"/>
      <c r="AI182" s="140"/>
      <c r="AL182" s="145"/>
      <c r="AN182" s="145"/>
      <c r="AP182" s="145"/>
      <c r="AR182" s="145"/>
      <c r="AS182" s="145"/>
      <c r="AT182" s="84"/>
      <c r="AU182" s="145"/>
      <c r="AV182" s="84"/>
      <c r="AW182" s="145"/>
      <c r="AX182" s="84"/>
      <c r="AY182" s="84"/>
      <c r="BB182" s="145"/>
      <c r="BD182" s="145"/>
      <c r="BF182" s="145"/>
      <c r="BG182" s="145"/>
      <c r="BH182" s="84"/>
      <c r="BI182" s="145"/>
      <c r="BJ182" s="84"/>
      <c r="BK182" s="84"/>
    </row>
    <row r="183" spans="1:72" ht="12.45" thickBot="1" x14ac:dyDescent="0.3">
      <c r="E183" s="4"/>
      <c r="F183" s="4"/>
      <c r="G183" s="4"/>
      <c r="H183" s="4" t="s">
        <v>117</v>
      </c>
      <c r="I183" s="4"/>
      <c r="J183" s="5"/>
      <c r="K183" s="5"/>
      <c r="L183" s="5"/>
      <c r="M183" s="5"/>
      <c r="N183" s="152"/>
      <c r="O183" s="5"/>
      <c r="P183" s="152"/>
      <c r="Q183" s="5"/>
      <c r="R183" s="152"/>
      <c r="S183" s="5"/>
      <c r="T183" s="152"/>
      <c r="U183" s="152"/>
      <c r="V183" s="75"/>
      <c r="W183" s="152"/>
      <c r="X183" s="75"/>
      <c r="Y183" s="152"/>
      <c r="Z183" s="75"/>
      <c r="AA183" s="75"/>
      <c r="AC183" s="133"/>
      <c r="AD183" s="133"/>
      <c r="AE183" s="133"/>
      <c r="AF183" s="171"/>
      <c r="AG183" s="134"/>
      <c r="AH183" s="171"/>
      <c r="AI183" s="134"/>
      <c r="AK183" s="5"/>
      <c r="AL183" s="152"/>
      <c r="AM183" s="5"/>
      <c r="AN183" s="152"/>
      <c r="AO183" s="5"/>
      <c r="AP183" s="152"/>
      <c r="AQ183" s="5"/>
      <c r="AR183" s="152"/>
      <c r="AS183" s="152"/>
      <c r="AT183" s="75"/>
      <c r="AU183" s="152"/>
      <c r="AV183" s="75"/>
      <c r="AW183" s="152"/>
      <c r="AX183" s="75"/>
      <c r="AY183" s="75"/>
      <c r="BA183" s="5"/>
      <c r="BB183" s="152"/>
      <c r="BC183" s="5"/>
      <c r="BD183" s="152"/>
      <c r="BE183" s="5"/>
      <c r="BF183" s="152"/>
      <c r="BG183" s="152"/>
      <c r="BH183" s="75"/>
      <c r="BI183" s="152"/>
      <c r="BJ183" s="75"/>
      <c r="BK183" s="75"/>
    </row>
    <row r="184" spans="1:72" ht="11.95" hidden="1" thickBot="1" x14ac:dyDescent="0.3">
      <c r="B184" t="s">
        <v>1</v>
      </c>
      <c r="E184" s="3"/>
      <c r="F184" s="3"/>
      <c r="G184" s="3"/>
      <c r="H184" s="3" t="s">
        <v>117</v>
      </c>
      <c r="I184" s="18"/>
      <c r="J184" s="18"/>
      <c r="K184" s="18"/>
      <c r="L184" s="78"/>
      <c r="M184" s="79">
        <v>0</v>
      </c>
      <c r="N184" s="80">
        <f>IFERROR(M184/SUMIFS(M:M, $H:$H, "Net Sales"),0)</f>
        <v>0</v>
      </c>
      <c r="O184" s="79">
        <v>0</v>
      </c>
      <c r="P184" s="80">
        <f>IFERROR(O184/SUMIFS(O:O, $H:$H, "Net Sales"),0)</f>
        <v>0</v>
      </c>
      <c r="Q184" s="79">
        <v>0</v>
      </c>
      <c r="R184" s="80">
        <f>IFERROR(Q184/SUMIFS(Q:Q, $H:$H, "Net Sales"),0)</f>
        <v>0</v>
      </c>
      <c r="S184" s="79">
        <v>0</v>
      </c>
      <c r="T184" s="81">
        <f>IFERROR(S184/SUMIFS(S:S, $H:$H, "Net Sales"),0)</f>
        <v>0</v>
      </c>
      <c r="U184" s="80">
        <f t="shared" ref="U184:U185" si="470">IFERROR(($O184-M184)/ABS(M184),0)</f>
        <v>0</v>
      </c>
      <c r="V184" s="70">
        <f t="shared" ref="V184:V185" si="471">IFERROR((O184-$M184), 0-$M184)</f>
        <v>0</v>
      </c>
      <c r="W184" s="80">
        <f t="shared" ref="W184:W185" si="472">IFERROR((Q184-$M184)/ABS($M184),0)</f>
        <v>0</v>
      </c>
      <c r="X184" s="70">
        <f t="shared" ref="X184:X185" si="473">IFERROR((Q184-$M184), 0 -$M184)</f>
        <v>0</v>
      </c>
      <c r="Y184" s="80">
        <f t="shared" ref="Y184:Y185" si="474">IFERROR((S184-$M184)/ABS($M184),0)</f>
        <v>0</v>
      </c>
      <c r="Z184" s="70">
        <f t="shared" ref="Z184:Z185" si="475">IFERROR((S184-$M184),0-$M184)</f>
        <v>0</v>
      </c>
      <c r="AA184" s="70"/>
      <c r="AC184" s="138">
        <v>0</v>
      </c>
      <c r="AD184" s="138">
        <v>0</v>
      </c>
      <c r="AE184" s="138">
        <v>0</v>
      </c>
      <c r="AF184" s="172"/>
      <c r="AG184" s="139"/>
      <c r="AH184" s="172"/>
      <c r="AI184" s="139"/>
      <c r="AK184" s="79">
        <v>0</v>
      </c>
      <c r="AL184" s="80">
        <f>IFERROR(AK184/SUMIFS(AK:AK, $H:$H, "Net Sales"),0)</f>
        <v>0</v>
      </c>
      <c r="AM184" s="79">
        <v>0</v>
      </c>
      <c r="AN184" s="80">
        <f>IFERROR(AM184/SUMIFS(AM:AM, $H:$H, "Net Sales"),0)</f>
        <v>0</v>
      </c>
      <c r="AO184" s="79">
        <v>0</v>
      </c>
      <c r="AP184" s="80">
        <f>IFERROR(AO184/SUMIFS(AO:AO, $H:$H, "Net Sales"),0)</f>
        <v>0</v>
      </c>
      <c r="AQ184" s="79">
        <v>0</v>
      </c>
      <c r="AR184" s="81">
        <f>IFERROR(AQ184/SUMIFS(AQ:AQ, $H:$H, "Net Sales"),0)</f>
        <v>0</v>
      </c>
      <c r="AS184" s="80">
        <f t="shared" ref="AS184:AS185" si="476">IFERROR((AM184-$AK184)/ABS($AK184),0)</f>
        <v>0</v>
      </c>
      <c r="AT184" s="70">
        <f t="shared" ref="AT184:AT185" si="477">(AM184-$AK184)</f>
        <v>0</v>
      </c>
      <c r="AU184" s="80">
        <f t="shared" ref="AU184:AU185" si="478">IFERROR((AO184-$AK184)/ABS($AO184),0)</f>
        <v>0</v>
      </c>
      <c r="AV184" s="70">
        <f t="shared" ref="AV184:AV185" si="479">(AO184-$AK184)</f>
        <v>0</v>
      </c>
      <c r="AW184" s="80">
        <f t="shared" ref="AW184:AW185" si="480">IFERROR((AQ184-$AK184)/ABS($AK184),0)</f>
        <v>0</v>
      </c>
      <c r="AX184" s="70">
        <f t="shared" ref="AX184:AX185" si="481">(AQ184-$AK184)</f>
        <v>0</v>
      </c>
      <c r="AY184" s="70"/>
      <c r="BA184" s="79">
        <v>0</v>
      </c>
      <c r="BB184" s="80">
        <f>IFERROR(BA184/SUMIFS(BA:BA, $H:$H, "Net Sales"),0)</f>
        <v>0</v>
      </c>
      <c r="BC184" s="79">
        <v>0</v>
      </c>
      <c r="BD184" s="80">
        <f>IFERROR(BC184/SUMIFS(BC:BC, $H:$H, "Net Sales"),0)</f>
        <v>0</v>
      </c>
      <c r="BE184" s="79">
        <v>0</v>
      </c>
      <c r="BF184" s="81">
        <f>IFERROR(BE184/SUMIFS(BE:BE, $H:$H, "Net Sales"),0)</f>
        <v>0</v>
      </c>
      <c r="BG184" s="80">
        <f t="shared" ref="BG184:BG185" si="482">IFERROR((BC184-$BA184)/ABS($BA184),0)</f>
        <v>0</v>
      </c>
      <c r="BH184" s="70">
        <f t="shared" ref="BH184:BH185" si="483">(BC184-$BA184)</f>
        <v>0</v>
      </c>
      <c r="BI184" s="80">
        <f t="shared" ref="BI184:BI185" si="484">IFERROR((BE184-$BA184)/ABS($BA184),0)</f>
        <v>0</v>
      </c>
      <c r="BJ184" s="70">
        <f t="shared" ref="BJ184:BJ185" si="485">(BE184-$BA184)</f>
        <v>0</v>
      </c>
      <c r="BK184" s="70"/>
    </row>
    <row r="185" spans="1:72" ht="11.95" hidden="1" thickBot="1" x14ac:dyDescent="0.3">
      <c r="B185" t="str">
        <f>IF(LEFT(H185,3)="Mul", "#hiderow", "#showrow")</f>
        <v>#hiderow</v>
      </c>
      <c r="E185" s="3"/>
      <c r="F185" s="3"/>
      <c r="G185" s="3"/>
      <c r="H185" s="255" t="s">
        <v>6</v>
      </c>
      <c r="I185" s="18"/>
      <c r="J185" s="18"/>
      <c r="K185" s="18"/>
      <c r="L185" s="78"/>
      <c r="M185" s="79"/>
      <c r="N185" s="80">
        <f>IFERROR(M185/SUMIFS(M:M, $H:$H, "Net Sales"),0)</f>
        <v>0</v>
      </c>
      <c r="O185" s="79">
        <v>0</v>
      </c>
      <c r="P185" s="80">
        <f>IFERROR(O185/SUMIFS(O:O, $H:$H, "Net Sales"),0)</f>
        <v>0</v>
      </c>
      <c r="Q185" s="79">
        <v>0</v>
      </c>
      <c r="R185" s="80">
        <f>IFERROR(Q185/SUMIFS(Q:Q, $H:$H, "Net Sales"),0)</f>
        <v>0</v>
      </c>
      <c r="S185" s="79"/>
      <c r="T185" s="81">
        <f>IFERROR(S185/SUMIFS(S:S, $H:$H, "Net Sales"),0)</f>
        <v>0</v>
      </c>
      <c r="U185" s="80">
        <f t="shared" si="470"/>
        <v>0</v>
      </c>
      <c r="V185" s="70">
        <f t="shared" si="471"/>
        <v>0</v>
      </c>
      <c r="W185" s="80">
        <f t="shared" si="472"/>
        <v>0</v>
      </c>
      <c r="X185" s="70">
        <f t="shared" si="473"/>
        <v>0</v>
      </c>
      <c r="Y185" s="80">
        <f t="shared" si="474"/>
        <v>0</v>
      </c>
      <c r="Z185" s="70">
        <f t="shared" si="475"/>
        <v>0</v>
      </c>
      <c r="AA185" s="70"/>
      <c r="AC185" s="138"/>
      <c r="AD185" s="138"/>
      <c r="AE185" s="138"/>
      <c r="AF185" s="172">
        <f t="shared" ref="AF185:AF186" si="486">IFERROR(($AC185-AD185)/ABS(AD185),0)</f>
        <v>0</v>
      </c>
      <c r="AG185" s="139">
        <f>($AC185-AD185)</f>
        <v>0</v>
      </c>
      <c r="AH185" s="172">
        <f>IFERROR(($AC185-AE185)/ABS(AE185),0)</f>
        <v>0</v>
      </c>
      <c r="AI185" s="139">
        <f>($AC185-AE185)</f>
        <v>0</v>
      </c>
      <c r="AK185" s="79"/>
      <c r="AL185" s="80">
        <f>IFERROR(AK185/SUMIFS(AK:AK, $H:$H, "Net Sales"),0)</f>
        <v>0</v>
      </c>
      <c r="AM185" s="79"/>
      <c r="AN185" s="80">
        <f>IFERROR(AM185/SUMIFS(AM:AM, $H:$H, "Net Sales"),0)</f>
        <v>0</v>
      </c>
      <c r="AO185" s="79"/>
      <c r="AP185" s="80">
        <f>IFERROR(AO185/SUMIFS(AO:AO, $H:$H, "Net Sales"),0)</f>
        <v>0</v>
      </c>
      <c r="AQ185" s="79"/>
      <c r="AR185" s="81">
        <f>IFERROR(AQ185/SUMIFS(AQ:AQ, $H:$H, "Net Sales"),0)</f>
        <v>0</v>
      </c>
      <c r="AS185" s="80">
        <f t="shared" si="476"/>
        <v>0</v>
      </c>
      <c r="AT185" s="70">
        <f t="shared" si="477"/>
        <v>0</v>
      </c>
      <c r="AU185" s="80">
        <f t="shared" si="478"/>
        <v>0</v>
      </c>
      <c r="AV185" s="70">
        <f t="shared" si="479"/>
        <v>0</v>
      </c>
      <c r="AW185" s="80">
        <f t="shared" si="480"/>
        <v>0</v>
      </c>
      <c r="AX185" s="70">
        <f t="shared" si="481"/>
        <v>0</v>
      </c>
      <c r="AY185" s="70"/>
      <c r="BA185" s="79"/>
      <c r="BB185" s="80">
        <f>IFERROR(BA185/SUMIFS(BA:BA, $H:$H, "Net Sales"),0)</f>
        <v>0</v>
      </c>
      <c r="BC185" s="79"/>
      <c r="BD185" s="80">
        <f>IFERROR(BC185/SUMIFS(BC:BC, $H:$H, "Net Sales"),0)</f>
        <v>0</v>
      </c>
      <c r="BE185" s="79"/>
      <c r="BF185" s="81">
        <f>IFERROR(BE185/SUMIFS(BE:BE, $H:$H, "Net Sales"),0)</f>
        <v>0</v>
      </c>
      <c r="BG185" s="80">
        <f t="shared" si="482"/>
        <v>0</v>
      </c>
      <c r="BH185" s="70">
        <f t="shared" si="483"/>
        <v>0</v>
      </c>
      <c r="BI185" s="80">
        <f t="shared" si="484"/>
        <v>0</v>
      </c>
      <c r="BJ185" s="70">
        <f t="shared" si="485"/>
        <v>0</v>
      </c>
      <c r="BK185" s="70"/>
    </row>
    <row r="186" spans="1:72" ht="11.95" x14ac:dyDescent="0.25">
      <c r="E186" s="19"/>
      <c r="F186" s="19"/>
      <c r="G186" s="19"/>
      <c r="H186" s="19" t="s">
        <v>118</v>
      </c>
      <c r="I186" s="85"/>
      <c r="J186" s="85"/>
      <c r="K186" s="85"/>
      <c r="L186" s="144">
        <v>-1</v>
      </c>
      <c r="M186" s="85">
        <f>SUMIFS(M184:M185,$I184:$I185,"&lt;&gt;"&amp;$I$29,$E184:$E185,"&lt;&gt;*[-]*",$F184:$F185,"&lt;&gt;*[-]*",$G184:$G185,"&lt;&gt;*[-]*",$H184:$H185,"Gain/Loss on Swap MTM")</f>
        <v>0</v>
      </c>
      <c r="N186" s="86"/>
      <c r="O186" s="85">
        <f>SUMIFS(O184:O185,$I184:$I185,"&lt;&gt;"&amp;$I$29,$E184:$E185,"&lt;&gt;*[-]*",$F184:$F185,"&lt;&gt;*[-]*",$G184:$G185,"&lt;&gt;*[-]*",$H184:$H185,"Gain/Loss on Swap MTM")</f>
        <v>0</v>
      </c>
      <c r="P186" s="86"/>
      <c r="Q186" s="85">
        <f>SUMIFS(Q184:Q185,$I184:$I185,"&lt;&gt;"&amp;$I$29,$E184:$E185,"&lt;&gt;*[-]*",$F184:$F185,"&lt;&gt;*[-]*",$G184:$G185,"&lt;&gt;*[-]*",$H184:$H185,"Gain/Loss on Swap MTM")</f>
        <v>0</v>
      </c>
      <c r="R186" s="86"/>
      <c r="S186" s="85">
        <f>SUMIFS(S184:S185,$I184:$I185,"&lt;&gt;"&amp;$I$29,$E184:$E185,"&lt;&gt;*[-]*",$F184:$F185,"&lt;&gt;*[-]*",$G184:$G185,"&lt;&gt;*[-]*",$H184:$H185,"Gain/Loss on Swap MTM")</f>
        <v>0</v>
      </c>
      <c r="T186" s="86">
        <f>IFERROR(S186/SUMIFS(S:S, $H:$H, "Net Sales"),0)</f>
        <v>0</v>
      </c>
      <c r="U186" s="86">
        <f>IFERROR(($O186-M186)/ABS(M186),0)</f>
        <v>0</v>
      </c>
      <c r="V186" s="87">
        <f>IFERROR((O186-$M186), 0-$M186)</f>
        <v>0</v>
      </c>
      <c r="W186" s="86">
        <f>IFERROR((Q186-$M186)/ABS($M186),0)</f>
        <v>0</v>
      </c>
      <c r="X186" s="87">
        <f>IFERROR((Q186-$M186), 0 -$M186)</f>
        <v>0</v>
      </c>
      <c r="Y186" s="86">
        <f>IFERROR((S186-$M186)/ABS($M186),0)</f>
        <v>0</v>
      </c>
      <c r="Z186" s="87">
        <f>IFERROR((S186-$M186),0-$M186)</f>
        <v>0</v>
      </c>
      <c r="AA186" s="87"/>
      <c r="AC186" s="142">
        <f>SUMIFS(AC185:AC185,$I185:$I185,"&lt;&gt;"&amp;$I$29,$E185:$E185,"&lt;&gt;*[-]*",$F185:$F185,"&lt;&gt;*[-]*",$G185:$G185,"&lt;&gt;*[-]*",$H185:$H185,"Gain/Loss on Swap MTM")</f>
        <v>0</v>
      </c>
      <c r="AD186" s="142">
        <f>SUMIFS(AD185:AD185,$I185:$I185,"&lt;&gt;"&amp;$I$29,$E185:$E185,"&lt;&gt;*[-]*",$F185:$F185,"&lt;&gt;*[-]*",$G185:$G185,"&lt;&gt;*[-]*",$H185:$H185,"Gain/Loss on Swap MTM")</f>
        <v>0</v>
      </c>
      <c r="AE186" s="142">
        <f>SUMIFS(AE185:AE185,$I185:$I185,"&lt;&gt;"&amp;$I$29,$E185:$E185,"&lt;&gt;*[-]*",$F185:$F185,"&lt;&gt;*[-]*",$G185:$G185,"&lt;&gt;*[-]*",$H185:$H185,"Gain/Loss on Swap MTM")</f>
        <v>0</v>
      </c>
      <c r="AF186" s="173">
        <f t="shared" si="486"/>
        <v>0</v>
      </c>
      <c r="AG186" s="143">
        <f>($AC186-AD186)</f>
        <v>0</v>
      </c>
      <c r="AH186" s="173">
        <f>IFERROR(($AC186-AE186)/ABS(AE186),0)</f>
        <v>0</v>
      </c>
      <c r="AI186" s="143">
        <f>($AC186-AE186)</f>
        <v>0</v>
      </c>
      <c r="AK186" s="85">
        <f>SUMIFS(AK184:AK185,$I184:$I185,"&lt;&gt;"&amp;$I$29,$E184:$E185,"&lt;&gt;*[-]*",$F184:$F185,"&lt;&gt;*[-]*",$G184:$G185,"&lt;&gt;*[-]*",$H184:$H185,"Gain/Loss on Swap MTM")</f>
        <v>0</v>
      </c>
      <c r="AL186" s="86">
        <f>IFERROR(AK186/SUMIFS(AK:AK, $H:$H, "Net Sales"),0)</f>
        <v>0</v>
      </c>
      <c r="AM186" s="85">
        <f>SUMIFS(AM184:AM185,$I184:$I185,"&lt;&gt;"&amp;$I$29,$E184:$E185,"&lt;&gt;*[-]*",$F184:$F185,"&lt;&gt;*[-]*",$G184:$G185,"&lt;&gt;*[-]*",$H184:$H185,"Gain/Loss on Swap MTM")</f>
        <v>0</v>
      </c>
      <c r="AN186" s="86">
        <f>IFERROR(AM186/SUMIFS(AM:AM, $H:$H, "Net Sales"),0)</f>
        <v>0</v>
      </c>
      <c r="AO186" s="85">
        <f>SUMIFS(AO184:AO185,$I184:$I185,"&lt;&gt;"&amp;$I$29,$E184:$E185,"&lt;&gt;*[-]*",$F184:$F185,"&lt;&gt;*[-]*",$G184:$G185,"&lt;&gt;*[-]*",$H184:$H185,"Gain/Loss on Swap MTM")</f>
        <v>0</v>
      </c>
      <c r="AP186" s="86">
        <f>IFERROR(AO186/SUMIFS(AO:AO, $H:$H, "Net Sales"),0)</f>
        <v>0</v>
      </c>
      <c r="AQ186" s="85">
        <f>SUMIFS(AQ184:AQ185,$I184:$I185,"&lt;&gt;"&amp;$I$29,$E184:$E185,"&lt;&gt;*[-]*",$F184:$F185,"&lt;&gt;*[-]*",$G184:$G185,"&lt;&gt;*[-]*",$H184:$H185,"Gain/Loss on Swap MTM")</f>
        <v>0</v>
      </c>
      <c r="AR186" s="86">
        <f>IFERROR(AQ186/SUMIFS(AQ:AQ, $H:$H, "Net Sales"),0)</f>
        <v>0</v>
      </c>
      <c r="AS186" s="86">
        <f>IFERROR((AM186-$AK186)/ABS($AK186),0)</f>
        <v>0</v>
      </c>
      <c r="AT186" s="87">
        <f>(AM186-$AK186)</f>
        <v>0</v>
      </c>
      <c r="AU186" s="86">
        <f>IFERROR((AO186-$AK186)/ABS($AO186),0)</f>
        <v>0</v>
      </c>
      <c r="AV186" s="87">
        <f>(AO186-$AK186)</f>
        <v>0</v>
      </c>
      <c r="AW186" s="86">
        <f>IFERROR((AQ186-$AK186)/ABS($AK186),0)</f>
        <v>0</v>
      </c>
      <c r="AX186" s="87">
        <f>(AQ186-$AK186)</f>
        <v>0</v>
      </c>
      <c r="AY186" s="87"/>
      <c r="BA186" s="85">
        <f>SUMIFS(BA184:BA185,$I184:$I185,"&lt;&gt;"&amp;$I$29,$E184:$E185,"&lt;&gt;*[-]*",$F184:$F185,"&lt;&gt;*[-]*",$G184:$G185,"&lt;&gt;*[-]*",$H184:$H185,"Gain/Loss on Swap MTM")</f>
        <v>0</v>
      </c>
      <c r="BB186" s="86">
        <f>IFERROR(BA186/SUMIFS(BA:BA, $H:$H, "Net Sales"),0)</f>
        <v>0</v>
      </c>
      <c r="BC186" s="85">
        <f>SUMIFS(BC184:BC185,$I184:$I185,"&lt;&gt;"&amp;$I$29,$E184:$E185,"&lt;&gt;*[-]*",$F184:$F185,"&lt;&gt;*[-]*",$G184:$G185,"&lt;&gt;*[-]*",$H184:$H185,"Gain/Loss on Swap MTM")</f>
        <v>0</v>
      </c>
      <c r="BD186" s="86">
        <f>IFERROR(BC186/SUMIFS(BC:BC, $H:$H, "Net Sales"),0)</f>
        <v>0</v>
      </c>
      <c r="BE186" s="85">
        <f>SUMIFS(BE184:BE185,$I184:$I185,"&lt;&gt;"&amp;$I$29,$E184:$E185,"&lt;&gt;*[-]*",$F184:$F185,"&lt;&gt;*[-]*",$G184:$G185,"&lt;&gt;*[-]*",$H184:$H185,"Gain/Loss on Swap MTM")</f>
        <v>0</v>
      </c>
      <c r="BF186" s="86">
        <f>IFERROR(BE186/SUMIFS(BE:BE, $H:$H, "Net Sales"),0)</f>
        <v>0</v>
      </c>
      <c r="BG186" s="86">
        <f>IFERROR((BC186-$BA186)/ABS($BA186),0)</f>
        <v>0</v>
      </c>
      <c r="BH186" s="87">
        <f>(BC186-$BA186)</f>
        <v>0</v>
      </c>
      <c r="BI186" s="86">
        <f>IFERROR((BE186-$BA186)/ABS($BA186),0)</f>
        <v>0</v>
      </c>
      <c r="BJ186" s="87">
        <f>(BE186-$BA186)</f>
        <v>0</v>
      </c>
      <c r="BK186" s="87"/>
    </row>
    <row r="187" spans="1:72" x14ac:dyDescent="0.25">
      <c r="N187" s="145"/>
      <c r="P187" s="145"/>
      <c r="R187" s="145"/>
      <c r="T187" s="145"/>
      <c r="U187" s="145"/>
      <c r="V187" s="84"/>
      <c r="W187" s="145"/>
      <c r="X187" s="84"/>
      <c r="Y187" s="145"/>
      <c r="Z187" s="84"/>
      <c r="AA187" s="84"/>
      <c r="AF187" s="169"/>
      <c r="AG187" s="140"/>
      <c r="AH187" s="169"/>
      <c r="AI187" s="140"/>
      <c r="AL187" s="145"/>
      <c r="AN187" s="145"/>
      <c r="AP187" s="145"/>
      <c r="AR187" s="145"/>
      <c r="AS187" s="145"/>
      <c r="AT187" s="84"/>
      <c r="AU187" s="145"/>
      <c r="AV187" s="84"/>
      <c r="AW187" s="145"/>
      <c r="AX187" s="84"/>
      <c r="AY187" s="84"/>
      <c r="BB187" s="145"/>
      <c r="BD187" s="145"/>
      <c r="BF187" s="145"/>
      <c r="BG187" s="145"/>
      <c r="BH187" s="84"/>
      <c r="BI187" s="145"/>
      <c r="BJ187" s="84"/>
      <c r="BK187" s="84"/>
    </row>
    <row r="188" spans="1:72" s="47" customFormat="1" ht="12.45" hidden="1" thickBot="1" x14ac:dyDescent="0.3">
      <c r="A188"/>
      <c r="B188" s="47" t="s">
        <v>1</v>
      </c>
      <c r="E188" s="132"/>
      <c r="F188" s="132"/>
      <c r="G188" s="132"/>
      <c r="H188" s="132" t="s">
        <v>117</v>
      </c>
      <c r="I188" s="132"/>
      <c r="J188" s="133"/>
      <c r="K188" s="133"/>
      <c r="L188" s="133"/>
      <c r="M188" s="133"/>
      <c r="N188" s="154"/>
      <c r="O188" s="133"/>
      <c r="P188" s="154"/>
      <c r="Q188" s="133"/>
      <c r="R188" s="154"/>
      <c r="S188" s="133"/>
      <c r="T188" s="154"/>
      <c r="U188" s="154"/>
      <c r="V188" s="134"/>
      <c r="W188" s="154"/>
      <c r="X188" s="134"/>
      <c r="Y188" s="154"/>
      <c r="Z188" s="134"/>
      <c r="AA188" s="134"/>
      <c r="AC188" s="133"/>
      <c r="AD188" s="133"/>
      <c r="AE188" s="133"/>
      <c r="AF188" s="171"/>
      <c r="AG188" s="134"/>
      <c r="AH188" s="171"/>
      <c r="AI188" s="134"/>
      <c r="AJ188"/>
      <c r="AK188" s="133"/>
      <c r="AL188" s="154"/>
      <c r="AM188" s="133"/>
      <c r="AN188" s="154"/>
      <c r="AO188" s="133"/>
      <c r="AP188" s="154"/>
      <c r="AQ188" s="133"/>
      <c r="AR188" s="154"/>
      <c r="AS188" s="154"/>
      <c r="AT188" s="134"/>
      <c r="AU188" s="154"/>
      <c r="AV188" s="134"/>
      <c r="AW188" s="154"/>
      <c r="AX188" s="134"/>
      <c r="AY188" s="134"/>
      <c r="AZ188"/>
      <c r="BA188" s="133"/>
      <c r="BB188" s="154"/>
      <c r="BC188" s="133"/>
      <c r="BD188" s="154"/>
      <c r="BE188" s="133"/>
      <c r="BF188" s="154"/>
      <c r="BG188" s="154"/>
      <c r="BH188" s="134"/>
      <c r="BI188" s="154"/>
      <c r="BJ188" s="134"/>
      <c r="BK188" s="134"/>
      <c r="BL188"/>
      <c r="BM188"/>
      <c r="BN188"/>
      <c r="BO188"/>
      <c r="BP188"/>
      <c r="BQ188"/>
      <c r="BR188"/>
      <c r="BS188"/>
      <c r="BT188"/>
    </row>
    <row r="189" spans="1:72" s="47" customFormat="1" ht="11.95" hidden="1" thickBot="1" x14ac:dyDescent="0.3">
      <c r="A189"/>
      <c r="B189" s="47" t="s">
        <v>1</v>
      </c>
      <c r="E189" s="135"/>
      <c r="F189" s="135"/>
      <c r="G189" s="135"/>
      <c r="H189" s="135" t="s">
        <v>6</v>
      </c>
      <c r="I189" s="136"/>
      <c r="J189" s="136"/>
      <c r="K189" s="136"/>
      <c r="L189" s="137"/>
      <c r="M189" s="138"/>
      <c r="N189" s="155"/>
      <c r="O189" s="138"/>
      <c r="P189" s="155"/>
      <c r="Q189" s="138"/>
      <c r="R189" s="155"/>
      <c r="S189" s="138"/>
      <c r="T189" s="155"/>
      <c r="U189" s="155">
        <f>IFERROR(($O189-M189)/ABS(M189),0)</f>
        <v>0</v>
      </c>
      <c r="V189" s="139">
        <f>($O189-M189)</f>
        <v>0</v>
      </c>
      <c r="W189" s="155">
        <f>IFERROR(($M189-Q189)/ABS(Q189),0)</f>
        <v>0</v>
      </c>
      <c r="X189" s="139">
        <f>($M189-Q189)</f>
        <v>0</v>
      </c>
      <c r="Y189" s="155">
        <f>IFERROR(($M189-S189)/ABS(S189),0)</f>
        <v>0</v>
      </c>
      <c r="Z189" s="139">
        <f>($M189-S189)</f>
        <v>0</v>
      </c>
      <c r="AA189" s="139"/>
      <c r="AC189" s="138"/>
      <c r="AD189" s="138"/>
      <c r="AE189" s="138"/>
      <c r="AF189" s="172">
        <f t="shared" ref="AF189" si="487">IFERROR(($AC189-AD189)/ABS(AD189),0)</f>
        <v>0</v>
      </c>
      <c r="AG189" s="139">
        <f>($AC189-AD189)</f>
        <v>0</v>
      </c>
      <c r="AH189" s="172">
        <f>IFERROR(($AC189-AE189)/ABS(AE189),0)</f>
        <v>0</v>
      </c>
      <c r="AI189" s="139">
        <f>($AC189-AE189)</f>
        <v>0</v>
      </c>
      <c r="AJ189"/>
      <c r="AK189" s="138"/>
      <c r="AL189" s="155"/>
      <c r="AM189" s="138"/>
      <c r="AN189" s="155"/>
      <c r="AO189" s="138"/>
      <c r="AP189" s="155"/>
      <c r="AQ189" s="138"/>
      <c r="AR189" s="155"/>
      <c r="AS189" s="155">
        <f>IFERROR(($O189-AK189)/ABS(AK189),0)</f>
        <v>0</v>
      </c>
      <c r="AT189" s="139">
        <f>($AK189-AM189)</f>
        <v>0</v>
      </c>
      <c r="AU189" s="155">
        <f>IFERROR(($M189-AO189)/ABS(AO189),0)</f>
        <v>0</v>
      </c>
      <c r="AV189" s="139">
        <f>($AK189-AO189)</f>
        <v>0</v>
      </c>
      <c r="AW189" s="155">
        <f>IFERROR(($M189-AQ189)/ABS(AQ189),0)</f>
        <v>0</v>
      </c>
      <c r="AX189" s="139">
        <f>($AK189-AQ189)</f>
        <v>0</v>
      </c>
      <c r="AY189" s="139"/>
      <c r="AZ189"/>
      <c r="BA189" s="138"/>
      <c r="BB189" s="155"/>
      <c r="BC189" s="138"/>
      <c r="BD189" s="155"/>
      <c r="BE189" s="138"/>
      <c r="BF189" s="155"/>
      <c r="BG189" s="155">
        <f>IFERROR(($BA189-BC189)/ABS(BC189),0)</f>
        <v>0</v>
      </c>
      <c r="BH189" s="139">
        <f>($BA189-BC189)</f>
        <v>0</v>
      </c>
      <c r="BI189" s="155">
        <f>IFERROR(($BA189-BE189)/ABS(BE189),0)</f>
        <v>0</v>
      </c>
      <c r="BJ189" s="139">
        <f>($BA189-BE189)</f>
        <v>0</v>
      </c>
      <c r="BK189" s="139"/>
      <c r="BL189"/>
      <c r="BM189"/>
      <c r="BN189"/>
      <c r="BO189"/>
      <c r="BP189"/>
      <c r="BQ189"/>
      <c r="BR189"/>
      <c r="BS189"/>
      <c r="BT189"/>
    </row>
    <row r="190" spans="1:72" s="47" customFormat="1" ht="11.95" hidden="1" thickBot="1" x14ac:dyDescent="0.3">
      <c r="A190"/>
      <c r="B190" s="47" t="s">
        <v>1</v>
      </c>
      <c r="N190" s="156"/>
      <c r="P190" s="156"/>
      <c r="R190" s="156"/>
      <c r="T190" s="156"/>
      <c r="U190" s="156"/>
      <c r="V190" s="140"/>
      <c r="W190" s="156"/>
      <c r="X190" s="140"/>
      <c r="Y190" s="156"/>
      <c r="Z190" s="140"/>
      <c r="AA190" s="140"/>
      <c r="AF190" s="169"/>
      <c r="AG190" s="140"/>
      <c r="AH190" s="169"/>
      <c r="AI190" s="140"/>
      <c r="AJ190"/>
      <c r="AL190" s="156"/>
      <c r="AN190" s="156"/>
      <c r="AP190" s="156"/>
      <c r="AR190" s="156"/>
      <c r="AS190" s="156"/>
      <c r="AT190" s="140"/>
      <c r="AU190" s="156"/>
      <c r="AV190" s="140"/>
      <c r="AW190" s="156"/>
      <c r="AX190" s="140"/>
      <c r="AY190" s="140"/>
      <c r="AZ190"/>
      <c r="BB190" s="156"/>
      <c r="BD190" s="156"/>
      <c r="BF190" s="156"/>
      <c r="BG190" s="156"/>
      <c r="BH190" s="140"/>
      <c r="BI190" s="156"/>
      <c r="BJ190" s="140"/>
      <c r="BK190" s="140"/>
      <c r="BL190"/>
      <c r="BM190"/>
      <c r="BN190"/>
      <c r="BO190"/>
      <c r="BP190"/>
      <c r="BQ190"/>
      <c r="BR190"/>
      <c r="BS190"/>
      <c r="BT190"/>
    </row>
    <row r="191" spans="1:72" s="47" customFormat="1" ht="11.95" hidden="1" x14ac:dyDescent="0.25">
      <c r="A191"/>
      <c r="B191" s="47" t="s">
        <v>1</v>
      </c>
      <c r="E191" s="141"/>
      <c r="F191" s="141"/>
      <c r="G191" s="141"/>
      <c r="H191" s="141" t="s">
        <v>89</v>
      </c>
      <c r="I191" s="142"/>
      <c r="J191" s="142"/>
      <c r="K191" s="142"/>
      <c r="L191" s="142">
        <v>1</v>
      </c>
      <c r="M191" s="142">
        <f>SUMIFS(M189:M190,$I189:$I190,"&lt;&gt;"&amp;$I$29,$E189:$E190,"&lt;&gt;*[-]*",$F189:$F190,"&lt;&gt;*[-]*",$G189:$G190,"&lt;&gt;*[-]*",$H189:$H190,"*[+]*")</f>
        <v>0</v>
      </c>
      <c r="N191" s="157"/>
      <c r="O191" s="142">
        <f>SUMIFS(O189:O190,$I189:$I190,"&lt;&gt;"&amp;$I$29,$E189:$E190,"&lt;&gt;*[-]*",$F189:$F190,"&lt;&gt;*[-]*",$G189:$G190,"&lt;&gt;*[-]*",$H189:$H190,"*[+]*")</f>
        <v>0</v>
      </c>
      <c r="P191" s="157"/>
      <c r="Q191" s="142">
        <f>SUMIFS(Q189:Q190,$I189:$I190,"&lt;&gt;"&amp;$I$29,$E189:$E190,"&lt;&gt;*[-]*",$F189:$F190,"&lt;&gt;*[-]*",$G189:$G190,"&lt;&gt;*[-]*",$H189:$H190,"*[+]*")</f>
        <v>0</v>
      </c>
      <c r="R191" s="157"/>
      <c r="S191" s="142">
        <f>SUMIFS(S189:S190,$I189:$I190,"&lt;&gt;"&amp;$I$29,$E189:$E190,"&lt;&gt;*[-]*",$F189:$F190,"&lt;&gt;*[-]*",$G189:$G190,"&lt;&gt;*[-]*",$H189:$H190,"*[+]*")</f>
        <v>0</v>
      </c>
      <c r="T191" s="157"/>
      <c r="U191" s="157">
        <f>IFERROR(($O191-M191)/ABS(M191),0)</f>
        <v>0</v>
      </c>
      <c r="V191" s="143">
        <f>($O191-M191)</f>
        <v>0</v>
      </c>
      <c r="W191" s="157">
        <f>IFERROR(($M191-Q191)/ABS(Q191),0)</f>
        <v>0</v>
      </c>
      <c r="X191" s="143">
        <f>($M191-Q191)</f>
        <v>0</v>
      </c>
      <c r="Y191" s="157">
        <f>IFERROR(($M191-S191)/ABS(S191),0)</f>
        <v>0</v>
      </c>
      <c r="Z191" s="143">
        <f>($M191-S191)</f>
        <v>0</v>
      </c>
      <c r="AA191" s="143"/>
      <c r="AC191" s="142">
        <f>SUMIFS(AC189:AC190,$I189:$I190,"&lt;&gt;"&amp;$I$29,$E189:$E190,"&lt;&gt;*[-]*",$F189:$F190,"&lt;&gt;*[-]*",$G189:$G190,"&lt;&gt;*[-]*",$H189:$H190,"&lt;&gt;*[-]*")</f>
        <v>0</v>
      </c>
      <c r="AD191" s="142">
        <f>SUMIFS(AD189:AD190,$I189:$I190,"&lt;&gt;"&amp;$I$29,$E189:$E190,"&lt;&gt;*[-]*",$F189:$F190,"&lt;&gt;*[-]*",$G189:$G190,"&lt;&gt;*[-]*",$H189:$H190,"&lt;&gt;*[-]*")</f>
        <v>0</v>
      </c>
      <c r="AE191" s="142">
        <f>SUMIFS(AE189:AE190,$I189:$I190,"&lt;&gt;"&amp;$I$29,$E189:$E190,"&lt;&gt;*[-]*",$F189:$F190,"&lt;&gt;*[-]*",$G189:$G190,"&lt;&gt;*[-]*",$H189:$H190,"&lt;&gt;*[-]*")</f>
        <v>0</v>
      </c>
      <c r="AF191" s="173">
        <f t="shared" ref="AF191" si="488">IFERROR(($AC191-AD191)/ABS(AD191),0)</f>
        <v>0</v>
      </c>
      <c r="AG191" s="143">
        <f>($AC191-AD191)</f>
        <v>0</v>
      </c>
      <c r="AH191" s="173">
        <f>IFERROR(($AC191-AE191)/ABS(AE191),0)</f>
        <v>0</v>
      </c>
      <c r="AI191" s="143">
        <f>($AC191-AE191)</f>
        <v>0</v>
      </c>
      <c r="AJ191"/>
      <c r="AK191" s="142">
        <f>SUMIFS(AK189:AK190,$I189:$I190,"&lt;&gt;"&amp;$I$29,$E189:$E190,"&lt;&gt;*[-]*",$F189:$F190,"&lt;&gt;*[-]*",$G189:$G190,"&lt;&gt;*[-]*",$H189:$H190,"*[+]*")</f>
        <v>0</v>
      </c>
      <c r="AL191" s="157"/>
      <c r="AM191" s="142"/>
      <c r="AN191" s="157"/>
      <c r="AO191" s="142"/>
      <c r="AP191" s="157"/>
      <c r="AQ191" s="142">
        <f>SUMIFS(AQ189:AQ190,$I189:$I190,"&lt;&gt;"&amp;$I$29,$E189:$E190,"&lt;&gt;*[-]*",$F189:$F190,"&lt;&gt;*[-]*",$G189:$G190,"&lt;&gt;*[-]*",$H189:$H190,"*[+]*")</f>
        <v>0</v>
      </c>
      <c r="AR191" s="157"/>
      <c r="AS191" s="157">
        <f>IFERROR(($O191-AK191)/ABS(AK191),0)</f>
        <v>0</v>
      </c>
      <c r="AT191" s="143">
        <f>($AK191-AM191)</f>
        <v>0</v>
      </c>
      <c r="AU191" s="157">
        <f>IFERROR(($M191-AO191)/ABS(AO191),0)</f>
        <v>0</v>
      </c>
      <c r="AV191" s="143">
        <f>($AK191-AO191)</f>
        <v>0</v>
      </c>
      <c r="AW191" s="157">
        <f>IFERROR(($M191-AQ191)/ABS(AQ191),0)</f>
        <v>0</v>
      </c>
      <c r="AX191" s="143">
        <f>($AK191-AQ191)</f>
        <v>0</v>
      </c>
      <c r="AY191" s="143"/>
      <c r="AZ191"/>
      <c r="BA191" s="142">
        <f>SUMIFS(BA189:BA190,$I189:$I190,"&lt;&gt;"&amp;$I$29,$E189:$E190,"&lt;&gt;*[-]*",$F189:$F190,"&lt;&gt;*[-]*",$G189:$G190,"&lt;&gt;*[-]*",$H189:$H190,"*[+]*")</f>
        <v>0</v>
      </c>
      <c r="BB191" s="157"/>
      <c r="BC191" s="142">
        <f>SUMIFS(BC189:BC190,$I189:$I190,"&lt;&gt;"&amp;$I$29,$E189:$E190,"&lt;&gt;*[-]*",$F189:$F190,"&lt;&gt;*[-]*",$G189:$G190,"&lt;&gt;*[-]*",$H189:$H190,"*[+]*")</f>
        <v>0</v>
      </c>
      <c r="BD191" s="157"/>
      <c r="BE191" s="142">
        <f>SUMIFS(BE189:BE190,$I189:$I190,"&lt;&gt;"&amp;$I$29,$E189:$E190,"&lt;&gt;*[-]*",$F189:$F190,"&lt;&gt;*[-]*",$G189:$G190,"&lt;&gt;*[-]*",$H189:$H190,"*[+]*")</f>
        <v>0</v>
      </c>
      <c r="BF191" s="157"/>
      <c r="BG191" s="157">
        <f>IFERROR(($BA191-BC191)/ABS(BC191),0)</f>
        <v>0</v>
      </c>
      <c r="BH191" s="143">
        <f>($BA191-BC191)</f>
        <v>0</v>
      </c>
      <c r="BI191" s="157">
        <f>IFERROR(($BA191-BE191)/ABS(BE191),0)</f>
        <v>0</v>
      </c>
      <c r="BJ191" s="143">
        <f>($BA191-BE191)</f>
        <v>0</v>
      </c>
      <c r="BK191" s="143"/>
      <c r="BL191"/>
      <c r="BM191"/>
      <c r="BN191"/>
      <c r="BO191"/>
      <c r="BP191"/>
      <c r="BQ191"/>
      <c r="BR191"/>
      <c r="BS191"/>
      <c r="BT191"/>
    </row>
    <row r="192" spans="1:72" s="47" customFormat="1" hidden="1" x14ac:dyDescent="0.25">
      <c r="A192"/>
      <c r="B192" s="47" t="s">
        <v>1</v>
      </c>
      <c r="N192" s="156"/>
      <c r="P192" s="156"/>
      <c r="R192" s="156"/>
      <c r="T192" s="156"/>
      <c r="U192" s="156"/>
      <c r="V192" s="140"/>
      <c r="W192" s="156"/>
      <c r="X192" s="140"/>
      <c r="Y192" s="156"/>
      <c r="Z192" s="140"/>
      <c r="AA192" s="140"/>
      <c r="AF192" s="169"/>
      <c r="AG192" s="140"/>
      <c r="AH192" s="169"/>
      <c r="AI192" s="140"/>
      <c r="AJ192"/>
      <c r="AL192" s="156"/>
      <c r="AN192" s="156"/>
      <c r="AP192" s="156"/>
      <c r="AR192" s="156"/>
      <c r="AS192" s="156"/>
      <c r="AT192" s="140"/>
      <c r="AU192" s="156"/>
      <c r="AV192" s="140"/>
      <c r="AW192" s="156"/>
      <c r="AX192" s="140"/>
      <c r="AY192" s="140"/>
      <c r="AZ192"/>
      <c r="BB192" s="156"/>
      <c r="BD192" s="156"/>
      <c r="BF192" s="156"/>
      <c r="BG192" s="156"/>
      <c r="BH192" s="140"/>
      <c r="BI192" s="156"/>
      <c r="BJ192" s="140"/>
      <c r="BK192" s="140"/>
      <c r="BL192"/>
      <c r="BM192"/>
      <c r="BN192"/>
      <c r="BO192"/>
      <c r="BP192"/>
      <c r="BQ192"/>
      <c r="BR192"/>
      <c r="BS192"/>
      <c r="BT192"/>
    </row>
    <row r="193" spans="1:72" s="47" customFormat="1" ht="12.45" hidden="1" thickBot="1" x14ac:dyDescent="0.3">
      <c r="A193"/>
      <c r="B193" s="47" t="s">
        <v>1</v>
      </c>
      <c r="E193" s="132"/>
      <c r="F193" s="132"/>
      <c r="G193" s="132"/>
      <c r="H193" s="132" t="s">
        <v>117</v>
      </c>
      <c r="I193" s="132"/>
      <c r="J193" s="133"/>
      <c r="K193" s="133"/>
      <c r="L193" s="133"/>
      <c r="M193" s="133"/>
      <c r="N193" s="154"/>
      <c r="O193" s="133"/>
      <c r="P193" s="154"/>
      <c r="Q193" s="133"/>
      <c r="R193" s="154"/>
      <c r="S193" s="133"/>
      <c r="T193" s="154"/>
      <c r="U193" s="154"/>
      <c r="V193" s="134"/>
      <c r="W193" s="154"/>
      <c r="X193" s="134"/>
      <c r="Y193" s="154"/>
      <c r="Z193" s="134"/>
      <c r="AA193" s="134"/>
      <c r="AC193" s="133"/>
      <c r="AD193" s="133"/>
      <c r="AE193" s="133"/>
      <c r="AF193" s="171"/>
      <c r="AG193" s="134"/>
      <c r="AH193" s="171"/>
      <c r="AI193" s="134"/>
      <c r="AJ193"/>
      <c r="AK193" s="133"/>
      <c r="AL193" s="154"/>
      <c r="AM193" s="133"/>
      <c r="AN193" s="154"/>
      <c r="AO193" s="133"/>
      <c r="AP193" s="154"/>
      <c r="AQ193" s="133"/>
      <c r="AR193" s="154"/>
      <c r="AS193" s="154"/>
      <c r="AT193" s="134"/>
      <c r="AU193" s="154"/>
      <c r="AV193" s="134"/>
      <c r="AW193" s="154"/>
      <c r="AX193" s="134"/>
      <c r="AY193" s="134"/>
      <c r="AZ193"/>
      <c r="BA193" s="133"/>
      <c r="BB193" s="154"/>
      <c r="BC193" s="133"/>
      <c r="BD193" s="154"/>
      <c r="BE193" s="133"/>
      <c r="BF193" s="154"/>
      <c r="BG193" s="154"/>
      <c r="BH193" s="134"/>
      <c r="BI193" s="154"/>
      <c r="BJ193" s="134"/>
      <c r="BK193" s="134"/>
      <c r="BL193"/>
      <c r="BM193"/>
      <c r="BN193"/>
      <c r="BO193"/>
      <c r="BP193"/>
      <c r="BQ193"/>
      <c r="BR193"/>
      <c r="BS193"/>
      <c r="BT193"/>
    </row>
    <row r="194" spans="1:72" s="47" customFormat="1" ht="11.95" hidden="1" thickBot="1" x14ac:dyDescent="0.3">
      <c r="A194"/>
      <c r="B194" s="47" t="s">
        <v>1</v>
      </c>
      <c r="E194" s="135"/>
      <c r="F194" s="135"/>
      <c r="G194" s="135"/>
      <c r="H194" s="135" t="s">
        <v>6</v>
      </c>
      <c r="I194" s="136"/>
      <c r="J194" s="136"/>
      <c r="K194" s="136"/>
      <c r="L194" s="137"/>
      <c r="M194" s="138"/>
      <c r="N194" s="155"/>
      <c r="O194" s="138"/>
      <c r="P194" s="155"/>
      <c r="Q194" s="138"/>
      <c r="R194" s="155"/>
      <c r="S194" s="138"/>
      <c r="T194" s="155"/>
      <c r="U194" s="155">
        <f>IFERROR(($O194-M194)/ABS(M194),0)</f>
        <v>0</v>
      </c>
      <c r="V194" s="139">
        <f>($O194-M194)</f>
        <v>0</v>
      </c>
      <c r="W194" s="155">
        <f>IFERROR(($M194-Q194)/ABS(Q194),0)</f>
        <v>0</v>
      </c>
      <c r="X194" s="139">
        <f>($M194-Q194)</f>
        <v>0</v>
      </c>
      <c r="Y194" s="155">
        <f>IFERROR(($M194-S194)/ABS(S194),0)</f>
        <v>0</v>
      </c>
      <c r="Z194" s="139">
        <f>($M194-S194)</f>
        <v>0</v>
      </c>
      <c r="AA194" s="139"/>
      <c r="AC194" s="138"/>
      <c r="AD194" s="138"/>
      <c r="AE194" s="138"/>
      <c r="AF194" s="172">
        <f t="shared" ref="AF194" si="489">IFERROR(($AC194-AD194)/ABS(AD194),0)</f>
        <v>0</v>
      </c>
      <c r="AG194" s="139">
        <f>($AC194-AD194)</f>
        <v>0</v>
      </c>
      <c r="AH194" s="172">
        <f>IFERROR(($AC194-AE194)/ABS(AE194),0)</f>
        <v>0</v>
      </c>
      <c r="AI194" s="139">
        <f>($AC194-AE194)</f>
        <v>0</v>
      </c>
      <c r="AJ194"/>
      <c r="AK194" s="138"/>
      <c r="AL194" s="155"/>
      <c r="AM194" s="138"/>
      <c r="AN194" s="155"/>
      <c r="AO194" s="138"/>
      <c r="AP194" s="155"/>
      <c r="AQ194" s="138"/>
      <c r="AR194" s="155"/>
      <c r="AS194" s="155">
        <f>IFERROR(($O194-AK194)/ABS(AK194),0)</f>
        <v>0</v>
      </c>
      <c r="AT194" s="139">
        <f>($AK194-AM194)</f>
        <v>0</v>
      </c>
      <c r="AU194" s="155">
        <f>IFERROR(($M194-AO194)/ABS(AO194),0)</f>
        <v>0</v>
      </c>
      <c r="AV194" s="139">
        <f>($AK194-AO194)</f>
        <v>0</v>
      </c>
      <c r="AW194" s="155">
        <f>IFERROR(($M194-AQ194)/ABS(AQ194),0)</f>
        <v>0</v>
      </c>
      <c r="AX194" s="139">
        <f>($AK194-AQ194)</f>
        <v>0</v>
      </c>
      <c r="AY194" s="139"/>
      <c r="AZ194"/>
      <c r="BA194" s="138"/>
      <c r="BB194" s="155"/>
      <c r="BC194" s="138"/>
      <c r="BD194" s="155"/>
      <c r="BE194" s="138"/>
      <c r="BF194" s="155"/>
      <c r="BG194" s="155">
        <f>IFERROR(($BA194-BC194)/ABS(BC194),0)</f>
        <v>0</v>
      </c>
      <c r="BH194" s="139">
        <f>($BA194-BC194)</f>
        <v>0</v>
      </c>
      <c r="BI194" s="155">
        <f>IFERROR(($BA194-BE194)/ABS(BE194),0)</f>
        <v>0</v>
      </c>
      <c r="BJ194" s="139">
        <f>($BA194-BE194)</f>
        <v>0</v>
      </c>
      <c r="BK194" s="139"/>
      <c r="BL194"/>
      <c r="BM194"/>
      <c r="BN194"/>
      <c r="BO194"/>
      <c r="BP194"/>
      <c r="BQ194"/>
      <c r="BR194"/>
      <c r="BS194"/>
      <c r="BT194"/>
    </row>
    <row r="195" spans="1:72" s="47" customFormat="1" ht="11.95" hidden="1" thickBot="1" x14ac:dyDescent="0.3">
      <c r="A195"/>
      <c r="B195" s="47" t="s">
        <v>1</v>
      </c>
      <c r="N195" s="156"/>
      <c r="P195" s="156"/>
      <c r="R195" s="156"/>
      <c r="T195" s="156"/>
      <c r="U195" s="156"/>
      <c r="V195" s="140"/>
      <c r="W195" s="156"/>
      <c r="X195" s="140"/>
      <c r="Y195" s="156"/>
      <c r="Z195" s="140"/>
      <c r="AA195" s="140"/>
      <c r="AF195" s="169"/>
      <c r="AG195" s="140"/>
      <c r="AH195" s="169"/>
      <c r="AI195" s="140"/>
      <c r="AJ195"/>
      <c r="AL195" s="156"/>
      <c r="AN195" s="156"/>
      <c r="AP195" s="156"/>
      <c r="AR195" s="156"/>
      <c r="AS195" s="156"/>
      <c r="AT195" s="140"/>
      <c r="AU195" s="156"/>
      <c r="AV195" s="140"/>
      <c r="AW195" s="156"/>
      <c r="AX195" s="140"/>
      <c r="AY195" s="140"/>
      <c r="AZ195"/>
      <c r="BB195" s="156"/>
      <c r="BD195" s="156"/>
      <c r="BF195" s="156"/>
      <c r="BG195" s="156"/>
      <c r="BH195" s="140"/>
      <c r="BI195" s="156"/>
      <c r="BJ195" s="140"/>
      <c r="BK195" s="140"/>
      <c r="BL195"/>
      <c r="BM195"/>
      <c r="BN195"/>
      <c r="BO195"/>
      <c r="BP195"/>
      <c r="BQ195"/>
      <c r="BR195"/>
      <c r="BS195"/>
      <c r="BT195"/>
    </row>
    <row r="196" spans="1:72" s="47" customFormat="1" ht="11.95" hidden="1" x14ac:dyDescent="0.25">
      <c r="A196"/>
      <c r="B196" s="47" t="s">
        <v>1</v>
      </c>
      <c r="E196" s="141"/>
      <c r="F196" s="141"/>
      <c r="G196" s="141"/>
      <c r="H196" s="141" t="s">
        <v>89</v>
      </c>
      <c r="I196" s="142"/>
      <c r="J196" s="142"/>
      <c r="K196" s="142"/>
      <c r="L196" s="142">
        <v>1</v>
      </c>
      <c r="M196" s="142">
        <f>SUMIFS(M194:M195,$I194:$I195,"&lt;&gt;"&amp;$I$29,$E194:$E195,"&lt;&gt;*[-]*",$F194:$F195,"&lt;&gt;*[-]*",$G194:$G195,"&lt;&gt;*[-]*",$H194:$H195,"*[+]*")</f>
        <v>0</v>
      </c>
      <c r="N196" s="157"/>
      <c r="O196" s="142">
        <f>SUMIFS(O194:O195,$I194:$I195,"&lt;&gt;"&amp;$I$29,$E194:$E195,"&lt;&gt;*[-]*",$F194:$F195,"&lt;&gt;*[-]*",$G194:$G195,"&lt;&gt;*[-]*",$H194:$H195,"*[+]*")</f>
        <v>0</v>
      </c>
      <c r="P196" s="157"/>
      <c r="Q196" s="142">
        <f>SUMIFS(Q194:Q195,$I194:$I195,"&lt;&gt;"&amp;$I$29,$E194:$E195,"&lt;&gt;*[-]*",$F194:$F195,"&lt;&gt;*[-]*",$G194:$G195,"&lt;&gt;*[-]*",$H194:$H195,"*[+]*")</f>
        <v>0</v>
      </c>
      <c r="R196" s="157"/>
      <c r="S196" s="142">
        <f>SUMIFS(S194:S195,$I194:$I195,"&lt;&gt;"&amp;$I$29,$E194:$E195,"&lt;&gt;*[-]*",$F194:$F195,"&lt;&gt;*[-]*",$G194:$G195,"&lt;&gt;*[-]*",$H194:$H195,"*[+]*")</f>
        <v>0</v>
      </c>
      <c r="T196" s="157"/>
      <c r="U196" s="157">
        <f>IFERROR(($O196-M196)/ABS(M196),0)</f>
        <v>0</v>
      </c>
      <c r="V196" s="143">
        <f>($O196-M196)</f>
        <v>0</v>
      </c>
      <c r="W196" s="157">
        <f>IFERROR(($M196-Q196)/ABS(Q196),0)</f>
        <v>0</v>
      </c>
      <c r="X196" s="143">
        <f>($M196-Q196)</f>
        <v>0</v>
      </c>
      <c r="Y196" s="157">
        <f>IFERROR(($M196-S196)/ABS(S196),0)</f>
        <v>0</v>
      </c>
      <c r="Z196" s="143">
        <f>($M196-S196)</f>
        <v>0</v>
      </c>
      <c r="AA196" s="143"/>
      <c r="AC196" s="142">
        <f>SUMIFS(AC194:AC195,$I194:$I195,"&lt;&gt;"&amp;$I$29,$E194:$E195,"&lt;&gt;*[-]*",$F194:$F195,"&lt;&gt;*[-]*",$G194:$G195,"&lt;&gt;*[-]*",$H194:$H195,"&lt;&gt;*[-]*")</f>
        <v>0</v>
      </c>
      <c r="AD196" s="142">
        <f>SUMIFS(AD194:AD195,$I194:$I195,"&lt;&gt;"&amp;$I$29,$E194:$E195,"&lt;&gt;*[-]*",$F194:$F195,"&lt;&gt;*[-]*",$G194:$G195,"&lt;&gt;*[-]*",$H194:$H195,"&lt;&gt;*[-]*")</f>
        <v>0</v>
      </c>
      <c r="AE196" s="142">
        <f>SUMIFS(AE194:AE195,$I194:$I195,"&lt;&gt;"&amp;$I$29,$E194:$E195,"&lt;&gt;*[-]*",$F194:$F195,"&lt;&gt;*[-]*",$G194:$G195,"&lt;&gt;*[-]*",$H194:$H195,"&lt;&gt;*[-]*")</f>
        <v>0</v>
      </c>
      <c r="AF196" s="173">
        <f t="shared" ref="AF196" si="490">IFERROR(($AC196-AD196)/ABS(AD196),0)</f>
        <v>0</v>
      </c>
      <c r="AG196" s="143">
        <f>($AC196-AD196)</f>
        <v>0</v>
      </c>
      <c r="AH196" s="173">
        <f>IFERROR(($AC196-AE196)/ABS(AE196),0)</f>
        <v>0</v>
      </c>
      <c r="AI196" s="143">
        <f>($AC196-AE196)</f>
        <v>0</v>
      </c>
      <c r="AJ196"/>
      <c r="AK196" s="142">
        <f>SUMIFS(AK194:AK195,$I194:$I195,"&lt;&gt;"&amp;$I$29,$E194:$E195,"&lt;&gt;*[-]*",$F194:$F195,"&lt;&gt;*[-]*",$G194:$G195,"&lt;&gt;*[-]*",$H194:$H195,"*[+]*")</f>
        <v>0</v>
      </c>
      <c r="AL196" s="157"/>
      <c r="AM196" s="142"/>
      <c r="AN196" s="157"/>
      <c r="AO196" s="142"/>
      <c r="AP196" s="157"/>
      <c r="AQ196" s="142">
        <f>SUMIFS(AQ194:AQ195,$I194:$I195,"&lt;&gt;"&amp;$I$29,$E194:$E195,"&lt;&gt;*[-]*",$F194:$F195,"&lt;&gt;*[-]*",$G194:$G195,"&lt;&gt;*[-]*",$H194:$H195,"*[+]*")</f>
        <v>0</v>
      </c>
      <c r="AR196" s="157"/>
      <c r="AS196" s="157">
        <f>IFERROR(($O196-AK196)/ABS(AK196),0)</f>
        <v>0</v>
      </c>
      <c r="AT196" s="143">
        <f>($AK196-AM196)</f>
        <v>0</v>
      </c>
      <c r="AU196" s="157">
        <f>IFERROR(($M196-AO196)/ABS(AO196),0)</f>
        <v>0</v>
      </c>
      <c r="AV196" s="143">
        <f>($AK196-AO196)</f>
        <v>0</v>
      </c>
      <c r="AW196" s="157">
        <f>IFERROR(($M196-AQ196)/ABS(AQ196),0)</f>
        <v>0</v>
      </c>
      <c r="AX196" s="143">
        <f>($AK196-AQ196)</f>
        <v>0</v>
      </c>
      <c r="AY196" s="143"/>
      <c r="AZ196"/>
      <c r="BA196" s="142">
        <f>SUMIFS(BA194:BA195,$I194:$I195,"&lt;&gt;"&amp;$I$29,$E194:$E195,"&lt;&gt;*[-]*",$F194:$F195,"&lt;&gt;*[-]*",$G194:$G195,"&lt;&gt;*[-]*",$H194:$H195,"*[+]*")</f>
        <v>0</v>
      </c>
      <c r="BB196" s="157"/>
      <c r="BC196" s="142">
        <f>SUMIFS(BC194:BC195,$I194:$I195,"&lt;&gt;"&amp;$I$29,$E194:$E195,"&lt;&gt;*[-]*",$F194:$F195,"&lt;&gt;*[-]*",$G194:$G195,"&lt;&gt;*[-]*",$H194:$H195,"*[+]*")</f>
        <v>0</v>
      </c>
      <c r="BD196" s="157"/>
      <c r="BE196" s="142">
        <f>SUMIFS(BE194:BE195,$I194:$I195,"&lt;&gt;"&amp;$I$29,$E194:$E195,"&lt;&gt;*[-]*",$F194:$F195,"&lt;&gt;*[-]*",$G194:$G195,"&lt;&gt;*[-]*",$H194:$H195,"*[+]*")</f>
        <v>0</v>
      </c>
      <c r="BF196" s="157"/>
      <c r="BG196" s="157">
        <f>IFERROR(($BA196-BC196)/ABS(BC196),0)</f>
        <v>0</v>
      </c>
      <c r="BH196" s="143">
        <f>($BA196-BC196)</f>
        <v>0</v>
      </c>
      <c r="BI196" s="157">
        <f>IFERROR(($BA196-BE196)/ABS(BE196),0)</f>
        <v>0</v>
      </c>
      <c r="BJ196" s="143">
        <f>($BA196-BE196)</f>
        <v>0</v>
      </c>
      <c r="BK196" s="143"/>
      <c r="BL196"/>
      <c r="BM196"/>
      <c r="BN196"/>
      <c r="BO196"/>
      <c r="BP196"/>
      <c r="BQ196"/>
      <c r="BR196"/>
      <c r="BS196"/>
      <c r="BT196"/>
    </row>
    <row r="197" spans="1:72" s="47" customFormat="1" hidden="1" x14ac:dyDescent="0.25">
      <c r="A197"/>
      <c r="B197" s="47" t="s">
        <v>1</v>
      </c>
      <c r="N197" s="156"/>
      <c r="P197" s="156"/>
      <c r="R197" s="156"/>
      <c r="T197" s="156"/>
      <c r="U197" s="156"/>
      <c r="V197" s="140"/>
      <c r="W197" s="156"/>
      <c r="X197" s="140"/>
      <c r="Y197" s="156"/>
      <c r="Z197" s="140"/>
      <c r="AA197" s="140"/>
      <c r="AF197" s="169"/>
      <c r="AG197" s="140"/>
      <c r="AH197" s="169"/>
      <c r="AI197" s="140"/>
      <c r="AJ197"/>
      <c r="AL197" s="156"/>
      <c r="AN197" s="156"/>
      <c r="AP197" s="156"/>
      <c r="AR197" s="156"/>
      <c r="AS197" s="156"/>
      <c r="AT197" s="140"/>
      <c r="AU197" s="156"/>
      <c r="AV197" s="140"/>
      <c r="AW197" s="156"/>
      <c r="AX197" s="140"/>
      <c r="AY197" s="140"/>
      <c r="AZ197"/>
      <c r="BB197" s="156"/>
      <c r="BD197" s="156"/>
      <c r="BF197" s="156"/>
      <c r="BG197" s="156"/>
      <c r="BH197" s="140"/>
      <c r="BI197" s="156"/>
      <c r="BJ197" s="140"/>
      <c r="BK197" s="140"/>
      <c r="BL197"/>
      <c r="BM197"/>
      <c r="BN197"/>
      <c r="BO197"/>
      <c r="BP197"/>
      <c r="BQ197"/>
      <c r="BR197"/>
      <c r="BS197"/>
      <c r="BT197"/>
    </row>
    <row r="198" spans="1:72" s="47" customFormat="1" ht="12.45" hidden="1" thickBot="1" x14ac:dyDescent="0.3">
      <c r="A198"/>
      <c r="B198" s="47" t="s">
        <v>1</v>
      </c>
      <c r="E198" s="132"/>
      <c r="F198" s="132"/>
      <c r="G198" s="132"/>
      <c r="H198" s="132" t="s">
        <v>117</v>
      </c>
      <c r="I198" s="132"/>
      <c r="J198" s="133"/>
      <c r="K198" s="133"/>
      <c r="L198" s="133"/>
      <c r="M198" s="133"/>
      <c r="N198" s="154"/>
      <c r="O198" s="133"/>
      <c r="P198" s="154"/>
      <c r="Q198" s="133"/>
      <c r="R198" s="154"/>
      <c r="S198" s="133"/>
      <c r="T198" s="154"/>
      <c r="U198" s="154"/>
      <c r="V198" s="134"/>
      <c r="W198" s="154"/>
      <c r="X198" s="134"/>
      <c r="Y198" s="154"/>
      <c r="Z198" s="134"/>
      <c r="AA198" s="134"/>
      <c r="AC198" s="133"/>
      <c r="AD198" s="133"/>
      <c r="AE198" s="133"/>
      <c r="AF198" s="171"/>
      <c r="AG198" s="134"/>
      <c r="AH198" s="171"/>
      <c r="AI198" s="134"/>
      <c r="AJ198"/>
      <c r="AK198" s="133"/>
      <c r="AL198" s="154"/>
      <c r="AM198" s="133"/>
      <c r="AN198" s="154"/>
      <c r="AO198" s="133"/>
      <c r="AP198" s="154"/>
      <c r="AQ198" s="133"/>
      <c r="AR198" s="154"/>
      <c r="AS198" s="154"/>
      <c r="AT198" s="134"/>
      <c r="AU198" s="154"/>
      <c r="AV198" s="134"/>
      <c r="AW198" s="154"/>
      <c r="AX198" s="134"/>
      <c r="AY198" s="134"/>
      <c r="AZ198"/>
      <c r="BA198" s="133"/>
      <c r="BB198" s="154"/>
      <c r="BC198" s="133"/>
      <c r="BD198" s="154"/>
      <c r="BE198" s="133"/>
      <c r="BF198" s="154"/>
      <c r="BG198" s="154"/>
      <c r="BH198" s="134"/>
      <c r="BI198" s="154"/>
      <c r="BJ198" s="134"/>
      <c r="BK198" s="134"/>
      <c r="BL198"/>
      <c r="BM198"/>
      <c r="BN198"/>
      <c r="BO198"/>
      <c r="BP198"/>
      <c r="BQ198"/>
      <c r="BR198"/>
      <c r="BS198"/>
      <c r="BT198"/>
    </row>
    <row r="199" spans="1:72" s="47" customFormat="1" ht="11.95" hidden="1" thickBot="1" x14ac:dyDescent="0.3">
      <c r="A199"/>
      <c r="B199" s="47" t="s">
        <v>1</v>
      </c>
      <c r="E199" s="135"/>
      <c r="F199" s="135"/>
      <c r="G199" s="135"/>
      <c r="H199" s="135" t="s">
        <v>6</v>
      </c>
      <c r="I199" s="136"/>
      <c r="J199" s="136"/>
      <c r="K199" s="136"/>
      <c r="L199" s="137"/>
      <c r="M199" s="138"/>
      <c r="N199" s="155"/>
      <c r="O199" s="138"/>
      <c r="P199" s="155"/>
      <c r="Q199" s="138"/>
      <c r="R199" s="155"/>
      <c r="S199" s="138"/>
      <c r="T199" s="155"/>
      <c r="U199" s="155">
        <f>IFERROR(($O199-M199)/ABS(M199),0)</f>
        <v>0</v>
      </c>
      <c r="V199" s="139">
        <f>($O199-M199)</f>
        <v>0</v>
      </c>
      <c r="W199" s="155">
        <f>IFERROR(($M199-Q199)/ABS(Q199),0)</f>
        <v>0</v>
      </c>
      <c r="X199" s="139">
        <f>($M199-Q199)</f>
        <v>0</v>
      </c>
      <c r="Y199" s="155">
        <f>IFERROR(($M199-S199)/ABS(S199),0)</f>
        <v>0</v>
      </c>
      <c r="Z199" s="139">
        <f>($M199-S199)</f>
        <v>0</v>
      </c>
      <c r="AA199" s="139"/>
      <c r="AC199" s="138"/>
      <c r="AD199" s="138"/>
      <c r="AE199" s="138"/>
      <c r="AF199" s="172">
        <f t="shared" ref="AF199" si="491">IFERROR(($AC199-AD199)/ABS(AD199),0)</f>
        <v>0</v>
      </c>
      <c r="AG199" s="139">
        <f>($AC199-AD199)</f>
        <v>0</v>
      </c>
      <c r="AH199" s="172">
        <f>IFERROR(($AC199-AE199)/ABS(AE199),0)</f>
        <v>0</v>
      </c>
      <c r="AI199" s="139">
        <f>($AC199-AE199)</f>
        <v>0</v>
      </c>
      <c r="AJ199"/>
      <c r="AK199" s="138"/>
      <c r="AL199" s="155"/>
      <c r="AM199" s="138"/>
      <c r="AN199" s="155"/>
      <c r="AO199" s="138"/>
      <c r="AP199" s="155"/>
      <c r="AQ199" s="138"/>
      <c r="AR199" s="155"/>
      <c r="AS199" s="155">
        <f>IFERROR(($O199-AK199)/ABS(AK199),0)</f>
        <v>0</v>
      </c>
      <c r="AT199" s="139">
        <f>($AK199-AM199)</f>
        <v>0</v>
      </c>
      <c r="AU199" s="155">
        <f>IFERROR(($M199-AO199)/ABS(AO199),0)</f>
        <v>0</v>
      </c>
      <c r="AV199" s="139">
        <f>($AK199-AO199)</f>
        <v>0</v>
      </c>
      <c r="AW199" s="155">
        <f>IFERROR(($M199-AQ199)/ABS(AQ199),0)</f>
        <v>0</v>
      </c>
      <c r="AX199" s="139">
        <f>($AK199-AQ199)</f>
        <v>0</v>
      </c>
      <c r="AY199" s="139"/>
      <c r="AZ199"/>
      <c r="BA199" s="138"/>
      <c r="BB199" s="155"/>
      <c r="BC199" s="138"/>
      <c r="BD199" s="155"/>
      <c r="BE199" s="138"/>
      <c r="BF199" s="155"/>
      <c r="BG199" s="155">
        <f>IFERROR(($BA199-BC199)/ABS(BC199),0)</f>
        <v>0</v>
      </c>
      <c r="BH199" s="139">
        <f>($BA199-BC199)</f>
        <v>0</v>
      </c>
      <c r="BI199" s="155">
        <f>IFERROR(($BA199-BE199)/ABS(BE199),0)</f>
        <v>0</v>
      </c>
      <c r="BJ199" s="139">
        <f>($BA199-BE199)</f>
        <v>0</v>
      </c>
      <c r="BK199" s="139"/>
      <c r="BL199"/>
      <c r="BM199"/>
      <c r="BN199"/>
      <c r="BO199"/>
      <c r="BP199"/>
      <c r="BQ199"/>
      <c r="BR199"/>
      <c r="BS199"/>
      <c r="BT199"/>
    </row>
    <row r="200" spans="1:72" s="47" customFormat="1" ht="11.95" hidden="1" thickBot="1" x14ac:dyDescent="0.3">
      <c r="A200"/>
      <c r="B200" s="47" t="s">
        <v>1</v>
      </c>
      <c r="N200" s="156"/>
      <c r="P200" s="156"/>
      <c r="R200" s="156"/>
      <c r="T200" s="156"/>
      <c r="U200" s="156"/>
      <c r="V200" s="140"/>
      <c r="W200" s="156"/>
      <c r="X200" s="140"/>
      <c r="Y200" s="156"/>
      <c r="Z200" s="140"/>
      <c r="AA200" s="140"/>
      <c r="AF200" s="169"/>
      <c r="AG200" s="140"/>
      <c r="AH200" s="169"/>
      <c r="AI200" s="140"/>
      <c r="AJ200"/>
      <c r="AL200" s="156"/>
      <c r="AN200" s="156"/>
      <c r="AP200" s="156"/>
      <c r="AR200" s="156"/>
      <c r="AS200" s="156"/>
      <c r="AT200" s="140"/>
      <c r="AU200" s="156"/>
      <c r="AV200" s="140"/>
      <c r="AW200" s="156"/>
      <c r="AX200" s="140"/>
      <c r="AY200" s="140"/>
      <c r="AZ200"/>
      <c r="BB200" s="156"/>
      <c r="BD200" s="156"/>
      <c r="BF200" s="156"/>
      <c r="BG200" s="156"/>
      <c r="BH200" s="140"/>
      <c r="BI200" s="156"/>
      <c r="BJ200" s="140"/>
      <c r="BK200" s="140"/>
      <c r="BL200"/>
      <c r="BM200"/>
      <c r="BN200"/>
      <c r="BO200"/>
      <c r="BP200"/>
      <c r="BQ200"/>
      <c r="BR200"/>
      <c r="BS200"/>
      <c r="BT200"/>
    </row>
    <row r="201" spans="1:72" s="47" customFormat="1" ht="11.95" hidden="1" x14ac:dyDescent="0.25">
      <c r="A201"/>
      <c r="B201" s="47" t="s">
        <v>1</v>
      </c>
      <c r="E201" s="141"/>
      <c r="F201" s="141"/>
      <c r="G201" s="141"/>
      <c r="H201" s="141" t="s">
        <v>89</v>
      </c>
      <c r="I201" s="142"/>
      <c r="J201" s="142"/>
      <c r="K201" s="142"/>
      <c r="L201" s="142">
        <v>1</v>
      </c>
      <c r="M201" s="142">
        <f>SUMIFS(M199:M200,$I199:$I200,"&lt;&gt;"&amp;$I$29,$E199:$E200,"&lt;&gt;*[-]*",$F199:$F200,"&lt;&gt;*[-]*",$G199:$G200,"&lt;&gt;*[-]*",$H199:$H200,"*[+]*")</f>
        <v>0</v>
      </c>
      <c r="N201" s="157"/>
      <c r="O201" s="142">
        <f>SUMIFS(O199:O200,$I199:$I200,"&lt;&gt;"&amp;$I$29,$E199:$E200,"&lt;&gt;*[-]*",$F199:$F200,"&lt;&gt;*[-]*",$G199:$G200,"&lt;&gt;*[-]*",$H199:$H200,"*[+]*")</f>
        <v>0</v>
      </c>
      <c r="P201" s="157"/>
      <c r="Q201" s="142">
        <f>SUMIFS(Q199:Q200,$I199:$I200,"&lt;&gt;"&amp;$I$29,$E199:$E200,"&lt;&gt;*[-]*",$F199:$F200,"&lt;&gt;*[-]*",$G199:$G200,"&lt;&gt;*[-]*",$H199:$H200,"*[+]*")</f>
        <v>0</v>
      </c>
      <c r="R201" s="157"/>
      <c r="S201" s="142">
        <f>SUMIFS(S199:S200,$I199:$I200,"&lt;&gt;"&amp;$I$29,$E199:$E200,"&lt;&gt;*[-]*",$F199:$F200,"&lt;&gt;*[-]*",$G199:$G200,"&lt;&gt;*[-]*",$H199:$H200,"*[+]*")</f>
        <v>0</v>
      </c>
      <c r="T201" s="157"/>
      <c r="U201" s="157">
        <f>IFERROR(($O201-M201)/ABS(M201),0)</f>
        <v>0</v>
      </c>
      <c r="V201" s="143">
        <f>($O201-M201)</f>
        <v>0</v>
      </c>
      <c r="W201" s="157">
        <f>IFERROR(($M201-Q201)/ABS(Q201),0)</f>
        <v>0</v>
      </c>
      <c r="X201" s="143">
        <f>($M201-Q201)</f>
        <v>0</v>
      </c>
      <c r="Y201" s="157">
        <f>IFERROR(($M201-S201)/ABS(S201),0)</f>
        <v>0</v>
      </c>
      <c r="Z201" s="143">
        <f>($M201-S201)</f>
        <v>0</v>
      </c>
      <c r="AA201" s="143"/>
      <c r="AC201" s="142">
        <f>SUMIFS(AC199:AC200,$I199:$I200,"&lt;&gt;"&amp;$I$29,$E199:$E200,"&lt;&gt;*[-]*",$F199:$F200,"&lt;&gt;*[-]*",$G199:$G200,"&lt;&gt;*[-]*",$H199:$H200,"&lt;&gt;*[-]*")</f>
        <v>0</v>
      </c>
      <c r="AD201" s="142">
        <f>SUMIFS(AD199:AD200,$I199:$I200,"&lt;&gt;"&amp;$I$29,$E199:$E200,"&lt;&gt;*[-]*",$F199:$F200,"&lt;&gt;*[-]*",$G199:$G200,"&lt;&gt;*[-]*",$H199:$H200,"&lt;&gt;*[-]*")</f>
        <v>0</v>
      </c>
      <c r="AE201" s="142">
        <f>SUMIFS(AE199:AE200,$I199:$I200,"&lt;&gt;"&amp;$I$29,$E199:$E200,"&lt;&gt;*[-]*",$F199:$F200,"&lt;&gt;*[-]*",$G199:$G200,"&lt;&gt;*[-]*",$H199:$H200,"&lt;&gt;*[-]*")</f>
        <v>0</v>
      </c>
      <c r="AF201" s="173">
        <f t="shared" ref="AF201" si="492">IFERROR(($AC201-AD201)/ABS(AD201),0)</f>
        <v>0</v>
      </c>
      <c r="AG201" s="143">
        <f>($AC201-AD201)</f>
        <v>0</v>
      </c>
      <c r="AH201" s="173">
        <f>IFERROR(($AC201-AE201)/ABS(AE201),0)</f>
        <v>0</v>
      </c>
      <c r="AI201" s="143">
        <f>($AC201-AE201)</f>
        <v>0</v>
      </c>
      <c r="AJ201"/>
      <c r="AK201" s="142">
        <f>SUMIFS(AK199:AK200,$I199:$I200,"&lt;&gt;"&amp;$I$29,$E199:$E200,"&lt;&gt;*[-]*",$F199:$F200,"&lt;&gt;*[-]*",$G199:$G200,"&lt;&gt;*[-]*",$H199:$H200,"*[+]*")</f>
        <v>0</v>
      </c>
      <c r="AL201" s="157"/>
      <c r="AM201" s="142"/>
      <c r="AN201" s="157"/>
      <c r="AO201" s="142"/>
      <c r="AP201" s="157"/>
      <c r="AQ201" s="142">
        <f>SUMIFS(AQ199:AQ200,$I199:$I200,"&lt;&gt;"&amp;$I$29,$E199:$E200,"&lt;&gt;*[-]*",$F199:$F200,"&lt;&gt;*[-]*",$G199:$G200,"&lt;&gt;*[-]*",$H199:$H200,"*[+]*")</f>
        <v>0</v>
      </c>
      <c r="AR201" s="157"/>
      <c r="AS201" s="157">
        <f>IFERROR(($O201-AK201)/ABS(AK201),0)</f>
        <v>0</v>
      </c>
      <c r="AT201" s="143">
        <f>($AK201-AM201)</f>
        <v>0</v>
      </c>
      <c r="AU201" s="157">
        <f>IFERROR(($M201-AO201)/ABS(AO201),0)</f>
        <v>0</v>
      </c>
      <c r="AV201" s="143">
        <f>($AK201-AO201)</f>
        <v>0</v>
      </c>
      <c r="AW201" s="157">
        <f>IFERROR(($M201-AQ201)/ABS(AQ201),0)</f>
        <v>0</v>
      </c>
      <c r="AX201" s="143">
        <f>($AK201-AQ201)</f>
        <v>0</v>
      </c>
      <c r="AY201" s="143"/>
      <c r="AZ201"/>
      <c r="BA201" s="142">
        <f>SUMIFS(BA199:BA200,$I199:$I200,"&lt;&gt;"&amp;$I$29,$E199:$E200,"&lt;&gt;*[-]*",$F199:$F200,"&lt;&gt;*[-]*",$G199:$G200,"&lt;&gt;*[-]*",$H199:$H200,"*[+]*")</f>
        <v>0</v>
      </c>
      <c r="BB201" s="157"/>
      <c r="BC201" s="142">
        <f>SUMIFS(BC199:BC200,$I199:$I200,"&lt;&gt;"&amp;$I$29,$E199:$E200,"&lt;&gt;*[-]*",$F199:$F200,"&lt;&gt;*[-]*",$G199:$G200,"&lt;&gt;*[-]*",$H199:$H200,"*[+]*")</f>
        <v>0</v>
      </c>
      <c r="BD201" s="157"/>
      <c r="BE201" s="142">
        <f>SUMIFS(BE199:BE200,$I199:$I200,"&lt;&gt;"&amp;$I$29,$E199:$E200,"&lt;&gt;*[-]*",$F199:$F200,"&lt;&gt;*[-]*",$G199:$G200,"&lt;&gt;*[-]*",$H199:$H200,"*[+]*")</f>
        <v>0</v>
      </c>
      <c r="BF201" s="157"/>
      <c r="BG201" s="157">
        <f>IFERROR(($BA201-BC201)/ABS(BC201),0)</f>
        <v>0</v>
      </c>
      <c r="BH201" s="143">
        <f>($BA201-BC201)</f>
        <v>0</v>
      </c>
      <c r="BI201" s="157">
        <f>IFERROR(($BA201-BE201)/ABS(BE201),0)</f>
        <v>0</v>
      </c>
      <c r="BJ201" s="143">
        <f>($BA201-BE201)</f>
        <v>0</v>
      </c>
      <c r="BK201" s="143"/>
      <c r="BL201"/>
      <c r="BM201"/>
      <c r="BN201"/>
      <c r="BO201"/>
      <c r="BP201"/>
      <c r="BQ201"/>
      <c r="BR201"/>
      <c r="BS201"/>
      <c r="BT201"/>
    </row>
    <row r="202" spans="1:72" s="47" customFormat="1" hidden="1" x14ac:dyDescent="0.25">
      <c r="A202"/>
      <c r="B202" s="47" t="s">
        <v>1</v>
      </c>
      <c r="N202" s="156"/>
      <c r="P202" s="156"/>
      <c r="R202" s="156"/>
      <c r="T202" s="156"/>
      <c r="U202" s="156"/>
      <c r="V202" s="140"/>
      <c r="W202" s="156"/>
      <c r="X202" s="140"/>
      <c r="Y202" s="156"/>
      <c r="Z202" s="140"/>
      <c r="AA202" s="140"/>
      <c r="AF202" s="169"/>
      <c r="AG202" s="140"/>
      <c r="AH202" s="169"/>
      <c r="AI202" s="140"/>
      <c r="AJ202"/>
      <c r="AL202" s="156"/>
      <c r="AN202" s="156"/>
      <c r="AP202" s="156"/>
      <c r="AR202" s="156"/>
      <c r="AS202" s="156"/>
      <c r="AT202" s="140"/>
      <c r="AU202" s="156"/>
      <c r="AV202" s="140"/>
      <c r="AW202" s="156"/>
      <c r="AX202" s="140"/>
      <c r="AY202" s="140"/>
      <c r="AZ202"/>
      <c r="BB202" s="156"/>
      <c r="BD202" s="156"/>
      <c r="BF202" s="156"/>
      <c r="BG202" s="156"/>
      <c r="BH202" s="140"/>
      <c r="BI202" s="156"/>
      <c r="BJ202" s="140"/>
      <c r="BK202" s="140"/>
      <c r="BL202"/>
      <c r="BM202"/>
      <c r="BN202"/>
      <c r="BO202"/>
      <c r="BP202"/>
      <c r="BQ202"/>
      <c r="BR202"/>
      <c r="BS202"/>
      <c r="BT202"/>
    </row>
    <row r="203" spans="1:72" s="47" customFormat="1" ht="12.45" hidden="1" thickBot="1" x14ac:dyDescent="0.3">
      <c r="A203"/>
      <c r="B203" s="47" t="s">
        <v>1</v>
      </c>
      <c r="E203" s="132"/>
      <c r="F203" s="132"/>
      <c r="G203" s="132"/>
      <c r="H203" s="132" t="s">
        <v>117</v>
      </c>
      <c r="I203" s="132"/>
      <c r="J203" s="133"/>
      <c r="K203" s="133"/>
      <c r="L203" s="133"/>
      <c r="M203" s="133"/>
      <c r="N203" s="154"/>
      <c r="O203" s="133"/>
      <c r="P203" s="154"/>
      <c r="Q203" s="133"/>
      <c r="R203" s="154"/>
      <c r="S203" s="133"/>
      <c r="T203" s="154"/>
      <c r="U203" s="154"/>
      <c r="V203" s="134"/>
      <c r="W203" s="154"/>
      <c r="X203" s="134"/>
      <c r="Y203" s="154"/>
      <c r="Z203" s="134"/>
      <c r="AA203" s="134"/>
      <c r="AC203" s="133"/>
      <c r="AD203" s="133"/>
      <c r="AE203" s="133"/>
      <c r="AF203" s="171"/>
      <c r="AG203" s="134"/>
      <c r="AH203" s="171"/>
      <c r="AI203" s="134"/>
      <c r="AJ203"/>
      <c r="AK203" s="133"/>
      <c r="AL203" s="154"/>
      <c r="AM203" s="133"/>
      <c r="AN203" s="154"/>
      <c r="AO203" s="133"/>
      <c r="AP203" s="154"/>
      <c r="AQ203" s="133"/>
      <c r="AR203" s="154"/>
      <c r="AS203" s="154"/>
      <c r="AT203" s="134"/>
      <c r="AU203" s="154"/>
      <c r="AV203" s="134"/>
      <c r="AW203" s="154"/>
      <c r="AX203" s="134"/>
      <c r="AY203" s="134"/>
      <c r="AZ203"/>
      <c r="BA203" s="133"/>
      <c r="BB203" s="154"/>
      <c r="BC203" s="133"/>
      <c r="BD203" s="154"/>
      <c r="BE203" s="133"/>
      <c r="BF203" s="154"/>
      <c r="BG203" s="154"/>
      <c r="BH203" s="134"/>
      <c r="BI203" s="154"/>
      <c r="BJ203" s="134"/>
      <c r="BK203" s="134"/>
      <c r="BL203"/>
      <c r="BM203"/>
      <c r="BN203"/>
      <c r="BO203"/>
      <c r="BP203"/>
      <c r="BQ203"/>
      <c r="BR203"/>
      <c r="BS203"/>
      <c r="BT203"/>
    </row>
    <row r="204" spans="1:72" s="47" customFormat="1" ht="11.95" hidden="1" thickBot="1" x14ac:dyDescent="0.3">
      <c r="A204"/>
      <c r="B204" s="47" t="s">
        <v>1</v>
      </c>
      <c r="E204" s="135"/>
      <c r="F204" s="135"/>
      <c r="G204" s="135"/>
      <c r="H204" s="135" t="s">
        <v>6</v>
      </c>
      <c r="I204" s="136"/>
      <c r="J204" s="136"/>
      <c r="K204" s="136"/>
      <c r="L204" s="137"/>
      <c r="M204" s="138"/>
      <c r="N204" s="155"/>
      <c r="O204" s="138"/>
      <c r="P204" s="155"/>
      <c r="Q204" s="138"/>
      <c r="R204" s="155"/>
      <c r="S204" s="138"/>
      <c r="T204" s="155"/>
      <c r="U204" s="155">
        <f>IFERROR(($O204-M204)/ABS(M204),0)</f>
        <v>0</v>
      </c>
      <c r="V204" s="139">
        <f>($O204-M204)</f>
        <v>0</v>
      </c>
      <c r="W204" s="155">
        <f>IFERROR(($M204-Q204)/ABS(Q204),0)</f>
        <v>0</v>
      </c>
      <c r="X204" s="139">
        <f>($M204-Q204)</f>
        <v>0</v>
      </c>
      <c r="Y204" s="155">
        <f>IFERROR(($M204-S204)/ABS(S204),0)</f>
        <v>0</v>
      </c>
      <c r="Z204" s="139">
        <f>($M204-S204)</f>
        <v>0</v>
      </c>
      <c r="AA204" s="139"/>
      <c r="AC204" s="138"/>
      <c r="AD204" s="138"/>
      <c r="AE204" s="138"/>
      <c r="AF204" s="172">
        <f t="shared" ref="AF204" si="493">IFERROR(($AC204-AD204)/ABS(AD204),0)</f>
        <v>0</v>
      </c>
      <c r="AG204" s="139">
        <f>($AC204-AD204)</f>
        <v>0</v>
      </c>
      <c r="AH204" s="172">
        <f>IFERROR(($AC204-AE204)/ABS(AE204),0)</f>
        <v>0</v>
      </c>
      <c r="AI204" s="139">
        <f>($AC204-AE204)</f>
        <v>0</v>
      </c>
      <c r="AJ204"/>
      <c r="AK204" s="138"/>
      <c r="AL204" s="155"/>
      <c r="AM204" s="138"/>
      <c r="AN204" s="155"/>
      <c r="AO204" s="138"/>
      <c r="AP204" s="155"/>
      <c r="AQ204" s="138"/>
      <c r="AR204" s="155"/>
      <c r="AS204" s="155">
        <f>IFERROR(($O204-AK204)/ABS(AK204),0)</f>
        <v>0</v>
      </c>
      <c r="AT204" s="139">
        <f>($AK204-AM204)</f>
        <v>0</v>
      </c>
      <c r="AU204" s="155">
        <f>IFERROR(($M204-AO204)/ABS(AO204),0)</f>
        <v>0</v>
      </c>
      <c r="AV204" s="139">
        <f>($AK204-AO204)</f>
        <v>0</v>
      </c>
      <c r="AW204" s="155">
        <f>IFERROR(($M204-AQ204)/ABS(AQ204),0)</f>
        <v>0</v>
      </c>
      <c r="AX204" s="139">
        <f>($AK204-AQ204)</f>
        <v>0</v>
      </c>
      <c r="AY204" s="139"/>
      <c r="AZ204"/>
      <c r="BA204" s="138"/>
      <c r="BB204" s="155"/>
      <c r="BC204" s="138"/>
      <c r="BD204" s="155"/>
      <c r="BE204" s="138"/>
      <c r="BF204" s="155"/>
      <c r="BG204" s="155">
        <f>IFERROR(($BA204-BC204)/ABS(BC204),0)</f>
        <v>0</v>
      </c>
      <c r="BH204" s="139">
        <f>($BA204-BC204)</f>
        <v>0</v>
      </c>
      <c r="BI204" s="155">
        <f>IFERROR(($BA204-BE204)/ABS(BE204),0)</f>
        <v>0</v>
      </c>
      <c r="BJ204" s="139">
        <f>($BA204-BE204)</f>
        <v>0</v>
      </c>
      <c r="BK204" s="139"/>
      <c r="BL204"/>
      <c r="BM204"/>
      <c r="BN204"/>
      <c r="BO204"/>
      <c r="BP204"/>
      <c r="BQ204"/>
      <c r="BR204"/>
      <c r="BS204"/>
      <c r="BT204"/>
    </row>
    <row r="205" spans="1:72" s="47" customFormat="1" ht="11.95" hidden="1" thickBot="1" x14ac:dyDescent="0.3">
      <c r="A205"/>
      <c r="B205" s="47" t="s">
        <v>1</v>
      </c>
      <c r="N205" s="156"/>
      <c r="P205" s="156"/>
      <c r="R205" s="156"/>
      <c r="T205" s="156"/>
      <c r="U205" s="156"/>
      <c r="V205" s="140"/>
      <c r="W205" s="156"/>
      <c r="X205" s="140"/>
      <c r="Y205" s="156"/>
      <c r="Z205" s="140"/>
      <c r="AA205" s="140"/>
      <c r="AF205" s="169"/>
      <c r="AG205" s="140"/>
      <c r="AH205" s="169"/>
      <c r="AI205" s="140"/>
      <c r="AJ205"/>
      <c r="AL205" s="156"/>
      <c r="AN205" s="156"/>
      <c r="AP205" s="156"/>
      <c r="AR205" s="156"/>
      <c r="AS205" s="156"/>
      <c r="AT205" s="140"/>
      <c r="AU205" s="156"/>
      <c r="AV205" s="140"/>
      <c r="AW205" s="156"/>
      <c r="AX205" s="140"/>
      <c r="AY205" s="140"/>
      <c r="AZ205"/>
      <c r="BB205" s="156"/>
      <c r="BD205" s="156"/>
      <c r="BF205" s="156"/>
      <c r="BG205" s="156"/>
      <c r="BH205" s="140"/>
      <c r="BI205" s="156"/>
      <c r="BJ205" s="140"/>
      <c r="BK205" s="140"/>
      <c r="BL205"/>
      <c r="BM205"/>
      <c r="BN205"/>
      <c r="BO205"/>
      <c r="BP205"/>
      <c r="BQ205"/>
      <c r="BR205"/>
      <c r="BS205"/>
      <c r="BT205"/>
    </row>
    <row r="206" spans="1:72" s="47" customFormat="1" ht="11.95" hidden="1" x14ac:dyDescent="0.25">
      <c r="A206"/>
      <c r="B206" s="47" t="s">
        <v>1</v>
      </c>
      <c r="E206" s="141"/>
      <c r="F206" s="141"/>
      <c r="G206" s="141"/>
      <c r="H206" s="141" t="s">
        <v>89</v>
      </c>
      <c r="I206" s="142"/>
      <c r="J206" s="142"/>
      <c r="K206" s="142"/>
      <c r="L206" s="142">
        <v>1</v>
      </c>
      <c r="M206" s="142">
        <f>SUMIFS(M204:M205,$I204:$I205,"&lt;&gt;"&amp;$I$29,$E204:$E205,"&lt;&gt;*[-]*",$F204:$F205,"&lt;&gt;*[-]*",$G204:$G205,"&lt;&gt;*[-]*",$H204:$H205,"*[+]*")</f>
        <v>0</v>
      </c>
      <c r="N206" s="157"/>
      <c r="O206" s="142">
        <f>SUMIFS(O204:O205,$I204:$I205,"&lt;&gt;"&amp;$I$29,$E204:$E205,"&lt;&gt;*[-]*",$F204:$F205,"&lt;&gt;*[-]*",$G204:$G205,"&lt;&gt;*[-]*",$H204:$H205,"*[+]*")</f>
        <v>0</v>
      </c>
      <c r="P206" s="157"/>
      <c r="Q206" s="142">
        <f>SUMIFS(Q204:Q205,$I204:$I205,"&lt;&gt;"&amp;$I$29,$E204:$E205,"&lt;&gt;*[-]*",$F204:$F205,"&lt;&gt;*[-]*",$G204:$G205,"&lt;&gt;*[-]*",$H204:$H205,"*[+]*")</f>
        <v>0</v>
      </c>
      <c r="R206" s="157"/>
      <c r="S206" s="142">
        <f>SUMIFS(S204:S205,$I204:$I205,"&lt;&gt;"&amp;$I$29,$E204:$E205,"&lt;&gt;*[-]*",$F204:$F205,"&lt;&gt;*[-]*",$G204:$G205,"&lt;&gt;*[-]*",$H204:$H205,"*[+]*")</f>
        <v>0</v>
      </c>
      <c r="T206" s="157"/>
      <c r="U206" s="157">
        <f>IFERROR(($O206-M206)/ABS(M206),0)</f>
        <v>0</v>
      </c>
      <c r="V206" s="143">
        <f>($O206-M206)</f>
        <v>0</v>
      </c>
      <c r="W206" s="157">
        <f>IFERROR(($M206-Q206)/ABS(Q206),0)</f>
        <v>0</v>
      </c>
      <c r="X206" s="143">
        <f>($M206-Q206)</f>
        <v>0</v>
      </c>
      <c r="Y206" s="157">
        <f>IFERROR(($M206-S206)/ABS(S206),0)</f>
        <v>0</v>
      </c>
      <c r="Z206" s="143">
        <f>($M206-S206)</f>
        <v>0</v>
      </c>
      <c r="AA206" s="143"/>
      <c r="AC206" s="142">
        <f>SUMIFS(AC204:AC205,$I204:$I205,"&lt;&gt;"&amp;$I$29,$E204:$E205,"&lt;&gt;*[-]*",$F204:$F205,"&lt;&gt;*[-]*",$G204:$G205,"&lt;&gt;*[-]*",$H204:$H205,"&lt;&gt;*[-]*")</f>
        <v>0</v>
      </c>
      <c r="AD206" s="142">
        <f>SUMIFS(AD204:AD205,$I204:$I205,"&lt;&gt;"&amp;$I$29,$E204:$E205,"&lt;&gt;*[-]*",$F204:$F205,"&lt;&gt;*[-]*",$G204:$G205,"&lt;&gt;*[-]*",$H204:$H205,"&lt;&gt;*[-]*")</f>
        <v>0</v>
      </c>
      <c r="AE206" s="142">
        <f>SUMIFS(AE204:AE205,$I204:$I205,"&lt;&gt;"&amp;$I$29,$E204:$E205,"&lt;&gt;*[-]*",$F204:$F205,"&lt;&gt;*[-]*",$G204:$G205,"&lt;&gt;*[-]*",$H204:$H205,"&lt;&gt;*[-]*")</f>
        <v>0</v>
      </c>
      <c r="AF206" s="173">
        <f t="shared" ref="AF206" si="494">IFERROR(($AC206-AD206)/ABS(AD206),0)</f>
        <v>0</v>
      </c>
      <c r="AG206" s="143">
        <f>($AC206-AD206)</f>
        <v>0</v>
      </c>
      <c r="AH206" s="173">
        <f>IFERROR(($AC206-AE206)/ABS(AE206),0)</f>
        <v>0</v>
      </c>
      <c r="AI206" s="143">
        <f>($AC206-AE206)</f>
        <v>0</v>
      </c>
      <c r="AJ206"/>
      <c r="AK206" s="142">
        <f>SUMIFS(AK204:AK205,$I204:$I205,"&lt;&gt;"&amp;$I$29,$E204:$E205,"&lt;&gt;*[-]*",$F204:$F205,"&lt;&gt;*[-]*",$G204:$G205,"&lt;&gt;*[-]*",$H204:$H205,"*[+]*")</f>
        <v>0</v>
      </c>
      <c r="AL206" s="157"/>
      <c r="AM206" s="142"/>
      <c r="AN206" s="157"/>
      <c r="AO206" s="142"/>
      <c r="AP206" s="157"/>
      <c r="AQ206" s="142">
        <f>SUMIFS(AQ204:AQ205,$I204:$I205,"&lt;&gt;"&amp;$I$29,$E204:$E205,"&lt;&gt;*[-]*",$F204:$F205,"&lt;&gt;*[-]*",$G204:$G205,"&lt;&gt;*[-]*",$H204:$H205,"*[+]*")</f>
        <v>0</v>
      </c>
      <c r="AR206" s="157"/>
      <c r="AS206" s="157">
        <f>IFERROR(($O206-AK206)/ABS(AK206),0)</f>
        <v>0</v>
      </c>
      <c r="AT206" s="143">
        <f>($AK206-AM206)</f>
        <v>0</v>
      </c>
      <c r="AU206" s="157">
        <f>IFERROR(($M206-AO206)/ABS(AO206),0)</f>
        <v>0</v>
      </c>
      <c r="AV206" s="143">
        <f>($AK206-AO206)</f>
        <v>0</v>
      </c>
      <c r="AW206" s="157">
        <f>IFERROR(($M206-AQ206)/ABS(AQ206),0)</f>
        <v>0</v>
      </c>
      <c r="AX206" s="143">
        <f>($AK206-AQ206)</f>
        <v>0</v>
      </c>
      <c r="AY206" s="143"/>
      <c r="AZ206"/>
      <c r="BA206" s="142">
        <f>SUMIFS(BA204:BA205,$I204:$I205,"&lt;&gt;"&amp;$I$29,$E204:$E205,"&lt;&gt;*[-]*",$F204:$F205,"&lt;&gt;*[-]*",$G204:$G205,"&lt;&gt;*[-]*",$H204:$H205,"*[+]*")</f>
        <v>0</v>
      </c>
      <c r="BB206" s="157"/>
      <c r="BC206" s="142">
        <f>SUMIFS(BC204:BC205,$I204:$I205,"&lt;&gt;"&amp;$I$29,$E204:$E205,"&lt;&gt;*[-]*",$F204:$F205,"&lt;&gt;*[-]*",$G204:$G205,"&lt;&gt;*[-]*",$H204:$H205,"*[+]*")</f>
        <v>0</v>
      </c>
      <c r="BD206" s="157"/>
      <c r="BE206" s="142">
        <f>SUMIFS(BE204:BE205,$I204:$I205,"&lt;&gt;"&amp;$I$29,$E204:$E205,"&lt;&gt;*[-]*",$F204:$F205,"&lt;&gt;*[-]*",$G204:$G205,"&lt;&gt;*[-]*",$H204:$H205,"*[+]*")</f>
        <v>0</v>
      </c>
      <c r="BF206" s="157"/>
      <c r="BG206" s="157">
        <f>IFERROR(($BA206-BC206)/ABS(BC206),0)</f>
        <v>0</v>
      </c>
      <c r="BH206" s="143">
        <f>($BA206-BC206)</f>
        <v>0</v>
      </c>
      <c r="BI206" s="157">
        <f>IFERROR(($BA206-BE206)/ABS(BE206),0)</f>
        <v>0</v>
      </c>
      <c r="BJ206" s="143">
        <f>($BA206-BE206)</f>
        <v>0</v>
      </c>
      <c r="BK206" s="143"/>
      <c r="BL206"/>
      <c r="BM206"/>
      <c r="BN206"/>
      <c r="BO206"/>
      <c r="BP206"/>
      <c r="BQ206"/>
      <c r="BR206"/>
      <c r="BS206"/>
      <c r="BT206"/>
    </row>
    <row r="207" spans="1:72" s="47" customFormat="1" hidden="1" x14ac:dyDescent="0.25">
      <c r="A207"/>
      <c r="B207" s="47" t="s">
        <v>1</v>
      </c>
      <c r="N207" s="156"/>
      <c r="P207" s="156"/>
      <c r="R207" s="156"/>
      <c r="T207" s="156"/>
      <c r="U207" s="156"/>
      <c r="V207" s="140"/>
      <c r="W207" s="156"/>
      <c r="X207" s="140"/>
      <c r="Y207" s="156"/>
      <c r="Z207" s="140"/>
      <c r="AA207" s="140"/>
      <c r="AF207" s="169"/>
      <c r="AG207" s="140"/>
      <c r="AH207" s="169"/>
      <c r="AI207" s="140"/>
      <c r="AJ207"/>
      <c r="AL207" s="156"/>
      <c r="AN207" s="156"/>
      <c r="AP207" s="156"/>
      <c r="AR207" s="156"/>
      <c r="AS207" s="156"/>
      <c r="AT207" s="140"/>
      <c r="AU207" s="156"/>
      <c r="AV207" s="140"/>
      <c r="AW207" s="156"/>
      <c r="AX207" s="140"/>
      <c r="AY207" s="140"/>
      <c r="AZ207"/>
      <c r="BB207" s="156"/>
      <c r="BD207" s="156"/>
      <c r="BF207" s="156"/>
      <c r="BG207" s="156"/>
      <c r="BH207" s="140"/>
      <c r="BI207" s="156"/>
      <c r="BJ207" s="140"/>
      <c r="BK207" s="140"/>
      <c r="BL207"/>
      <c r="BM207"/>
      <c r="BN207"/>
      <c r="BO207"/>
      <c r="BP207"/>
      <c r="BQ207"/>
      <c r="BR207"/>
      <c r="BS207"/>
      <c r="BT207"/>
    </row>
    <row r="208" spans="1:72" s="47" customFormat="1" ht="12.45" hidden="1" thickBot="1" x14ac:dyDescent="0.3">
      <c r="A208"/>
      <c r="B208" s="47" t="s">
        <v>1</v>
      </c>
      <c r="E208" s="132"/>
      <c r="F208" s="132"/>
      <c r="G208" s="132"/>
      <c r="H208" s="132" t="s">
        <v>117</v>
      </c>
      <c r="I208" s="132"/>
      <c r="J208" s="133"/>
      <c r="K208" s="133"/>
      <c r="L208" s="133"/>
      <c r="M208" s="133"/>
      <c r="N208" s="154"/>
      <c r="O208" s="133"/>
      <c r="P208" s="154"/>
      <c r="Q208" s="133"/>
      <c r="R208" s="154"/>
      <c r="S208" s="133"/>
      <c r="T208" s="154"/>
      <c r="U208" s="154"/>
      <c r="V208" s="134"/>
      <c r="W208" s="154"/>
      <c r="X208" s="134"/>
      <c r="Y208" s="154"/>
      <c r="Z208" s="134"/>
      <c r="AA208" s="134"/>
      <c r="AC208" s="133"/>
      <c r="AD208" s="133"/>
      <c r="AE208" s="133"/>
      <c r="AF208" s="171"/>
      <c r="AG208" s="134"/>
      <c r="AH208" s="171"/>
      <c r="AI208" s="134"/>
      <c r="AJ208"/>
      <c r="AK208" s="133"/>
      <c r="AL208" s="154"/>
      <c r="AM208" s="133"/>
      <c r="AN208" s="154"/>
      <c r="AO208" s="133"/>
      <c r="AP208" s="154"/>
      <c r="AQ208" s="133"/>
      <c r="AR208" s="154"/>
      <c r="AS208" s="154"/>
      <c r="AT208" s="134"/>
      <c r="AU208" s="154"/>
      <c r="AV208" s="134"/>
      <c r="AW208" s="154"/>
      <c r="AX208" s="134"/>
      <c r="AY208" s="134"/>
      <c r="AZ208"/>
      <c r="BA208" s="133"/>
      <c r="BB208" s="154"/>
      <c r="BC208" s="133"/>
      <c r="BD208" s="154"/>
      <c r="BE208" s="133"/>
      <c r="BF208" s="154"/>
      <c r="BG208" s="154"/>
      <c r="BH208" s="134"/>
      <c r="BI208" s="154"/>
      <c r="BJ208" s="134"/>
      <c r="BK208" s="134"/>
      <c r="BL208"/>
      <c r="BM208"/>
      <c r="BN208"/>
      <c r="BO208"/>
      <c r="BP208"/>
      <c r="BQ208"/>
      <c r="BR208"/>
      <c r="BS208"/>
      <c r="BT208"/>
    </row>
    <row r="209" spans="1:72" s="47" customFormat="1" ht="11.95" hidden="1" thickBot="1" x14ac:dyDescent="0.3">
      <c r="A209"/>
      <c r="B209" s="47" t="s">
        <v>1</v>
      </c>
      <c r="E209" s="135"/>
      <c r="F209" s="135"/>
      <c r="G209" s="135"/>
      <c r="H209" s="135" t="s">
        <v>6</v>
      </c>
      <c r="I209" s="136"/>
      <c r="J209" s="136"/>
      <c r="K209" s="136"/>
      <c r="L209" s="137"/>
      <c r="M209" s="138"/>
      <c r="N209" s="155"/>
      <c r="O209" s="138"/>
      <c r="P209" s="155"/>
      <c r="Q209" s="138"/>
      <c r="R209" s="155"/>
      <c r="S209" s="138"/>
      <c r="T209" s="155"/>
      <c r="U209" s="155">
        <f>IFERROR(($O209-M209)/ABS(M209),0)</f>
        <v>0</v>
      </c>
      <c r="V209" s="139">
        <f>($O209-M209)</f>
        <v>0</v>
      </c>
      <c r="W209" s="155">
        <f>IFERROR(($M209-Q209)/ABS(Q209),0)</f>
        <v>0</v>
      </c>
      <c r="X209" s="139">
        <f>($M209-Q209)</f>
        <v>0</v>
      </c>
      <c r="Y209" s="155">
        <f>IFERROR(($M209-S209)/ABS(S209),0)</f>
        <v>0</v>
      </c>
      <c r="Z209" s="139">
        <f>($M209-S209)</f>
        <v>0</v>
      </c>
      <c r="AA209" s="139"/>
      <c r="AC209" s="138"/>
      <c r="AD209" s="138"/>
      <c r="AE209" s="138"/>
      <c r="AF209" s="172">
        <f t="shared" ref="AF209" si="495">IFERROR(($AC209-AD209)/ABS(AD209),0)</f>
        <v>0</v>
      </c>
      <c r="AG209" s="139">
        <f>($AC209-AD209)</f>
        <v>0</v>
      </c>
      <c r="AH209" s="172">
        <f>IFERROR(($AC209-AE209)/ABS(AE209),0)</f>
        <v>0</v>
      </c>
      <c r="AI209" s="139">
        <f>($AC209-AE209)</f>
        <v>0</v>
      </c>
      <c r="AJ209"/>
      <c r="AK209" s="138"/>
      <c r="AL209" s="155"/>
      <c r="AM209" s="138"/>
      <c r="AN209" s="155"/>
      <c r="AO209" s="138"/>
      <c r="AP209" s="155"/>
      <c r="AQ209" s="138"/>
      <c r="AR209" s="155"/>
      <c r="AS209" s="155">
        <f>IFERROR(($O209-AK209)/ABS(AK209),0)</f>
        <v>0</v>
      </c>
      <c r="AT209" s="139">
        <f>($AK209-AM209)</f>
        <v>0</v>
      </c>
      <c r="AU209" s="155">
        <f>IFERROR(($M209-AO209)/ABS(AO209),0)</f>
        <v>0</v>
      </c>
      <c r="AV209" s="139">
        <f>($AK209-AO209)</f>
        <v>0</v>
      </c>
      <c r="AW209" s="155">
        <f>IFERROR(($M209-AQ209)/ABS(AQ209),0)</f>
        <v>0</v>
      </c>
      <c r="AX209" s="139">
        <f>($AK209-AQ209)</f>
        <v>0</v>
      </c>
      <c r="AY209" s="139"/>
      <c r="AZ209"/>
      <c r="BA209" s="138"/>
      <c r="BB209" s="155"/>
      <c r="BC209" s="138"/>
      <c r="BD209" s="155"/>
      <c r="BE209" s="138"/>
      <c r="BF209" s="155"/>
      <c r="BG209" s="155">
        <f>IFERROR(($BA209-BC209)/ABS(BC209),0)</f>
        <v>0</v>
      </c>
      <c r="BH209" s="139">
        <f>($BA209-BC209)</f>
        <v>0</v>
      </c>
      <c r="BI209" s="155">
        <f>IFERROR(($BA209-BE209)/ABS(BE209),0)</f>
        <v>0</v>
      </c>
      <c r="BJ209" s="139">
        <f>($BA209-BE209)</f>
        <v>0</v>
      </c>
      <c r="BK209" s="139"/>
      <c r="BL209"/>
      <c r="BM209"/>
      <c r="BN209"/>
      <c r="BO209"/>
      <c r="BP209"/>
      <c r="BQ209"/>
      <c r="BR209"/>
      <c r="BS209"/>
      <c r="BT209"/>
    </row>
    <row r="210" spans="1:72" s="47" customFormat="1" ht="11.95" hidden="1" thickBot="1" x14ac:dyDescent="0.3">
      <c r="A210"/>
      <c r="B210" s="47" t="s">
        <v>1</v>
      </c>
      <c r="N210" s="156"/>
      <c r="P210" s="156"/>
      <c r="R210" s="156"/>
      <c r="T210" s="156"/>
      <c r="U210" s="156"/>
      <c r="V210" s="140"/>
      <c r="W210" s="156"/>
      <c r="X210" s="140"/>
      <c r="Y210" s="156"/>
      <c r="Z210" s="140"/>
      <c r="AA210" s="140"/>
      <c r="AF210" s="169"/>
      <c r="AG210" s="140"/>
      <c r="AH210" s="169"/>
      <c r="AI210" s="140"/>
      <c r="AJ210"/>
      <c r="AL210" s="156"/>
      <c r="AN210" s="156"/>
      <c r="AP210" s="156"/>
      <c r="AR210" s="156"/>
      <c r="AS210" s="156"/>
      <c r="AT210" s="140"/>
      <c r="AU210" s="156"/>
      <c r="AV210" s="140"/>
      <c r="AW210" s="156"/>
      <c r="AX210" s="140"/>
      <c r="AY210" s="140"/>
      <c r="AZ210"/>
      <c r="BB210" s="156"/>
      <c r="BD210" s="156"/>
      <c r="BF210" s="156"/>
      <c r="BG210" s="156"/>
      <c r="BH210" s="140"/>
      <c r="BI210" s="156"/>
      <c r="BJ210" s="140"/>
      <c r="BK210" s="140"/>
      <c r="BL210"/>
      <c r="BM210"/>
      <c r="BN210"/>
      <c r="BO210"/>
      <c r="BP210"/>
      <c r="BQ210"/>
      <c r="BR210"/>
      <c r="BS210"/>
      <c r="BT210"/>
    </row>
    <row r="211" spans="1:72" s="47" customFormat="1" ht="11.95" hidden="1" x14ac:dyDescent="0.25">
      <c r="A211"/>
      <c r="B211" s="47" t="s">
        <v>1</v>
      </c>
      <c r="E211" s="141"/>
      <c r="F211" s="141"/>
      <c r="G211" s="141"/>
      <c r="H211" s="141" t="s">
        <v>89</v>
      </c>
      <c r="I211" s="142"/>
      <c r="J211" s="142"/>
      <c r="K211" s="142"/>
      <c r="L211" s="142">
        <v>1</v>
      </c>
      <c r="M211" s="142">
        <f>SUMIFS(M209:M210,$I209:$I210,"&lt;&gt;"&amp;$I$29,$E209:$E210,"&lt;&gt;*[-]*",$F209:$F210,"&lt;&gt;*[-]*",$G209:$G210,"&lt;&gt;*[-]*",$H209:$H210,"*[+]*")</f>
        <v>0</v>
      </c>
      <c r="N211" s="157"/>
      <c r="O211" s="142">
        <f>SUMIFS(O209:O210,$I209:$I210,"&lt;&gt;"&amp;$I$29,$E209:$E210,"&lt;&gt;*[-]*",$F209:$F210,"&lt;&gt;*[-]*",$G209:$G210,"&lt;&gt;*[-]*",$H209:$H210,"*[+]*")</f>
        <v>0</v>
      </c>
      <c r="P211" s="157"/>
      <c r="Q211" s="142">
        <f>SUMIFS(Q209:Q210,$I209:$I210,"&lt;&gt;"&amp;$I$29,$E209:$E210,"&lt;&gt;*[-]*",$F209:$F210,"&lt;&gt;*[-]*",$G209:$G210,"&lt;&gt;*[-]*",$H209:$H210,"*[+]*")</f>
        <v>0</v>
      </c>
      <c r="R211" s="157"/>
      <c r="S211" s="142">
        <f>SUMIFS(S209:S210,$I209:$I210,"&lt;&gt;"&amp;$I$29,$E209:$E210,"&lt;&gt;*[-]*",$F209:$F210,"&lt;&gt;*[-]*",$G209:$G210,"&lt;&gt;*[-]*",$H209:$H210,"*[+]*")</f>
        <v>0</v>
      </c>
      <c r="T211" s="157"/>
      <c r="U211" s="157">
        <f>IFERROR(($O211-M211)/ABS(M211),0)</f>
        <v>0</v>
      </c>
      <c r="V211" s="143">
        <f>($O211-M211)</f>
        <v>0</v>
      </c>
      <c r="W211" s="157">
        <f>IFERROR(($M211-Q211)/ABS(Q211),0)</f>
        <v>0</v>
      </c>
      <c r="X211" s="143">
        <f>($M211-Q211)</f>
        <v>0</v>
      </c>
      <c r="Y211" s="157">
        <f>IFERROR(($M211-S211)/ABS(S211),0)</f>
        <v>0</v>
      </c>
      <c r="Z211" s="143">
        <f>($M211-S211)</f>
        <v>0</v>
      </c>
      <c r="AA211" s="143"/>
      <c r="AC211" s="142">
        <f>SUMIFS(AC209:AC210,$I209:$I210,"&lt;&gt;"&amp;$I$29,$E209:$E210,"&lt;&gt;*[-]*",$F209:$F210,"&lt;&gt;*[-]*",$G209:$G210,"&lt;&gt;*[-]*",$H209:$H210,"&lt;&gt;*[-]*")</f>
        <v>0</v>
      </c>
      <c r="AD211" s="142">
        <f>SUMIFS(AD209:AD210,$I209:$I210,"&lt;&gt;"&amp;$I$29,$E209:$E210,"&lt;&gt;*[-]*",$F209:$F210,"&lt;&gt;*[-]*",$G209:$G210,"&lt;&gt;*[-]*",$H209:$H210,"&lt;&gt;*[-]*")</f>
        <v>0</v>
      </c>
      <c r="AE211" s="142">
        <f>SUMIFS(AE209:AE210,$I209:$I210,"&lt;&gt;"&amp;$I$29,$E209:$E210,"&lt;&gt;*[-]*",$F209:$F210,"&lt;&gt;*[-]*",$G209:$G210,"&lt;&gt;*[-]*",$H209:$H210,"&lt;&gt;*[-]*")</f>
        <v>0</v>
      </c>
      <c r="AF211" s="173">
        <f t="shared" ref="AF211" si="496">IFERROR(($AC211-AD211)/ABS(AD211),0)</f>
        <v>0</v>
      </c>
      <c r="AG211" s="143">
        <f>($AC211-AD211)</f>
        <v>0</v>
      </c>
      <c r="AH211" s="173">
        <f>IFERROR(($AC211-AE211)/ABS(AE211),0)</f>
        <v>0</v>
      </c>
      <c r="AI211" s="143">
        <f>($AC211-AE211)</f>
        <v>0</v>
      </c>
      <c r="AJ211"/>
      <c r="AK211" s="142">
        <f>SUMIFS(AK209:AK210,$I209:$I210,"&lt;&gt;"&amp;$I$29,$E209:$E210,"&lt;&gt;*[-]*",$F209:$F210,"&lt;&gt;*[-]*",$G209:$G210,"&lt;&gt;*[-]*",$H209:$H210,"*[+]*")</f>
        <v>0</v>
      </c>
      <c r="AL211" s="157"/>
      <c r="AM211" s="142"/>
      <c r="AN211" s="157"/>
      <c r="AO211" s="142"/>
      <c r="AP211" s="157"/>
      <c r="AQ211" s="142">
        <f>SUMIFS(AQ209:AQ210,$I209:$I210,"&lt;&gt;"&amp;$I$29,$E209:$E210,"&lt;&gt;*[-]*",$F209:$F210,"&lt;&gt;*[-]*",$G209:$G210,"&lt;&gt;*[-]*",$H209:$H210,"*[+]*")</f>
        <v>0</v>
      </c>
      <c r="AR211" s="157"/>
      <c r="AS211" s="157">
        <f>IFERROR(($O211-AK211)/ABS(AK211),0)</f>
        <v>0</v>
      </c>
      <c r="AT211" s="143">
        <f>($AK211-AM211)</f>
        <v>0</v>
      </c>
      <c r="AU211" s="157">
        <f>IFERROR(($M211-AO211)/ABS(AO211),0)</f>
        <v>0</v>
      </c>
      <c r="AV211" s="143">
        <f>($AK211-AO211)</f>
        <v>0</v>
      </c>
      <c r="AW211" s="157">
        <f>IFERROR(($M211-AQ211)/ABS(AQ211),0)</f>
        <v>0</v>
      </c>
      <c r="AX211" s="143">
        <f>($AK211-AQ211)</f>
        <v>0</v>
      </c>
      <c r="AY211" s="143"/>
      <c r="AZ211"/>
      <c r="BA211" s="142">
        <f>SUMIFS(BA209:BA210,$I209:$I210,"&lt;&gt;"&amp;$I$29,$E209:$E210,"&lt;&gt;*[-]*",$F209:$F210,"&lt;&gt;*[-]*",$G209:$G210,"&lt;&gt;*[-]*",$H209:$H210,"*[+]*")</f>
        <v>0</v>
      </c>
      <c r="BB211" s="157"/>
      <c r="BC211" s="142">
        <f>SUMIFS(BC209:BC210,$I209:$I210,"&lt;&gt;"&amp;$I$29,$E209:$E210,"&lt;&gt;*[-]*",$F209:$F210,"&lt;&gt;*[-]*",$G209:$G210,"&lt;&gt;*[-]*",$H209:$H210,"*[+]*")</f>
        <v>0</v>
      </c>
      <c r="BD211" s="157"/>
      <c r="BE211" s="142">
        <f>SUMIFS(BE209:BE210,$I209:$I210,"&lt;&gt;"&amp;$I$29,$E209:$E210,"&lt;&gt;*[-]*",$F209:$F210,"&lt;&gt;*[-]*",$G209:$G210,"&lt;&gt;*[-]*",$H209:$H210,"*[+]*")</f>
        <v>0</v>
      </c>
      <c r="BF211" s="157"/>
      <c r="BG211" s="157">
        <f>IFERROR(($BA211-BC211)/ABS(BC211),0)</f>
        <v>0</v>
      </c>
      <c r="BH211" s="143">
        <f>($BA211-BC211)</f>
        <v>0</v>
      </c>
      <c r="BI211" s="157">
        <f>IFERROR(($BA211-BE211)/ABS(BE211),0)</f>
        <v>0</v>
      </c>
      <c r="BJ211" s="143">
        <f>($BA211-BE211)</f>
        <v>0</v>
      </c>
      <c r="BK211" s="143"/>
      <c r="BL211"/>
      <c r="BM211"/>
      <c r="BN211"/>
      <c r="BO211"/>
      <c r="BP211"/>
      <c r="BQ211"/>
      <c r="BR211"/>
      <c r="BS211"/>
      <c r="BT211"/>
    </row>
    <row r="212" spans="1:72" s="47" customFormat="1" hidden="1" x14ac:dyDescent="0.25">
      <c r="A212"/>
      <c r="B212" s="47" t="s">
        <v>1</v>
      </c>
      <c r="N212" s="156"/>
      <c r="P212" s="156"/>
      <c r="R212" s="156"/>
      <c r="T212" s="156"/>
      <c r="U212" s="156"/>
      <c r="V212" s="140"/>
      <c r="W212" s="156"/>
      <c r="X212" s="140"/>
      <c r="Y212" s="156"/>
      <c r="Z212" s="140"/>
      <c r="AA212" s="140"/>
      <c r="AF212" s="169"/>
      <c r="AG212" s="140"/>
      <c r="AH212" s="169"/>
      <c r="AI212" s="140"/>
      <c r="AJ212"/>
      <c r="AL212" s="156"/>
      <c r="AN212" s="156"/>
      <c r="AP212" s="156"/>
      <c r="AR212" s="156"/>
      <c r="AS212" s="156"/>
      <c r="AT212" s="140"/>
      <c r="AU212" s="156"/>
      <c r="AV212" s="140"/>
      <c r="AW212" s="156"/>
      <c r="AX212" s="140"/>
      <c r="AY212" s="140"/>
      <c r="AZ212"/>
      <c r="BB212" s="156"/>
      <c r="BD212" s="156"/>
      <c r="BF212" s="156"/>
      <c r="BG212" s="156"/>
      <c r="BH212" s="140"/>
      <c r="BI212" s="156"/>
      <c r="BJ212" s="140"/>
      <c r="BK212" s="140"/>
      <c r="BL212"/>
      <c r="BM212"/>
      <c r="BN212"/>
      <c r="BO212"/>
      <c r="BP212"/>
      <c r="BQ212"/>
      <c r="BR212"/>
      <c r="BS212"/>
      <c r="BT212"/>
    </row>
    <row r="213" spans="1:72" s="47" customFormat="1" ht="12.45" hidden="1" thickBot="1" x14ac:dyDescent="0.3">
      <c r="A213"/>
      <c r="B213" s="47" t="s">
        <v>1</v>
      </c>
      <c r="E213" s="132"/>
      <c r="F213" s="132"/>
      <c r="G213" s="132"/>
      <c r="H213" s="132" t="s">
        <v>117</v>
      </c>
      <c r="I213" s="132"/>
      <c r="J213" s="133"/>
      <c r="K213" s="133"/>
      <c r="L213" s="133"/>
      <c r="M213" s="133"/>
      <c r="N213" s="154"/>
      <c r="O213" s="133"/>
      <c r="P213" s="154"/>
      <c r="Q213" s="133"/>
      <c r="R213" s="154"/>
      <c r="S213" s="133"/>
      <c r="T213" s="154"/>
      <c r="U213" s="154"/>
      <c r="V213" s="134"/>
      <c r="W213" s="154"/>
      <c r="X213" s="134"/>
      <c r="Y213" s="154"/>
      <c r="Z213" s="134"/>
      <c r="AA213" s="134"/>
      <c r="AC213" s="133"/>
      <c r="AD213" s="133"/>
      <c r="AE213" s="133"/>
      <c r="AF213" s="171"/>
      <c r="AG213" s="134"/>
      <c r="AH213" s="171"/>
      <c r="AI213" s="134"/>
      <c r="AJ213"/>
      <c r="AK213" s="133"/>
      <c r="AL213" s="154"/>
      <c r="AM213" s="133"/>
      <c r="AN213" s="154"/>
      <c r="AO213" s="133"/>
      <c r="AP213" s="154"/>
      <c r="AQ213" s="133"/>
      <c r="AR213" s="154"/>
      <c r="AS213" s="154"/>
      <c r="AT213" s="134"/>
      <c r="AU213" s="154"/>
      <c r="AV213" s="134"/>
      <c r="AW213" s="154"/>
      <c r="AX213" s="134"/>
      <c r="AY213" s="134"/>
      <c r="AZ213"/>
      <c r="BA213" s="133"/>
      <c r="BB213" s="154"/>
      <c r="BC213" s="133"/>
      <c r="BD213" s="154"/>
      <c r="BE213" s="133"/>
      <c r="BF213" s="154"/>
      <c r="BG213" s="154"/>
      <c r="BH213" s="134"/>
      <c r="BI213" s="154"/>
      <c r="BJ213" s="134"/>
      <c r="BK213" s="134"/>
      <c r="BL213"/>
      <c r="BM213"/>
      <c r="BN213"/>
      <c r="BO213"/>
      <c r="BP213"/>
      <c r="BQ213"/>
      <c r="BR213"/>
      <c r="BS213"/>
      <c r="BT213"/>
    </row>
    <row r="214" spans="1:72" s="47" customFormat="1" ht="11.95" hidden="1" thickBot="1" x14ac:dyDescent="0.3">
      <c r="A214"/>
      <c r="B214" s="47" t="s">
        <v>1</v>
      </c>
      <c r="E214" s="135"/>
      <c r="F214" s="135"/>
      <c r="G214" s="135"/>
      <c r="H214" s="135" t="s">
        <v>6</v>
      </c>
      <c r="I214" s="136"/>
      <c r="J214" s="136"/>
      <c r="K214" s="136"/>
      <c r="L214" s="137"/>
      <c r="M214" s="138"/>
      <c r="N214" s="155"/>
      <c r="O214" s="138"/>
      <c r="P214" s="155"/>
      <c r="Q214" s="138"/>
      <c r="R214" s="155"/>
      <c r="S214" s="138"/>
      <c r="T214" s="155"/>
      <c r="U214" s="155">
        <f>IFERROR(($O214-M214)/ABS(M214),0)</f>
        <v>0</v>
      </c>
      <c r="V214" s="139">
        <f>($O214-M214)</f>
        <v>0</v>
      </c>
      <c r="W214" s="155">
        <f>IFERROR(($M214-Q214)/ABS(Q214),0)</f>
        <v>0</v>
      </c>
      <c r="X214" s="139">
        <f>($M214-Q214)</f>
        <v>0</v>
      </c>
      <c r="Y214" s="155">
        <f>IFERROR(($M214-S214)/ABS(S214),0)</f>
        <v>0</v>
      </c>
      <c r="Z214" s="139">
        <f>($M214-S214)</f>
        <v>0</v>
      </c>
      <c r="AA214" s="139"/>
      <c r="AC214" s="138"/>
      <c r="AD214" s="138"/>
      <c r="AE214" s="138"/>
      <c r="AF214" s="172">
        <f t="shared" ref="AF214" si="497">IFERROR(($AC214-AD214)/ABS(AD214),0)</f>
        <v>0</v>
      </c>
      <c r="AG214" s="139">
        <f>($AC214-AD214)</f>
        <v>0</v>
      </c>
      <c r="AH214" s="172">
        <f>IFERROR(($AC214-AE214)/ABS(AE214),0)</f>
        <v>0</v>
      </c>
      <c r="AI214" s="139">
        <f>($AC214-AE214)</f>
        <v>0</v>
      </c>
      <c r="AJ214"/>
      <c r="AK214" s="138"/>
      <c r="AL214" s="155"/>
      <c r="AM214" s="138"/>
      <c r="AN214" s="155"/>
      <c r="AO214" s="138"/>
      <c r="AP214" s="155"/>
      <c r="AQ214" s="138"/>
      <c r="AR214" s="155"/>
      <c r="AS214" s="155">
        <f>IFERROR(($O214-AK214)/ABS(AK214),0)</f>
        <v>0</v>
      </c>
      <c r="AT214" s="139">
        <f>($AK214-AM214)</f>
        <v>0</v>
      </c>
      <c r="AU214" s="155">
        <f>IFERROR(($M214-AO214)/ABS(AO214),0)</f>
        <v>0</v>
      </c>
      <c r="AV214" s="139">
        <f>($AK214-AO214)</f>
        <v>0</v>
      </c>
      <c r="AW214" s="155">
        <f>IFERROR(($M214-AQ214)/ABS(AQ214),0)</f>
        <v>0</v>
      </c>
      <c r="AX214" s="139">
        <f>($AK214-AQ214)</f>
        <v>0</v>
      </c>
      <c r="AY214" s="139"/>
      <c r="AZ214"/>
      <c r="BA214" s="138"/>
      <c r="BB214" s="155"/>
      <c r="BC214" s="138"/>
      <c r="BD214" s="155"/>
      <c r="BE214" s="138"/>
      <c r="BF214" s="155"/>
      <c r="BG214" s="155">
        <f>IFERROR(($BA214-BC214)/ABS(BC214),0)</f>
        <v>0</v>
      </c>
      <c r="BH214" s="139">
        <f>($BA214-BC214)</f>
        <v>0</v>
      </c>
      <c r="BI214" s="155">
        <f>IFERROR(($BA214-BE214)/ABS(BE214),0)</f>
        <v>0</v>
      </c>
      <c r="BJ214" s="139">
        <f>($BA214-BE214)</f>
        <v>0</v>
      </c>
      <c r="BK214" s="139"/>
      <c r="BL214"/>
      <c r="BM214"/>
      <c r="BN214"/>
      <c r="BO214"/>
      <c r="BP214"/>
      <c r="BQ214"/>
      <c r="BR214"/>
      <c r="BS214"/>
      <c r="BT214"/>
    </row>
    <row r="215" spans="1:72" s="47" customFormat="1" ht="11.95" hidden="1" thickBot="1" x14ac:dyDescent="0.3">
      <c r="A215"/>
      <c r="B215" s="47" t="s">
        <v>1</v>
      </c>
      <c r="N215" s="156"/>
      <c r="P215" s="156"/>
      <c r="R215" s="156"/>
      <c r="T215" s="156"/>
      <c r="U215" s="156"/>
      <c r="V215" s="140"/>
      <c r="W215" s="156"/>
      <c r="X215" s="140"/>
      <c r="Y215" s="156"/>
      <c r="Z215" s="140"/>
      <c r="AA215" s="140"/>
      <c r="AF215" s="169"/>
      <c r="AG215" s="140"/>
      <c r="AH215" s="169"/>
      <c r="AI215" s="140"/>
      <c r="AJ215"/>
      <c r="AL215" s="156"/>
      <c r="AN215" s="156"/>
      <c r="AP215" s="156"/>
      <c r="AR215" s="156"/>
      <c r="AS215" s="156"/>
      <c r="AT215" s="140"/>
      <c r="AU215" s="156"/>
      <c r="AV215" s="140"/>
      <c r="AW215" s="156"/>
      <c r="AX215" s="140"/>
      <c r="AY215" s="140"/>
      <c r="AZ215"/>
      <c r="BB215" s="156"/>
      <c r="BD215" s="156"/>
      <c r="BF215" s="156"/>
      <c r="BG215" s="156"/>
      <c r="BH215" s="140"/>
      <c r="BI215" s="156"/>
      <c r="BJ215" s="140"/>
      <c r="BK215" s="140"/>
      <c r="BL215"/>
      <c r="BM215"/>
      <c r="BN215"/>
      <c r="BO215"/>
      <c r="BP215"/>
      <c r="BQ215"/>
      <c r="BR215"/>
      <c r="BS215"/>
      <c r="BT215"/>
    </row>
    <row r="216" spans="1:72" s="47" customFormat="1" ht="11.95" hidden="1" x14ac:dyDescent="0.25">
      <c r="A216"/>
      <c r="B216" s="47" t="s">
        <v>1</v>
      </c>
      <c r="E216" s="141"/>
      <c r="F216" s="141"/>
      <c r="G216" s="141"/>
      <c r="H216" s="141" t="s">
        <v>89</v>
      </c>
      <c r="I216" s="142"/>
      <c r="J216" s="142"/>
      <c r="K216" s="142"/>
      <c r="L216" s="142">
        <v>1</v>
      </c>
      <c r="M216" s="142">
        <f>SUMIFS(M214:M215,$I214:$I215,"&lt;&gt;"&amp;$I$29,$E214:$E215,"&lt;&gt;*[-]*",$F214:$F215,"&lt;&gt;*[-]*",$G214:$G215,"&lt;&gt;*[-]*",$H214:$H215,"*[+]*")</f>
        <v>0</v>
      </c>
      <c r="N216" s="157"/>
      <c r="O216" s="142">
        <f>SUMIFS(O214:O215,$I214:$I215,"&lt;&gt;"&amp;$I$29,$E214:$E215,"&lt;&gt;*[-]*",$F214:$F215,"&lt;&gt;*[-]*",$G214:$G215,"&lt;&gt;*[-]*",$H214:$H215,"*[+]*")</f>
        <v>0</v>
      </c>
      <c r="P216" s="157"/>
      <c r="Q216" s="142">
        <f>SUMIFS(Q214:Q215,$I214:$I215,"&lt;&gt;"&amp;$I$29,$E214:$E215,"&lt;&gt;*[-]*",$F214:$F215,"&lt;&gt;*[-]*",$G214:$G215,"&lt;&gt;*[-]*",$H214:$H215,"*[+]*")</f>
        <v>0</v>
      </c>
      <c r="R216" s="157"/>
      <c r="S216" s="142">
        <f>SUMIFS(S214:S215,$I214:$I215,"&lt;&gt;"&amp;$I$29,$E214:$E215,"&lt;&gt;*[-]*",$F214:$F215,"&lt;&gt;*[-]*",$G214:$G215,"&lt;&gt;*[-]*",$H214:$H215,"*[+]*")</f>
        <v>0</v>
      </c>
      <c r="T216" s="157"/>
      <c r="U216" s="157">
        <f>IFERROR(($O216-M216)/ABS(M216),0)</f>
        <v>0</v>
      </c>
      <c r="V216" s="143">
        <f>($O216-M216)</f>
        <v>0</v>
      </c>
      <c r="W216" s="157">
        <f>IFERROR(($M216-Q216)/ABS(Q216),0)</f>
        <v>0</v>
      </c>
      <c r="X216" s="143">
        <f>($M216-Q216)</f>
        <v>0</v>
      </c>
      <c r="Y216" s="157">
        <f>IFERROR(($M216-S216)/ABS(S216),0)</f>
        <v>0</v>
      </c>
      <c r="Z216" s="143">
        <f>($M216-S216)</f>
        <v>0</v>
      </c>
      <c r="AA216" s="143"/>
      <c r="AC216" s="142">
        <f>SUMIFS(AC214:AC215,$I214:$I215,"&lt;&gt;"&amp;$I$29,$E214:$E215,"&lt;&gt;*[-]*",$F214:$F215,"&lt;&gt;*[-]*",$G214:$G215,"&lt;&gt;*[-]*",$H214:$H215,"&lt;&gt;*[-]*")</f>
        <v>0</v>
      </c>
      <c r="AD216" s="142">
        <f>SUMIFS(AD214:AD215,$I214:$I215,"&lt;&gt;"&amp;$I$29,$E214:$E215,"&lt;&gt;*[-]*",$F214:$F215,"&lt;&gt;*[-]*",$G214:$G215,"&lt;&gt;*[-]*",$H214:$H215,"&lt;&gt;*[-]*")</f>
        <v>0</v>
      </c>
      <c r="AE216" s="142">
        <f>SUMIFS(AE214:AE215,$I214:$I215,"&lt;&gt;"&amp;$I$29,$E214:$E215,"&lt;&gt;*[-]*",$F214:$F215,"&lt;&gt;*[-]*",$G214:$G215,"&lt;&gt;*[-]*",$H214:$H215,"&lt;&gt;*[-]*")</f>
        <v>0</v>
      </c>
      <c r="AF216" s="173">
        <f t="shared" ref="AF216" si="498">IFERROR(($AC216-AD216)/ABS(AD216),0)</f>
        <v>0</v>
      </c>
      <c r="AG216" s="143">
        <f>($AC216-AD216)</f>
        <v>0</v>
      </c>
      <c r="AH216" s="173">
        <f>IFERROR(($AC216-AE216)/ABS(AE216),0)</f>
        <v>0</v>
      </c>
      <c r="AI216" s="143">
        <f>($AC216-AE216)</f>
        <v>0</v>
      </c>
      <c r="AJ216"/>
      <c r="AK216" s="142">
        <f>SUMIFS(AK214:AK215,$I214:$I215,"&lt;&gt;"&amp;$I$29,$E214:$E215,"&lt;&gt;*[-]*",$F214:$F215,"&lt;&gt;*[-]*",$G214:$G215,"&lt;&gt;*[-]*",$H214:$H215,"*[+]*")</f>
        <v>0</v>
      </c>
      <c r="AL216" s="157"/>
      <c r="AM216" s="142"/>
      <c r="AN216" s="157"/>
      <c r="AO216" s="142"/>
      <c r="AP216" s="157"/>
      <c r="AQ216" s="142">
        <f>SUMIFS(AQ214:AQ215,$I214:$I215,"&lt;&gt;"&amp;$I$29,$E214:$E215,"&lt;&gt;*[-]*",$F214:$F215,"&lt;&gt;*[-]*",$G214:$G215,"&lt;&gt;*[-]*",$H214:$H215,"*[+]*")</f>
        <v>0</v>
      </c>
      <c r="AR216" s="157"/>
      <c r="AS216" s="157">
        <f>IFERROR(($O216-AK216)/ABS(AK216),0)</f>
        <v>0</v>
      </c>
      <c r="AT216" s="143">
        <f>($AK216-AM216)</f>
        <v>0</v>
      </c>
      <c r="AU216" s="157">
        <f>IFERROR(($M216-AO216)/ABS(AO216),0)</f>
        <v>0</v>
      </c>
      <c r="AV216" s="143">
        <f>($AK216-AO216)</f>
        <v>0</v>
      </c>
      <c r="AW216" s="157">
        <f>IFERROR(($M216-AQ216)/ABS(AQ216),0)</f>
        <v>0</v>
      </c>
      <c r="AX216" s="143">
        <f>($AK216-AQ216)</f>
        <v>0</v>
      </c>
      <c r="AY216" s="143"/>
      <c r="AZ216"/>
      <c r="BA216" s="142">
        <f>SUMIFS(BA214:BA215,$I214:$I215,"&lt;&gt;"&amp;$I$29,$E214:$E215,"&lt;&gt;*[-]*",$F214:$F215,"&lt;&gt;*[-]*",$G214:$G215,"&lt;&gt;*[-]*",$H214:$H215,"*[+]*")</f>
        <v>0</v>
      </c>
      <c r="BB216" s="157"/>
      <c r="BC216" s="142">
        <f>SUMIFS(BC214:BC215,$I214:$I215,"&lt;&gt;"&amp;$I$29,$E214:$E215,"&lt;&gt;*[-]*",$F214:$F215,"&lt;&gt;*[-]*",$G214:$G215,"&lt;&gt;*[-]*",$H214:$H215,"*[+]*")</f>
        <v>0</v>
      </c>
      <c r="BD216" s="157"/>
      <c r="BE216" s="142">
        <f>SUMIFS(BE214:BE215,$I214:$I215,"&lt;&gt;"&amp;$I$29,$E214:$E215,"&lt;&gt;*[-]*",$F214:$F215,"&lt;&gt;*[-]*",$G214:$G215,"&lt;&gt;*[-]*",$H214:$H215,"*[+]*")</f>
        <v>0</v>
      </c>
      <c r="BF216" s="157"/>
      <c r="BG216" s="157">
        <f>IFERROR(($BA216-BC216)/ABS(BC216),0)</f>
        <v>0</v>
      </c>
      <c r="BH216" s="143">
        <f>($BA216-BC216)</f>
        <v>0</v>
      </c>
      <c r="BI216" s="157">
        <f>IFERROR(($BA216-BE216)/ABS(BE216),0)</f>
        <v>0</v>
      </c>
      <c r="BJ216" s="143">
        <f>($BA216-BE216)</f>
        <v>0</v>
      </c>
      <c r="BK216" s="143"/>
      <c r="BL216"/>
      <c r="BM216"/>
      <c r="BN216"/>
      <c r="BO216"/>
      <c r="BP216"/>
      <c r="BQ216"/>
      <c r="BR216"/>
      <c r="BS216"/>
      <c r="BT216"/>
    </row>
    <row r="217" spans="1:72" x14ac:dyDescent="0.25">
      <c r="N217" s="145"/>
      <c r="P217" s="145"/>
      <c r="R217" s="145"/>
      <c r="T217" s="145"/>
      <c r="U217" s="145"/>
      <c r="V217" s="84"/>
      <c r="W217" s="145"/>
      <c r="X217" s="84"/>
      <c r="Y217" s="145"/>
      <c r="Z217" s="84"/>
      <c r="AA217" s="84"/>
      <c r="AF217" s="169"/>
      <c r="AG217" s="140"/>
      <c r="AH217" s="169"/>
      <c r="AI217" s="140"/>
      <c r="AL217" s="145"/>
      <c r="AN217" s="145"/>
      <c r="AP217" s="145"/>
      <c r="AR217" s="145"/>
      <c r="AS217" s="145"/>
      <c r="AT217" s="84"/>
      <c r="AU217" s="145"/>
      <c r="AV217" s="84"/>
      <c r="AW217" s="145"/>
      <c r="AX217" s="84"/>
      <c r="AY217" s="84"/>
      <c r="BB217" s="145"/>
      <c r="BD217" s="145"/>
      <c r="BF217" s="145"/>
      <c r="BG217" s="145"/>
      <c r="BH217" s="84"/>
      <c r="BI217" s="145"/>
      <c r="BJ217" s="84"/>
      <c r="BK217" s="84"/>
    </row>
    <row r="218" spans="1:72" ht="11.95" thickBot="1" x14ac:dyDescent="0.3">
      <c r="N218" s="145"/>
      <c r="P218" s="145"/>
      <c r="R218" s="145"/>
      <c r="T218" s="145"/>
      <c r="U218" s="145"/>
      <c r="V218" s="84"/>
      <c r="W218" s="145"/>
      <c r="X218" s="84"/>
      <c r="Y218" s="145"/>
      <c r="Z218" s="84"/>
      <c r="AA218" s="84"/>
      <c r="AF218" s="169"/>
      <c r="AG218" s="140"/>
      <c r="AH218" s="169"/>
      <c r="AI218" s="140"/>
      <c r="AL218" s="145"/>
      <c r="AN218" s="145"/>
      <c r="AP218" s="145"/>
      <c r="AR218" s="145"/>
      <c r="AS218" s="145"/>
      <c r="AT218" s="84"/>
      <c r="AU218" s="145"/>
      <c r="AV218" s="84"/>
      <c r="AW218" s="145"/>
      <c r="AX218" s="84"/>
      <c r="AY218" s="84"/>
      <c r="BB218" s="145"/>
      <c r="BD218" s="145"/>
      <c r="BF218" s="145"/>
      <c r="BG218" s="145"/>
      <c r="BH218" s="84"/>
      <c r="BI218" s="145"/>
      <c r="BJ218" s="84"/>
      <c r="BK218" s="84"/>
    </row>
    <row r="219" spans="1:72" ht="11.95" hidden="1" thickBot="1" x14ac:dyDescent="0.3">
      <c r="B219" t="s">
        <v>1</v>
      </c>
      <c r="N219" s="145"/>
      <c r="P219" s="145"/>
      <c r="R219" s="145"/>
      <c r="T219" s="145"/>
      <c r="U219" s="145"/>
      <c r="V219" s="84"/>
      <c r="W219" s="145"/>
      <c r="X219" s="84"/>
      <c r="Y219" s="145"/>
      <c r="Z219" s="84"/>
      <c r="AA219" s="84"/>
      <c r="AF219" s="169"/>
      <c r="AG219" s="140"/>
      <c r="AH219" s="169"/>
      <c r="AI219" s="140"/>
      <c r="AL219" s="145"/>
      <c r="AN219" s="145"/>
      <c r="AP219" s="145"/>
      <c r="AR219" s="145"/>
      <c r="AS219" s="145"/>
      <c r="AT219" s="84"/>
      <c r="AU219" s="145"/>
      <c r="AV219" s="84"/>
      <c r="AW219" s="145"/>
      <c r="AX219" s="84"/>
      <c r="AY219" s="84"/>
      <c r="BB219" s="145"/>
      <c r="BD219" s="145"/>
      <c r="BF219" s="145"/>
      <c r="BG219" s="145"/>
      <c r="BH219" s="84"/>
      <c r="BI219" s="145"/>
      <c r="BJ219" s="84"/>
      <c r="BK219" s="84"/>
    </row>
    <row r="220" spans="1:72" ht="11.95" x14ac:dyDescent="0.25">
      <c r="B220" t="s">
        <v>90</v>
      </c>
      <c r="E220" s="19"/>
      <c r="F220" s="19"/>
      <c r="G220" s="19"/>
      <c r="H220" s="19" t="s">
        <v>91</v>
      </c>
      <c r="I220" s="85"/>
      <c r="J220" s="85"/>
      <c r="K220" s="85"/>
      <c r="L220" s="85"/>
      <c r="M220" s="85">
        <f>SUMPRODUCT($L$30:$L$219,M$30:M$219)</f>
        <v>-233445.88000000003</v>
      </c>
      <c r="N220" s="86">
        <f>IFERROR(M220/SUMIFS(M:M, $H:$H, "Net Sales"),0)</f>
        <v>-0.57249700846947582</v>
      </c>
      <c r="O220" s="85">
        <f>SUMPRODUCT($L$30:$L$219,O$30:O$219)</f>
        <v>65350.715170448842</v>
      </c>
      <c r="P220" s="86">
        <f>IFERROR(O220/SUMIFS(O:O, $H:$H, "Net Sales"),0)</f>
        <v>0.12669680809645534</v>
      </c>
      <c r="Q220" s="85">
        <f>SUMPRODUCT($L$30:$L$219,Q$30:Q$219)</f>
        <v>65350.715170448842</v>
      </c>
      <c r="R220" s="86">
        <f>IFERROR(Q220/SUMIFS(Q:Q, $H:$H, "Net Sales"),0)</f>
        <v>0.12669680809645534</v>
      </c>
      <c r="S220" s="85">
        <f>SUMPRODUCT($L$30:$L$219,S$30:S$219)</f>
        <v>-32914.740000000005</v>
      </c>
      <c r="T220" s="86">
        <f>IFERROR(S220/SUMIFS(S:S, $H:$H, "Net Sales"),0)</f>
        <v>-0.1452878750914319</v>
      </c>
      <c r="U220" s="86">
        <f>IFERROR((M220-$O220)/ABS($O220),0)</f>
        <v>-4.5722008457156518</v>
      </c>
      <c r="V220" s="87">
        <f>M220-O220</f>
        <v>-298796.59517044888</v>
      </c>
      <c r="W220" s="86">
        <f>IFERROR(($M220-Q220)/ABS(Q220),0)</f>
        <v>-4.5722008457156518</v>
      </c>
      <c r="X220" s="87">
        <f>($M220-Q220)</f>
        <v>-298796.59517044888</v>
      </c>
      <c r="Y220" s="86">
        <f>IFERROR(($M220-S220)/ABS(S220),0)</f>
        <v>-6.0924418664707662</v>
      </c>
      <c r="Z220" s="87">
        <f>($M220-S220)</f>
        <v>-200531.14</v>
      </c>
      <c r="AA220" s="87"/>
      <c r="AC220" s="142">
        <f>SUMPRODUCT($L$30:$L$219,AC$30:AC$219)</f>
        <v>-233445.88000000003</v>
      </c>
      <c r="AD220" s="142">
        <f>SUMPRODUCT($L$30:$L$219,AD$30:AD$219)</f>
        <v>-32914.740000000005</v>
      </c>
      <c r="AE220" s="142">
        <f>SUMPRODUCT($L$30:$L$219,AE$30:AE$219)</f>
        <v>65350.715170448842</v>
      </c>
      <c r="AF220" s="173">
        <f t="shared" ref="AF220" si="499">IFERROR(($AC220-AD220)/ABS(AD220),0)</f>
        <v>-6.0924418664707662</v>
      </c>
      <c r="AG220" s="143">
        <f>($AC220-AD220)</f>
        <v>-200531.14</v>
      </c>
      <c r="AH220" s="173">
        <f>IFERROR(($AC220-AE220)/ABS(AE220),0)</f>
        <v>-4.5722008457156518</v>
      </c>
      <c r="AI220" s="143">
        <f>($AC220-AE220)</f>
        <v>-298796.59517044888</v>
      </c>
      <c r="AK220" s="85">
        <f>SUMPRODUCT($L$30:$L$219,AK$30:AK$219)</f>
        <v>-233445.88000000003</v>
      </c>
      <c r="AL220" s="86">
        <f>IFERROR(AK220/SUMIFS(AK:AK, $H:$H, "Net Sales"),0)</f>
        <v>-0.57249700846947582</v>
      </c>
      <c r="AM220" s="85">
        <f>SUMPRODUCT($L$30:$L$219,AM$30:AM$219)</f>
        <v>65350.715170448842</v>
      </c>
      <c r="AN220" s="86">
        <f>IFERROR(AM220/SUMIFS(AM:AM, $H:$H, "Net Sales"),0)</f>
        <v>0.12669680809645534</v>
      </c>
      <c r="AO220" s="85">
        <f>SUMPRODUCT($L$30:$L$219,AO$30:AO$219)</f>
        <v>65350.715170448842</v>
      </c>
      <c r="AP220" s="86">
        <f>IFERROR(AO220/SUMIFS(AO:AO, $H:$H, "Net Sales"),0)</f>
        <v>0.12669680809645534</v>
      </c>
      <c r="AQ220" s="85">
        <f>SUMPRODUCT($L$30:$L$219,AQ$30:AQ$219)</f>
        <v>-32914.740000000005</v>
      </c>
      <c r="AR220" s="86">
        <f>IFERROR(AQ220/SUMIFS(AQ:AQ, $H:$H, "Net Sales"),0)</f>
        <v>-0.1452878750914319</v>
      </c>
      <c r="AS220" s="86">
        <f>IFERROR((AK220-$AM220)/ABS($AM220),0)</f>
        <v>-4.5722008457156518</v>
      </c>
      <c r="AT220" s="87">
        <f>($AK220-AM220)</f>
        <v>-298796.59517044888</v>
      </c>
      <c r="AU220" s="86">
        <f>IFERROR(($AK220-AO220)/ABS(AO220),0)</f>
        <v>-4.5722008457156518</v>
      </c>
      <c r="AV220" s="87">
        <f>($AK220-AO220)</f>
        <v>-298796.59517044888</v>
      </c>
      <c r="AW220" s="86">
        <f>IFERROR(($AK220-AQ220)/ABS(AQ220),0)</f>
        <v>-6.0924418664707662</v>
      </c>
      <c r="AX220" s="87">
        <f>($AK220-AQ220)</f>
        <v>-200531.14</v>
      </c>
      <c r="AY220" s="87"/>
      <c r="BA220" s="85">
        <f>SUMPRODUCT($L$30:$L$219,BA$30:BA$219)</f>
        <v>905334.40998110059</v>
      </c>
      <c r="BB220" s="86">
        <f>IFERROR(BA220/SUMIFS(BA:BA, $H:$H, "Net Sales"),0)</f>
        <v>0.1350146839430707</v>
      </c>
      <c r="BC220" s="85">
        <f>SUMPRODUCT($L$30:$L$219,BC$30:BC$219)</f>
        <v>905334.40998110059</v>
      </c>
      <c r="BD220" s="86">
        <f>IFERROR(BC220/SUMIFS(BC:BC, $H:$H, "Net Sales"),0)</f>
        <v>0.1350146839430707</v>
      </c>
      <c r="BE220" s="85">
        <f>SUMPRODUCT($L$30:$L$219,BE$30:BE$219)</f>
        <v>-564333.24000000011</v>
      </c>
      <c r="BF220" s="86">
        <f>IFERROR(BE220/SUMIFS(BE:BE, $H:$H, "Net Sales"),0)</f>
        <v>-0.1334835937818655</v>
      </c>
      <c r="BG220" s="86">
        <f>IFERROR(($BA220-BC220)/ABS(BC220),0)</f>
        <v>0</v>
      </c>
      <c r="BH220" s="87">
        <f>($BA220-BC220)</f>
        <v>0</v>
      </c>
      <c r="BI220" s="86">
        <f>IFERROR(($BA220-BE220)/ABS(BE220),0)</f>
        <v>2.6042549788155314</v>
      </c>
      <c r="BJ220" s="87">
        <f>($BA220-BE220)</f>
        <v>1469667.6499811006</v>
      </c>
      <c r="BK220" s="87"/>
    </row>
    <row r="221" spans="1:72" x14ac:dyDescent="0.25">
      <c r="B221" t="str">
        <f>B220</f>
        <v>#showrow</v>
      </c>
      <c r="E221" s="3"/>
      <c r="F221" s="3"/>
      <c r="G221" s="3"/>
      <c r="H221" s="3"/>
      <c r="I221" s="21"/>
      <c r="J221" s="21"/>
      <c r="K221" s="18"/>
      <c r="L221" s="78"/>
      <c r="M221" s="78"/>
      <c r="N221" s="159"/>
      <c r="O221" s="78"/>
      <c r="P221" s="159"/>
      <c r="Q221" s="78"/>
      <c r="R221" s="159"/>
      <c r="S221" s="78"/>
      <c r="T221" s="159"/>
      <c r="U221" s="159"/>
      <c r="V221" s="71"/>
      <c r="W221" s="159"/>
      <c r="X221" s="71"/>
      <c r="Y221" s="159"/>
      <c r="Z221" s="71"/>
      <c r="AA221" s="71"/>
      <c r="AC221" s="240"/>
      <c r="AD221" s="240"/>
      <c r="AE221" s="240"/>
      <c r="AF221" s="241"/>
      <c r="AG221" s="232"/>
      <c r="AH221" s="241"/>
      <c r="AI221" s="232"/>
      <c r="AK221" s="115"/>
      <c r="AL221" s="159"/>
      <c r="AM221" s="115"/>
      <c r="AN221" s="159"/>
      <c r="AO221" s="115"/>
      <c r="AP221" s="159"/>
      <c r="AQ221" s="115"/>
      <c r="AR221" s="159"/>
      <c r="AS221" s="159"/>
      <c r="AT221" s="71"/>
      <c r="AU221" s="159"/>
      <c r="AV221" s="71"/>
      <c r="AW221" s="159"/>
      <c r="AX221" s="71"/>
      <c r="AY221" s="71"/>
      <c r="BA221" s="115"/>
      <c r="BB221" s="159"/>
      <c r="BC221" s="115"/>
      <c r="BD221" s="159"/>
      <c r="BE221" s="115"/>
      <c r="BF221" s="159"/>
      <c r="BG221" s="159"/>
      <c r="BH221" s="71"/>
      <c r="BI221" s="159"/>
      <c r="BJ221" s="71"/>
      <c r="BK221" s="71"/>
    </row>
    <row r="222" spans="1:72" ht="23.35" hidden="1" thickBot="1" x14ac:dyDescent="0.5">
      <c r="B222" t="s">
        <v>1</v>
      </c>
      <c r="E222" s="2"/>
      <c r="F222" s="2"/>
      <c r="G222" s="2" t="s">
        <v>16</v>
      </c>
      <c r="H222" s="2"/>
      <c r="I222" s="2"/>
      <c r="J222" s="2"/>
      <c r="K222" s="2"/>
      <c r="L222" s="2"/>
      <c r="M222" s="2"/>
      <c r="N222" s="158"/>
      <c r="O222" s="2"/>
      <c r="P222" s="158"/>
      <c r="Q222" s="2"/>
      <c r="R222" s="158"/>
      <c r="S222" s="2"/>
      <c r="T222" s="158"/>
      <c r="U222" s="158"/>
      <c r="V222" s="112"/>
      <c r="W222" s="158"/>
      <c r="X222" s="112"/>
      <c r="Y222" s="158"/>
      <c r="Z222" s="112"/>
      <c r="AA222" s="112"/>
      <c r="AC222" s="216"/>
      <c r="AD222" s="216"/>
      <c r="AE222" s="216"/>
      <c r="AF222" s="242"/>
      <c r="AG222" s="243"/>
      <c r="AH222" s="242"/>
      <c r="AI222" s="243"/>
      <c r="AK222" s="2"/>
      <c r="AL222" s="158"/>
      <c r="AM222" s="2"/>
      <c r="AN222" s="158"/>
      <c r="AO222" s="2"/>
      <c r="AP222" s="158"/>
      <c r="AQ222" s="2"/>
      <c r="AR222" s="158"/>
      <c r="AS222" s="158"/>
      <c r="AT222" s="112"/>
      <c r="AU222" s="158"/>
      <c r="AV222" s="112"/>
      <c r="AW222" s="158"/>
      <c r="AX222" s="112"/>
      <c r="AY222" s="112"/>
      <c r="BA222" s="2"/>
      <c r="BB222" s="158"/>
      <c r="BC222" s="2"/>
      <c r="BD222" s="158"/>
      <c r="BE222" s="2"/>
      <c r="BF222" s="158"/>
      <c r="BG222" s="158"/>
      <c r="BH222" s="112"/>
      <c r="BI222" s="158"/>
      <c r="BJ222" s="112"/>
      <c r="BK222" s="112"/>
    </row>
    <row r="223" spans="1:72" ht="11.95" hidden="1" thickTop="1" x14ac:dyDescent="0.25">
      <c r="B223" t="s">
        <v>1</v>
      </c>
      <c r="N223" s="145"/>
      <c r="P223" s="145"/>
      <c r="R223" s="145"/>
      <c r="T223" s="145"/>
      <c r="U223" s="145"/>
      <c r="V223" s="84"/>
      <c r="W223" s="145"/>
      <c r="X223" s="84"/>
      <c r="Y223" s="145"/>
      <c r="Z223" s="84"/>
      <c r="AA223" s="84"/>
      <c r="AF223" s="169"/>
      <c r="AG223" s="140"/>
      <c r="AH223" s="169"/>
      <c r="AI223" s="140"/>
      <c r="AL223" s="145"/>
      <c r="AN223" s="145"/>
      <c r="AP223" s="145"/>
      <c r="AR223" s="145"/>
      <c r="AS223" s="145"/>
      <c r="AT223" s="84"/>
      <c r="AU223" s="145"/>
      <c r="AV223" s="84"/>
      <c r="AW223" s="145"/>
      <c r="AX223" s="84"/>
      <c r="AY223" s="84"/>
      <c r="BB223" s="145"/>
      <c r="BD223" s="145"/>
      <c r="BF223" s="145"/>
      <c r="BG223" s="145"/>
      <c r="BH223" s="84"/>
      <c r="BI223" s="145"/>
      <c r="BJ223" s="84"/>
      <c r="BK223" s="84"/>
    </row>
    <row r="224" spans="1:72" x14ac:dyDescent="0.25">
      <c r="B224" t="s">
        <v>90</v>
      </c>
      <c r="E224" s="3">
        <f t="shared" ref="E224:E233" si="500">$E$5</f>
        <v>0</v>
      </c>
      <c r="F224" s="3">
        <f>$F$5</f>
        <v>0</v>
      </c>
      <c r="G224" s="3">
        <f t="shared" ref="G224:G233" si="501">$G$5</f>
        <v>0</v>
      </c>
      <c r="H224" s="3" t="s">
        <v>32</v>
      </c>
      <c r="I224" s="21"/>
      <c r="J224" s="21"/>
      <c r="K224" s="18"/>
      <c r="L224" s="78"/>
      <c r="M224" s="78">
        <v>-195780.92</v>
      </c>
      <c r="N224" s="159"/>
      <c r="O224" s="78">
        <v>65350.715170448202</v>
      </c>
      <c r="P224" s="159"/>
      <c r="Q224" s="78">
        <v>65350.715170448202</v>
      </c>
      <c r="R224" s="159"/>
      <c r="S224" s="78">
        <v>-5352.15</v>
      </c>
      <c r="T224" s="159"/>
      <c r="U224" s="159">
        <f>IFERROR((M224-$O224)/ABS($O224),0)</f>
        <v>-3.9958496932950593</v>
      </c>
      <c r="V224" s="71">
        <f>M224-O224</f>
        <v>-261131.63517044822</v>
      </c>
      <c r="W224" s="159">
        <f>IFERROR(($M224-Q224)/ABS(Q224),0)</f>
        <v>-3.9958496932950593</v>
      </c>
      <c r="X224" s="71">
        <f>M224-Q224</f>
        <v>-261131.63517044822</v>
      </c>
      <c r="Y224" s="159">
        <f t="shared" ref="Y224:Y233" si="502">IFERROR(($M224-S224)/ABS(S224),0)</f>
        <v>-35.579864166736741</v>
      </c>
      <c r="Z224" s="71">
        <f>($M224-S224)</f>
        <v>-190428.77000000002</v>
      </c>
      <c r="AA224" s="71"/>
      <c r="AC224" s="240">
        <v>-195780.92</v>
      </c>
      <c r="AD224" s="240">
        <v>-5352.15</v>
      </c>
      <c r="AE224" s="240">
        <v>65350.715170448202</v>
      </c>
      <c r="AF224" s="241">
        <f t="shared" ref="AF224:AF233" si="503">IFERROR(($AC224-AD224)/ABS(AD224),0)</f>
        <v>-35.579864166736741</v>
      </c>
      <c r="AG224" s="232">
        <f t="shared" ref="AG224:AG233" si="504">($AC224-AD224)</f>
        <v>-190428.77000000002</v>
      </c>
      <c r="AH224" s="241">
        <f t="shared" ref="AH224:AH233" si="505">IFERROR(($AC224-AE224)/ABS(AE224),0)</f>
        <v>-3.9958496932950593</v>
      </c>
      <c r="AI224" s="232">
        <f>($AC224-AE224)</f>
        <v>-261131.63517044822</v>
      </c>
      <c r="AK224" s="115">
        <v>-195780.92</v>
      </c>
      <c r="AL224" s="159"/>
      <c r="AM224" s="115">
        <v>65350.715170448202</v>
      </c>
      <c r="AN224" s="159"/>
      <c r="AO224" s="115">
        <v>65350.715170448202</v>
      </c>
      <c r="AP224" s="159"/>
      <c r="AQ224" s="115">
        <v>-5352.15</v>
      </c>
      <c r="AR224" s="159"/>
      <c r="AS224" s="159">
        <f>IFERROR((AK224-$AM224)/ABS($AM224),0)</f>
        <v>-3.9958496932950593</v>
      </c>
      <c r="AT224" s="71">
        <f>AK224-AM224</f>
        <v>-261131.63517044822</v>
      </c>
      <c r="AU224" s="159">
        <f>IFERROR(($AK224-AO224)/ABS(AO224),0)</f>
        <v>-3.9958496932950593</v>
      </c>
      <c r="AV224" s="71">
        <f>AK224-AO224</f>
        <v>-261131.63517044822</v>
      </c>
      <c r="AW224" s="159">
        <f>IFERROR(($AK224-AQ224)/ABS(AQ224),0)</f>
        <v>-35.579864166736741</v>
      </c>
      <c r="AX224" s="71">
        <f>($AK224-AQ224)</f>
        <v>-190428.77000000002</v>
      </c>
      <c r="AY224" s="71"/>
      <c r="BA224" s="115">
        <v>905334.40998110303</v>
      </c>
      <c r="BB224" s="159"/>
      <c r="BC224" s="115">
        <v>905334.40998110303</v>
      </c>
      <c r="BD224" s="159"/>
      <c r="BE224" s="115">
        <v>-190502.59</v>
      </c>
      <c r="BF224" s="159"/>
      <c r="BG224" s="159">
        <f>IFERROR(($BA224-BC224)/ABS(BC224),0)</f>
        <v>0</v>
      </c>
      <c r="BH224" s="71">
        <f>BA224-BC224</f>
        <v>0</v>
      </c>
      <c r="BI224" s="159">
        <f>IFERROR(($BA224-BE224)/ABS(BE224),0)</f>
        <v>5.7523469889889842</v>
      </c>
      <c r="BJ224" s="71">
        <f>BA224-BE224</f>
        <v>1095836.999981103</v>
      </c>
      <c r="BK224" s="71"/>
    </row>
    <row r="225" spans="2:63" hidden="1" x14ac:dyDescent="0.25">
      <c r="B225" t="s">
        <v>1</v>
      </c>
      <c r="E225" s="3">
        <f t="shared" si="500"/>
        <v>0</v>
      </c>
      <c r="F225" s="3">
        <f t="shared" ref="F225:F233" si="506">$F$5</f>
        <v>0</v>
      </c>
      <c r="G225" s="3">
        <f t="shared" si="501"/>
        <v>0</v>
      </c>
      <c r="H225" s="3"/>
      <c r="I225" s="21"/>
      <c r="J225" s="21"/>
      <c r="K225" s="18"/>
      <c r="L225" s="78"/>
      <c r="M225" s="78">
        <v>0</v>
      </c>
      <c r="N225" s="159"/>
      <c r="O225" s="78">
        <v>0</v>
      </c>
      <c r="P225" s="159"/>
      <c r="Q225" s="78">
        <v>0</v>
      </c>
      <c r="R225" s="159"/>
      <c r="S225" s="78">
        <v>0</v>
      </c>
      <c r="T225" s="159"/>
      <c r="U225" s="159"/>
      <c r="V225" s="71"/>
      <c r="W225" s="159">
        <f>IFERROR(($M225-#REF!)/ABS(#REF!),0)</f>
        <v>0</v>
      </c>
      <c r="X225" s="71" t="e">
        <f>($M225-#REF!)</f>
        <v>#REF!</v>
      </c>
      <c r="Y225" s="159">
        <f t="shared" si="502"/>
        <v>0</v>
      </c>
      <c r="Z225" s="71">
        <f>($M225-S225)</f>
        <v>0</v>
      </c>
      <c r="AA225" s="71"/>
      <c r="AC225" s="240">
        <v>0</v>
      </c>
      <c r="AD225" s="240">
        <v>0</v>
      </c>
      <c r="AE225" s="240">
        <v>0</v>
      </c>
      <c r="AF225" s="241">
        <f t="shared" si="503"/>
        <v>0</v>
      </c>
      <c r="AG225" s="232">
        <f t="shared" si="504"/>
        <v>0</v>
      </c>
      <c r="AH225" s="241">
        <f t="shared" si="505"/>
        <v>0</v>
      </c>
      <c r="AI225" s="232">
        <f>($AC225-AE225)</f>
        <v>0</v>
      </c>
      <c r="AK225" s="115">
        <v>0</v>
      </c>
      <c r="AL225" s="159"/>
      <c r="AM225" s="115">
        <v>0</v>
      </c>
      <c r="AN225" s="159"/>
      <c r="AO225" s="115">
        <v>0</v>
      </c>
      <c r="AP225" s="159"/>
      <c r="AQ225" s="115">
        <v>0</v>
      </c>
      <c r="AR225" s="159"/>
      <c r="AS225" s="159"/>
      <c r="AT225" s="71"/>
      <c r="AU225" s="159">
        <f>IFERROR(($M225-#REF!)/ABS(#REF!),0)</f>
        <v>0</v>
      </c>
      <c r="AV225" s="71" t="e">
        <f>($M225-#REF!)</f>
        <v>#REF!</v>
      </c>
      <c r="AW225" s="159">
        <f t="shared" ref="AW225:AW233" si="507">IFERROR(($M225-AQ225)/ABS(AQ225),0)</f>
        <v>0</v>
      </c>
      <c r="AX225" s="71">
        <f>($M225-AQ225)</f>
        <v>0</v>
      </c>
      <c r="AY225" s="71"/>
      <c r="BA225" s="115">
        <v>0</v>
      </c>
      <c r="BB225" s="159"/>
      <c r="BC225" s="115">
        <v>0</v>
      </c>
      <c r="BD225" s="159"/>
      <c r="BE225" s="115">
        <v>0</v>
      </c>
      <c r="BF225" s="159"/>
      <c r="BG225" s="159"/>
      <c r="BH225" s="71"/>
      <c r="BI225" s="159"/>
      <c r="BJ225" s="71"/>
      <c r="BK225" s="71"/>
    </row>
    <row r="226" spans="2:63" hidden="1" x14ac:dyDescent="0.25">
      <c r="B226" t="s">
        <v>1</v>
      </c>
      <c r="E226" s="3">
        <f t="shared" si="500"/>
        <v>0</v>
      </c>
      <c r="F226" s="3">
        <f t="shared" si="506"/>
        <v>0</v>
      </c>
      <c r="G226" s="3">
        <f t="shared" si="501"/>
        <v>0</v>
      </c>
      <c r="H226" s="3"/>
      <c r="I226" s="21"/>
      <c r="J226" s="21"/>
      <c r="K226" s="18"/>
      <c r="L226" s="78"/>
      <c r="M226" s="117">
        <f>(M225/M40)</f>
        <v>0</v>
      </c>
      <c r="N226" s="159"/>
      <c r="O226" s="117">
        <v>0</v>
      </c>
      <c r="P226" s="159"/>
      <c r="Q226" s="117">
        <v>6536590.5470275404</v>
      </c>
      <c r="R226" s="159"/>
      <c r="S226" s="117">
        <f>($S225/S40)</f>
        <v>0</v>
      </c>
      <c r="T226" s="159"/>
      <c r="U226" s="159"/>
      <c r="V226" s="119"/>
      <c r="W226" s="159">
        <f>IFERROR(($M226-#REF!)/ABS(#REF!),0)</f>
        <v>0</v>
      </c>
      <c r="X226" s="119" t="e">
        <f>($M226-#REF!)*10000</f>
        <v>#REF!</v>
      </c>
      <c r="Y226" s="159">
        <f t="shared" si="502"/>
        <v>0</v>
      </c>
      <c r="Z226" s="119">
        <f>($M226-S226)*10000</f>
        <v>0</v>
      </c>
      <c r="AA226" s="119"/>
      <c r="AC226" s="244">
        <f>(AC225/AC40)</f>
        <v>0</v>
      </c>
      <c r="AD226" s="244">
        <f>(AD225/AD40)</f>
        <v>0</v>
      </c>
      <c r="AE226" s="244">
        <f>(AE225/AE40)</f>
        <v>0</v>
      </c>
      <c r="AF226" s="241">
        <f t="shared" si="503"/>
        <v>0</v>
      </c>
      <c r="AG226" s="245">
        <f>($M226-AD226)*10000</f>
        <v>0</v>
      </c>
      <c r="AH226" s="241">
        <f t="shared" si="505"/>
        <v>0</v>
      </c>
      <c r="AI226" s="245">
        <f>($M226-AE226)*10000</f>
        <v>0</v>
      </c>
      <c r="AK226" s="117">
        <f>(AK225/AK40)</f>
        <v>0</v>
      </c>
      <c r="AL226" s="159"/>
      <c r="AM226" s="117">
        <v>0</v>
      </c>
      <c r="AN226" s="159"/>
      <c r="AO226" s="117">
        <v>3787251.7157980902</v>
      </c>
      <c r="AP226" s="159"/>
      <c r="AQ226" s="117">
        <f>(AQ225/AQ40)</f>
        <v>0</v>
      </c>
      <c r="AR226" s="159"/>
      <c r="AS226" s="159"/>
      <c r="AT226" s="119"/>
      <c r="AU226" s="159">
        <f>IFERROR(($M226-#REF!)/ABS(#REF!),0)</f>
        <v>0</v>
      </c>
      <c r="AV226" s="119" t="e">
        <f>($M226-#REF!)*10000</f>
        <v>#REF!</v>
      </c>
      <c r="AW226" s="159">
        <f t="shared" si="507"/>
        <v>0</v>
      </c>
      <c r="AX226" s="119">
        <f>($M226-AQ226)*10000</f>
        <v>0</v>
      </c>
      <c r="AY226" s="119"/>
      <c r="BA226" s="117">
        <v>0</v>
      </c>
      <c r="BB226" s="159"/>
      <c r="BC226" s="117">
        <v>3787251.7157980902</v>
      </c>
      <c r="BD226" s="159"/>
      <c r="BE226" s="117">
        <v>19414959.440960001</v>
      </c>
      <c r="BF226" s="159"/>
      <c r="BG226" s="159"/>
      <c r="BH226" s="119"/>
      <c r="BI226" s="159"/>
      <c r="BJ226" s="119"/>
      <c r="BK226" s="119"/>
    </row>
    <row r="227" spans="2:63" hidden="1" x14ac:dyDescent="0.25">
      <c r="B227" t="s">
        <v>1</v>
      </c>
      <c r="E227" s="3">
        <f t="shared" si="500"/>
        <v>0</v>
      </c>
      <c r="F227" s="3">
        <f t="shared" si="506"/>
        <v>0</v>
      </c>
      <c r="G227" s="3">
        <f t="shared" si="501"/>
        <v>0</v>
      </c>
      <c r="H227" s="3"/>
      <c r="I227" s="21"/>
      <c r="J227" s="21"/>
      <c r="K227" s="18"/>
      <c r="L227" s="78"/>
      <c r="M227" s="117">
        <f>(M136/M40)</f>
        <v>0</v>
      </c>
      <c r="N227" s="159"/>
      <c r="O227" s="117">
        <v>0</v>
      </c>
      <c r="P227" s="159"/>
      <c r="Q227" s="117">
        <v>0</v>
      </c>
      <c r="R227" s="159"/>
      <c r="S227" s="117">
        <f>(S136/S40)</f>
        <v>-3.6076480424075331E-2</v>
      </c>
      <c r="T227" s="159"/>
      <c r="U227" s="159"/>
      <c r="V227" s="119"/>
      <c r="W227" s="159">
        <f>IFERROR(($M227-#REF!)/ABS(#REF!),0)</f>
        <v>0</v>
      </c>
      <c r="X227" s="119" t="e">
        <f>($M227-#REF!)*10000</f>
        <v>#REF!</v>
      </c>
      <c r="Y227" s="159">
        <f t="shared" si="502"/>
        <v>1</v>
      </c>
      <c r="Z227" s="119">
        <f>($M227-S227)*10000</f>
        <v>360.76480424075334</v>
      </c>
      <c r="AA227" s="119"/>
      <c r="AC227" s="244">
        <f>(AC136/AC40)</f>
        <v>0</v>
      </c>
      <c r="AD227" s="244">
        <f>(AD136/AD40)</f>
        <v>-3.6076480424075331E-2</v>
      </c>
      <c r="AE227" s="244">
        <f>(AE136/AE40)</f>
        <v>2.9080815971027074E-16</v>
      </c>
      <c r="AF227" s="241">
        <f t="shared" si="503"/>
        <v>1</v>
      </c>
      <c r="AG227" s="245">
        <f>($M227-AD227)*10000</f>
        <v>360.76480424075334</v>
      </c>
      <c r="AH227" s="241">
        <f t="shared" si="505"/>
        <v>-1</v>
      </c>
      <c r="AI227" s="245">
        <f>($M227-AE227)*10000</f>
        <v>-2.9080815971027074E-12</v>
      </c>
      <c r="AK227" s="117">
        <f>(AK136/AK40)</f>
        <v>0</v>
      </c>
      <c r="AL227" s="159"/>
      <c r="AM227" s="117">
        <v>0</v>
      </c>
      <c r="AN227" s="159"/>
      <c r="AO227" s="117">
        <v>0</v>
      </c>
      <c r="AP227" s="159"/>
      <c r="AQ227" s="117">
        <f>(AQ136/AQ40)</f>
        <v>-3.6076480424075331E-2</v>
      </c>
      <c r="AR227" s="159"/>
      <c r="AS227" s="159"/>
      <c r="AT227" s="119"/>
      <c r="AU227" s="159">
        <f>IFERROR(($M227-#REF!)/ABS(#REF!),0)</f>
        <v>0</v>
      </c>
      <c r="AV227" s="119" t="e">
        <f>($M227-#REF!)*10000</f>
        <v>#REF!</v>
      </c>
      <c r="AW227" s="159">
        <f t="shared" si="507"/>
        <v>1</v>
      </c>
      <c r="AX227" s="119">
        <f>($M227-AQ227)*10000</f>
        <v>360.76480424075334</v>
      </c>
      <c r="AY227" s="119"/>
      <c r="BA227" s="117">
        <v>0</v>
      </c>
      <c r="BB227" s="159"/>
      <c r="BC227" s="117">
        <v>0</v>
      </c>
      <c r="BD227" s="159"/>
      <c r="BE227" s="117">
        <v>0</v>
      </c>
      <c r="BF227" s="159"/>
      <c r="BG227" s="159"/>
      <c r="BH227" s="119"/>
      <c r="BI227" s="159"/>
      <c r="BJ227" s="119"/>
      <c r="BK227" s="119"/>
    </row>
    <row r="228" spans="2:63" hidden="1" x14ac:dyDescent="0.25">
      <c r="B228" t="s">
        <v>1</v>
      </c>
      <c r="E228" s="3">
        <f t="shared" si="500"/>
        <v>0</v>
      </c>
      <c r="F228" s="3">
        <f t="shared" si="506"/>
        <v>0</v>
      </c>
      <c r="G228" s="3">
        <f t="shared" si="501"/>
        <v>0</v>
      </c>
      <c r="H228" s="3"/>
      <c r="I228" s="21"/>
      <c r="J228" s="21"/>
      <c r="K228" s="18"/>
      <c r="L228" s="78"/>
      <c r="M228" s="78">
        <v>0</v>
      </c>
      <c r="N228" s="159"/>
      <c r="O228" s="78">
        <v>0</v>
      </c>
      <c r="P228" s="159"/>
      <c r="Q228" s="78">
        <v>0</v>
      </c>
      <c r="R228" s="159"/>
      <c r="S228" s="78">
        <v>0</v>
      </c>
      <c r="T228" s="159"/>
      <c r="U228" s="159"/>
      <c r="V228" s="71"/>
      <c r="W228" s="159">
        <f>IFERROR(($M228-#REF!)/ABS(#REF!),0)</f>
        <v>0</v>
      </c>
      <c r="X228" s="71" t="e">
        <f>($M228-#REF!)</f>
        <v>#REF!</v>
      </c>
      <c r="Y228" s="159">
        <f t="shared" si="502"/>
        <v>0</v>
      </c>
      <c r="Z228" s="71">
        <f t="shared" ref="Z228:Z233" si="508">($M228-S228)</f>
        <v>0</v>
      </c>
      <c r="AA228" s="71"/>
      <c r="AC228" s="240">
        <v>0</v>
      </c>
      <c r="AD228" s="240">
        <v>0</v>
      </c>
      <c r="AE228" s="240">
        <v>0</v>
      </c>
      <c r="AF228" s="241">
        <f t="shared" si="503"/>
        <v>0</v>
      </c>
      <c r="AG228" s="232">
        <f t="shared" si="504"/>
        <v>0</v>
      </c>
      <c r="AH228" s="241">
        <f t="shared" si="505"/>
        <v>0</v>
      </c>
      <c r="AI228" s="232">
        <f t="shared" ref="AI228:AI233" si="509">($AC228-AE228)</f>
        <v>0</v>
      </c>
      <c r="AK228" s="115">
        <v>0</v>
      </c>
      <c r="AL228" s="159"/>
      <c r="AM228" s="115">
        <v>0</v>
      </c>
      <c r="AN228" s="159"/>
      <c r="AO228" s="115">
        <v>0</v>
      </c>
      <c r="AP228" s="159"/>
      <c r="AQ228" s="115">
        <v>0</v>
      </c>
      <c r="AR228" s="159"/>
      <c r="AS228" s="159"/>
      <c r="AT228" s="71"/>
      <c r="AU228" s="159">
        <f>IFERROR(($M228-#REF!)/ABS(#REF!),0)</f>
        <v>0</v>
      </c>
      <c r="AV228" s="71" t="e">
        <f>($M228-#REF!)</f>
        <v>#REF!</v>
      </c>
      <c r="AW228" s="159">
        <f t="shared" si="507"/>
        <v>0</v>
      </c>
      <c r="AX228" s="71">
        <f t="shared" ref="AX228:AX233" si="510">($M228-AQ228)</f>
        <v>0</v>
      </c>
      <c r="AY228" s="71"/>
      <c r="BA228" s="115">
        <v>0</v>
      </c>
      <c r="BB228" s="159"/>
      <c r="BC228" s="115">
        <v>0</v>
      </c>
      <c r="BD228" s="159"/>
      <c r="BE228" s="115">
        <v>0</v>
      </c>
      <c r="BF228" s="159"/>
      <c r="BG228" s="159"/>
      <c r="BH228" s="71"/>
      <c r="BI228" s="159"/>
      <c r="BJ228" s="71"/>
      <c r="BK228" s="71"/>
    </row>
    <row r="229" spans="2:63" hidden="1" x14ac:dyDescent="0.25">
      <c r="B229" t="s">
        <v>1</v>
      </c>
      <c r="E229" s="3">
        <f t="shared" si="500"/>
        <v>0</v>
      </c>
      <c r="F229" s="3">
        <f t="shared" si="506"/>
        <v>0</v>
      </c>
      <c r="G229" s="3">
        <f t="shared" si="501"/>
        <v>0</v>
      </c>
      <c r="H229" s="3"/>
      <c r="I229" s="21"/>
      <c r="J229" s="21"/>
      <c r="K229" s="18"/>
      <c r="L229" s="78"/>
      <c r="M229" s="78"/>
      <c r="N229" s="159"/>
      <c r="O229" s="78"/>
      <c r="P229" s="159"/>
      <c r="Q229" s="78"/>
      <c r="R229" s="159"/>
      <c r="S229" s="78"/>
      <c r="T229" s="159"/>
      <c r="U229" s="159"/>
      <c r="V229" s="71"/>
      <c r="W229" s="159">
        <f>IFERROR(($M229-#REF!)/ABS(#REF!),0)</f>
        <v>0</v>
      </c>
      <c r="X229" s="71" t="e">
        <f>($M229-#REF!)</f>
        <v>#REF!</v>
      </c>
      <c r="Y229" s="159">
        <f t="shared" si="502"/>
        <v>0</v>
      </c>
      <c r="Z229" s="71">
        <f t="shared" si="508"/>
        <v>0</v>
      </c>
      <c r="AA229" s="71"/>
      <c r="AC229" s="240"/>
      <c r="AD229" s="240"/>
      <c r="AE229" s="240"/>
      <c r="AF229" s="241">
        <f t="shared" si="503"/>
        <v>0</v>
      </c>
      <c r="AG229" s="232">
        <f t="shared" si="504"/>
        <v>0</v>
      </c>
      <c r="AH229" s="241">
        <f t="shared" si="505"/>
        <v>0</v>
      </c>
      <c r="AI229" s="232">
        <f t="shared" si="509"/>
        <v>0</v>
      </c>
      <c r="AK229" s="115"/>
      <c r="AL229" s="159"/>
      <c r="AM229" s="115"/>
      <c r="AN229" s="159"/>
      <c r="AO229" s="115"/>
      <c r="AP229" s="159"/>
      <c r="AQ229" s="115"/>
      <c r="AR229" s="159"/>
      <c r="AS229" s="159"/>
      <c r="AT229" s="71"/>
      <c r="AU229" s="159">
        <f>IFERROR(($M229-#REF!)/ABS(#REF!),0)</f>
        <v>0</v>
      </c>
      <c r="AV229" s="71" t="e">
        <f>($M229-#REF!)</f>
        <v>#REF!</v>
      </c>
      <c r="AW229" s="159">
        <f t="shared" si="507"/>
        <v>0</v>
      </c>
      <c r="AX229" s="71">
        <f t="shared" si="510"/>
        <v>0</v>
      </c>
      <c r="AY229" s="71"/>
      <c r="BA229" s="115"/>
      <c r="BB229" s="159"/>
      <c r="BC229" s="115"/>
      <c r="BD229" s="159"/>
      <c r="BE229" s="115"/>
      <c r="BF229" s="159"/>
      <c r="BG229" s="159"/>
      <c r="BH229" s="71"/>
      <c r="BI229" s="159"/>
      <c r="BJ229" s="71"/>
      <c r="BK229" s="71"/>
    </row>
    <row r="230" spans="2:63" hidden="1" x14ac:dyDescent="0.25">
      <c r="B230" t="s">
        <v>1</v>
      </c>
      <c r="E230" s="3">
        <f t="shared" si="500"/>
        <v>0</v>
      </c>
      <c r="F230" s="3">
        <f t="shared" si="506"/>
        <v>0</v>
      </c>
      <c r="G230" s="3">
        <f t="shared" si="501"/>
        <v>0</v>
      </c>
      <c r="H230" s="3"/>
      <c r="I230" s="21"/>
      <c r="J230" s="21"/>
      <c r="K230" s="18"/>
      <c r="L230" s="78"/>
      <c r="M230" s="78">
        <v>0</v>
      </c>
      <c r="N230" s="159"/>
      <c r="O230" s="78">
        <v>0</v>
      </c>
      <c r="P230" s="159"/>
      <c r="Q230" s="78">
        <v>0</v>
      </c>
      <c r="R230" s="159"/>
      <c r="S230" s="78">
        <v>0</v>
      </c>
      <c r="T230" s="159"/>
      <c r="U230" s="159"/>
      <c r="V230" s="71"/>
      <c r="W230" s="159">
        <f>IFERROR(($M230-#REF!)/ABS(#REF!),0)</f>
        <v>0</v>
      </c>
      <c r="X230" s="71" t="e">
        <f>($M230-#REF!)</f>
        <v>#REF!</v>
      </c>
      <c r="Y230" s="159">
        <f t="shared" si="502"/>
        <v>0</v>
      </c>
      <c r="Z230" s="71">
        <f t="shared" si="508"/>
        <v>0</v>
      </c>
      <c r="AA230" s="71"/>
      <c r="AC230" s="240">
        <v>0</v>
      </c>
      <c r="AD230" s="240">
        <v>0</v>
      </c>
      <c r="AE230" s="240">
        <v>0</v>
      </c>
      <c r="AF230" s="241">
        <f t="shared" si="503"/>
        <v>0</v>
      </c>
      <c r="AG230" s="232">
        <f t="shared" si="504"/>
        <v>0</v>
      </c>
      <c r="AH230" s="241">
        <f t="shared" si="505"/>
        <v>0</v>
      </c>
      <c r="AI230" s="232">
        <f t="shared" si="509"/>
        <v>0</v>
      </c>
      <c r="AK230" s="115">
        <v>0</v>
      </c>
      <c r="AL230" s="159"/>
      <c r="AM230" s="115">
        <v>0</v>
      </c>
      <c r="AN230" s="159"/>
      <c r="AO230" s="115">
        <v>0</v>
      </c>
      <c r="AP230" s="159"/>
      <c r="AQ230" s="115">
        <v>0</v>
      </c>
      <c r="AR230" s="159"/>
      <c r="AS230" s="159"/>
      <c r="AT230" s="71"/>
      <c r="AU230" s="159">
        <f>IFERROR(($M230-#REF!)/ABS(#REF!),0)</f>
        <v>0</v>
      </c>
      <c r="AV230" s="71" t="e">
        <f>($M230-#REF!)</f>
        <v>#REF!</v>
      </c>
      <c r="AW230" s="159">
        <f t="shared" si="507"/>
        <v>0</v>
      </c>
      <c r="AX230" s="71">
        <f t="shared" si="510"/>
        <v>0</v>
      </c>
      <c r="AY230" s="71"/>
      <c r="BA230" s="115">
        <v>0</v>
      </c>
      <c r="BB230" s="159"/>
      <c r="BC230" s="115">
        <v>0</v>
      </c>
      <c r="BD230" s="159"/>
      <c r="BE230" s="115">
        <v>0</v>
      </c>
      <c r="BF230" s="159"/>
      <c r="BG230" s="159"/>
      <c r="BH230" s="71"/>
      <c r="BI230" s="159"/>
      <c r="BJ230" s="71"/>
      <c r="BK230" s="71"/>
    </row>
    <row r="231" spans="2:63" hidden="1" x14ac:dyDescent="0.25">
      <c r="B231" t="s">
        <v>1</v>
      </c>
      <c r="E231" s="3">
        <f t="shared" si="500"/>
        <v>0</v>
      </c>
      <c r="F231" s="3">
        <f t="shared" si="506"/>
        <v>0</v>
      </c>
      <c r="G231" s="3">
        <f t="shared" si="501"/>
        <v>0</v>
      </c>
      <c r="H231" s="3"/>
      <c r="I231" s="21"/>
      <c r="J231" s="21"/>
      <c r="K231" s="18"/>
      <c r="L231" s="78"/>
      <c r="M231" s="78">
        <v>0</v>
      </c>
      <c r="N231" s="159"/>
      <c r="O231" s="78">
        <v>0</v>
      </c>
      <c r="P231" s="159"/>
      <c r="Q231" s="78">
        <v>0</v>
      </c>
      <c r="R231" s="159"/>
      <c r="S231" s="78">
        <v>0</v>
      </c>
      <c r="T231" s="159"/>
      <c r="U231" s="159"/>
      <c r="V231" s="71"/>
      <c r="W231" s="159">
        <f>IFERROR(($M231-#REF!)/ABS(#REF!),0)</f>
        <v>0</v>
      </c>
      <c r="X231" s="71" t="e">
        <f>($M231-#REF!)</f>
        <v>#REF!</v>
      </c>
      <c r="Y231" s="159">
        <f t="shared" si="502"/>
        <v>0</v>
      </c>
      <c r="Z231" s="71">
        <f t="shared" si="508"/>
        <v>0</v>
      </c>
      <c r="AA231" s="71"/>
      <c r="AC231" s="240">
        <v>0</v>
      </c>
      <c r="AD231" s="240">
        <v>0</v>
      </c>
      <c r="AE231" s="240">
        <v>0</v>
      </c>
      <c r="AF231" s="241">
        <f t="shared" si="503"/>
        <v>0</v>
      </c>
      <c r="AG231" s="232">
        <f t="shared" si="504"/>
        <v>0</v>
      </c>
      <c r="AH231" s="241">
        <f t="shared" si="505"/>
        <v>0</v>
      </c>
      <c r="AI231" s="232">
        <f t="shared" si="509"/>
        <v>0</v>
      </c>
      <c r="AK231" s="115">
        <v>0</v>
      </c>
      <c r="AL231" s="159"/>
      <c r="AM231" s="115">
        <v>0</v>
      </c>
      <c r="AN231" s="159"/>
      <c r="AO231" s="115">
        <v>0</v>
      </c>
      <c r="AP231" s="159"/>
      <c r="AQ231" s="115">
        <v>0</v>
      </c>
      <c r="AR231" s="159"/>
      <c r="AS231" s="159"/>
      <c r="AT231" s="71"/>
      <c r="AU231" s="159">
        <f>IFERROR(($M231-#REF!)/ABS(#REF!),0)</f>
        <v>0</v>
      </c>
      <c r="AV231" s="71" t="e">
        <f>($M231-#REF!)</f>
        <v>#REF!</v>
      </c>
      <c r="AW231" s="159">
        <f t="shared" si="507"/>
        <v>0</v>
      </c>
      <c r="AX231" s="71">
        <f t="shared" si="510"/>
        <v>0</v>
      </c>
      <c r="AY231" s="71"/>
      <c r="BA231" s="115">
        <v>0</v>
      </c>
      <c r="BB231" s="159"/>
      <c r="BC231" s="115">
        <v>0</v>
      </c>
      <c r="BD231" s="159"/>
      <c r="BE231" s="115">
        <v>0</v>
      </c>
      <c r="BF231" s="159"/>
      <c r="BG231" s="159"/>
      <c r="BH231" s="71"/>
      <c r="BI231" s="159"/>
      <c r="BJ231" s="71"/>
      <c r="BK231" s="71"/>
    </row>
    <row r="232" spans="2:63" hidden="1" x14ac:dyDescent="0.25">
      <c r="B232" t="s">
        <v>1</v>
      </c>
      <c r="E232" s="3">
        <f t="shared" si="500"/>
        <v>0</v>
      </c>
      <c r="F232" s="3">
        <f t="shared" si="506"/>
        <v>0</v>
      </c>
      <c r="G232" s="3">
        <f t="shared" si="501"/>
        <v>0</v>
      </c>
      <c r="H232" s="3"/>
      <c r="I232" s="21"/>
      <c r="J232" s="21"/>
      <c r="K232" s="18"/>
      <c r="L232" s="78"/>
      <c r="M232" s="78">
        <v>0</v>
      </c>
      <c r="N232" s="159"/>
      <c r="O232" s="78">
        <v>0</v>
      </c>
      <c r="P232" s="159"/>
      <c r="Q232" s="78">
        <v>0</v>
      </c>
      <c r="R232" s="159"/>
      <c r="S232" s="78">
        <v>0</v>
      </c>
      <c r="T232" s="159"/>
      <c r="U232" s="159"/>
      <c r="V232" s="71"/>
      <c r="W232" s="159">
        <f>IFERROR(($M232-#REF!)/ABS(#REF!),0)</f>
        <v>0</v>
      </c>
      <c r="X232" s="71" t="e">
        <f>($M232-#REF!)</f>
        <v>#REF!</v>
      </c>
      <c r="Y232" s="159">
        <f t="shared" si="502"/>
        <v>0</v>
      </c>
      <c r="Z232" s="71">
        <f t="shared" si="508"/>
        <v>0</v>
      </c>
      <c r="AA232" s="71"/>
      <c r="AC232" s="240">
        <v>0</v>
      </c>
      <c r="AD232" s="240">
        <v>0</v>
      </c>
      <c r="AE232" s="240">
        <v>0</v>
      </c>
      <c r="AF232" s="241">
        <f t="shared" si="503"/>
        <v>0</v>
      </c>
      <c r="AG232" s="232">
        <f t="shared" si="504"/>
        <v>0</v>
      </c>
      <c r="AH232" s="241">
        <f t="shared" si="505"/>
        <v>0</v>
      </c>
      <c r="AI232" s="232">
        <f t="shared" si="509"/>
        <v>0</v>
      </c>
      <c r="AK232" s="115">
        <v>0</v>
      </c>
      <c r="AL232" s="159"/>
      <c r="AM232" s="115">
        <v>0</v>
      </c>
      <c r="AN232" s="159"/>
      <c r="AO232" s="115">
        <v>0</v>
      </c>
      <c r="AP232" s="159"/>
      <c r="AQ232" s="115">
        <v>0</v>
      </c>
      <c r="AR232" s="159"/>
      <c r="AS232" s="159"/>
      <c r="AT232" s="71"/>
      <c r="AU232" s="159">
        <f>IFERROR(($M232-#REF!)/ABS(#REF!),0)</f>
        <v>0</v>
      </c>
      <c r="AV232" s="71" t="e">
        <f>($M232-#REF!)</f>
        <v>#REF!</v>
      </c>
      <c r="AW232" s="159">
        <f t="shared" si="507"/>
        <v>0</v>
      </c>
      <c r="AX232" s="71">
        <f t="shared" si="510"/>
        <v>0</v>
      </c>
      <c r="AY232" s="71"/>
      <c r="BA232" s="115">
        <v>0</v>
      </c>
      <c r="BB232" s="159"/>
      <c r="BC232" s="115">
        <v>0</v>
      </c>
      <c r="BD232" s="159"/>
      <c r="BE232" s="115">
        <v>0</v>
      </c>
      <c r="BF232" s="159"/>
      <c r="BG232" s="159"/>
      <c r="BH232" s="71"/>
      <c r="BI232" s="159"/>
      <c r="BJ232" s="71"/>
      <c r="BK232" s="71"/>
    </row>
    <row r="233" spans="2:63" hidden="1" x14ac:dyDescent="0.25">
      <c r="B233" t="s">
        <v>1</v>
      </c>
      <c r="E233" s="3">
        <f t="shared" si="500"/>
        <v>0</v>
      </c>
      <c r="F233" s="3">
        <f t="shared" si="506"/>
        <v>0</v>
      </c>
      <c r="G233" s="3">
        <f t="shared" si="501"/>
        <v>0</v>
      </c>
      <c r="H233" s="3"/>
      <c r="I233" s="21"/>
      <c r="J233" s="21"/>
      <c r="K233" s="18"/>
      <c r="L233" s="78"/>
      <c r="M233" s="78">
        <v>0</v>
      </c>
      <c r="N233" s="159"/>
      <c r="O233" s="78">
        <v>0</v>
      </c>
      <c r="P233" s="159"/>
      <c r="Q233" s="78">
        <v>0</v>
      </c>
      <c r="R233" s="159"/>
      <c r="S233" s="78">
        <v>0</v>
      </c>
      <c r="T233" s="159"/>
      <c r="U233" s="159"/>
      <c r="V233" s="71"/>
      <c r="W233" s="159">
        <f>IFERROR(($M233-#REF!)/ABS(#REF!),0)</f>
        <v>0</v>
      </c>
      <c r="X233" s="71" t="e">
        <f>($M233-#REF!)</f>
        <v>#REF!</v>
      </c>
      <c r="Y233" s="159">
        <f t="shared" si="502"/>
        <v>0</v>
      </c>
      <c r="Z233" s="71">
        <f t="shared" si="508"/>
        <v>0</v>
      </c>
      <c r="AA233" s="71"/>
      <c r="AC233" s="240">
        <v>0</v>
      </c>
      <c r="AD233" s="240">
        <v>0</v>
      </c>
      <c r="AE233" s="240">
        <v>0</v>
      </c>
      <c r="AF233" s="241">
        <f t="shared" si="503"/>
        <v>0</v>
      </c>
      <c r="AG233" s="232">
        <f t="shared" si="504"/>
        <v>0</v>
      </c>
      <c r="AH233" s="241">
        <f t="shared" si="505"/>
        <v>0</v>
      </c>
      <c r="AI233" s="232">
        <f t="shared" si="509"/>
        <v>0</v>
      </c>
      <c r="AK233" s="115">
        <v>0</v>
      </c>
      <c r="AL233" s="159"/>
      <c r="AM233" s="115">
        <v>0</v>
      </c>
      <c r="AN233" s="159"/>
      <c r="AO233" s="115">
        <v>0</v>
      </c>
      <c r="AP233" s="159"/>
      <c r="AQ233" s="115">
        <v>0</v>
      </c>
      <c r="AR233" s="159"/>
      <c r="AS233" s="159"/>
      <c r="AT233" s="71"/>
      <c r="AU233" s="159">
        <f>IFERROR(($M233-#REF!)/ABS(#REF!),0)</f>
        <v>0</v>
      </c>
      <c r="AV233" s="71" t="e">
        <f>($M233-#REF!)</f>
        <v>#REF!</v>
      </c>
      <c r="AW233" s="159">
        <f t="shared" si="507"/>
        <v>0</v>
      </c>
      <c r="AX233" s="71">
        <f t="shared" si="510"/>
        <v>0</v>
      </c>
      <c r="AY233" s="71"/>
      <c r="BA233" s="115">
        <v>0</v>
      </c>
      <c r="BB233" s="159"/>
      <c r="BC233" s="115">
        <v>0</v>
      </c>
      <c r="BD233" s="159"/>
      <c r="BE233" s="115">
        <v>0</v>
      </c>
      <c r="BF233" s="159"/>
      <c r="BG233" s="159"/>
      <c r="BH233" s="71"/>
      <c r="BI233" s="159"/>
      <c r="BJ233" s="71"/>
      <c r="BK233" s="71"/>
    </row>
    <row r="234" spans="2:63" hidden="1" x14ac:dyDescent="0.25">
      <c r="B234" t="s">
        <v>1</v>
      </c>
      <c r="N234" s="145"/>
      <c r="P234" s="145"/>
      <c r="R234" s="145"/>
      <c r="T234" s="145"/>
      <c r="U234" s="145"/>
      <c r="V234" s="84"/>
      <c r="W234" s="145"/>
      <c r="X234" s="84"/>
      <c r="Y234" s="145"/>
      <c r="Z234" s="84"/>
      <c r="AA234" s="84"/>
      <c r="AF234" s="169"/>
      <c r="AG234" s="140"/>
      <c r="AH234" s="169"/>
      <c r="AI234" s="140"/>
      <c r="AL234" s="145"/>
      <c r="AN234" s="145"/>
      <c r="AP234" s="145"/>
      <c r="AR234" s="145"/>
      <c r="AS234" s="145"/>
      <c r="AT234" s="84"/>
      <c r="AU234" s="145"/>
      <c r="AV234" s="84"/>
      <c r="AW234" s="145"/>
      <c r="AX234" s="84"/>
      <c r="AY234" s="84"/>
      <c r="BB234" s="145"/>
      <c r="BD234" s="145"/>
      <c r="BF234" s="145"/>
      <c r="BG234" s="145"/>
      <c r="BH234" s="84"/>
      <c r="BI234" s="145"/>
      <c r="BJ234" s="84"/>
      <c r="BK234" s="84"/>
    </row>
    <row r="235" spans="2:63" hidden="1" x14ac:dyDescent="0.25">
      <c r="B235" t="s">
        <v>1</v>
      </c>
      <c r="N235" s="145"/>
      <c r="P235" s="145"/>
      <c r="R235" s="145"/>
      <c r="T235" s="145"/>
      <c r="U235" s="145"/>
      <c r="V235" s="84"/>
      <c r="W235" s="145"/>
      <c r="X235" s="84"/>
      <c r="Y235" s="145"/>
      <c r="Z235" s="84"/>
      <c r="AA235" s="84"/>
      <c r="AF235" s="169"/>
      <c r="AG235" s="140"/>
      <c r="AH235" s="169"/>
      <c r="AI235" s="140"/>
      <c r="AL235" s="145"/>
      <c r="AN235" s="145"/>
      <c r="AP235" s="145"/>
      <c r="AR235" s="145"/>
      <c r="AS235" s="145"/>
      <c r="AT235" s="84"/>
      <c r="AU235" s="145"/>
      <c r="AV235" s="84"/>
      <c r="AW235" s="145"/>
      <c r="AX235" s="84"/>
      <c r="AY235" s="84"/>
      <c r="BB235" s="145"/>
      <c r="BD235" s="145"/>
      <c r="BF235" s="145"/>
      <c r="BG235" s="145"/>
      <c r="BH235" s="84"/>
      <c r="BI235" s="145"/>
      <c r="BJ235" s="84"/>
      <c r="BK235" s="84"/>
    </row>
    <row r="236" spans="2:63" ht="12.45" thickBot="1" x14ac:dyDescent="0.3">
      <c r="B236" t="s">
        <v>90</v>
      </c>
      <c r="E236" s="4">
        <f>$E$5</f>
        <v>0</v>
      </c>
      <c r="F236" s="4">
        <f t="shared" ref="F236" si="511">$F$5</f>
        <v>0</v>
      </c>
      <c r="G236" s="4">
        <f>$G$5</f>
        <v>0</v>
      </c>
      <c r="H236" s="4" t="s">
        <v>20</v>
      </c>
      <c r="I236" s="5"/>
      <c r="J236" s="5"/>
      <c r="K236" s="5"/>
      <c r="L236" s="5"/>
      <c r="M236" s="120">
        <v>-233445.88</v>
      </c>
      <c r="N236" s="160"/>
      <c r="O236" s="120">
        <v>65350.715170448202</v>
      </c>
      <c r="P236" s="160"/>
      <c r="Q236" s="120">
        <v>65350.715170448202</v>
      </c>
      <c r="R236" s="160"/>
      <c r="S236" s="120">
        <v>-32914.74</v>
      </c>
      <c r="T236" s="160"/>
      <c r="U236" s="160"/>
      <c r="V236" s="122"/>
      <c r="W236" s="160"/>
      <c r="X236" s="122"/>
      <c r="Y236" s="160"/>
      <c r="Z236" s="122"/>
      <c r="AA236" s="122"/>
      <c r="AC236" s="246">
        <v>-233445.88</v>
      </c>
      <c r="AD236" s="246">
        <v>-32914.74</v>
      </c>
      <c r="AE236" s="246">
        <v>65350.715170448202</v>
      </c>
      <c r="AF236" s="247"/>
      <c r="AG236" s="248"/>
      <c r="AH236" s="247"/>
      <c r="AI236" s="248"/>
      <c r="AK236" s="120">
        <v>-233445.88</v>
      </c>
      <c r="AL236" s="160"/>
      <c r="AM236" s="120">
        <v>65350.715170448202</v>
      </c>
      <c r="AN236" s="160"/>
      <c r="AO236" s="120">
        <v>65350.715170448202</v>
      </c>
      <c r="AP236" s="160"/>
      <c r="AQ236" s="120">
        <v>-32914.74</v>
      </c>
      <c r="AR236" s="160"/>
      <c r="AS236" s="160"/>
      <c r="AT236" s="122"/>
      <c r="AU236" s="160"/>
      <c r="AV236" s="122"/>
      <c r="AW236" s="160"/>
      <c r="AX236" s="122"/>
      <c r="AY236" s="122"/>
      <c r="BA236" s="120">
        <v>905334.40998110303</v>
      </c>
      <c r="BB236" s="160"/>
      <c r="BC236" s="120">
        <v>905334.40998110303</v>
      </c>
      <c r="BD236" s="160"/>
      <c r="BE236" s="120">
        <v>-564333.24</v>
      </c>
      <c r="BF236" s="160"/>
      <c r="BG236" s="160"/>
      <c r="BH236" s="122"/>
      <c r="BI236" s="160"/>
      <c r="BJ236" s="122"/>
      <c r="BK236" s="122"/>
    </row>
    <row r="237" spans="2:63" hidden="1" x14ac:dyDescent="0.25">
      <c r="B237" t="s">
        <v>1</v>
      </c>
      <c r="M237" s="124">
        <f>_xlfn.IFNA(ROUND(M236-M220,0),0)</f>
        <v>0</v>
      </c>
      <c r="N237" s="161"/>
      <c r="O237" s="124"/>
      <c r="P237" s="161"/>
      <c r="Q237" s="124"/>
      <c r="R237" s="161"/>
      <c r="S237" s="124">
        <f>_xlfn.IFNA(ROUND(S236-S220,0),0)</f>
        <v>0</v>
      </c>
      <c r="T237" s="161"/>
      <c r="U237" s="161"/>
      <c r="V237" s="126"/>
      <c r="W237" s="161"/>
      <c r="X237" s="126"/>
      <c r="Y237" s="161"/>
      <c r="Z237" s="126"/>
      <c r="AA237" s="126"/>
      <c r="AC237" s="249">
        <f>_xlfn.IFNA(ROUND(AC236-AC220,0),0)</f>
        <v>0</v>
      </c>
      <c r="AD237" s="249">
        <f>_xlfn.IFNA(ROUND(AD236-AD220,0),0)</f>
        <v>0</v>
      </c>
      <c r="AE237" s="249">
        <f>_xlfn.IFNA(ROUND(AE236-AE220,0),0)</f>
        <v>0</v>
      </c>
      <c r="AF237" s="250"/>
      <c r="AG237" s="251"/>
      <c r="AH237" s="250"/>
      <c r="AI237" s="251"/>
      <c r="AK237" s="124">
        <f>_xlfn.IFNA(ROUND(AK236-AK220,0),0)</f>
        <v>0</v>
      </c>
      <c r="AL237" s="161"/>
      <c r="AM237" s="124"/>
      <c r="AN237" s="161"/>
      <c r="AO237" s="124"/>
      <c r="AP237" s="161"/>
      <c r="AQ237" s="124">
        <f>_xlfn.IFNA(ROUND(AQ236-AQ220,0),0)</f>
        <v>0</v>
      </c>
      <c r="AR237" s="161"/>
      <c r="AS237" s="161"/>
      <c r="AT237" s="126"/>
      <c r="AU237" s="161"/>
      <c r="AV237" s="126"/>
      <c r="AW237" s="161"/>
      <c r="AX237" s="126"/>
      <c r="AY237" s="126"/>
      <c r="BA237" s="124"/>
      <c r="BB237" s="161"/>
      <c r="BC237" s="124"/>
      <c r="BD237" s="161"/>
      <c r="BE237" s="124"/>
      <c r="BF237" s="161"/>
      <c r="BG237" s="161"/>
      <c r="BH237" s="126"/>
      <c r="BI237" s="161"/>
      <c r="BJ237" s="126"/>
      <c r="BK237" s="126"/>
    </row>
    <row r="238" spans="2:63" x14ac:dyDescent="0.25">
      <c r="N238" s="145"/>
      <c r="P238" s="145"/>
      <c r="R238" s="145"/>
      <c r="T238" s="145"/>
      <c r="U238" s="145"/>
      <c r="V238" s="84"/>
      <c r="W238" s="145"/>
      <c r="X238" s="84"/>
      <c r="Y238" s="145"/>
      <c r="Z238" s="84"/>
      <c r="AA238" s="84"/>
      <c r="AF238" s="169"/>
      <c r="AG238" s="140"/>
      <c r="AH238" s="169"/>
      <c r="AI238" s="140"/>
      <c r="AL238" s="145"/>
      <c r="AN238" s="145"/>
      <c r="AP238" s="145"/>
      <c r="AR238" s="145"/>
      <c r="AS238" s="145"/>
      <c r="AT238" s="84"/>
      <c r="AU238" s="145"/>
      <c r="AV238" s="84"/>
      <c r="AW238" s="145"/>
      <c r="AX238" s="84"/>
      <c r="AY238" s="84"/>
      <c r="BB238" s="145"/>
      <c r="BD238" s="145"/>
      <c r="BF238" s="145"/>
      <c r="BG238" s="145"/>
      <c r="BH238" s="84"/>
      <c r="BI238" s="145"/>
      <c r="BJ238" s="84"/>
      <c r="BK238" s="84"/>
    </row>
    <row r="239" spans="2:63" x14ac:dyDescent="0.25">
      <c r="M239" s="22">
        <f>M40-M61-M136-M149-M154-M171-M176-M166</f>
        <v>-233445.88000000003</v>
      </c>
      <c r="N239" s="145"/>
      <c r="O239" s="22">
        <f>O40-O61-O136-O149-O154-O171-O176-O166</f>
        <v>65350.715170448842</v>
      </c>
      <c r="P239" s="145"/>
      <c r="Q239" s="22">
        <f>Q40-Q61-Q136-Q149-Q154-Q171-Q176-Q166</f>
        <v>65350.715170448842</v>
      </c>
      <c r="R239" s="145"/>
      <c r="S239" s="22">
        <f>S40-S61-S136-S149-S154-S171-S176-S166</f>
        <v>-32914.740000000005</v>
      </c>
      <c r="T239" s="145"/>
      <c r="U239" s="145">
        <f t="shared" ref="U239:Z239" si="512">U40-U61-U136-U149-U154-U171-U176-U166</f>
        <v>1.0442070676091284</v>
      </c>
      <c r="V239" s="129">
        <f t="shared" si="512"/>
        <v>82724.397776084836</v>
      </c>
      <c r="W239" s="145">
        <f t="shared" si="512"/>
        <v>1.0442070676091284</v>
      </c>
      <c r="X239" s="129">
        <f t="shared" si="512"/>
        <v>82724.397776084836</v>
      </c>
      <c r="Y239" s="145">
        <f t="shared" si="512"/>
        <v>1.6703613270142892</v>
      </c>
      <c r="Z239" s="129">
        <f t="shared" si="512"/>
        <v>562970</v>
      </c>
      <c r="AA239" s="129"/>
      <c r="AC239" s="218">
        <f t="shared" ref="AC239:AK239" si="513">AC40-AC61-AC136-AC149-AC154-AC171-AC176-AC166</f>
        <v>-233445.88000000003</v>
      </c>
      <c r="AD239" s="218">
        <f t="shared" si="513"/>
        <v>-32914.740000000005</v>
      </c>
      <c r="AE239" s="218">
        <f t="shared" si="513"/>
        <v>65350.715170448842</v>
      </c>
      <c r="AF239" s="169">
        <f t="shared" si="513"/>
        <v>1.0356199620377531</v>
      </c>
      <c r="AG239" s="252">
        <f t="shared" si="513"/>
        <v>542765.26</v>
      </c>
      <c r="AH239" s="169">
        <f t="shared" si="513"/>
        <v>4.420706760912832E-2</v>
      </c>
      <c r="AI239" s="252">
        <f t="shared" si="513"/>
        <v>7394.4777760848374</v>
      </c>
      <c r="AJ239">
        <f t="shared" si="513"/>
        <v>0</v>
      </c>
      <c r="AK239" s="22">
        <f t="shared" si="513"/>
        <v>-233445.88000000003</v>
      </c>
      <c r="AL239" s="145"/>
      <c r="AM239" s="22">
        <f>AM40-AM61-AM136-AM149-AM154-AM171-AM176-AM166</f>
        <v>65350.715170448842</v>
      </c>
      <c r="AN239" s="145"/>
      <c r="AO239" s="22">
        <f>AO40-AO61-AO136-AO149-AO154-AO171-AO176-AO166</f>
        <v>65350.715170448842</v>
      </c>
      <c r="AP239" s="145"/>
      <c r="AQ239" s="22">
        <f>AQ40-AQ61-AQ136-AQ149-AQ154-AQ171-AQ176-AQ166</f>
        <v>-32914.740000000005</v>
      </c>
      <c r="AR239" s="145"/>
      <c r="AS239" s="145">
        <f t="shared" ref="AS239:AX239" si="514">AS40-AS61-AS136-AS149-AS154-AS171-AS176-AS166</f>
        <v>1.0442070676091284</v>
      </c>
      <c r="AT239" s="129">
        <f t="shared" si="514"/>
        <v>82724.397776084836</v>
      </c>
      <c r="AU239" s="145">
        <f t="shared" si="514"/>
        <v>-0.86958187673317278</v>
      </c>
      <c r="AV239" s="129">
        <f t="shared" si="514"/>
        <v>82724.397776084836</v>
      </c>
      <c r="AW239" s="145">
        <f t="shared" si="514"/>
        <v>1.6703613270142892</v>
      </c>
      <c r="AX239" s="129">
        <f t="shared" si="514"/>
        <v>562970</v>
      </c>
      <c r="AY239" s="129"/>
      <c r="BA239" s="22">
        <f>BA40-BA61-BA136-BA149-BA154-BA171-BA176-BA166</f>
        <v>905334.40998110059</v>
      </c>
      <c r="BB239" s="145"/>
      <c r="BC239" s="22">
        <f>BC40-BC61-BC136-BC149-BC154-BC171-BC176-BC166</f>
        <v>905334.40998110059</v>
      </c>
      <c r="BD239" s="145"/>
      <c r="BE239" s="22">
        <f>BE40-BE61-BE136-BE149-BE154-BE171-BE176-BE166</f>
        <v>-564333.24000000011</v>
      </c>
      <c r="BF239" s="145"/>
      <c r="BG239" s="145">
        <f>BG40-BG61-BG136-BG149-BG154-BG171-BG176-BG166</f>
        <v>0</v>
      </c>
      <c r="BH239" s="129">
        <f>BH40-BH61-BH136-BH149-BH154-BH171-BH176-BH166</f>
        <v>0</v>
      </c>
      <c r="BI239" s="145">
        <f>BI40-BI61-BI136-BI149-BI154-BI171-BI176-BI166</f>
        <v>-0.17565902052260596</v>
      </c>
      <c r="BJ239" s="129">
        <f>BJ40-BJ61-BJ136-BJ149-BJ154-BJ171-BJ176-BJ166</f>
        <v>3485765.5961456201</v>
      </c>
      <c r="BK239" s="129"/>
    </row>
    <row r="240" spans="2:63" x14ac:dyDescent="0.25">
      <c r="N240" s="145"/>
      <c r="P240" s="145"/>
      <c r="R240" s="145"/>
      <c r="T240" s="145"/>
      <c r="U240" s="145"/>
      <c r="V240" s="15"/>
      <c r="W240" s="145"/>
      <c r="X240" s="15"/>
      <c r="Y240" s="145"/>
      <c r="Z240" s="15"/>
      <c r="AA240" s="15"/>
      <c r="AF240" s="169"/>
      <c r="AG240" s="49"/>
      <c r="AH240" s="169"/>
      <c r="AI240" s="49"/>
      <c r="AL240" s="145"/>
      <c r="AN240" s="145"/>
      <c r="AP240" s="145"/>
      <c r="AR240" s="145"/>
      <c r="AS240" s="145"/>
      <c r="AT240" s="15"/>
      <c r="AU240" s="145"/>
      <c r="AV240" s="15"/>
      <c r="AW240" s="145"/>
      <c r="AX240" s="15"/>
      <c r="AY240" s="15"/>
      <c r="BB240" s="145"/>
      <c r="BD240" s="145"/>
      <c r="BF240" s="145"/>
      <c r="BG240" s="145"/>
      <c r="BH240" s="15"/>
      <c r="BI240" s="145"/>
      <c r="BJ240" s="15"/>
      <c r="BK240" s="15"/>
    </row>
    <row r="241" spans="14:62" x14ac:dyDescent="0.25">
      <c r="N241" s="145"/>
      <c r="P241" s="145"/>
      <c r="R241" s="145"/>
      <c r="S241" s="22">
        <f>S220-S239</f>
        <v>0</v>
      </c>
      <c r="T241" s="145"/>
      <c r="U241" s="145"/>
      <c r="V241" s="15"/>
      <c r="W241" s="145"/>
      <c r="X241" s="15"/>
      <c r="Y241" s="145"/>
      <c r="Z241" s="15"/>
      <c r="AA241" s="15"/>
      <c r="AF241" s="169"/>
      <c r="AG241" s="49"/>
      <c r="AH241" s="169"/>
      <c r="AI241" s="49"/>
      <c r="AS241" s="99"/>
      <c r="AT241" s="15"/>
      <c r="AU241" s="99"/>
      <c r="AV241" s="15"/>
      <c r="AW241" s="99"/>
      <c r="AX241" s="15"/>
      <c r="AY241" s="15"/>
      <c r="BG241" s="99"/>
      <c r="BH241" s="15"/>
      <c r="BI241" s="99"/>
      <c r="BJ241" s="15"/>
    </row>
  </sheetData>
  <conditionalFormatting sqref="AF40 AH40 AH66:AH136 AF66:AF136 AH44:AH61 AF44:AF61">
    <cfRule type="dataBar" priority="50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{01FCD2E6-88E1-411C-826B-343FA17EBCE1}</x14:id>
        </ext>
      </extLst>
    </cfRule>
  </conditionalFormatting>
  <conditionalFormatting sqref="AF149 AH149">
    <cfRule type="dataBar" priority="2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{E9678B81-2F71-44F1-AFE4-0069D4B36FCA}</x14:id>
        </ext>
      </extLst>
    </cfRule>
  </conditionalFormatting>
  <conditionalFormatting sqref="AF153:AF154 AH153:AH154">
    <cfRule type="dataBar" priority="17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{CD1124CE-48E7-4E4A-92B7-D7E79E35AB45}</x14:id>
        </ext>
      </extLst>
    </cfRule>
  </conditionalFormatting>
  <conditionalFormatting sqref="AF174 AH174">
    <cfRule type="dataBar" priority="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{2DB39764-3E8A-4B3B-A101-896EBFA20EEB}</x14:id>
        </ext>
      </extLst>
    </cfRule>
  </conditionalFormatting>
  <conditionalFormatting sqref="AF179 AH179">
    <cfRule type="dataBar" priority="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{67E4F576-81B4-4E27-A942-660B367E8514}</x14:id>
        </ext>
      </extLst>
    </cfRule>
  </conditionalFormatting>
  <conditionalFormatting sqref="AF185:AF186 AH185:AH186 AF180:AF181 AH180:AH181 AF175:AF176 AH175:AH176 AF170:AF171 AH170:AH171 AF143:AF148 AH143:AH148">
    <cfRule type="dataBar" priority="1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{A8B07BF0-B1BC-4F39-A982-DB5A979836E3}</x14:id>
        </ext>
      </extLst>
    </cfRule>
  </conditionalFormatting>
  <conditionalFormatting sqref="AF189 AH189 AF191 AH191">
    <cfRule type="dataBar" priority="1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{362FBFC0-C37A-41DB-8EB2-8E83BBD7B24F}</x14:id>
        </ext>
      </extLst>
    </cfRule>
  </conditionalFormatting>
  <conditionalFormatting sqref="AF194 AH194 AF196 AH196">
    <cfRule type="dataBar" priority="1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{50B78436-68D6-45C0-A7E6-CF85ABD47E3D}</x14:id>
        </ext>
      </extLst>
    </cfRule>
  </conditionalFormatting>
  <conditionalFormatting sqref="AF209 AH209 AF211 AH211">
    <cfRule type="dataBar" priority="1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{2DD44A8C-3F12-4721-8208-6FAA02A98EBB}</x14:id>
        </ext>
      </extLst>
    </cfRule>
  </conditionalFormatting>
  <conditionalFormatting sqref="AF220 AH220">
    <cfRule type="dataBar" priority="2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{3DE8A9C1-AC57-457B-A457-B2F3AD1C3519}</x14:id>
        </ext>
      </extLst>
    </cfRule>
  </conditionalFormatting>
  <conditionalFormatting sqref="AF221">
    <cfRule type="dataBar" priority="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{5B33A464-FA6B-407A-A806-38BB21DF9923}</x14:id>
        </ext>
      </extLst>
    </cfRule>
  </conditionalFormatting>
  <conditionalFormatting sqref="AF224:AF225">
    <cfRule type="dataBar" priority="1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{4F552893-48FD-43A7-8F31-501BC933A53B}</x14:id>
        </ext>
      </extLst>
    </cfRule>
  </conditionalFormatting>
  <conditionalFormatting sqref="AF226 AH226">
    <cfRule type="dataBar" priority="2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{2B0A847D-DC09-404A-83FF-27F11017B9D9}</x14:id>
        </ext>
      </extLst>
    </cfRule>
  </conditionalFormatting>
  <conditionalFormatting sqref="AF227 AH227">
    <cfRule type="dataBar" priority="2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{18FF4F21-8DD2-4D2A-9D93-78DDCB4632DA}</x14:id>
        </ext>
      </extLst>
    </cfRule>
    <cfRule type="dataBar" priority="2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{E7B7FD2B-E4EE-494C-B750-973C86D4FAE6}</x14:id>
        </ext>
      </extLst>
    </cfRule>
  </conditionalFormatting>
  <conditionalFormatting sqref="AF232 AH232">
    <cfRule type="dataBar" priority="3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{427A9039-2C5D-46EE-8A0B-5303FB3B2695}</x14:id>
        </ext>
      </extLst>
    </cfRule>
  </conditionalFormatting>
  <conditionalFormatting sqref="AH29 AF29 AH31:AH39 AF31:AF39">
    <cfRule type="dataBar" priority="5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{346FBF71-98ED-465F-A456-F808C6E7D0E1}</x14:id>
        </ext>
      </extLst>
    </cfRule>
  </conditionalFormatting>
  <conditionalFormatting sqref="AH43 AF43">
    <cfRule type="dataBar" priority="4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{4D79BA99-6314-4D13-ADE6-F832FA092005}</x14:id>
        </ext>
      </extLst>
    </cfRule>
  </conditionalFormatting>
  <conditionalFormatting sqref="AH138">
    <cfRule type="dataBar" priority="5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{C9CF542F-0C29-4549-BDA5-E470C086D232}</x14:id>
        </ext>
      </extLst>
    </cfRule>
  </conditionalFormatting>
  <conditionalFormatting sqref="AH142 AF142">
    <cfRule type="dataBar" priority="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{563DD00E-D8C3-4B0D-B860-190A352EEEB1}</x14:id>
        </ext>
      </extLst>
    </cfRule>
  </conditionalFormatting>
  <conditionalFormatting sqref="AH152 AF152">
    <cfRule type="dataBar" priority="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{F527C25D-A47D-4270-ABF0-ED0436D99E81}</x14:id>
        </ext>
      </extLst>
    </cfRule>
  </conditionalFormatting>
  <conditionalFormatting sqref="AH157 AF157">
    <cfRule type="dataBar" priority="7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{67044B60-6533-4770-9CF8-D19B0B3FD5C3}</x14:id>
        </ext>
      </extLst>
    </cfRule>
  </conditionalFormatting>
  <conditionalFormatting sqref="AH158:AH165 AF158:AF165">
    <cfRule type="dataBar" priority="2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{645986C0-0A81-400D-BDE7-1ADED027C26E}</x14:id>
        </ext>
      </extLst>
    </cfRule>
  </conditionalFormatting>
  <conditionalFormatting sqref="AH166 AF166">
    <cfRule type="dataBar" priority="2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{68973532-D640-42A6-9917-2CC8ED3E4873}</x14:id>
        </ext>
      </extLst>
    </cfRule>
  </conditionalFormatting>
  <conditionalFormatting sqref="AH169 AF169">
    <cfRule type="dataBar" priority="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{B6BBDE80-F3A4-420C-A619-43E5BD47C8F3}</x14:id>
        </ext>
      </extLst>
    </cfRule>
  </conditionalFormatting>
  <conditionalFormatting sqref="AH184 AF184">
    <cfRule type="dataBar" priority="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{88E05893-28B9-44E9-BEB4-AA63B8C21480}</x14:id>
        </ext>
      </extLst>
    </cfRule>
  </conditionalFormatting>
  <conditionalFormatting sqref="AH199 AF199 AF201 AH201">
    <cfRule type="dataBar" priority="1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{94EE6BA8-743C-4408-BC2C-D3D1BE125051}</x14:id>
        </ext>
      </extLst>
    </cfRule>
  </conditionalFormatting>
  <conditionalFormatting sqref="AH204 AF204 AF206 AH206">
    <cfRule type="dataBar" priority="1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{A526FE26-AC9C-4E49-BFE0-1D02077D332A}</x14:id>
        </ext>
      </extLst>
    </cfRule>
  </conditionalFormatting>
  <conditionalFormatting sqref="AH214 AF214 AF216 AH216">
    <cfRule type="dataBar" priority="1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{59699DF4-A4F0-43DE-9313-21EB21B2FCB9}</x14:id>
        </ext>
      </extLst>
    </cfRule>
  </conditionalFormatting>
  <conditionalFormatting sqref="AH221">
    <cfRule type="dataBar" priority="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{437BD9F7-E144-4ED1-90CB-6EE7AFD950F4}</x14:id>
        </ext>
      </extLst>
    </cfRule>
  </conditionalFormatting>
  <conditionalFormatting sqref="AH224:AH225">
    <cfRule type="dataBar" priority="1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{8D9B322D-22F1-4B7B-8FA7-C398D99E6EB9}</x14:id>
        </ext>
      </extLst>
    </cfRule>
  </conditionalFormatting>
  <conditionalFormatting sqref="AH228 AF228">
    <cfRule type="dataBar" priority="27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{42142896-EBD8-48C6-9CC1-3BF965417052}</x14:id>
        </ext>
      </extLst>
    </cfRule>
  </conditionalFormatting>
  <conditionalFormatting sqref="AH229 AF229">
    <cfRule type="dataBar" priority="2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{57AD83F7-11A7-4849-9C62-60C00B6E63F2}</x14:id>
        </ext>
      </extLst>
    </cfRule>
  </conditionalFormatting>
  <conditionalFormatting sqref="AH230 AF230">
    <cfRule type="dataBar" priority="2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{FD61A2E0-2669-46CD-9649-52BBB454F45E}</x14:id>
        </ext>
      </extLst>
    </cfRule>
  </conditionalFormatting>
  <conditionalFormatting sqref="AH231 AF231">
    <cfRule type="dataBar" priority="3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{AA69747E-42B8-4CEF-AFCE-1668FD464E6E}</x14:id>
        </ext>
      </extLst>
    </cfRule>
  </conditionalFormatting>
  <conditionalFormatting sqref="AH233 AF233">
    <cfRule type="dataBar" priority="3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{07A9E33C-3B5F-48A4-B6DB-BA8A853B14D3}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FCD2E6-88E1-411C-826B-343FA17EBCE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AF40 AH40 AH66:AH136 AF66:AF136 AH44:AH61 AF44:AF61</xm:sqref>
        </x14:conditionalFormatting>
        <x14:conditionalFormatting xmlns:xm="http://schemas.microsoft.com/office/excel/2006/main">
          <x14:cfRule type="dataBar" id="{E9678B81-2F71-44F1-AFE4-0069D4B36FCA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AF149 AH149</xm:sqref>
        </x14:conditionalFormatting>
        <x14:conditionalFormatting xmlns:xm="http://schemas.microsoft.com/office/excel/2006/main">
          <x14:cfRule type="dataBar" id="{CD1124CE-48E7-4E4A-92B7-D7E79E35AB4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AF153:AF154 AH153:AH154</xm:sqref>
        </x14:conditionalFormatting>
        <x14:conditionalFormatting xmlns:xm="http://schemas.microsoft.com/office/excel/2006/main">
          <x14:cfRule type="dataBar" id="{2DB39764-3E8A-4B3B-A101-896EBFA20EEB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AF174 AH174</xm:sqref>
        </x14:conditionalFormatting>
        <x14:conditionalFormatting xmlns:xm="http://schemas.microsoft.com/office/excel/2006/main">
          <x14:cfRule type="dataBar" id="{67E4F576-81B4-4E27-A942-660B367E851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AF179 AH179</xm:sqref>
        </x14:conditionalFormatting>
        <x14:conditionalFormatting xmlns:xm="http://schemas.microsoft.com/office/excel/2006/main">
          <x14:cfRule type="dataBar" id="{A8B07BF0-B1BC-4F39-A982-DB5A979836E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AF185:AF186 AH185:AH186 AF180:AF181 AH180:AH181 AF175:AF176 AH175:AH176 AF170:AF171 AH170:AH171 AF143:AF148 AH143:AH148</xm:sqref>
        </x14:conditionalFormatting>
        <x14:conditionalFormatting xmlns:xm="http://schemas.microsoft.com/office/excel/2006/main">
          <x14:cfRule type="dataBar" id="{362FBFC0-C37A-41DB-8EB2-8E83BBD7B24F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AF189 AH189 AF191 AH191</xm:sqref>
        </x14:conditionalFormatting>
        <x14:conditionalFormatting xmlns:xm="http://schemas.microsoft.com/office/excel/2006/main">
          <x14:cfRule type="dataBar" id="{50B78436-68D6-45C0-A7E6-CF85ABD47E3D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AF194 AH194 AF196 AH196</xm:sqref>
        </x14:conditionalFormatting>
        <x14:conditionalFormatting xmlns:xm="http://schemas.microsoft.com/office/excel/2006/main">
          <x14:cfRule type="dataBar" id="{2DD44A8C-3F12-4721-8208-6FAA02A98EBB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AF209 AH209 AF211 AH211</xm:sqref>
        </x14:conditionalFormatting>
        <x14:conditionalFormatting xmlns:xm="http://schemas.microsoft.com/office/excel/2006/main">
          <x14:cfRule type="dataBar" id="{3DE8A9C1-AC57-457B-A457-B2F3AD1C351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AF220 AH220</xm:sqref>
        </x14:conditionalFormatting>
        <x14:conditionalFormatting xmlns:xm="http://schemas.microsoft.com/office/excel/2006/main">
          <x14:cfRule type="dataBar" id="{5B33A464-FA6B-407A-A806-38BB21DF992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AF221</xm:sqref>
        </x14:conditionalFormatting>
        <x14:conditionalFormatting xmlns:xm="http://schemas.microsoft.com/office/excel/2006/main">
          <x14:cfRule type="dataBar" id="{4F552893-48FD-43A7-8F31-501BC933A53B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AF224:AF225</xm:sqref>
        </x14:conditionalFormatting>
        <x14:conditionalFormatting xmlns:xm="http://schemas.microsoft.com/office/excel/2006/main">
          <x14:cfRule type="dataBar" id="{2B0A847D-DC09-404A-83FF-27F11017B9D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AF226 AH226</xm:sqref>
        </x14:conditionalFormatting>
        <x14:conditionalFormatting xmlns:xm="http://schemas.microsoft.com/office/excel/2006/main">
          <x14:cfRule type="dataBar" id="{18FF4F21-8DD2-4D2A-9D93-78DDCB4632DA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14:cfRule type="dataBar" id="{E7B7FD2B-E4EE-494C-B750-973C86D4FAE6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AF227 AH227</xm:sqref>
        </x14:conditionalFormatting>
        <x14:conditionalFormatting xmlns:xm="http://schemas.microsoft.com/office/excel/2006/main">
          <x14:cfRule type="dataBar" id="{427A9039-2C5D-46EE-8A0B-5303FB3B269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AF232 AH232</xm:sqref>
        </x14:conditionalFormatting>
        <x14:conditionalFormatting xmlns:xm="http://schemas.microsoft.com/office/excel/2006/main">
          <x14:cfRule type="dataBar" id="{346FBF71-98ED-465F-A456-F808C6E7D0E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AH29 AF29 AH31:AH39 AF31:AF39</xm:sqref>
        </x14:conditionalFormatting>
        <x14:conditionalFormatting xmlns:xm="http://schemas.microsoft.com/office/excel/2006/main">
          <x14:cfRule type="dataBar" id="{4D79BA99-6314-4D13-ADE6-F832FA09200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AH43 AF43</xm:sqref>
        </x14:conditionalFormatting>
        <x14:conditionalFormatting xmlns:xm="http://schemas.microsoft.com/office/excel/2006/main">
          <x14:cfRule type="dataBar" id="{C9CF542F-0C29-4549-BDA5-E470C086D23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AH138</xm:sqref>
        </x14:conditionalFormatting>
        <x14:conditionalFormatting xmlns:xm="http://schemas.microsoft.com/office/excel/2006/main">
          <x14:cfRule type="dataBar" id="{563DD00E-D8C3-4B0D-B860-190A352EEEB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AH142 AF142</xm:sqref>
        </x14:conditionalFormatting>
        <x14:conditionalFormatting xmlns:xm="http://schemas.microsoft.com/office/excel/2006/main">
          <x14:cfRule type="dataBar" id="{F527C25D-A47D-4270-ABF0-ED0436D99E8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AH152 AF152</xm:sqref>
        </x14:conditionalFormatting>
        <x14:conditionalFormatting xmlns:xm="http://schemas.microsoft.com/office/excel/2006/main">
          <x14:cfRule type="dataBar" id="{67044B60-6533-4770-9CF8-D19B0B3FD5C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AH157 AF157</xm:sqref>
        </x14:conditionalFormatting>
        <x14:conditionalFormatting xmlns:xm="http://schemas.microsoft.com/office/excel/2006/main">
          <x14:cfRule type="dataBar" id="{645986C0-0A81-400D-BDE7-1ADED027C26E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AH158:AH165 AF158:AF165</xm:sqref>
        </x14:conditionalFormatting>
        <x14:conditionalFormatting xmlns:xm="http://schemas.microsoft.com/office/excel/2006/main">
          <x14:cfRule type="dataBar" id="{68973532-D640-42A6-9917-2CC8ED3E487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AH166 AF166</xm:sqref>
        </x14:conditionalFormatting>
        <x14:conditionalFormatting xmlns:xm="http://schemas.microsoft.com/office/excel/2006/main">
          <x14:cfRule type="dataBar" id="{B6BBDE80-F3A4-420C-A619-43E5BD47C8F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AH169 AF169</xm:sqref>
        </x14:conditionalFormatting>
        <x14:conditionalFormatting xmlns:xm="http://schemas.microsoft.com/office/excel/2006/main">
          <x14:cfRule type="dataBar" id="{88E05893-28B9-44E9-BEB4-AA63B8C21480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AH184 AF184</xm:sqref>
        </x14:conditionalFormatting>
        <x14:conditionalFormatting xmlns:xm="http://schemas.microsoft.com/office/excel/2006/main">
          <x14:cfRule type="dataBar" id="{94EE6BA8-743C-4408-BC2C-D3D1BE125051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AH199 AF199 AF201 AH201</xm:sqref>
        </x14:conditionalFormatting>
        <x14:conditionalFormatting xmlns:xm="http://schemas.microsoft.com/office/excel/2006/main">
          <x14:cfRule type="dataBar" id="{A526FE26-AC9C-4E49-BFE0-1D02077D332A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AH204 AF204 AF206 AH206</xm:sqref>
        </x14:conditionalFormatting>
        <x14:conditionalFormatting xmlns:xm="http://schemas.microsoft.com/office/excel/2006/main">
          <x14:cfRule type="dataBar" id="{59699DF4-A4F0-43DE-9313-21EB21B2FCB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AH214 AF214 AF216 AH216</xm:sqref>
        </x14:conditionalFormatting>
        <x14:conditionalFormatting xmlns:xm="http://schemas.microsoft.com/office/excel/2006/main">
          <x14:cfRule type="dataBar" id="{437BD9F7-E144-4ED1-90CB-6EE7AFD950F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AH221</xm:sqref>
        </x14:conditionalFormatting>
        <x14:conditionalFormatting xmlns:xm="http://schemas.microsoft.com/office/excel/2006/main">
          <x14:cfRule type="dataBar" id="{8D9B322D-22F1-4B7B-8FA7-C398D99E6EB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AH224:AH225</xm:sqref>
        </x14:conditionalFormatting>
        <x14:conditionalFormatting xmlns:xm="http://schemas.microsoft.com/office/excel/2006/main">
          <x14:cfRule type="dataBar" id="{42142896-EBD8-48C6-9CC1-3BF96541705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AH228 AF228</xm:sqref>
        </x14:conditionalFormatting>
        <x14:conditionalFormatting xmlns:xm="http://schemas.microsoft.com/office/excel/2006/main">
          <x14:cfRule type="dataBar" id="{57AD83F7-11A7-4849-9C62-60C00B6E63F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AH229 AF229</xm:sqref>
        </x14:conditionalFormatting>
        <x14:conditionalFormatting xmlns:xm="http://schemas.microsoft.com/office/excel/2006/main">
          <x14:cfRule type="dataBar" id="{FD61A2E0-2669-46CD-9649-52BBB454F45E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AH230 AF230</xm:sqref>
        </x14:conditionalFormatting>
        <x14:conditionalFormatting xmlns:xm="http://schemas.microsoft.com/office/excel/2006/main">
          <x14:cfRule type="dataBar" id="{AA69747E-42B8-4CEF-AFCE-1668FD464E6E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AH231 AF231</xm:sqref>
        </x14:conditionalFormatting>
        <x14:conditionalFormatting xmlns:xm="http://schemas.microsoft.com/office/excel/2006/main">
          <x14:cfRule type="dataBar" id="{07A9E33C-3B5F-48A4-B6DB-BA8A853B14D3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AH233 AF233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4F78-83D8-4374-92D9-CE508B7A58DA}">
  <sheetPr codeName="Sheet9">
    <tabColor theme="9"/>
    <outlinePr summaryBelow="0"/>
  </sheetPr>
  <dimension ref="A1:CB216"/>
  <sheetViews>
    <sheetView topLeftCell="C12" zoomScaleNormal="100" workbookViewId="0">
      <selection activeCell="G13" sqref="G13"/>
    </sheetView>
  </sheetViews>
  <sheetFormatPr defaultRowHeight="11.4" outlineLevelRow="2" outlineLevelCol="1" x14ac:dyDescent="0.25"/>
  <cols>
    <col min="1" max="1" width="8.6640625" hidden="1" customWidth="1"/>
    <col min="2" max="2" width="0" hidden="1" customWidth="1"/>
    <col min="4" max="6" width="8.6640625" hidden="1" customWidth="1"/>
    <col min="7" max="7" width="36.5546875" customWidth="1"/>
    <col min="8" max="10" width="0" hidden="1" customWidth="1"/>
    <col min="11" max="11" width="8.6640625" hidden="1" customWidth="1"/>
    <col min="12" max="23" width="12.5546875" hidden="1" customWidth="1" outlineLevel="1"/>
    <col min="24" max="24" width="15.6640625" bestFit="1" customWidth="1" collapsed="1"/>
    <col min="25" max="25" width="3.109375" customWidth="1"/>
    <col min="26" max="37" width="11.88671875" bestFit="1" customWidth="1" outlineLevel="1"/>
    <col min="38" max="38" width="15.6640625" bestFit="1" customWidth="1"/>
    <col min="39" max="39" width="3.109375" customWidth="1"/>
    <col min="40" max="51" width="15.6640625" hidden="1" customWidth="1" outlineLevel="1"/>
    <col min="52" max="52" width="15.6640625" hidden="1" customWidth="1" collapsed="1"/>
    <col min="53" max="53" width="3.109375" hidden="1" customWidth="1"/>
    <col min="54" max="65" width="11.88671875" bestFit="1" customWidth="1" outlineLevel="1"/>
    <col min="66" max="66" width="15.6640625" bestFit="1" customWidth="1"/>
    <col min="67" max="67" width="3.109375" customWidth="1"/>
    <col min="68" max="79" width="8.6640625" style="47" hidden="1" customWidth="1"/>
    <col min="80" max="80" width="11.88671875" style="47" hidden="1" customWidth="1"/>
  </cols>
  <sheetData>
    <row r="1" spans="1:80" hidden="1" x14ac:dyDescent="0.25">
      <c r="A1" t="s">
        <v>0</v>
      </c>
      <c r="C1" t="s">
        <v>1</v>
      </c>
      <c r="D1" t="str">
        <f>IF(D5,"#showcolumn","#hidecolumn")</f>
        <v>#hidecolumn</v>
      </c>
      <c r="E1" t="str">
        <f>IF(E5,"#showcolumn","#hidecolumn")</f>
        <v>#hidecolumn</v>
      </c>
      <c r="F1" t="str">
        <f>IF(F5,"#showcolumn","#hidecolumn")</f>
        <v>#hidecolumn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130</v>
      </c>
      <c r="Z1" t="str">
        <f t="shared" ref="Z1:AL1" si="0">IF(Z5="Empty","#hidecolumn","#showcolumn")</f>
        <v>#showcolumn</v>
      </c>
      <c r="AA1" t="str">
        <f t="shared" si="0"/>
        <v>#showcolumn</v>
      </c>
      <c r="AB1" t="str">
        <f t="shared" si="0"/>
        <v>#showcolumn</v>
      </c>
      <c r="AC1" t="str">
        <f t="shared" si="0"/>
        <v>#showcolumn</v>
      </c>
      <c r="AD1" t="str">
        <f t="shared" si="0"/>
        <v>#showcolumn</v>
      </c>
      <c r="AE1" t="str">
        <f t="shared" si="0"/>
        <v>#showcolumn</v>
      </c>
      <c r="AF1" t="str">
        <f t="shared" si="0"/>
        <v>#showcolumn</v>
      </c>
      <c r="AG1" t="str">
        <f t="shared" si="0"/>
        <v>#showcolumn</v>
      </c>
      <c r="AH1" t="str">
        <f t="shared" si="0"/>
        <v>#showcolumn</v>
      </c>
      <c r="AI1" t="str">
        <f t="shared" si="0"/>
        <v>#showcolumn</v>
      </c>
      <c r="AJ1" t="str">
        <f t="shared" si="0"/>
        <v>#showcolumn</v>
      </c>
      <c r="AK1" t="str">
        <f t="shared" si="0"/>
        <v>#showcolumn</v>
      </c>
      <c r="AL1" t="str">
        <f t="shared" si="0"/>
        <v>#showcolumn</v>
      </c>
      <c r="AN1" s="47" t="str">
        <f>IF(VALUE(TRIM(LEFT(Scenario!$A$4,2)))&lt;4, "#hidecolumn", "#showcolumn")</f>
        <v>#hidecolumn</v>
      </c>
      <c r="AO1" s="47" t="str">
        <f>IF(VALUE(TRIM(LEFT(Scenario!$A$4,2)))&lt;4, "#hidecolumn", "#showcolumn")</f>
        <v>#hidecolumn</v>
      </c>
      <c r="AP1" s="47" t="str">
        <f>IF(VALUE(TRIM(LEFT(Scenario!$A$4,2)))&lt;4, "#hidecolumn", "#showcolumn")</f>
        <v>#hidecolumn</v>
      </c>
      <c r="AQ1" s="47" t="str">
        <f>IF(VALUE(TRIM(LEFT(Scenario!$A$4,2)))&lt;4, "#hidecolumn", "#showcolumn")</f>
        <v>#hidecolumn</v>
      </c>
      <c r="AR1" s="47" t="str">
        <f>IF(VALUE(TRIM(LEFT(Scenario!$A$4,2)))&lt;4, "#hidecolumn", "#showcolumn")</f>
        <v>#hidecolumn</v>
      </c>
      <c r="AS1" s="47" t="str">
        <f>IF(VALUE(TRIM(LEFT(Scenario!$A$4,2)))&lt;4, "#hidecolumn", "#showcolumn")</f>
        <v>#hidecolumn</v>
      </c>
      <c r="AT1" s="47" t="str">
        <f>IF(VALUE(TRIM(LEFT(Scenario!$A$4,2)))&lt;4, "#hidecolumn", "#showcolumn")</f>
        <v>#hidecolumn</v>
      </c>
      <c r="AU1" s="47" t="str">
        <f>IF(VALUE(TRIM(LEFT(Scenario!$A$4,2)))&lt;4, "#hidecolumn", "#showcolumn")</f>
        <v>#hidecolumn</v>
      </c>
      <c r="AV1" s="47" t="str">
        <f>IF(VALUE(TRIM(LEFT(Scenario!$A$4,2)))&lt;4, "#hidecolumn", "#showcolumn")</f>
        <v>#hidecolumn</v>
      </c>
      <c r="AW1" s="47" t="str">
        <f>IF(VALUE(TRIM(LEFT(Scenario!$A$4,2)))&lt;4, "#hidecolumn", "#showcolumn")</f>
        <v>#hidecolumn</v>
      </c>
      <c r="AX1" s="47" t="str">
        <f>IF(VALUE(TRIM(LEFT(Scenario!$A$4,2)))&lt;4, "#hidecolumn", "#showcolumn")</f>
        <v>#hidecolumn</v>
      </c>
      <c r="AY1" s="47" t="str">
        <f>IF(VALUE(TRIM(LEFT(Scenario!$A$4,2)))&lt;4, "#hidecolumn", "#showcolumn")</f>
        <v>#hidecolumn</v>
      </c>
      <c r="AZ1" s="47" t="str">
        <f>IF(VALUE(TRIM(LEFT(Scenario!$A$4,2)))&lt;4, "#hidecolumn", "#showcolumn")</f>
        <v>#hidecolumn</v>
      </c>
      <c r="BA1" t="str">
        <f>IF(VALUE(TRIM(LEFT(Scenario!$A$4,2)))&lt;4, "#hidecolumn", "#showcolumn")</f>
        <v>#hidecolumn</v>
      </c>
      <c r="BB1" t="str">
        <f t="shared" ref="BB1:BM1" si="1">IF(BB5="Empty","#hidecolumn","#showcolumn")</f>
        <v>#showcolumn</v>
      </c>
      <c r="BC1" t="str">
        <f t="shared" si="1"/>
        <v>#showcolumn</v>
      </c>
      <c r="BD1" t="str">
        <f t="shared" si="1"/>
        <v>#showcolumn</v>
      </c>
      <c r="BE1" t="str">
        <f t="shared" si="1"/>
        <v>#showcolumn</v>
      </c>
      <c r="BF1" t="str">
        <f t="shared" si="1"/>
        <v>#showcolumn</v>
      </c>
      <c r="BG1" t="str">
        <f t="shared" si="1"/>
        <v>#showcolumn</v>
      </c>
      <c r="BH1" t="str">
        <f t="shared" si="1"/>
        <v>#showcolumn</v>
      </c>
      <c r="BI1" t="str">
        <f t="shared" si="1"/>
        <v>#showcolumn</v>
      </c>
      <c r="BJ1" t="str">
        <f t="shared" si="1"/>
        <v>#showcolumn</v>
      </c>
      <c r="BK1" t="str">
        <f t="shared" si="1"/>
        <v>#showcolumn</v>
      </c>
      <c r="BL1" t="str">
        <f t="shared" si="1"/>
        <v>#showcolumn</v>
      </c>
      <c r="BM1" t="str">
        <f t="shared" si="1"/>
        <v>#showcolumn</v>
      </c>
      <c r="BN1" t="str">
        <f>BB1</f>
        <v>#showcolumn</v>
      </c>
      <c r="BP1" s="47" t="s">
        <v>0</v>
      </c>
      <c r="BQ1" s="47" t="s">
        <v>0</v>
      </c>
      <c r="BR1" s="47" t="s">
        <v>0</v>
      </c>
      <c r="BS1" s="47" t="s">
        <v>0</v>
      </c>
      <c r="BT1" s="47" t="s">
        <v>0</v>
      </c>
      <c r="BU1" s="47" t="s">
        <v>0</v>
      </c>
      <c r="BV1" s="47" t="s">
        <v>0</v>
      </c>
      <c r="BW1" s="47" t="s">
        <v>0</v>
      </c>
      <c r="BX1" s="47" t="s">
        <v>0</v>
      </c>
      <c r="BY1" s="47" t="s">
        <v>0</v>
      </c>
      <c r="BZ1" s="47" t="s">
        <v>0</v>
      </c>
      <c r="CA1" s="47" t="s">
        <v>0</v>
      </c>
      <c r="CB1" s="47" t="s">
        <v>0</v>
      </c>
    </row>
    <row r="2" spans="1:80" ht="12.45" hidden="1" thickBot="1" x14ac:dyDescent="0.3">
      <c r="A2" t="s">
        <v>1</v>
      </c>
      <c r="B2" s="174"/>
      <c r="D2" s="4" t="s">
        <v>121</v>
      </c>
      <c r="E2" s="5"/>
      <c r="F2" s="5"/>
    </row>
    <row r="3" spans="1:80" hidden="1" x14ac:dyDescent="0.25">
      <c r="A3" t="s">
        <v>1</v>
      </c>
      <c r="D3" s="3" t="s">
        <v>122</v>
      </c>
      <c r="E3" s="3" t="s">
        <v>10</v>
      </c>
      <c r="F3" s="3" t="s">
        <v>11</v>
      </c>
      <c r="L3" s="175">
        <f t="shared" ref="L3:W3" si="2">Z3-1</f>
        <v>2025</v>
      </c>
      <c r="M3" s="175">
        <f t="shared" si="2"/>
        <v>2025</v>
      </c>
      <c r="N3" s="175">
        <f t="shared" si="2"/>
        <v>2025</v>
      </c>
      <c r="O3" s="175">
        <f t="shared" si="2"/>
        <v>2025</v>
      </c>
      <c r="P3" s="175">
        <f t="shared" si="2"/>
        <v>2025</v>
      </c>
      <c r="Q3" s="175">
        <f t="shared" si="2"/>
        <v>2025</v>
      </c>
      <c r="R3" s="175">
        <f t="shared" si="2"/>
        <v>2025</v>
      </c>
      <c r="S3" s="175">
        <f t="shared" si="2"/>
        <v>2025</v>
      </c>
      <c r="T3" s="175">
        <f t="shared" si="2"/>
        <v>2025</v>
      </c>
      <c r="U3" s="175">
        <f t="shared" si="2"/>
        <v>2025</v>
      </c>
      <c r="V3" s="175">
        <f t="shared" si="2"/>
        <v>2025</v>
      </c>
      <c r="W3" s="175">
        <f t="shared" si="2"/>
        <v>2025</v>
      </c>
      <c r="X3" s="176"/>
      <c r="Z3" s="175">
        <f>Scenario!$A$1</f>
        <v>2026</v>
      </c>
      <c r="AA3" s="175">
        <f>Scenario!$A$1</f>
        <v>2026</v>
      </c>
      <c r="AB3" s="175">
        <f>Scenario!$A$1</f>
        <v>2026</v>
      </c>
      <c r="AC3" s="175">
        <f>Scenario!$A$1</f>
        <v>2026</v>
      </c>
      <c r="AD3" s="175">
        <f>Scenario!$A$1</f>
        <v>2026</v>
      </c>
      <c r="AE3" s="175">
        <f>Scenario!$A$1</f>
        <v>2026</v>
      </c>
      <c r="AF3" s="175">
        <f>Scenario!$A$1</f>
        <v>2026</v>
      </c>
      <c r="AG3" s="175">
        <f>Scenario!$A$1</f>
        <v>2026</v>
      </c>
      <c r="AH3" s="175">
        <f>Scenario!$A$1</f>
        <v>2026</v>
      </c>
      <c r="AI3" s="175">
        <f>Scenario!$A$1</f>
        <v>2026</v>
      </c>
      <c r="AJ3" s="175">
        <f>Scenario!$A$1</f>
        <v>2026</v>
      </c>
      <c r="AK3" s="175">
        <f>Scenario!$A$1</f>
        <v>2026</v>
      </c>
      <c r="AL3" s="176"/>
      <c r="AN3" s="175">
        <f>Scenario!$A$1</f>
        <v>2026</v>
      </c>
      <c r="AO3" s="175">
        <f>Scenario!$A$1</f>
        <v>2026</v>
      </c>
      <c r="AP3" s="175">
        <f>Scenario!$A$1</f>
        <v>2026</v>
      </c>
      <c r="AQ3" s="175">
        <f>Scenario!$A$1</f>
        <v>2026</v>
      </c>
      <c r="AR3" s="175">
        <f>Scenario!$A$1</f>
        <v>2026</v>
      </c>
      <c r="AS3" s="175">
        <f>Scenario!$A$1</f>
        <v>2026</v>
      </c>
      <c r="AT3" s="175">
        <f>Scenario!$A$1</f>
        <v>2026</v>
      </c>
      <c r="AU3" s="175">
        <f>Scenario!$A$1</f>
        <v>2026</v>
      </c>
      <c r="AV3" s="175">
        <f>Scenario!$A$1</f>
        <v>2026</v>
      </c>
      <c r="AW3" s="175">
        <f>Scenario!$A$1</f>
        <v>2026</v>
      </c>
      <c r="AX3" s="175">
        <f>Scenario!$A$1</f>
        <v>2026</v>
      </c>
      <c r="AY3" s="175">
        <f>Scenario!$A$1</f>
        <v>2026</v>
      </c>
      <c r="AZ3" s="176"/>
      <c r="BB3" s="175">
        <f>Scenario!$A$1</f>
        <v>2026</v>
      </c>
      <c r="BC3" s="175">
        <f>Scenario!$A$1</f>
        <v>2026</v>
      </c>
      <c r="BD3" s="175">
        <f>Scenario!$A$1</f>
        <v>2026</v>
      </c>
      <c r="BE3" s="175">
        <f>Scenario!$A$1</f>
        <v>2026</v>
      </c>
      <c r="BF3" s="175">
        <f>Scenario!$A$1</f>
        <v>2026</v>
      </c>
      <c r="BG3" s="175">
        <f>Scenario!$A$1</f>
        <v>2026</v>
      </c>
      <c r="BH3" s="175">
        <f>Scenario!$A$1</f>
        <v>2026</v>
      </c>
      <c r="BI3" s="175">
        <f>Scenario!$A$1</f>
        <v>2026</v>
      </c>
      <c r="BJ3" s="175">
        <f>Scenario!$A$1</f>
        <v>2026</v>
      </c>
      <c r="BK3" s="175">
        <f>Scenario!$A$1</f>
        <v>2026</v>
      </c>
      <c r="BL3" s="175">
        <f>Scenario!$A$1</f>
        <v>2026</v>
      </c>
      <c r="BM3" s="175">
        <f>Scenario!$A$1</f>
        <v>2026</v>
      </c>
      <c r="BN3" s="176"/>
      <c r="BP3" s="57">
        <v>2024</v>
      </c>
      <c r="BQ3" s="57">
        <v>2024</v>
      </c>
      <c r="BR3" s="57">
        <v>2024</v>
      </c>
      <c r="BS3" s="57">
        <v>2024</v>
      </c>
      <c r="BT3" s="57">
        <v>2024</v>
      </c>
      <c r="BU3" s="57">
        <v>2024</v>
      </c>
      <c r="BV3" s="57">
        <v>2024</v>
      </c>
      <c r="BW3" s="57">
        <v>2024</v>
      </c>
      <c r="BX3" s="57">
        <v>2024</v>
      </c>
      <c r="BY3" s="57">
        <v>2024</v>
      </c>
      <c r="BZ3" s="57">
        <v>2024</v>
      </c>
      <c r="CA3" s="57">
        <v>2024</v>
      </c>
      <c r="CB3" s="207"/>
    </row>
    <row r="4" spans="1:80" hidden="1" x14ac:dyDescent="0.25">
      <c r="A4" t="s">
        <v>1</v>
      </c>
      <c r="D4" s="205" t="s">
        <v>92</v>
      </c>
      <c r="E4" s="28" t="s">
        <v>132</v>
      </c>
      <c r="F4" s="205" t="s">
        <v>12</v>
      </c>
      <c r="L4" s="175">
        <f>Z4</f>
        <v>1</v>
      </c>
      <c r="M4" s="175">
        <f t="shared" ref="M4:W4" si="3">AA4</f>
        <v>2</v>
      </c>
      <c r="N4" s="175">
        <f t="shared" si="3"/>
        <v>3</v>
      </c>
      <c r="O4" s="175">
        <f t="shared" si="3"/>
        <v>4</v>
      </c>
      <c r="P4" s="175">
        <f t="shared" si="3"/>
        <v>5</v>
      </c>
      <c r="Q4" s="175">
        <f t="shared" si="3"/>
        <v>6</v>
      </c>
      <c r="R4" s="175">
        <f t="shared" si="3"/>
        <v>7</v>
      </c>
      <c r="S4" s="175">
        <f t="shared" si="3"/>
        <v>8</v>
      </c>
      <c r="T4" s="175">
        <f t="shared" si="3"/>
        <v>9</v>
      </c>
      <c r="U4" s="175">
        <f t="shared" si="3"/>
        <v>10</v>
      </c>
      <c r="V4" s="175">
        <f t="shared" si="3"/>
        <v>11</v>
      </c>
      <c r="W4" s="175">
        <f t="shared" si="3"/>
        <v>12</v>
      </c>
      <c r="Z4" s="175">
        <f>1</f>
        <v>1</v>
      </c>
      <c r="AA4" s="175">
        <f>Z4+1</f>
        <v>2</v>
      </c>
      <c r="AB4" s="175">
        <f t="shared" ref="AB4:AK4" si="4">AA4+1</f>
        <v>3</v>
      </c>
      <c r="AC4" s="175">
        <f t="shared" si="4"/>
        <v>4</v>
      </c>
      <c r="AD4" s="175">
        <f t="shared" si="4"/>
        <v>5</v>
      </c>
      <c r="AE4" s="175">
        <f t="shared" si="4"/>
        <v>6</v>
      </c>
      <c r="AF4" s="175">
        <f t="shared" si="4"/>
        <v>7</v>
      </c>
      <c r="AG4" s="175">
        <f t="shared" si="4"/>
        <v>8</v>
      </c>
      <c r="AH4" s="175">
        <f t="shared" si="4"/>
        <v>9</v>
      </c>
      <c r="AI4" s="175">
        <f t="shared" si="4"/>
        <v>10</v>
      </c>
      <c r="AJ4" s="175">
        <f t="shared" si="4"/>
        <v>11</v>
      </c>
      <c r="AK4" s="175">
        <f t="shared" si="4"/>
        <v>12</v>
      </c>
      <c r="AN4" s="175">
        <f t="shared" ref="AN4:AY4" si="5">Z4</f>
        <v>1</v>
      </c>
      <c r="AO4" s="175">
        <f t="shared" si="5"/>
        <v>2</v>
      </c>
      <c r="AP4" s="175">
        <f t="shared" si="5"/>
        <v>3</v>
      </c>
      <c r="AQ4" s="175">
        <f t="shared" si="5"/>
        <v>4</v>
      </c>
      <c r="AR4" s="175">
        <f t="shared" si="5"/>
        <v>5</v>
      </c>
      <c r="AS4" s="175">
        <f t="shared" si="5"/>
        <v>6</v>
      </c>
      <c r="AT4" s="175">
        <f t="shared" si="5"/>
        <v>7</v>
      </c>
      <c r="AU4" s="175">
        <f t="shared" si="5"/>
        <v>8</v>
      </c>
      <c r="AV4" s="175">
        <f t="shared" si="5"/>
        <v>9</v>
      </c>
      <c r="AW4" s="175">
        <f t="shared" si="5"/>
        <v>10</v>
      </c>
      <c r="AX4" s="175">
        <f t="shared" si="5"/>
        <v>11</v>
      </c>
      <c r="AY4" s="175">
        <f t="shared" si="5"/>
        <v>12</v>
      </c>
      <c r="BB4" s="175">
        <f t="shared" ref="BB4:BM4" si="6">Z4</f>
        <v>1</v>
      </c>
      <c r="BC4" s="175">
        <f t="shared" si="6"/>
        <v>2</v>
      </c>
      <c r="BD4" s="175">
        <f t="shared" si="6"/>
        <v>3</v>
      </c>
      <c r="BE4" s="175">
        <f t="shared" si="6"/>
        <v>4</v>
      </c>
      <c r="BF4" s="175">
        <f t="shared" si="6"/>
        <v>5</v>
      </c>
      <c r="BG4" s="175">
        <f t="shared" si="6"/>
        <v>6</v>
      </c>
      <c r="BH4" s="175">
        <f t="shared" si="6"/>
        <v>7</v>
      </c>
      <c r="BI4" s="175">
        <f t="shared" si="6"/>
        <v>8</v>
      </c>
      <c r="BJ4" s="175">
        <f t="shared" si="6"/>
        <v>9</v>
      </c>
      <c r="BK4" s="175">
        <f t="shared" si="6"/>
        <v>10</v>
      </c>
      <c r="BL4" s="175">
        <f t="shared" si="6"/>
        <v>11</v>
      </c>
      <c r="BM4" s="175">
        <f t="shared" si="6"/>
        <v>12</v>
      </c>
      <c r="BP4" s="57" t="e">
        <f>#REF!</f>
        <v>#REF!</v>
      </c>
      <c r="BQ4" s="57" t="e">
        <f>#REF!</f>
        <v>#REF!</v>
      </c>
      <c r="BR4" s="57" t="e">
        <f>#REF!</f>
        <v>#REF!</v>
      </c>
      <c r="BS4" s="57" t="e">
        <f>#REF!</f>
        <v>#REF!</v>
      </c>
      <c r="BT4" s="57" t="e">
        <f>#REF!</f>
        <v>#REF!</v>
      </c>
      <c r="BU4" s="57" t="e">
        <f>#REF!</f>
        <v>#REF!</v>
      </c>
      <c r="BV4" s="57" t="e">
        <f>#REF!</f>
        <v>#REF!</v>
      </c>
      <c r="BW4" s="57" t="e">
        <f>#REF!</f>
        <v>#REF!</v>
      </c>
      <c r="BX4" s="57" t="e">
        <f>#REF!</f>
        <v>#REF!</v>
      </c>
      <c r="BY4" s="57">
        <f>AL4</f>
        <v>0</v>
      </c>
      <c r="BZ4" s="57" t="e">
        <f>#REF!</f>
        <v>#REF!</v>
      </c>
      <c r="CA4" s="57">
        <f>AM4</f>
        <v>0</v>
      </c>
    </row>
    <row r="5" spans="1:80" hidden="1" x14ac:dyDescent="0.25">
      <c r="A5" t="s">
        <v>1</v>
      </c>
      <c r="L5" s="175" t="str">
        <f>"Actual"</f>
        <v>Actual</v>
      </c>
      <c r="M5" s="175" t="str">
        <f t="shared" ref="M5:W5" si="7">"Actual"</f>
        <v>Actual</v>
      </c>
      <c r="N5" s="175" t="str">
        <f t="shared" si="7"/>
        <v>Actual</v>
      </c>
      <c r="O5" s="175" t="str">
        <f t="shared" si="7"/>
        <v>Actual</v>
      </c>
      <c r="P5" s="175" t="str">
        <f t="shared" si="7"/>
        <v>Actual</v>
      </c>
      <c r="Q5" s="175" t="str">
        <f t="shared" si="7"/>
        <v>Actual</v>
      </c>
      <c r="R5" s="175" t="str">
        <f t="shared" si="7"/>
        <v>Actual</v>
      </c>
      <c r="S5" s="175" t="str">
        <f t="shared" si="7"/>
        <v>Actual</v>
      </c>
      <c r="T5" s="175" t="str">
        <f t="shared" si="7"/>
        <v>Actual</v>
      </c>
      <c r="U5" s="175" t="str">
        <f t="shared" si="7"/>
        <v>Actual</v>
      </c>
      <c r="V5" s="175" t="str">
        <f t="shared" si="7"/>
        <v>Actual</v>
      </c>
      <c r="W5" s="175" t="str">
        <f t="shared" si="7"/>
        <v>Actual</v>
      </c>
      <c r="Z5" s="177" t="str">
        <f>IF(VALUE(TRIM(LEFT(Scenario!$A$4,2)))&gt;=Z4,"Actual",Scenario!$A$2)</f>
        <v>Actual</v>
      </c>
      <c r="AA5" s="177" t="str">
        <f>IF(VALUE(TRIM(LEFT(Scenario!$A$4,2)))&gt;=AA4,"Actual",Scenario!$A$2)</f>
        <v>Plan</v>
      </c>
      <c r="AB5" s="177" t="str">
        <f>IF(VALUE(TRIM(LEFT(Scenario!$A$4,2)))&gt;=AB4,"Actual",Scenario!$A$2)</f>
        <v>Plan</v>
      </c>
      <c r="AC5" s="177" t="str">
        <f>IF(VALUE(TRIM(LEFT(Scenario!$A$4,2)))&gt;=AC4,"Actual",Scenario!$A$2)</f>
        <v>Plan</v>
      </c>
      <c r="AD5" s="177" t="str">
        <f>IF(VALUE(TRIM(LEFT(Scenario!$A$4,2)))&gt;=AD4,"Actual",Scenario!$A$2)</f>
        <v>Plan</v>
      </c>
      <c r="AE5" s="177" t="str">
        <f>IF(VALUE(TRIM(LEFT(Scenario!$A$4,2)))&gt;=AE4,"Actual",Scenario!$A$2)</f>
        <v>Plan</v>
      </c>
      <c r="AF5" s="177" t="str">
        <f>IF(VALUE(TRIM(LEFT(Scenario!$A$4,2)))&gt;=AF4,"Actual",Scenario!$A$2)</f>
        <v>Plan</v>
      </c>
      <c r="AG5" s="177" t="str">
        <f>IF(VALUE(TRIM(LEFT(Scenario!$A$4,2)))&gt;=AG4,"Actual",Scenario!$A$2)</f>
        <v>Plan</v>
      </c>
      <c r="AH5" s="177" t="str">
        <f>IF(VALUE(TRIM(LEFT(Scenario!$A$4,2)))&gt;=AH4,"Actual",Scenario!$A$2)</f>
        <v>Plan</v>
      </c>
      <c r="AI5" s="177" t="str">
        <f>IF(VALUE(TRIM(LEFT(Scenario!$A$4,2)))&gt;=AI4,"Actual",Scenario!$A$2)</f>
        <v>Plan</v>
      </c>
      <c r="AJ5" s="177" t="str">
        <f>IF(VALUE(TRIM(LEFT(Scenario!$A$4,2)))&gt;=AJ4,"Actual",Scenario!$A$2)</f>
        <v>Plan</v>
      </c>
      <c r="AK5" s="177" t="str">
        <f>IF(VALUE(TRIM(LEFT(Scenario!$A$4,2)))&gt;=AK4,"Actual",Scenario!$A$2)</f>
        <v>Plan</v>
      </c>
      <c r="AN5" s="177" t="str">
        <f>Scenario!$A$2</f>
        <v>Plan</v>
      </c>
      <c r="AO5" s="177" t="str">
        <f>Scenario!$A$2</f>
        <v>Plan</v>
      </c>
      <c r="AP5" s="177" t="str">
        <f>Scenario!$A$2</f>
        <v>Plan</v>
      </c>
      <c r="AQ5" s="177" t="str">
        <f>Scenario!$A$2</f>
        <v>Plan</v>
      </c>
      <c r="AR5" s="177" t="str">
        <f>Scenario!$A$2</f>
        <v>Plan</v>
      </c>
      <c r="AS5" s="177" t="str">
        <f>Scenario!$A$2</f>
        <v>Plan</v>
      </c>
      <c r="AT5" s="177" t="str">
        <f>Scenario!$A$2</f>
        <v>Plan</v>
      </c>
      <c r="AU5" s="177" t="str">
        <f>Scenario!$A$2</f>
        <v>Plan</v>
      </c>
      <c r="AV5" s="177" t="str">
        <f>Scenario!$A$2</f>
        <v>Plan</v>
      </c>
      <c r="AW5" s="177" t="str">
        <f>Scenario!$A$2</f>
        <v>Plan</v>
      </c>
      <c r="AX5" s="177" t="str">
        <f>Scenario!$A$2</f>
        <v>Plan</v>
      </c>
      <c r="AY5" s="177" t="str">
        <f>Scenario!$A$2</f>
        <v>Plan</v>
      </c>
      <c r="BB5" s="175" t="s">
        <v>8</v>
      </c>
      <c r="BC5" s="175" t="s">
        <v>8</v>
      </c>
      <c r="BD5" s="175" t="s">
        <v>8</v>
      </c>
      <c r="BE5" s="175" t="s">
        <v>8</v>
      </c>
      <c r="BF5" s="175" t="s">
        <v>8</v>
      </c>
      <c r="BG5" s="175" t="s">
        <v>8</v>
      </c>
      <c r="BH5" s="175" t="s">
        <v>8</v>
      </c>
      <c r="BI5" s="175" t="s">
        <v>8</v>
      </c>
      <c r="BJ5" s="175" t="s">
        <v>8</v>
      </c>
      <c r="BK5" s="175" t="s">
        <v>8</v>
      </c>
      <c r="BL5" s="175" t="s">
        <v>8</v>
      </c>
      <c r="BM5" s="175" t="s">
        <v>8</v>
      </c>
      <c r="BP5" s="57" t="s">
        <v>8</v>
      </c>
      <c r="BQ5" s="57" t="s">
        <v>8</v>
      </c>
      <c r="BR5" s="57" t="s">
        <v>8</v>
      </c>
      <c r="BS5" s="57" t="s">
        <v>8</v>
      </c>
      <c r="BT5" s="57" t="s">
        <v>8</v>
      </c>
      <c r="BU5" s="57" t="s">
        <v>8</v>
      </c>
      <c r="BV5" s="57" t="s">
        <v>8</v>
      </c>
      <c r="BW5" s="57" t="s">
        <v>8</v>
      </c>
      <c r="BX5" s="57" t="s">
        <v>8</v>
      </c>
      <c r="BY5" s="57" t="s">
        <v>8</v>
      </c>
      <c r="BZ5" s="57" t="s">
        <v>8</v>
      </c>
      <c r="CA5" s="57" t="s">
        <v>8</v>
      </c>
    </row>
    <row r="6" spans="1:80" hidden="1" x14ac:dyDescent="0.25">
      <c r="A6" t="s">
        <v>1</v>
      </c>
      <c r="D6" s="206" t="s">
        <v>35</v>
      </c>
    </row>
    <row r="7" spans="1:80" hidden="1" x14ac:dyDescent="0.25">
      <c r="A7" t="s">
        <v>1</v>
      </c>
      <c r="D7" s="206" t="s">
        <v>93</v>
      </c>
    </row>
    <row r="8" spans="1:80" hidden="1" x14ac:dyDescent="0.25">
      <c r="A8" t="s">
        <v>1</v>
      </c>
      <c r="D8" s="206" t="s">
        <v>94</v>
      </c>
    </row>
    <row r="9" spans="1:80" hidden="1" x14ac:dyDescent="0.25">
      <c r="A9" t="s">
        <v>1</v>
      </c>
      <c r="D9" s="206" t="s">
        <v>95</v>
      </c>
    </row>
    <row r="10" spans="1:80" hidden="1" x14ac:dyDescent="0.25">
      <c r="A10" t="s">
        <v>1</v>
      </c>
      <c r="D10" s="206" t="s">
        <v>96</v>
      </c>
    </row>
    <row r="11" spans="1:80" hidden="1" x14ac:dyDescent="0.25">
      <c r="A11" t="s">
        <v>1</v>
      </c>
    </row>
    <row r="12" spans="1:80" ht="29.55" thickBot="1" x14ac:dyDescent="0.55000000000000004">
      <c r="C12" s="9" t="s">
        <v>123</v>
      </c>
      <c r="D12" s="9"/>
      <c r="E12" s="9"/>
      <c r="F12" s="9"/>
      <c r="G12" s="9"/>
    </row>
    <row r="13" spans="1:80" ht="18.649999999999999" x14ac:dyDescent="0.25">
      <c r="C13" s="10" t="str">
        <f>$D$4&amp;", "&amp;$E$4</f>
        <v>Undefined (Not Entity Specific), 610 (Paramount)</v>
      </c>
      <c r="E13" s="10"/>
      <c r="F13" s="10"/>
      <c r="G13" s="10"/>
      <c r="L13" s="178" t="s">
        <v>36</v>
      </c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Z13" s="178" t="s">
        <v>37</v>
      </c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 t="s">
        <v>37</v>
      </c>
      <c r="AN13" s="178" t="str">
        <f ca="1">AN14</f>
        <v>Plan</v>
      </c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 t="str">
        <f ca="1">AN13</f>
        <v>Plan</v>
      </c>
      <c r="BB13" s="178" t="s">
        <v>40</v>
      </c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 t="s">
        <v>40</v>
      </c>
      <c r="BP13" s="208" t="s">
        <v>124</v>
      </c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</row>
    <row r="14" spans="1:80" ht="14.5" x14ac:dyDescent="0.25">
      <c r="C14" s="11"/>
      <c r="D14" s="11"/>
      <c r="E14" s="11"/>
      <c r="F14" s="11"/>
      <c r="G14" s="11"/>
      <c r="H14" s="179"/>
      <c r="I14" s="179"/>
      <c r="J14" s="12"/>
      <c r="K14" s="12"/>
      <c r="L14" s="12" t="str">
        <f t="shared" ref="L14:W14" ca="1" si="8">IF(OFFSET(L5,0,-1)&lt;&gt;L5,L5,"")</f>
        <v>Actual</v>
      </c>
      <c r="M14" s="12" t="str">
        <f t="shared" ca="1" si="8"/>
        <v/>
      </c>
      <c r="N14" s="12" t="str">
        <f t="shared" ca="1" si="8"/>
        <v/>
      </c>
      <c r="O14" s="12" t="str">
        <f t="shared" ca="1" si="8"/>
        <v/>
      </c>
      <c r="P14" s="12" t="str">
        <f t="shared" ca="1" si="8"/>
        <v/>
      </c>
      <c r="Q14" s="12" t="str">
        <f t="shared" ca="1" si="8"/>
        <v/>
      </c>
      <c r="R14" s="12" t="str">
        <f t="shared" ca="1" si="8"/>
        <v/>
      </c>
      <c r="S14" s="12" t="str">
        <f t="shared" ca="1" si="8"/>
        <v/>
      </c>
      <c r="T14" s="12" t="str">
        <f t="shared" ca="1" si="8"/>
        <v/>
      </c>
      <c r="U14" s="12" t="str">
        <f t="shared" ca="1" si="8"/>
        <v/>
      </c>
      <c r="V14" s="12" t="str">
        <f t="shared" ca="1" si="8"/>
        <v/>
      </c>
      <c r="W14" s="12" t="str">
        <f t="shared" ca="1" si="8"/>
        <v/>
      </c>
      <c r="X14" s="179">
        <f>M3</f>
        <v>2025</v>
      </c>
      <c r="Z14" s="12" t="str">
        <f t="shared" ref="Z14:AK14" ca="1" si="9">IF(OFFSET(Z5,0,-1)&lt;&gt;Z5,Z5,"")</f>
        <v>Actual</v>
      </c>
      <c r="AA14" s="12" t="str">
        <f t="shared" ca="1" si="9"/>
        <v>Plan</v>
      </c>
      <c r="AB14" s="12" t="str">
        <f t="shared" ca="1" si="9"/>
        <v/>
      </c>
      <c r="AC14" s="12" t="str">
        <f t="shared" ca="1" si="9"/>
        <v/>
      </c>
      <c r="AD14" s="12" t="str">
        <f t="shared" ca="1" si="9"/>
        <v/>
      </c>
      <c r="AE14" s="12" t="str">
        <f t="shared" ca="1" si="9"/>
        <v/>
      </c>
      <c r="AF14" s="12" t="str">
        <f t="shared" ca="1" si="9"/>
        <v/>
      </c>
      <c r="AG14" s="12" t="str">
        <f t="shared" ca="1" si="9"/>
        <v/>
      </c>
      <c r="AH14" s="180" t="str">
        <f t="shared" ca="1" si="9"/>
        <v/>
      </c>
      <c r="AI14" s="12" t="str">
        <f t="shared" ca="1" si="9"/>
        <v/>
      </c>
      <c r="AJ14" s="12" t="str">
        <f t="shared" ca="1" si="9"/>
        <v/>
      </c>
      <c r="AK14" s="12" t="str">
        <f t="shared" ca="1" si="9"/>
        <v/>
      </c>
      <c r="AL14" s="179" t="s">
        <v>125</v>
      </c>
      <c r="AN14" s="12" t="str">
        <f t="shared" ref="AN14:AY14" ca="1" si="10">IF(OFFSET(AN5,0,-1)&lt;&gt;AN5,AN5,"")</f>
        <v>Plan</v>
      </c>
      <c r="AO14" s="12" t="str">
        <f t="shared" ca="1" si="10"/>
        <v/>
      </c>
      <c r="AP14" s="12" t="str">
        <f t="shared" ca="1" si="10"/>
        <v/>
      </c>
      <c r="AQ14" s="12" t="str">
        <f t="shared" ca="1" si="10"/>
        <v/>
      </c>
      <c r="AR14" s="12" t="str">
        <f t="shared" ca="1" si="10"/>
        <v/>
      </c>
      <c r="AS14" s="12" t="str">
        <f t="shared" ca="1" si="10"/>
        <v/>
      </c>
      <c r="AT14" s="12" t="str">
        <f t="shared" ca="1" si="10"/>
        <v/>
      </c>
      <c r="AU14" s="12" t="str">
        <f t="shared" ca="1" si="10"/>
        <v/>
      </c>
      <c r="AV14" s="12" t="str">
        <f t="shared" ca="1" si="10"/>
        <v/>
      </c>
      <c r="AW14" s="12" t="str">
        <f t="shared" ca="1" si="10"/>
        <v/>
      </c>
      <c r="AX14" s="12" t="str">
        <f t="shared" ca="1" si="10"/>
        <v/>
      </c>
      <c r="AY14" s="12" t="str">
        <f t="shared" ca="1" si="10"/>
        <v/>
      </c>
      <c r="AZ14" s="179">
        <f>AN3</f>
        <v>2026</v>
      </c>
      <c r="BB14" s="12" t="s">
        <v>40</v>
      </c>
      <c r="BC14" s="12" t="str">
        <f t="shared" ref="BC14:BM14" ca="1" si="11">IF(OFFSET(BC5,0,-1)&lt;&gt;BC5,BC5,"")</f>
        <v/>
      </c>
      <c r="BD14" s="12" t="str">
        <f t="shared" ca="1" si="11"/>
        <v/>
      </c>
      <c r="BE14" s="12" t="str">
        <f t="shared" ca="1" si="11"/>
        <v/>
      </c>
      <c r="BF14" s="12" t="str">
        <f t="shared" ca="1" si="11"/>
        <v/>
      </c>
      <c r="BG14" s="12" t="str">
        <f t="shared" ca="1" si="11"/>
        <v/>
      </c>
      <c r="BH14" s="12" t="str">
        <f t="shared" ca="1" si="11"/>
        <v/>
      </c>
      <c r="BI14" s="12" t="str">
        <f t="shared" ca="1" si="11"/>
        <v/>
      </c>
      <c r="BJ14" s="12" t="str">
        <f t="shared" ca="1" si="11"/>
        <v/>
      </c>
      <c r="BK14" s="12" t="str">
        <f t="shared" ca="1" si="11"/>
        <v/>
      </c>
      <c r="BL14" s="12" t="str">
        <f t="shared" ca="1" si="11"/>
        <v/>
      </c>
      <c r="BM14" s="12" t="str">
        <f t="shared" ca="1" si="11"/>
        <v/>
      </c>
      <c r="BN14" s="179" t="s">
        <v>40</v>
      </c>
      <c r="BP14" s="209" t="str">
        <f t="shared" ref="BP14:CA14" ca="1" si="12">IF(OFFSET(BP5,0,-1)&lt;&gt;BP5,BP5,"")</f>
        <v>Plan</v>
      </c>
      <c r="BQ14" s="209" t="str">
        <f t="shared" ca="1" si="12"/>
        <v/>
      </c>
      <c r="BR14" s="209" t="str">
        <f t="shared" ca="1" si="12"/>
        <v/>
      </c>
      <c r="BS14" s="209" t="str">
        <f t="shared" ca="1" si="12"/>
        <v/>
      </c>
      <c r="BT14" s="209" t="str">
        <f t="shared" ca="1" si="12"/>
        <v/>
      </c>
      <c r="BU14" s="209" t="str">
        <f t="shared" ca="1" si="12"/>
        <v/>
      </c>
      <c r="BV14" s="209" t="str">
        <f t="shared" ca="1" si="12"/>
        <v/>
      </c>
      <c r="BW14" s="209" t="str">
        <f t="shared" ca="1" si="12"/>
        <v/>
      </c>
      <c r="BX14" s="209" t="str">
        <f t="shared" ca="1" si="12"/>
        <v/>
      </c>
      <c r="BY14" s="209" t="str">
        <f t="shared" ca="1" si="12"/>
        <v/>
      </c>
      <c r="BZ14" s="209" t="str">
        <f t="shared" ca="1" si="12"/>
        <v/>
      </c>
      <c r="CA14" s="209" t="str">
        <f t="shared" ca="1" si="12"/>
        <v/>
      </c>
      <c r="CB14" s="210" t="s">
        <v>126</v>
      </c>
    </row>
    <row r="15" spans="1:80" ht="14.5" x14ac:dyDescent="0.25">
      <c r="C15" s="13"/>
      <c r="D15" s="13"/>
      <c r="E15" s="13"/>
      <c r="F15" s="13"/>
      <c r="G15" s="13" t="str">
        <f>"in "&amp;$F$4&amp;" currency"</f>
        <v>in Local currency</v>
      </c>
      <c r="H15" s="179"/>
      <c r="I15" s="179"/>
      <c r="J15" s="181"/>
      <c r="K15" s="181"/>
      <c r="L15" s="45" t="str">
        <f>_xlfn.XLOOKUP(L$4,'Month Name'!$D:$D, 'Month Name'!$C:$C)&amp;" "&amp;RIGHT(L3,2)</f>
        <v>Jan 25</v>
      </c>
      <c r="M15" s="45" t="str">
        <f>_xlfn.XLOOKUP(M$4,'Month Name'!$D:$D, 'Month Name'!$C:$C)&amp;" "&amp;RIGHT(M3,2)</f>
        <v>Feb 25</v>
      </c>
      <c r="N15" s="45" t="str">
        <f>_xlfn.XLOOKUP(N$4,'Month Name'!$D:$D, 'Month Name'!$C:$C)&amp;" "&amp;RIGHT(N3,2)</f>
        <v>Mar 25</v>
      </c>
      <c r="O15" s="45" t="str">
        <f>_xlfn.XLOOKUP(O$4,'Month Name'!$D:$D, 'Month Name'!$C:$C)&amp;" "&amp;RIGHT(O3,2)</f>
        <v>Apr 25</v>
      </c>
      <c r="P15" s="45" t="str">
        <f>_xlfn.XLOOKUP(P$4,'Month Name'!$D:$D, 'Month Name'!$C:$C)&amp;" "&amp;RIGHT(P3,2)</f>
        <v>May 25</v>
      </c>
      <c r="Q15" s="45" t="str">
        <f>_xlfn.XLOOKUP(Q$4,'Month Name'!$D:$D, 'Month Name'!$C:$C)&amp;" "&amp;RIGHT(Q3,2)</f>
        <v>Jun 25</v>
      </c>
      <c r="R15" s="45" t="str">
        <f>_xlfn.XLOOKUP(R$4,'Month Name'!$D:$D, 'Month Name'!$C:$C)&amp;" "&amp;RIGHT(R3,2)</f>
        <v>Jul 25</v>
      </c>
      <c r="S15" s="45" t="str">
        <f>_xlfn.XLOOKUP(S$4,'Month Name'!$D:$D, 'Month Name'!$C:$C)&amp;" "&amp;RIGHT(S3,2)</f>
        <v>Aug 25</v>
      </c>
      <c r="T15" s="45" t="str">
        <f>_xlfn.XLOOKUP(T$4,'Month Name'!$D:$D, 'Month Name'!$C:$C)&amp;" "&amp;RIGHT(T3,2)</f>
        <v>Sep 25</v>
      </c>
      <c r="U15" s="45" t="str">
        <f>_xlfn.XLOOKUP(U$4,'Month Name'!$D:$D, 'Month Name'!$C:$C)&amp;" "&amp;RIGHT(U3,2)</f>
        <v>Oct 25</v>
      </c>
      <c r="V15" s="45" t="str">
        <f>_xlfn.XLOOKUP(V$4,'Month Name'!$D:$D, 'Month Name'!$C:$C)&amp;" "&amp;RIGHT(V3,2)</f>
        <v>Nov 25</v>
      </c>
      <c r="W15" s="45" t="str">
        <f>_xlfn.XLOOKUP(W$4,'Month Name'!$D:$D, 'Month Name'!$C:$C)&amp;" "&amp;RIGHT(W3,2)</f>
        <v>Dec 25</v>
      </c>
      <c r="X15" s="179" t="s">
        <v>127</v>
      </c>
      <c r="Z15" s="45" t="str">
        <f>_xlfn.XLOOKUP(Z$4,'Month Name'!$D:$D, 'Month Name'!$C:$C)&amp;" "&amp;RIGHT(Z3,2)</f>
        <v>Jan 26</v>
      </c>
      <c r="AA15" s="45" t="str">
        <f>_xlfn.XLOOKUP(AA$4,'Month Name'!$D:$D, 'Month Name'!$C:$C)&amp;" "&amp;RIGHT(AA3,2)</f>
        <v>Feb 26</v>
      </c>
      <c r="AB15" s="45" t="str">
        <f>_xlfn.XLOOKUP(AB$4,'Month Name'!$D:$D, 'Month Name'!$C:$C)&amp;" "&amp;RIGHT(AB3,2)</f>
        <v>Mar 26</v>
      </c>
      <c r="AC15" s="45" t="str">
        <f>_xlfn.XLOOKUP(AC$4,'Month Name'!$D:$D, 'Month Name'!$C:$C)&amp;" "&amp;RIGHT(AC3,2)</f>
        <v>Apr 26</v>
      </c>
      <c r="AD15" s="45" t="str">
        <f>_xlfn.XLOOKUP(AD$4,'Month Name'!$D:$D, 'Month Name'!$C:$C)&amp;" "&amp;RIGHT(AD3,2)</f>
        <v>May 26</v>
      </c>
      <c r="AE15" s="45" t="str">
        <f>_xlfn.XLOOKUP(AE$4,'Month Name'!$D:$D, 'Month Name'!$C:$C)&amp;" "&amp;RIGHT(AE3,2)</f>
        <v>Jun 26</v>
      </c>
      <c r="AF15" s="45" t="str">
        <f>_xlfn.XLOOKUP(AF$4,'Month Name'!$D:$D, 'Month Name'!$C:$C)&amp;" "&amp;RIGHT(AF3,2)</f>
        <v>Jul 26</v>
      </c>
      <c r="AG15" s="45" t="str">
        <f>_xlfn.XLOOKUP(AG$4,'Month Name'!$D:$D, 'Month Name'!$C:$C)&amp;" "&amp;RIGHT(AG3,2)</f>
        <v>Aug 26</v>
      </c>
      <c r="AH15" s="45" t="str">
        <f>_xlfn.XLOOKUP(AH$4,'Month Name'!$D:$D, 'Month Name'!$C:$C)&amp;" "&amp;RIGHT(AH3,2)</f>
        <v>Sep 26</v>
      </c>
      <c r="AI15" s="45" t="str">
        <f>_xlfn.XLOOKUP(AI$4,'Month Name'!$D:$D, 'Month Name'!$C:$C)&amp;" "&amp;RIGHT(AI3,2)</f>
        <v>Oct 26</v>
      </c>
      <c r="AJ15" s="45" t="str">
        <f>_xlfn.XLOOKUP(AJ$4,'Month Name'!$D:$D, 'Month Name'!$C:$C)&amp;" "&amp;RIGHT(AJ3,2)</f>
        <v>Nov 26</v>
      </c>
      <c r="AK15" s="45" t="str">
        <f>_xlfn.XLOOKUP(AK$4,'Month Name'!$D:$D, 'Month Name'!$C:$C)&amp;" "&amp;RIGHT(AK3,2)</f>
        <v>Dec 26</v>
      </c>
      <c r="AL15" s="179" t="s">
        <v>127</v>
      </c>
      <c r="AN15" s="45" t="str">
        <f>_xlfn.XLOOKUP(AN$4,'Month Name'!$D:$D, 'Month Name'!$C:$C)&amp;" "&amp;RIGHT(AN3,2)</f>
        <v>Jan 26</v>
      </c>
      <c r="AO15" s="45" t="str">
        <f>_xlfn.XLOOKUP(AO$4,'Month Name'!$D:$D, 'Month Name'!$C:$C)&amp;" "&amp;RIGHT(AO3,2)</f>
        <v>Feb 26</v>
      </c>
      <c r="AP15" s="45" t="str">
        <f>_xlfn.XLOOKUP(AP$4,'Month Name'!$D:$D, 'Month Name'!$C:$C)&amp;" "&amp;RIGHT(AP3,2)</f>
        <v>Mar 26</v>
      </c>
      <c r="AQ15" s="45" t="str">
        <f>_xlfn.XLOOKUP(AQ$4,'Month Name'!$D:$D, 'Month Name'!$C:$C)&amp;" "&amp;RIGHT(AQ3,2)</f>
        <v>Apr 26</v>
      </c>
      <c r="AR15" s="45" t="str">
        <f>_xlfn.XLOOKUP(AR$4,'Month Name'!$D:$D, 'Month Name'!$C:$C)&amp;" "&amp;RIGHT(AR3,2)</f>
        <v>May 26</v>
      </c>
      <c r="AS15" s="45" t="str">
        <f>_xlfn.XLOOKUP(AS$4,'Month Name'!$D:$D, 'Month Name'!$C:$C)&amp;" "&amp;RIGHT(AS3,2)</f>
        <v>Jun 26</v>
      </c>
      <c r="AT15" s="45" t="str">
        <f>_xlfn.XLOOKUP(AT$4,'Month Name'!$D:$D, 'Month Name'!$C:$C)&amp;" "&amp;RIGHT(AT3,2)</f>
        <v>Jul 26</v>
      </c>
      <c r="AU15" s="45" t="str">
        <f>_xlfn.XLOOKUP(AU$4,'Month Name'!$D:$D, 'Month Name'!$C:$C)&amp;" "&amp;RIGHT(AU3,2)</f>
        <v>Aug 26</v>
      </c>
      <c r="AV15" s="45" t="str">
        <f>_xlfn.XLOOKUP(AV$4,'Month Name'!$D:$D, 'Month Name'!$C:$C)&amp;" "&amp;RIGHT(AV3,2)</f>
        <v>Sep 26</v>
      </c>
      <c r="AW15" s="45" t="str">
        <f>_xlfn.XLOOKUP(AW$4,'Month Name'!$D:$D, 'Month Name'!$C:$C)&amp;" "&amp;RIGHT(AW3,2)</f>
        <v>Oct 26</v>
      </c>
      <c r="AX15" s="45" t="str">
        <f>_xlfn.XLOOKUP(AX$4,'Month Name'!$D:$D, 'Month Name'!$C:$C)&amp;" "&amp;RIGHT(AX3,2)</f>
        <v>Nov 26</v>
      </c>
      <c r="AY15" s="45" t="str">
        <f>_xlfn.XLOOKUP(AY$4,'Month Name'!$D:$D, 'Month Name'!$C:$C)&amp;" "&amp;RIGHT(AY3,2)</f>
        <v>Dec 26</v>
      </c>
      <c r="AZ15" s="179" t="s">
        <v>127</v>
      </c>
      <c r="BB15" s="45" t="str">
        <f>_xlfn.XLOOKUP(BB$4,'Month Name'!$D:$D, 'Month Name'!$C:$C)&amp;" "&amp;RIGHT(BB3,2)</f>
        <v>Jan 26</v>
      </c>
      <c r="BC15" s="45" t="str">
        <f>_xlfn.XLOOKUP(BC$4,'Month Name'!$D:$D, 'Month Name'!$C:$C)&amp;" "&amp;RIGHT(BC3,2)</f>
        <v>Feb 26</v>
      </c>
      <c r="BD15" s="45" t="str">
        <f>_xlfn.XLOOKUP(BD$4,'Month Name'!$D:$D, 'Month Name'!$C:$C)&amp;" "&amp;RIGHT(BD3,2)</f>
        <v>Mar 26</v>
      </c>
      <c r="BE15" s="45" t="str">
        <f>_xlfn.XLOOKUP(BE$4,'Month Name'!$D:$D, 'Month Name'!$C:$C)&amp;" "&amp;RIGHT(BE3,2)</f>
        <v>Apr 26</v>
      </c>
      <c r="BF15" s="45" t="str">
        <f>_xlfn.XLOOKUP(BF$4,'Month Name'!$D:$D, 'Month Name'!$C:$C)&amp;" "&amp;RIGHT(BF3,2)</f>
        <v>May 26</v>
      </c>
      <c r="BG15" s="45" t="str">
        <f>_xlfn.XLOOKUP(BG$4,'Month Name'!$D:$D, 'Month Name'!$C:$C)&amp;" "&amp;RIGHT(BG3,2)</f>
        <v>Jun 26</v>
      </c>
      <c r="BH15" s="45" t="str">
        <f>_xlfn.XLOOKUP(BH$4,'Month Name'!$D:$D, 'Month Name'!$C:$C)&amp;" "&amp;RIGHT(BH3,2)</f>
        <v>Jul 26</v>
      </c>
      <c r="BI15" s="45" t="str">
        <f>_xlfn.XLOOKUP(BI$4,'Month Name'!$D:$D, 'Month Name'!$C:$C)&amp;" "&amp;RIGHT(BI3,2)</f>
        <v>Aug 26</v>
      </c>
      <c r="BJ15" s="45" t="str">
        <f>_xlfn.XLOOKUP(BJ$4,'Month Name'!$D:$D, 'Month Name'!$C:$C)&amp;" "&amp;RIGHT(BJ3,2)</f>
        <v>Sep 26</v>
      </c>
      <c r="BK15" s="45" t="str">
        <f>_xlfn.XLOOKUP(BK$4,'Month Name'!$D:$D, 'Month Name'!$C:$C)&amp;" "&amp;RIGHT(BK3,2)</f>
        <v>Oct 26</v>
      </c>
      <c r="BL15" s="45" t="str">
        <f>_xlfn.XLOOKUP(BL$4,'Month Name'!$D:$D, 'Month Name'!$C:$C)&amp;" "&amp;RIGHT(BL3,2)</f>
        <v>Nov 26</v>
      </c>
      <c r="BM15" s="45" t="str">
        <f>_xlfn.XLOOKUP(BM$4,'Month Name'!$D:$D, 'Month Name'!$C:$C)&amp;" "&amp;RIGHT(BM3,2)</f>
        <v>Dec 26</v>
      </c>
      <c r="BN15" s="179" t="s">
        <v>127</v>
      </c>
      <c r="BP15" s="211">
        <v>45292</v>
      </c>
      <c r="BQ15" s="211">
        <v>45323</v>
      </c>
      <c r="BR15" s="211">
        <v>45352</v>
      </c>
      <c r="BS15" s="211">
        <v>45383</v>
      </c>
      <c r="BT15" s="211">
        <v>45413</v>
      </c>
      <c r="BU15" s="211">
        <v>45444</v>
      </c>
      <c r="BV15" s="211">
        <v>45474</v>
      </c>
      <c r="BW15" s="211">
        <v>45505</v>
      </c>
      <c r="BX15" s="211">
        <v>45536</v>
      </c>
      <c r="BY15" s="211">
        <v>45566</v>
      </c>
      <c r="BZ15" s="211">
        <v>45597</v>
      </c>
      <c r="CA15" s="211">
        <v>45627</v>
      </c>
      <c r="CB15" s="210" t="s">
        <v>127</v>
      </c>
    </row>
    <row r="18" spans="1:80" ht="14.5" hidden="1" thickBot="1" x14ac:dyDescent="0.3">
      <c r="A18" s="14" t="s">
        <v>1</v>
      </c>
      <c r="B18" s="15"/>
      <c r="G18" s="182" t="s">
        <v>22</v>
      </c>
      <c r="H18" s="16" t="s">
        <v>23</v>
      </c>
      <c r="I18" s="16"/>
      <c r="J18" s="183"/>
      <c r="K18" s="17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4">
        <f>SUM(L18:W18)</f>
        <v>0</v>
      </c>
      <c r="Y18" s="15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4">
        <f>SUM(Z18:AK18)</f>
        <v>0</v>
      </c>
      <c r="AM18" s="15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4">
        <f>SUM(AN18:AY18)</f>
        <v>0</v>
      </c>
      <c r="BA18" s="15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4">
        <f>SUM(BB18:BM18)</f>
        <v>0</v>
      </c>
      <c r="BO18" s="15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3">
        <f>SUM(BP18:CA18)</f>
        <v>0</v>
      </c>
    </row>
    <row r="19" spans="1:80" ht="12.45" thickBot="1" x14ac:dyDescent="0.3">
      <c r="C19" s="4" t="s">
        <v>7</v>
      </c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</row>
    <row r="20" spans="1:80" ht="11.95" hidden="1" thickBot="1" x14ac:dyDescent="0.3">
      <c r="A20" t="s">
        <v>1</v>
      </c>
      <c r="E20" s="3"/>
      <c r="F20" s="3"/>
      <c r="G20" s="3" t="s">
        <v>7</v>
      </c>
      <c r="H20" s="3"/>
      <c r="I20" s="18"/>
      <c r="J20" s="18"/>
      <c r="K20" s="18"/>
      <c r="L20" s="185">
        <v>226548.43</v>
      </c>
      <c r="M20" s="185">
        <v>239134.62</v>
      </c>
      <c r="N20" s="185">
        <v>365757</v>
      </c>
      <c r="O20" s="185">
        <v>190531.97</v>
      </c>
      <c r="P20" s="185">
        <v>257757.07</v>
      </c>
      <c r="Q20" s="185">
        <v>328890.09999999998</v>
      </c>
      <c r="R20" s="185">
        <v>216366.24</v>
      </c>
      <c r="S20" s="185">
        <v>370508.5</v>
      </c>
      <c r="T20" s="185">
        <v>573922.89</v>
      </c>
      <c r="U20" s="185">
        <v>312491.74</v>
      </c>
      <c r="V20" s="185">
        <v>503160.74</v>
      </c>
      <c r="W20" s="185">
        <v>642665.54</v>
      </c>
      <c r="X20" s="186">
        <f>SUM(L20:W20)</f>
        <v>4227734.84</v>
      </c>
      <c r="Y20" s="219"/>
      <c r="Z20" s="185">
        <v>407767.86</v>
      </c>
      <c r="AA20" s="185">
        <v>515803.95869718201</v>
      </c>
      <c r="AB20" s="185">
        <v>644754.94837147801</v>
      </c>
      <c r="AC20" s="185">
        <v>515803.95869718201</v>
      </c>
      <c r="AD20" s="185">
        <v>515803.95869718201</v>
      </c>
      <c r="AE20" s="185">
        <v>644754.94837147801</v>
      </c>
      <c r="AF20" s="185">
        <v>515803.95869718201</v>
      </c>
      <c r="AG20" s="185">
        <v>515803.95869718201</v>
      </c>
      <c r="AH20" s="185">
        <v>644754.94837147801</v>
      </c>
      <c r="AI20" s="185">
        <v>515803.95869718201</v>
      </c>
      <c r="AJ20" s="185">
        <v>515803.95869718201</v>
      </c>
      <c r="AK20" s="185">
        <v>644754.94837147801</v>
      </c>
      <c r="AL20" s="186">
        <f>SUM(Z20:AK20)</f>
        <v>6597415.3643661868</v>
      </c>
      <c r="AM20" s="221"/>
      <c r="AN20" s="187">
        <v>515803.95869718201</v>
      </c>
      <c r="AO20" s="187">
        <v>515803.95869718201</v>
      </c>
      <c r="AP20" s="187">
        <v>644754.94837147801</v>
      </c>
      <c r="AQ20" s="187">
        <v>515803.95869718201</v>
      </c>
      <c r="AR20" s="187">
        <v>515803.95869718201</v>
      </c>
      <c r="AS20" s="187">
        <v>644754.94837147801</v>
      </c>
      <c r="AT20" s="187">
        <v>515803.95869718201</v>
      </c>
      <c r="AU20" s="187">
        <v>515803.95869718201</v>
      </c>
      <c r="AV20" s="187">
        <v>644754.94837147801</v>
      </c>
      <c r="AW20" s="187">
        <v>515803.95869718201</v>
      </c>
      <c r="AX20" s="187">
        <v>515803.95869718201</v>
      </c>
      <c r="AY20" s="187">
        <v>644754.94837147801</v>
      </c>
      <c r="AZ20" s="186">
        <f>SUM(AN20:AY20)</f>
        <v>6705451.4630633695</v>
      </c>
      <c r="BA20" s="221"/>
      <c r="BB20" s="187">
        <v>515803.95869718201</v>
      </c>
      <c r="BC20" s="187">
        <v>515803.95869718201</v>
      </c>
      <c r="BD20" s="187">
        <v>644754.94837147801</v>
      </c>
      <c r="BE20" s="187">
        <v>515803.95869718201</v>
      </c>
      <c r="BF20" s="187">
        <v>515803.95869718201</v>
      </c>
      <c r="BG20" s="187">
        <v>644754.94837147801</v>
      </c>
      <c r="BH20" s="187">
        <v>515803.95869718201</v>
      </c>
      <c r="BI20" s="187">
        <v>515803.95869718201</v>
      </c>
      <c r="BJ20" s="187">
        <v>644754.94837147801</v>
      </c>
      <c r="BK20" s="187">
        <v>515803.95869718201</v>
      </c>
      <c r="BL20" s="187">
        <v>515803.95869718201</v>
      </c>
      <c r="BM20" s="187">
        <v>644754.94837147801</v>
      </c>
      <c r="BN20" s="186">
        <f>SUM(BB20:BM20)</f>
        <v>6705451.4630633695</v>
      </c>
      <c r="BP20"/>
      <c r="BQ20"/>
      <c r="BR20"/>
      <c r="BS20"/>
      <c r="BT20"/>
      <c r="BU20"/>
      <c r="BV20"/>
      <c r="BW20"/>
      <c r="BX20"/>
      <c r="BY20"/>
      <c r="BZ20"/>
      <c r="CA20"/>
      <c r="CB20">
        <f>SUM(BP20:CA20)</f>
        <v>0</v>
      </c>
    </row>
    <row r="21" spans="1:80" ht="11.95" thickBot="1" x14ac:dyDescent="0.3">
      <c r="A21" t="str">
        <f t="shared" ref="A21:A28" si="13">IF(LEFT(G21,3)="Mul", "#hiderow", "#showrow")</f>
        <v>#showrow</v>
      </c>
      <c r="E21" s="3"/>
      <c r="F21" s="3"/>
      <c r="G21" s="253" t="s">
        <v>74</v>
      </c>
      <c r="H21" s="3"/>
      <c r="I21" s="18"/>
      <c r="J21" s="18"/>
      <c r="K21" s="18"/>
      <c r="L21" s="185">
        <v>226548.43</v>
      </c>
      <c r="M21" s="185">
        <v>239134.62</v>
      </c>
      <c r="N21" s="185">
        <v>365757</v>
      </c>
      <c r="O21" s="185">
        <v>190531.97</v>
      </c>
      <c r="P21" s="185">
        <v>257757.07</v>
      </c>
      <c r="Q21" s="185">
        <v>328890.09999999998</v>
      </c>
      <c r="R21" s="185">
        <v>216366.24</v>
      </c>
      <c r="S21" s="185">
        <v>370508.5</v>
      </c>
      <c r="T21" s="185">
        <v>573922.89</v>
      </c>
      <c r="U21" s="185">
        <v>312491.74</v>
      </c>
      <c r="V21" s="185">
        <v>503160.74</v>
      </c>
      <c r="W21" s="185">
        <v>642665.54</v>
      </c>
      <c r="X21" s="186">
        <f t="shared" ref="X21:X28" si="14">SUM(L21:W21)</f>
        <v>4227734.84</v>
      </c>
      <c r="Y21" s="219"/>
      <c r="Z21" s="185">
        <v>407767.86</v>
      </c>
      <c r="AA21" s="185">
        <v>515803.95869718201</v>
      </c>
      <c r="AB21" s="185">
        <v>644754.94837147801</v>
      </c>
      <c r="AC21" s="185">
        <v>515803.95869718201</v>
      </c>
      <c r="AD21" s="185">
        <v>515803.95869718201</v>
      </c>
      <c r="AE21" s="185">
        <v>644754.94837147801</v>
      </c>
      <c r="AF21" s="185">
        <v>515803.95869718201</v>
      </c>
      <c r="AG21" s="185">
        <v>515803.95869718201</v>
      </c>
      <c r="AH21" s="185">
        <v>644754.94837147801</v>
      </c>
      <c r="AI21" s="185">
        <v>515803.95869718201</v>
      </c>
      <c r="AJ21" s="185">
        <v>515803.95869718201</v>
      </c>
      <c r="AK21" s="185">
        <v>644754.94837147801</v>
      </c>
      <c r="AL21" s="186">
        <f t="shared" ref="AL21:AL28" si="15">SUM(Z21:AK21)</f>
        <v>6597415.3643661868</v>
      </c>
      <c r="AM21" s="221"/>
      <c r="AN21" s="187">
        <v>515803.95869718201</v>
      </c>
      <c r="AO21" s="187">
        <v>515803.95869718201</v>
      </c>
      <c r="AP21" s="187">
        <v>644754.94837147801</v>
      </c>
      <c r="AQ21" s="187">
        <v>515803.95869718201</v>
      </c>
      <c r="AR21" s="187">
        <v>515803.95869718201</v>
      </c>
      <c r="AS21" s="187">
        <v>644754.94837147801</v>
      </c>
      <c r="AT21" s="187">
        <v>515803.95869718201</v>
      </c>
      <c r="AU21" s="187">
        <v>515803.95869718201</v>
      </c>
      <c r="AV21" s="187">
        <v>644754.94837147801</v>
      </c>
      <c r="AW21" s="187">
        <v>515803.95869718201</v>
      </c>
      <c r="AX21" s="187">
        <v>515803.95869718201</v>
      </c>
      <c r="AY21" s="187">
        <v>644754.94837147801</v>
      </c>
      <c r="AZ21" s="186">
        <f t="shared" ref="AZ21:AZ28" si="16">SUM(AN21:AY21)</f>
        <v>6705451.4630633695</v>
      </c>
      <c r="BA21" s="221"/>
      <c r="BB21" s="187">
        <v>515803.95869718201</v>
      </c>
      <c r="BC21" s="187">
        <v>515803.95869718201</v>
      </c>
      <c r="BD21" s="187">
        <v>644754.94837147801</v>
      </c>
      <c r="BE21" s="187">
        <v>515803.95869718201</v>
      </c>
      <c r="BF21" s="187">
        <v>515803.95869718201</v>
      </c>
      <c r="BG21" s="187">
        <v>644754.94837147801</v>
      </c>
      <c r="BH21" s="187">
        <v>515803.95869718201</v>
      </c>
      <c r="BI21" s="187">
        <v>515803.95869718201</v>
      </c>
      <c r="BJ21" s="187">
        <v>644754.94837147801</v>
      </c>
      <c r="BK21" s="187">
        <v>515803.95869718201</v>
      </c>
      <c r="BL21" s="187">
        <v>515803.95869718201</v>
      </c>
      <c r="BM21" s="187">
        <v>644754.94837147801</v>
      </c>
      <c r="BN21" s="186">
        <f t="shared" ref="BN21:BN28" si="17">SUM(BB21:BM21)</f>
        <v>6705451.4630633695</v>
      </c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 spans="1:80" ht="11.95" hidden="1" outlineLevel="1" thickBot="1" x14ac:dyDescent="0.3">
      <c r="A22" t="str">
        <f t="shared" si="13"/>
        <v>#hiderow</v>
      </c>
      <c r="E22" s="3"/>
      <c r="F22" s="3"/>
      <c r="G22" s="257" t="s">
        <v>6</v>
      </c>
      <c r="H22" s="131"/>
      <c r="I22" s="18"/>
      <c r="J22" s="18"/>
      <c r="K22" s="18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6">
        <f t="shared" si="14"/>
        <v>0</v>
      </c>
      <c r="Y22" s="219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6">
        <f t="shared" si="15"/>
        <v>0</v>
      </c>
      <c r="AM22" s="221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6">
        <f t="shared" si="16"/>
        <v>0</v>
      </c>
      <c r="BA22" s="221"/>
      <c r="BB22" s="187"/>
      <c r="BC22" s="187"/>
      <c r="BD22" s="187"/>
      <c r="BE22" s="187"/>
      <c r="BF22" s="187"/>
      <c r="BG22" s="187"/>
      <c r="BH22" s="187"/>
      <c r="BI22" s="187"/>
      <c r="BJ22" s="187"/>
      <c r="BK22" s="187"/>
      <c r="BL22" s="187"/>
      <c r="BM22" s="187"/>
      <c r="BN22" s="186">
        <f t="shared" si="17"/>
        <v>0</v>
      </c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 spans="1:80" ht="11.95" outlineLevel="1" thickBot="1" x14ac:dyDescent="0.3">
      <c r="A23" t="str">
        <f t="shared" ref="A23:A24" si="18">IF(LEFT(G23,3)="Mul", "#hiderow", "#showrow")</f>
        <v>#showrow</v>
      </c>
      <c r="E23" s="3"/>
      <c r="F23" s="3"/>
      <c r="G23" s="257" t="s">
        <v>163</v>
      </c>
      <c r="H23" s="131"/>
      <c r="I23" s="18"/>
      <c r="J23" s="18"/>
      <c r="K23" s="18"/>
      <c r="L23" s="185">
        <v>32732.99</v>
      </c>
      <c r="M23" s="185">
        <v>85817.91</v>
      </c>
      <c r="N23" s="185">
        <v>139571.35</v>
      </c>
      <c r="O23" s="185">
        <v>83958.39</v>
      </c>
      <c r="P23" s="185">
        <v>99882.07</v>
      </c>
      <c r="Q23" s="185">
        <v>135018.04</v>
      </c>
      <c r="R23" s="185">
        <v>85002.33</v>
      </c>
      <c r="S23" s="185">
        <v>107783.64</v>
      </c>
      <c r="T23" s="185">
        <v>147723.35</v>
      </c>
      <c r="U23" s="185">
        <v>105311.71</v>
      </c>
      <c r="V23" s="185">
        <v>138758.22</v>
      </c>
      <c r="W23" s="185">
        <v>104270.61</v>
      </c>
      <c r="X23" s="186">
        <f t="shared" ref="X23:X24" si="19">SUM(L23:W23)</f>
        <v>1265830.6100000001</v>
      </c>
      <c r="Y23" s="219"/>
      <c r="Z23" s="185">
        <v>69840.67</v>
      </c>
      <c r="AA23" s="185">
        <v>114740.410407485</v>
      </c>
      <c r="AB23" s="185">
        <v>143425.513009357</v>
      </c>
      <c r="AC23" s="185">
        <v>114740.410407485</v>
      </c>
      <c r="AD23" s="185">
        <v>114740.410407485</v>
      </c>
      <c r="AE23" s="185">
        <v>143425.513009357</v>
      </c>
      <c r="AF23" s="185">
        <v>114740.410407485</v>
      </c>
      <c r="AG23" s="185">
        <v>114740.410407485</v>
      </c>
      <c r="AH23" s="185">
        <v>143425.513009357</v>
      </c>
      <c r="AI23" s="185">
        <v>114740.410407485</v>
      </c>
      <c r="AJ23" s="185">
        <v>114740.410407485</v>
      </c>
      <c r="AK23" s="185">
        <v>143425.513009357</v>
      </c>
      <c r="AL23" s="186">
        <f t="shared" ref="AL23:AL24" si="20">SUM(Z23:AK23)</f>
        <v>1446725.5948898229</v>
      </c>
      <c r="AM23" s="221"/>
      <c r="AN23" s="187">
        <v>114740.410407485</v>
      </c>
      <c r="AO23" s="187">
        <v>114740.410407485</v>
      </c>
      <c r="AP23" s="187">
        <v>143425.513009357</v>
      </c>
      <c r="AQ23" s="187">
        <v>114740.410407485</v>
      </c>
      <c r="AR23" s="187">
        <v>114740.410407485</v>
      </c>
      <c r="AS23" s="187">
        <v>143425.513009357</v>
      </c>
      <c r="AT23" s="187">
        <v>114740.410407485</v>
      </c>
      <c r="AU23" s="187">
        <v>114740.410407485</v>
      </c>
      <c r="AV23" s="187">
        <v>143425.513009357</v>
      </c>
      <c r="AW23" s="187">
        <v>114740.410407485</v>
      </c>
      <c r="AX23" s="187">
        <v>114740.410407485</v>
      </c>
      <c r="AY23" s="187">
        <v>143425.513009357</v>
      </c>
      <c r="AZ23" s="186">
        <f t="shared" ref="AZ23:AZ24" si="21">SUM(AN23:AY23)</f>
        <v>1491625.3352973079</v>
      </c>
      <c r="BA23" s="221"/>
      <c r="BB23" s="187">
        <v>114740.410407485</v>
      </c>
      <c r="BC23" s="187">
        <v>114740.410407485</v>
      </c>
      <c r="BD23" s="187">
        <v>143425.513009357</v>
      </c>
      <c r="BE23" s="187">
        <v>114740.410407485</v>
      </c>
      <c r="BF23" s="187">
        <v>114740.410407485</v>
      </c>
      <c r="BG23" s="187">
        <v>143425.513009357</v>
      </c>
      <c r="BH23" s="187">
        <v>114740.410407485</v>
      </c>
      <c r="BI23" s="187">
        <v>114740.410407485</v>
      </c>
      <c r="BJ23" s="187">
        <v>143425.513009357</v>
      </c>
      <c r="BK23" s="187">
        <v>114740.410407485</v>
      </c>
      <c r="BL23" s="187">
        <v>114740.410407485</v>
      </c>
      <c r="BM23" s="187">
        <v>143425.513009357</v>
      </c>
      <c r="BN23" s="186">
        <f t="shared" ref="BN23:BN24" si="22">SUM(BB23:BM23)</f>
        <v>1491625.3352973079</v>
      </c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 spans="1:80" ht="11.95" outlineLevel="1" thickBot="1" x14ac:dyDescent="0.3">
      <c r="A24" t="str">
        <f t="shared" si="18"/>
        <v>#showrow</v>
      </c>
      <c r="E24" s="3"/>
      <c r="F24" s="3"/>
      <c r="G24" s="257" t="s">
        <v>134</v>
      </c>
      <c r="H24" s="131"/>
      <c r="I24" s="18"/>
      <c r="J24" s="18"/>
      <c r="K24" s="18"/>
      <c r="L24" s="185">
        <v>193815.44</v>
      </c>
      <c r="M24" s="185">
        <v>153316.71</v>
      </c>
      <c r="N24" s="185">
        <v>226185.65</v>
      </c>
      <c r="O24" s="185">
        <v>106573.58</v>
      </c>
      <c r="P24" s="185">
        <v>157875</v>
      </c>
      <c r="Q24" s="185">
        <v>193872.06</v>
      </c>
      <c r="R24" s="185">
        <v>131363.91</v>
      </c>
      <c r="S24" s="185">
        <v>262724.86</v>
      </c>
      <c r="T24" s="185">
        <v>426199.54</v>
      </c>
      <c r="U24" s="185">
        <v>207180.03</v>
      </c>
      <c r="V24" s="185">
        <v>364402.52</v>
      </c>
      <c r="W24" s="185">
        <v>538394.93000000005</v>
      </c>
      <c r="X24" s="186">
        <f t="shared" si="19"/>
        <v>2961904.23</v>
      </c>
      <c r="Y24" s="219"/>
      <c r="Z24" s="185">
        <v>337927.19</v>
      </c>
      <c r="AA24" s="185">
        <v>401063.54828969698</v>
      </c>
      <c r="AB24" s="185">
        <v>501329.43536212097</v>
      </c>
      <c r="AC24" s="185">
        <v>401063.54828969698</v>
      </c>
      <c r="AD24" s="185">
        <v>401063.54828969698</v>
      </c>
      <c r="AE24" s="185">
        <v>501329.43536212097</v>
      </c>
      <c r="AF24" s="185">
        <v>401063.54828969698</v>
      </c>
      <c r="AG24" s="185">
        <v>401063.54828969698</v>
      </c>
      <c r="AH24" s="185">
        <v>501329.43536212097</v>
      </c>
      <c r="AI24" s="185">
        <v>401063.54828969698</v>
      </c>
      <c r="AJ24" s="185">
        <v>401063.54828969698</v>
      </c>
      <c r="AK24" s="185">
        <v>501329.43536212097</v>
      </c>
      <c r="AL24" s="186">
        <f t="shared" si="20"/>
        <v>5150689.7694763625</v>
      </c>
      <c r="AM24" s="221"/>
      <c r="AN24" s="187">
        <v>401063.54828969698</v>
      </c>
      <c r="AO24" s="187">
        <v>401063.54828969698</v>
      </c>
      <c r="AP24" s="187">
        <v>501329.43536212097</v>
      </c>
      <c r="AQ24" s="187">
        <v>401063.54828969698</v>
      </c>
      <c r="AR24" s="187">
        <v>401063.54828969698</v>
      </c>
      <c r="AS24" s="187">
        <v>501329.43536212097</v>
      </c>
      <c r="AT24" s="187">
        <v>401063.54828969698</v>
      </c>
      <c r="AU24" s="187">
        <v>401063.54828969698</v>
      </c>
      <c r="AV24" s="187">
        <v>501329.43536212097</v>
      </c>
      <c r="AW24" s="187">
        <v>401063.54828969698</v>
      </c>
      <c r="AX24" s="187">
        <v>401063.54828969698</v>
      </c>
      <c r="AY24" s="187">
        <v>501329.43536212097</v>
      </c>
      <c r="AZ24" s="186">
        <f t="shared" si="21"/>
        <v>5213826.1277660597</v>
      </c>
      <c r="BA24" s="221"/>
      <c r="BB24" s="187">
        <v>401063.54828969698</v>
      </c>
      <c r="BC24" s="187">
        <v>401063.54828969698</v>
      </c>
      <c r="BD24" s="187">
        <v>501329.43536212097</v>
      </c>
      <c r="BE24" s="187">
        <v>401063.54828969698</v>
      </c>
      <c r="BF24" s="187">
        <v>401063.54828969698</v>
      </c>
      <c r="BG24" s="187">
        <v>501329.43536212097</v>
      </c>
      <c r="BH24" s="187">
        <v>401063.54828969698</v>
      </c>
      <c r="BI24" s="187">
        <v>401063.54828969698</v>
      </c>
      <c r="BJ24" s="187">
        <v>501329.43536212097</v>
      </c>
      <c r="BK24" s="187">
        <v>401063.54828969698</v>
      </c>
      <c r="BL24" s="187">
        <v>401063.54828969698</v>
      </c>
      <c r="BM24" s="187">
        <v>501329.43536212097</v>
      </c>
      <c r="BN24" s="186">
        <f t="shared" si="22"/>
        <v>5213826.1277660597</v>
      </c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spans="1:80" ht="11.95" collapsed="1" thickBot="1" x14ac:dyDescent="0.3">
      <c r="A25" t="str">
        <f t="shared" si="13"/>
        <v>#showrow</v>
      </c>
      <c r="E25" s="3"/>
      <c r="F25" s="3"/>
      <c r="G25" s="253" t="s">
        <v>97</v>
      </c>
      <c r="H25" s="3"/>
      <c r="I25" s="18"/>
      <c r="J25" s="18"/>
      <c r="K25" s="18"/>
      <c r="L25" s="185">
        <v>0</v>
      </c>
      <c r="M25" s="185">
        <v>0</v>
      </c>
      <c r="N25" s="185">
        <v>0</v>
      </c>
      <c r="O25" s="185">
        <v>0</v>
      </c>
      <c r="P25" s="185">
        <v>0</v>
      </c>
      <c r="Q25" s="185">
        <v>0</v>
      </c>
      <c r="R25" s="185">
        <v>0</v>
      </c>
      <c r="S25" s="185">
        <v>0</v>
      </c>
      <c r="T25" s="185">
        <v>0</v>
      </c>
      <c r="U25" s="185">
        <v>0</v>
      </c>
      <c r="V25" s="185">
        <v>0</v>
      </c>
      <c r="W25" s="185">
        <v>0</v>
      </c>
      <c r="X25" s="186">
        <f t="shared" si="14"/>
        <v>0</v>
      </c>
      <c r="Y25" s="219"/>
      <c r="Z25" s="185">
        <v>0</v>
      </c>
      <c r="AA25" s="185">
        <v>0</v>
      </c>
      <c r="AB25" s="185">
        <v>0</v>
      </c>
      <c r="AC25" s="185">
        <v>0</v>
      </c>
      <c r="AD25" s="185">
        <v>0</v>
      </c>
      <c r="AE25" s="185">
        <v>0</v>
      </c>
      <c r="AF25" s="185">
        <v>0</v>
      </c>
      <c r="AG25" s="185">
        <v>0</v>
      </c>
      <c r="AH25" s="185">
        <v>0</v>
      </c>
      <c r="AI25" s="185">
        <v>0</v>
      </c>
      <c r="AJ25" s="185">
        <v>0</v>
      </c>
      <c r="AK25" s="185">
        <v>0</v>
      </c>
      <c r="AL25" s="186">
        <f t="shared" si="15"/>
        <v>0</v>
      </c>
      <c r="AM25" s="221"/>
      <c r="AN25" s="187">
        <v>0</v>
      </c>
      <c r="AO25" s="187">
        <v>0</v>
      </c>
      <c r="AP25" s="187">
        <v>0</v>
      </c>
      <c r="AQ25" s="187">
        <v>0</v>
      </c>
      <c r="AR25" s="187">
        <v>0</v>
      </c>
      <c r="AS25" s="187">
        <v>0</v>
      </c>
      <c r="AT25" s="187">
        <v>0</v>
      </c>
      <c r="AU25" s="187">
        <v>0</v>
      </c>
      <c r="AV25" s="187">
        <v>0</v>
      </c>
      <c r="AW25" s="187">
        <v>0</v>
      </c>
      <c r="AX25" s="187">
        <v>0</v>
      </c>
      <c r="AY25" s="187">
        <v>0</v>
      </c>
      <c r="AZ25" s="186">
        <f t="shared" si="16"/>
        <v>0</v>
      </c>
      <c r="BA25" s="221"/>
      <c r="BB25" s="187">
        <v>0</v>
      </c>
      <c r="BC25" s="187">
        <v>0</v>
      </c>
      <c r="BD25" s="187">
        <v>0</v>
      </c>
      <c r="BE25" s="187">
        <v>0</v>
      </c>
      <c r="BF25" s="187">
        <v>0</v>
      </c>
      <c r="BG25" s="187">
        <v>0</v>
      </c>
      <c r="BH25" s="187">
        <v>0</v>
      </c>
      <c r="BI25" s="187">
        <v>0</v>
      </c>
      <c r="BJ25" s="187">
        <v>0</v>
      </c>
      <c r="BK25" s="187">
        <v>0</v>
      </c>
      <c r="BL25" s="187">
        <v>0</v>
      </c>
      <c r="BM25" s="187">
        <v>0</v>
      </c>
      <c r="BN25" s="186">
        <f t="shared" si="17"/>
        <v>0</v>
      </c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 spans="1:80" ht="11.95" hidden="1" outlineLevel="1" thickBot="1" x14ac:dyDescent="0.3">
      <c r="A26" t="str">
        <f t="shared" si="13"/>
        <v>#hiderow</v>
      </c>
      <c r="E26" s="3"/>
      <c r="F26" s="3"/>
      <c r="G26" s="257" t="s">
        <v>6</v>
      </c>
      <c r="H26" s="131"/>
      <c r="I26" s="18"/>
      <c r="J26" s="18"/>
      <c r="K26" s="18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6">
        <f t="shared" si="14"/>
        <v>0</v>
      </c>
      <c r="Y26" s="219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6">
        <f t="shared" si="15"/>
        <v>0</v>
      </c>
      <c r="AM26" s="221"/>
      <c r="AN26" s="187"/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6">
        <f t="shared" si="16"/>
        <v>0</v>
      </c>
      <c r="BA26" s="221"/>
      <c r="BB26" s="187"/>
      <c r="BC26" s="187"/>
      <c r="BD26" s="187"/>
      <c r="BE26" s="187"/>
      <c r="BF26" s="187"/>
      <c r="BG26" s="187"/>
      <c r="BH26" s="187"/>
      <c r="BI26" s="187"/>
      <c r="BJ26" s="187"/>
      <c r="BK26" s="187"/>
      <c r="BL26" s="187"/>
      <c r="BM26" s="187"/>
      <c r="BN26" s="186">
        <f t="shared" si="17"/>
        <v>0</v>
      </c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 spans="1:80" ht="11.95" collapsed="1" thickBot="1" x14ac:dyDescent="0.3">
      <c r="A27" t="str">
        <f t="shared" si="13"/>
        <v>#showrow</v>
      </c>
      <c r="E27" s="3"/>
      <c r="F27" s="3"/>
      <c r="G27" s="253" t="s">
        <v>98</v>
      </c>
      <c r="H27" s="3"/>
      <c r="I27" s="18"/>
      <c r="J27" s="18"/>
      <c r="K27" s="18"/>
      <c r="L27" s="185">
        <v>0</v>
      </c>
      <c r="M27" s="185">
        <v>0</v>
      </c>
      <c r="N27" s="185">
        <v>0</v>
      </c>
      <c r="O27" s="185">
        <v>0</v>
      </c>
      <c r="P27" s="185">
        <v>0</v>
      </c>
      <c r="Q27" s="185">
        <v>0</v>
      </c>
      <c r="R27" s="185">
        <v>0</v>
      </c>
      <c r="S27" s="185">
        <v>0</v>
      </c>
      <c r="T27" s="185">
        <v>0</v>
      </c>
      <c r="U27" s="185">
        <v>0</v>
      </c>
      <c r="V27" s="185">
        <v>0</v>
      </c>
      <c r="W27" s="185">
        <v>0</v>
      </c>
      <c r="X27" s="186">
        <f t="shared" si="14"/>
        <v>0</v>
      </c>
      <c r="Y27" s="219"/>
      <c r="Z27" s="185">
        <v>0</v>
      </c>
      <c r="AA27" s="185">
        <v>0</v>
      </c>
      <c r="AB27" s="185">
        <v>0</v>
      </c>
      <c r="AC27" s="185">
        <v>0</v>
      </c>
      <c r="AD27" s="185">
        <v>0</v>
      </c>
      <c r="AE27" s="185">
        <v>0</v>
      </c>
      <c r="AF27" s="185">
        <v>0</v>
      </c>
      <c r="AG27" s="185">
        <v>0</v>
      </c>
      <c r="AH27" s="185">
        <v>0</v>
      </c>
      <c r="AI27" s="185">
        <v>0</v>
      </c>
      <c r="AJ27" s="185">
        <v>0</v>
      </c>
      <c r="AK27" s="185">
        <v>0</v>
      </c>
      <c r="AL27" s="186">
        <f t="shared" si="15"/>
        <v>0</v>
      </c>
      <c r="AM27" s="221"/>
      <c r="AN27" s="187">
        <v>0</v>
      </c>
      <c r="AO27" s="187">
        <v>0</v>
      </c>
      <c r="AP27" s="187">
        <v>0</v>
      </c>
      <c r="AQ27" s="187">
        <v>0</v>
      </c>
      <c r="AR27" s="187">
        <v>0</v>
      </c>
      <c r="AS27" s="187">
        <v>0</v>
      </c>
      <c r="AT27" s="187">
        <v>0</v>
      </c>
      <c r="AU27" s="187">
        <v>0</v>
      </c>
      <c r="AV27" s="187">
        <v>0</v>
      </c>
      <c r="AW27" s="187">
        <v>0</v>
      </c>
      <c r="AX27" s="187">
        <v>0</v>
      </c>
      <c r="AY27" s="187">
        <v>0</v>
      </c>
      <c r="AZ27" s="186">
        <f t="shared" si="16"/>
        <v>0</v>
      </c>
      <c r="BA27" s="221"/>
      <c r="BB27" s="187">
        <v>0</v>
      </c>
      <c r="BC27" s="187">
        <v>0</v>
      </c>
      <c r="BD27" s="187">
        <v>0</v>
      </c>
      <c r="BE27" s="187">
        <v>0</v>
      </c>
      <c r="BF27" s="187">
        <v>0</v>
      </c>
      <c r="BG27" s="187">
        <v>0</v>
      </c>
      <c r="BH27" s="187">
        <v>0</v>
      </c>
      <c r="BI27" s="187">
        <v>0</v>
      </c>
      <c r="BJ27" s="187">
        <v>0</v>
      </c>
      <c r="BK27" s="187">
        <v>0</v>
      </c>
      <c r="BL27" s="187">
        <v>0</v>
      </c>
      <c r="BM27" s="187">
        <v>0</v>
      </c>
      <c r="BN27" s="186">
        <f t="shared" si="17"/>
        <v>0</v>
      </c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 spans="1:80" ht="11.95" hidden="1" outlineLevel="1" thickBot="1" x14ac:dyDescent="0.3">
      <c r="A28" t="str">
        <f t="shared" si="13"/>
        <v>#hiderow</v>
      </c>
      <c r="E28" s="3"/>
      <c r="F28" s="3"/>
      <c r="G28" s="257" t="s">
        <v>6</v>
      </c>
      <c r="H28" s="131"/>
      <c r="I28" s="18"/>
      <c r="J28" s="18"/>
      <c r="K28" s="18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6">
        <f t="shared" si="14"/>
        <v>0</v>
      </c>
      <c r="Y28" s="219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6">
        <f t="shared" si="15"/>
        <v>0</v>
      </c>
      <c r="AM28" s="221"/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6">
        <f t="shared" si="16"/>
        <v>0</v>
      </c>
      <c r="BA28" s="221"/>
      <c r="BB28" s="187"/>
      <c r="BC28" s="187"/>
      <c r="BD28" s="187"/>
      <c r="BE28" s="187"/>
      <c r="BF28" s="187"/>
      <c r="BG28" s="187"/>
      <c r="BH28" s="187"/>
      <c r="BI28" s="187"/>
      <c r="BJ28" s="187"/>
      <c r="BK28" s="187"/>
      <c r="BL28" s="187"/>
      <c r="BM28" s="187"/>
      <c r="BN28" s="186">
        <f t="shared" si="17"/>
        <v>0</v>
      </c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 spans="1:80" ht="11.95" x14ac:dyDescent="0.25">
      <c r="C29" s="19" t="str">
        <f>"Total "&amp;C19</f>
        <v>Total Revenue</v>
      </c>
      <c r="D29" s="19"/>
      <c r="E29" s="19"/>
      <c r="F29" s="19"/>
      <c r="G29" s="19"/>
      <c r="H29" s="188"/>
      <c r="I29" s="188"/>
      <c r="J29" s="188"/>
      <c r="K29" s="188">
        <v>1</v>
      </c>
      <c r="L29" s="188">
        <f t="shared" ref="L29:X29" si="23">SUMIFS(L20:L28,$H20:$H28,"&lt;&gt;"&amp;$H$18,$D20:$D28,"&lt;&gt;*[-]*",$E20:$E28,"&lt;&gt;*[-]*",$F20:$F28,"&lt;&gt;*[-]*",$G20:$G28,"Revenue")</f>
        <v>226548.43</v>
      </c>
      <c r="M29" s="188">
        <f t="shared" si="23"/>
        <v>239134.62</v>
      </c>
      <c r="N29" s="188">
        <f t="shared" si="23"/>
        <v>365757</v>
      </c>
      <c r="O29" s="188">
        <f t="shared" si="23"/>
        <v>190531.97</v>
      </c>
      <c r="P29" s="188">
        <f t="shared" si="23"/>
        <v>257757.07</v>
      </c>
      <c r="Q29" s="188">
        <f t="shared" si="23"/>
        <v>328890.09999999998</v>
      </c>
      <c r="R29" s="188">
        <f t="shared" si="23"/>
        <v>216366.24</v>
      </c>
      <c r="S29" s="188">
        <f t="shared" si="23"/>
        <v>370508.5</v>
      </c>
      <c r="T29" s="188">
        <f t="shared" si="23"/>
        <v>573922.89</v>
      </c>
      <c r="U29" s="188">
        <f t="shared" si="23"/>
        <v>312491.74</v>
      </c>
      <c r="V29" s="188">
        <f t="shared" si="23"/>
        <v>503160.74</v>
      </c>
      <c r="W29" s="188">
        <f t="shared" si="23"/>
        <v>642665.54</v>
      </c>
      <c r="X29" s="189">
        <f t="shared" si="23"/>
        <v>4227734.84</v>
      </c>
      <c r="Z29" s="188">
        <f t="shared" ref="Z29:AL29" si="24">SUMIFS(Z20:Z28,$H20:$H28,"&lt;&gt;"&amp;$H$18,$D20:$D28,"&lt;&gt;*[-]*",$E20:$E28,"&lt;&gt;*[-]*",$F20:$F28,"&lt;&gt;*[-]*",$G20:$G28,"Revenue")</f>
        <v>407767.86</v>
      </c>
      <c r="AA29" s="188">
        <f t="shared" si="24"/>
        <v>515803.95869718201</v>
      </c>
      <c r="AB29" s="188">
        <f t="shared" si="24"/>
        <v>644754.94837147801</v>
      </c>
      <c r="AC29" s="188">
        <f t="shared" si="24"/>
        <v>515803.95869718201</v>
      </c>
      <c r="AD29" s="188">
        <f t="shared" si="24"/>
        <v>515803.95869718201</v>
      </c>
      <c r="AE29" s="188">
        <f t="shared" si="24"/>
        <v>644754.94837147801</v>
      </c>
      <c r="AF29" s="188">
        <f t="shared" si="24"/>
        <v>515803.95869718201</v>
      </c>
      <c r="AG29" s="188">
        <f t="shared" si="24"/>
        <v>515803.95869718201</v>
      </c>
      <c r="AH29" s="188">
        <f t="shared" si="24"/>
        <v>644754.94837147801</v>
      </c>
      <c r="AI29" s="188">
        <f t="shared" si="24"/>
        <v>515803.95869718201</v>
      </c>
      <c r="AJ29" s="188">
        <f t="shared" si="24"/>
        <v>515803.95869718201</v>
      </c>
      <c r="AK29" s="188">
        <f t="shared" si="24"/>
        <v>644754.94837147801</v>
      </c>
      <c r="AL29" s="189">
        <f t="shared" si="24"/>
        <v>6597415.3643661868</v>
      </c>
      <c r="AN29" s="188">
        <f t="shared" ref="AN29:AZ29" si="25">SUMIFS(AN20:AN28,$H20:$H28,"&lt;&gt;"&amp;$H$18,$D20:$D28,"&lt;&gt;*[-]*",$E20:$E28,"&lt;&gt;*[-]*",$F20:$F28,"&lt;&gt;*[-]*",$G20:$G28,"Revenue")</f>
        <v>515803.95869718201</v>
      </c>
      <c r="AO29" s="188">
        <f t="shared" si="25"/>
        <v>515803.95869718201</v>
      </c>
      <c r="AP29" s="188">
        <f t="shared" si="25"/>
        <v>644754.94837147801</v>
      </c>
      <c r="AQ29" s="188">
        <f t="shared" si="25"/>
        <v>515803.95869718201</v>
      </c>
      <c r="AR29" s="188">
        <f t="shared" si="25"/>
        <v>515803.95869718201</v>
      </c>
      <c r="AS29" s="188">
        <f t="shared" si="25"/>
        <v>644754.94837147801</v>
      </c>
      <c r="AT29" s="188">
        <f t="shared" si="25"/>
        <v>515803.95869718201</v>
      </c>
      <c r="AU29" s="188">
        <f t="shared" si="25"/>
        <v>515803.95869718201</v>
      </c>
      <c r="AV29" s="188">
        <f t="shared" si="25"/>
        <v>644754.94837147801</v>
      </c>
      <c r="AW29" s="188">
        <f t="shared" si="25"/>
        <v>515803.95869718201</v>
      </c>
      <c r="AX29" s="188">
        <f t="shared" si="25"/>
        <v>515803.95869718201</v>
      </c>
      <c r="AY29" s="188">
        <f t="shared" si="25"/>
        <v>644754.94837147801</v>
      </c>
      <c r="AZ29" s="189">
        <f t="shared" si="25"/>
        <v>6705451.4630633695</v>
      </c>
      <c r="BB29" s="188">
        <f t="shared" ref="BB29:BN29" si="26">SUMIFS(BB20:BB28,$H20:$H28,"&lt;&gt;"&amp;$H$18,$D20:$D28,"&lt;&gt;*[-]*",$E20:$E28,"&lt;&gt;*[-]*",$F20:$F28,"&lt;&gt;*[-]*",$G20:$G28,"Revenue")</f>
        <v>515803.95869718201</v>
      </c>
      <c r="BC29" s="188">
        <f t="shared" si="26"/>
        <v>515803.95869718201</v>
      </c>
      <c r="BD29" s="188">
        <f t="shared" si="26"/>
        <v>644754.94837147801</v>
      </c>
      <c r="BE29" s="188">
        <f t="shared" si="26"/>
        <v>515803.95869718201</v>
      </c>
      <c r="BF29" s="188">
        <f t="shared" si="26"/>
        <v>515803.95869718201</v>
      </c>
      <c r="BG29" s="188">
        <f t="shared" si="26"/>
        <v>644754.94837147801</v>
      </c>
      <c r="BH29" s="188">
        <f t="shared" si="26"/>
        <v>515803.95869718201</v>
      </c>
      <c r="BI29" s="188">
        <f t="shared" si="26"/>
        <v>515803.95869718201</v>
      </c>
      <c r="BJ29" s="188">
        <f t="shared" si="26"/>
        <v>644754.94837147801</v>
      </c>
      <c r="BK29" s="188">
        <f t="shared" si="26"/>
        <v>515803.95869718201</v>
      </c>
      <c r="BL29" s="188">
        <f t="shared" si="26"/>
        <v>515803.95869718201</v>
      </c>
      <c r="BM29" s="188">
        <f t="shared" si="26"/>
        <v>644754.94837147801</v>
      </c>
      <c r="BN29" s="189">
        <f t="shared" si="26"/>
        <v>6705451.4630633695</v>
      </c>
      <c r="BP29" s="203">
        <f t="shared" ref="BP29:CB29" si="27">SUMIFS(BP20:BP28,$H20:$H28,"&lt;&gt;"&amp;$H$18,$D20:$D28,"&lt;&gt;*[-]*",$E20:$E28,"&lt;&gt;*[-]*",$F20:$F28,"&lt;&gt;*[-]*",$G20:$G28,"&lt;&gt;*[-]*")</f>
        <v>0</v>
      </c>
      <c r="BQ29" s="203">
        <f t="shared" si="27"/>
        <v>0</v>
      </c>
      <c r="BR29" s="203">
        <f t="shared" si="27"/>
        <v>0</v>
      </c>
      <c r="BS29" s="203">
        <f t="shared" si="27"/>
        <v>0</v>
      </c>
      <c r="BT29" s="203">
        <f t="shared" si="27"/>
        <v>0</v>
      </c>
      <c r="BU29" s="203">
        <f t="shared" si="27"/>
        <v>0</v>
      </c>
      <c r="BV29" s="203">
        <f t="shared" si="27"/>
        <v>0</v>
      </c>
      <c r="BW29" s="203">
        <f t="shared" si="27"/>
        <v>0</v>
      </c>
      <c r="BX29" s="203">
        <f t="shared" si="27"/>
        <v>0</v>
      </c>
      <c r="BY29" s="203">
        <f t="shared" si="27"/>
        <v>0</v>
      </c>
      <c r="BZ29" s="203">
        <f t="shared" si="27"/>
        <v>0</v>
      </c>
      <c r="CA29" s="203">
        <f t="shared" si="27"/>
        <v>0</v>
      </c>
      <c r="CB29" s="204">
        <f t="shared" si="27"/>
        <v>0</v>
      </c>
    </row>
    <row r="31" spans="1:80" ht="12.45" thickBot="1" x14ac:dyDescent="0.3">
      <c r="C31" s="4" t="s">
        <v>17</v>
      </c>
      <c r="D31" s="4"/>
      <c r="E31" s="4"/>
      <c r="F31" s="4"/>
      <c r="G31" s="4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</row>
    <row r="32" spans="1:80" ht="11.95" hidden="1" thickBot="1" x14ac:dyDescent="0.3">
      <c r="A32" t="s">
        <v>1</v>
      </c>
      <c r="E32" s="3"/>
      <c r="F32" s="3"/>
      <c r="G32" s="3" t="s">
        <v>17</v>
      </c>
      <c r="H32" s="3"/>
      <c r="I32" s="18"/>
      <c r="J32" s="18"/>
      <c r="K32" s="18"/>
      <c r="L32" s="185">
        <v>240073.65</v>
      </c>
      <c r="M32" s="185">
        <v>299889.74</v>
      </c>
      <c r="N32" s="185">
        <v>278314.65999999997</v>
      </c>
      <c r="O32" s="185">
        <v>268285.84000000003</v>
      </c>
      <c r="P32" s="185">
        <v>276101.55</v>
      </c>
      <c r="Q32" s="185">
        <v>359123.54</v>
      </c>
      <c r="R32" s="185">
        <v>297356.08</v>
      </c>
      <c r="S32" s="185">
        <v>435775.79</v>
      </c>
      <c r="T32" s="185">
        <v>634169.86</v>
      </c>
      <c r="U32" s="185">
        <v>313557.93</v>
      </c>
      <c r="V32" s="185">
        <v>487624.41</v>
      </c>
      <c r="W32" s="185">
        <v>527800.62</v>
      </c>
      <c r="X32" s="186">
        <f>SUM(L32:W32)</f>
        <v>4418073.67</v>
      </c>
      <c r="Y32" s="219"/>
      <c r="Z32" s="185">
        <v>603548.78</v>
      </c>
      <c r="AA32" s="185">
        <v>450453.24352673301</v>
      </c>
      <c r="AB32" s="185">
        <v>544923.66096984595</v>
      </c>
      <c r="AC32" s="185">
        <v>450453.24352673301</v>
      </c>
      <c r="AD32" s="185">
        <v>450453.24352673301</v>
      </c>
      <c r="AE32" s="185">
        <v>544923.66096984595</v>
      </c>
      <c r="AF32" s="185">
        <v>451193.15066958999</v>
      </c>
      <c r="AG32" s="185">
        <v>451193.15066958999</v>
      </c>
      <c r="AH32" s="185">
        <v>545842.07717863703</v>
      </c>
      <c r="AI32" s="185">
        <v>451193.15066958999</v>
      </c>
      <c r="AJ32" s="185">
        <v>451193.15066958999</v>
      </c>
      <c r="AK32" s="185">
        <v>557842.07717863703</v>
      </c>
      <c r="AL32" s="186">
        <f>SUM(Z32:AK32)</f>
        <v>5953212.5895555243</v>
      </c>
      <c r="AM32" s="221"/>
      <c r="AN32" s="187">
        <v>450453.24352673301</v>
      </c>
      <c r="AO32" s="187">
        <v>450453.24352673301</v>
      </c>
      <c r="AP32" s="187">
        <v>544923.66096984595</v>
      </c>
      <c r="AQ32" s="187">
        <v>450453.24352673301</v>
      </c>
      <c r="AR32" s="187">
        <v>450453.24352673301</v>
      </c>
      <c r="AS32" s="187">
        <v>544923.66096984595</v>
      </c>
      <c r="AT32" s="187">
        <v>451193.15066958999</v>
      </c>
      <c r="AU32" s="187">
        <v>451193.15066958999</v>
      </c>
      <c r="AV32" s="187">
        <v>545842.07717863703</v>
      </c>
      <c r="AW32" s="187">
        <v>451193.15066958999</v>
      </c>
      <c r="AX32" s="187">
        <v>451193.15066958999</v>
      </c>
      <c r="AY32" s="187">
        <v>557842.07717863703</v>
      </c>
      <c r="AZ32" s="186">
        <f>SUM(AN32:AY32)</f>
        <v>5800117.0530822575</v>
      </c>
      <c r="BA32" s="221"/>
      <c r="BB32" s="187">
        <v>450453.24352673301</v>
      </c>
      <c r="BC32" s="187">
        <v>450453.24352673301</v>
      </c>
      <c r="BD32" s="187">
        <v>544923.66096984595</v>
      </c>
      <c r="BE32" s="187">
        <v>450453.24352673301</v>
      </c>
      <c r="BF32" s="187">
        <v>450453.24352673301</v>
      </c>
      <c r="BG32" s="187">
        <v>544923.66096984595</v>
      </c>
      <c r="BH32" s="187">
        <v>451193.15066958999</v>
      </c>
      <c r="BI32" s="187">
        <v>451193.15066958999</v>
      </c>
      <c r="BJ32" s="187">
        <v>545842.07717863703</v>
      </c>
      <c r="BK32" s="187">
        <v>451193.15066958999</v>
      </c>
      <c r="BL32" s="187">
        <v>451193.15066958999</v>
      </c>
      <c r="BM32" s="187">
        <v>557842.07717863703</v>
      </c>
      <c r="BN32" s="186">
        <f>SUM(BB32:BM32)</f>
        <v>5800117.0530822575</v>
      </c>
      <c r="BP32"/>
      <c r="BQ32"/>
      <c r="BR32"/>
      <c r="BS32"/>
      <c r="BT32"/>
      <c r="BU32"/>
      <c r="BV32"/>
      <c r="BW32"/>
      <c r="BX32"/>
      <c r="BY32"/>
      <c r="BZ32"/>
      <c r="CA32"/>
      <c r="CB32">
        <f>SUM(BP32:CA32)</f>
        <v>0</v>
      </c>
    </row>
    <row r="33" spans="1:80" ht="11.95" thickBot="1" x14ac:dyDescent="0.3">
      <c r="E33" s="3"/>
      <c r="F33" s="3"/>
      <c r="G33" s="253" t="s">
        <v>99</v>
      </c>
      <c r="H33" s="3"/>
      <c r="I33" s="18"/>
      <c r="J33" s="18"/>
      <c r="K33" s="18"/>
      <c r="L33" s="185">
        <v>240073.65</v>
      </c>
      <c r="M33" s="185">
        <v>299889.74</v>
      </c>
      <c r="N33" s="185">
        <v>278314.65999999997</v>
      </c>
      <c r="O33" s="185">
        <v>268285.84000000003</v>
      </c>
      <c r="P33" s="185">
        <v>276101.55</v>
      </c>
      <c r="Q33" s="185">
        <v>359123.54</v>
      </c>
      <c r="R33" s="185">
        <v>297356.08</v>
      </c>
      <c r="S33" s="185">
        <v>435775.79</v>
      </c>
      <c r="T33" s="185">
        <v>634169.86</v>
      </c>
      <c r="U33" s="185">
        <v>313557.93</v>
      </c>
      <c r="V33" s="185">
        <v>487624.41</v>
      </c>
      <c r="W33" s="185">
        <v>527800.62</v>
      </c>
      <c r="X33" s="186">
        <f t="shared" ref="X33:X49" si="28">SUM(L33:W33)</f>
        <v>4418073.67</v>
      </c>
      <c r="Y33" s="219"/>
      <c r="Z33" s="185">
        <v>603548.78</v>
      </c>
      <c r="AA33" s="185">
        <v>450453.24352673301</v>
      </c>
      <c r="AB33" s="185">
        <v>544923.66096984595</v>
      </c>
      <c r="AC33" s="185">
        <v>450453.24352673301</v>
      </c>
      <c r="AD33" s="185">
        <v>450453.24352673301</v>
      </c>
      <c r="AE33" s="185">
        <v>544923.66096984595</v>
      </c>
      <c r="AF33" s="185">
        <v>451193.15066958999</v>
      </c>
      <c r="AG33" s="185">
        <v>451193.15066958999</v>
      </c>
      <c r="AH33" s="185">
        <v>545842.07717863703</v>
      </c>
      <c r="AI33" s="185">
        <v>451193.15066958999</v>
      </c>
      <c r="AJ33" s="185">
        <v>451193.15066958999</v>
      </c>
      <c r="AK33" s="185">
        <v>557842.07717863703</v>
      </c>
      <c r="AL33" s="186">
        <f t="shared" ref="AL33:AL49" si="29">SUM(Z33:AK33)</f>
        <v>5953212.5895555243</v>
      </c>
      <c r="AM33" s="221"/>
      <c r="AN33" s="187">
        <v>450453.24352673301</v>
      </c>
      <c r="AO33" s="187">
        <v>450453.24352673301</v>
      </c>
      <c r="AP33" s="187">
        <v>544923.66096984595</v>
      </c>
      <c r="AQ33" s="187">
        <v>450453.24352673301</v>
      </c>
      <c r="AR33" s="187">
        <v>450453.24352673301</v>
      </c>
      <c r="AS33" s="187">
        <v>544923.66096984595</v>
      </c>
      <c r="AT33" s="187">
        <v>451193.15066958999</v>
      </c>
      <c r="AU33" s="187">
        <v>451193.15066958999</v>
      </c>
      <c r="AV33" s="187">
        <v>545842.07717863703</v>
      </c>
      <c r="AW33" s="187">
        <v>451193.15066958999</v>
      </c>
      <c r="AX33" s="187">
        <v>451193.15066958999</v>
      </c>
      <c r="AY33" s="187">
        <v>557842.07717863703</v>
      </c>
      <c r="AZ33" s="186">
        <f t="shared" ref="AZ33:AZ49" si="30">SUM(AN33:AY33)</f>
        <v>5800117.0530822575</v>
      </c>
      <c r="BA33" s="221"/>
      <c r="BB33" s="187">
        <v>450453.24352673301</v>
      </c>
      <c r="BC33" s="187">
        <v>450453.24352673301</v>
      </c>
      <c r="BD33" s="187">
        <v>544923.66096984595</v>
      </c>
      <c r="BE33" s="187">
        <v>450453.24352673301</v>
      </c>
      <c r="BF33" s="187">
        <v>450453.24352673301</v>
      </c>
      <c r="BG33" s="187">
        <v>544923.66096984595</v>
      </c>
      <c r="BH33" s="187">
        <v>451193.15066958999</v>
      </c>
      <c r="BI33" s="187">
        <v>451193.15066958999</v>
      </c>
      <c r="BJ33" s="187">
        <v>545842.07717863703</v>
      </c>
      <c r="BK33" s="187">
        <v>451193.15066958999</v>
      </c>
      <c r="BL33" s="187">
        <v>451193.15066958999</v>
      </c>
      <c r="BM33" s="187">
        <v>557842.07717863703</v>
      </c>
      <c r="BN33" s="186">
        <f t="shared" ref="BN33:BN49" si="31">SUM(BB33:BM33)</f>
        <v>5800117.0530822575</v>
      </c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 spans="1:80" ht="11.95" hidden="1" outlineLevel="1" thickBot="1" x14ac:dyDescent="0.3">
      <c r="A34" t="str">
        <f t="shared" ref="A34" si="32">IF(LEFT(G34,3)="Mul", "#hiderow", "#showrow")</f>
        <v>#hiderow</v>
      </c>
      <c r="E34" s="3"/>
      <c r="F34" s="3"/>
      <c r="G34" s="257" t="s">
        <v>6</v>
      </c>
      <c r="H34" s="3"/>
      <c r="I34" s="18"/>
      <c r="J34" s="18"/>
      <c r="K34" s="18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6">
        <f t="shared" si="28"/>
        <v>0</v>
      </c>
      <c r="Y34" s="219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6">
        <f t="shared" si="29"/>
        <v>0</v>
      </c>
      <c r="AM34" s="221"/>
      <c r="AN34" s="187"/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6">
        <f t="shared" si="30"/>
        <v>0</v>
      </c>
      <c r="BA34" s="221"/>
      <c r="BB34" s="187"/>
      <c r="BC34" s="187"/>
      <c r="BD34" s="187"/>
      <c r="BE34" s="187"/>
      <c r="BF34" s="187"/>
      <c r="BG34" s="187"/>
      <c r="BH34" s="187"/>
      <c r="BI34" s="187"/>
      <c r="BJ34" s="187"/>
      <c r="BK34" s="187"/>
      <c r="BL34" s="187"/>
      <c r="BM34" s="187"/>
      <c r="BN34" s="186">
        <f t="shared" si="31"/>
        <v>0</v>
      </c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 spans="1:80" ht="11.95" outlineLevel="1" thickBot="1" x14ac:dyDescent="0.3">
      <c r="A35" t="str">
        <f t="shared" ref="A35:A42" si="33">IF(LEFT(G35,3)="Mul", "#hiderow", "#showrow")</f>
        <v>#showrow</v>
      </c>
      <c r="E35" s="3"/>
      <c r="F35" s="3"/>
      <c r="G35" s="257" t="s">
        <v>149</v>
      </c>
      <c r="H35" s="3"/>
      <c r="I35" s="18"/>
      <c r="J35" s="18"/>
      <c r="K35" s="18"/>
      <c r="L35" s="185">
        <v>86709.51</v>
      </c>
      <c r="M35" s="185">
        <v>145784.59</v>
      </c>
      <c r="N35" s="185">
        <v>126926.39999999999</v>
      </c>
      <c r="O35" s="185">
        <v>119564.93</v>
      </c>
      <c r="P35" s="185">
        <v>141219.34</v>
      </c>
      <c r="Q35" s="185">
        <v>58321.279999999999</v>
      </c>
      <c r="R35" s="185">
        <v>30489.9</v>
      </c>
      <c r="S35" s="185">
        <v>18212.16</v>
      </c>
      <c r="T35" s="185">
        <v>22691.59</v>
      </c>
      <c r="U35" s="185">
        <v>17343.97</v>
      </c>
      <c r="V35" s="185">
        <v>32340.25</v>
      </c>
      <c r="W35" s="185">
        <v>17329.400000000001</v>
      </c>
      <c r="X35" s="186">
        <f t="shared" ref="X35:X42" si="34">SUM(L35:W35)</f>
        <v>816933.32000000007</v>
      </c>
      <c r="Y35" s="219"/>
      <c r="Z35" s="185">
        <v>4111.87</v>
      </c>
      <c r="AA35" s="185">
        <v>39728.209587608399</v>
      </c>
      <c r="AB35" s="185">
        <v>52714.142079048397</v>
      </c>
      <c r="AC35" s="185">
        <v>39728.209587608399</v>
      </c>
      <c r="AD35" s="185">
        <v>39728.209587608399</v>
      </c>
      <c r="AE35" s="185">
        <v>52714.142079048397</v>
      </c>
      <c r="AF35" s="185">
        <v>39728.209587608399</v>
      </c>
      <c r="AG35" s="185">
        <v>39728.209587608399</v>
      </c>
      <c r="AH35" s="185">
        <v>52714.142079048397</v>
      </c>
      <c r="AI35" s="185">
        <v>39728.209587608399</v>
      </c>
      <c r="AJ35" s="185">
        <v>39728.209587608399</v>
      </c>
      <c r="AK35" s="185">
        <v>52714.142079048397</v>
      </c>
      <c r="AL35" s="186">
        <f t="shared" ref="AL35:AL42" si="35">SUM(Z35:AK35)</f>
        <v>493065.90542945237</v>
      </c>
      <c r="AM35" s="221"/>
      <c r="AN35" s="187">
        <v>39728.209587608399</v>
      </c>
      <c r="AO35" s="187">
        <v>39728.209587608399</v>
      </c>
      <c r="AP35" s="187">
        <v>52714.142079048397</v>
      </c>
      <c r="AQ35" s="187">
        <v>39728.209587608399</v>
      </c>
      <c r="AR35" s="187">
        <v>39728.209587608399</v>
      </c>
      <c r="AS35" s="187">
        <v>52714.142079048397</v>
      </c>
      <c r="AT35" s="187">
        <v>39728.209587608399</v>
      </c>
      <c r="AU35" s="187">
        <v>39728.209587608399</v>
      </c>
      <c r="AV35" s="187">
        <v>52714.142079048397</v>
      </c>
      <c r="AW35" s="187">
        <v>39728.209587608399</v>
      </c>
      <c r="AX35" s="187">
        <v>39728.209587608399</v>
      </c>
      <c r="AY35" s="187">
        <v>52714.142079048397</v>
      </c>
      <c r="AZ35" s="186">
        <f t="shared" ref="AZ35:AZ42" si="36">SUM(AN35:AY35)</f>
        <v>528682.24501706078</v>
      </c>
      <c r="BA35" s="221"/>
      <c r="BB35" s="187">
        <v>39728.209587608399</v>
      </c>
      <c r="BC35" s="187">
        <v>39728.209587608399</v>
      </c>
      <c r="BD35" s="187">
        <v>52714.142079048397</v>
      </c>
      <c r="BE35" s="187">
        <v>39728.209587608399</v>
      </c>
      <c r="BF35" s="187">
        <v>39728.209587608399</v>
      </c>
      <c r="BG35" s="187">
        <v>52714.142079048397</v>
      </c>
      <c r="BH35" s="187">
        <v>39728.209587608399</v>
      </c>
      <c r="BI35" s="187">
        <v>39728.209587608399</v>
      </c>
      <c r="BJ35" s="187">
        <v>52714.142079048397</v>
      </c>
      <c r="BK35" s="187">
        <v>39728.209587608399</v>
      </c>
      <c r="BL35" s="187">
        <v>39728.209587608399</v>
      </c>
      <c r="BM35" s="187">
        <v>52714.142079048397</v>
      </c>
      <c r="BN35" s="186">
        <f t="shared" ref="BN35:BN42" si="37">SUM(BB35:BM35)</f>
        <v>528682.24501706078</v>
      </c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 spans="1:80" ht="11.95" outlineLevel="1" thickBot="1" x14ac:dyDescent="0.3">
      <c r="A36" t="str">
        <f t="shared" si="33"/>
        <v>#showrow</v>
      </c>
      <c r="E36" s="3"/>
      <c r="F36" s="3"/>
      <c r="G36" s="257" t="s">
        <v>135</v>
      </c>
      <c r="H36" s="3"/>
      <c r="I36" s="18"/>
      <c r="J36" s="18"/>
      <c r="K36" s="18"/>
      <c r="L36" s="185">
        <v>153364.14000000001</v>
      </c>
      <c r="M36" s="185">
        <v>154105.15</v>
      </c>
      <c r="N36" s="185">
        <v>151388.26</v>
      </c>
      <c r="O36" s="185">
        <v>148720.91</v>
      </c>
      <c r="P36" s="185">
        <v>134882.21</v>
      </c>
      <c r="Q36" s="185">
        <v>69107.66</v>
      </c>
      <c r="R36" s="185">
        <v>44473.5</v>
      </c>
      <c r="S36" s="185">
        <v>239572.84</v>
      </c>
      <c r="T36" s="185">
        <v>256924.88</v>
      </c>
      <c r="U36" s="185">
        <v>110403.65</v>
      </c>
      <c r="V36" s="185">
        <v>212131.22</v>
      </c>
      <c r="W36" s="185">
        <v>131692.66</v>
      </c>
      <c r="X36" s="186">
        <f t="shared" si="34"/>
        <v>1806767.08</v>
      </c>
      <c r="Y36" s="219"/>
      <c r="Z36" s="185">
        <v>463625.97</v>
      </c>
      <c r="AA36" s="185">
        <v>172885.45056667301</v>
      </c>
      <c r="AB36" s="185">
        <v>213052.93311380301</v>
      </c>
      <c r="AC36" s="185">
        <v>172885.45056667301</v>
      </c>
      <c r="AD36" s="185">
        <v>172885.45056667301</v>
      </c>
      <c r="AE36" s="185">
        <v>213052.93311380301</v>
      </c>
      <c r="AF36" s="185">
        <v>172885.45056667301</v>
      </c>
      <c r="AG36" s="185">
        <v>172885.45056667301</v>
      </c>
      <c r="AH36" s="185">
        <v>213052.93311380301</v>
      </c>
      <c r="AI36" s="185">
        <v>172885.45056667301</v>
      </c>
      <c r="AJ36" s="185">
        <v>172885.45056667301</v>
      </c>
      <c r="AK36" s="185">
        <v>213052.93311380301</v>
      </c>
      <c r="AL36" s="186">
        <f t="shared" si="35"/>
        <v>2526035.8564219233</v>
      </c>
      <c r="AM36" s="221"/>
      <c r="AN36" s="187">
        <v>172885.45056667301</v>
      </c>
      <c r="AO36" s="187">
        <v>172885.45056667301</v>
      </c>
      <c r="AP36" s="187">
        <v>213052.93311380301</v>
      </c>
      <c r="AQ36" s="187">
        <v>172885.45056667301</v>
      </c>
      <c r="AR36" s="187">
        <v>172885.45056667301</v>
      </c>
      <c r="AS36" s="187">
        <v>213052.93311380301</v>
      </c>
      <c r="AT36" s="187">
        <v>172885.45056667301</v>
      </c>
      <c r="AU36" s="187">
        <v>172885.45056667301</v>
      </c>
      <c r="AV36" s="187">
        <v>213052.93311380301</v>
      </c>
      <c r="AW36" s="187">
        <v>172885.45056667301</v>
      </c>
      <c r="AX36" s="187">
        <v>172885.45056667301</v>
      </c>
      <c r="AY36" s="187">
        <v>213052.93311380301</v>
      </c>
      <c r="AZ36" s="186">
        <f t="shared" si="36"/>
        <v>2235295.3369885958</v>
      </c>
      <c r="BA36" s="221"/>
      <c r="BB36" s="187">
        <v>172885.45056667301</v>
      </c>
      <c r="BC36" s="187">
        <v>172885.45056667301</v>
      </c>
      <c r="BD36" s="187">
        <v>213052.93311380301</v>
      </c>
      <c r="BE36" s="187">
        <v>172885.45056667301</v>
      </c>
      <c r="BF36" s="187">
        <v>172885.45056667301</v>
      </c>
      <c r="BG36" s="187">
        <v>213052.93311380301</v>
      </c>
      <c r="BH36" s="187">
        <v>172885.45056667301</v>
      </c>
      <c r="BI36" s="187">
        <v>172885.45056667301</v>
      </c>
      <c r="BJ36" s="187">
        <v>213052.93311380301</v>
      </c>
      <c r="BK36" s="187">
        <v>172885.45056667301</v>
      </c>
      <c r="BL36" s="187">
        <v>172885.45056667301</v>
      </c>
      <c r="BM36" s="187">
        <v>213052.93311380301</v>
      </c>
      <c r="BN36" s="186">
        <f t="shared" si="37"/>
        <v>2235295.3369885958</v>
      </c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 spans="1:80" ht="11.95" outlineLevel="1" thickBot="1" x14ac:dyDescent="0.3">
      <c r="A37" t="str">
        <f t="shared" si="33"/>
        <v>#showrow</v>
      </c>
      <c r="E37" s="3"/>
      <c r="F37" s="3"/>
      <c r="G37" s="257" t="s">
        <v>150</v>
      </c>
      <c r="H37" s="3"/>
      <c r="I37" s="18"/>
      <c r="J37" s="18"/>
      <c r="K37" s="18"/>
      <c r="L37" s="185"/>
      <c r="M37" s="185"/>
      <c r="N37" s="185"/>
      <c r="O37" s="185"/>
      <c r="P37" s="185"/>
      <c r="Q37" s="185">
        <v>83331.16</v>
      </c>
      <c r="R37" s="185">
        <v>58771.39</v>
      </c>
      <c r="S37" s="185">
        <v>95358.28</v>
      </c>
      <c r="T37" s="185">
        <v>99016.12</v>
      </c>
      <c r="U37" s="185">
        <v>95054.07</v>
      </c>
      <c r="V37" s="185">
        <v>99953.16</v>
      </c>
      <c r="W37" s="185">
        <v>97764.49</v>
      </c>
      <c r="X37" s="186">
        <f t="shared" si="34"/>
        <v>629248.66999999993</v>
      </c>
      <c r="Y37" s="219"/>
      <c r="Z37" s="185">
        <v>27425.49</v>
      </c>
      <c r="AA37" s="185">
        <v>41639.431147374198</v>
      </c>
      <c r="AB37" s="185">
        <v>51733.604844110698</v>
      </c>
      <c r="AC37" s="185">
        <v>41639.431147374198</v>
      </c>
      <c r="AD37" s="185">
        <v>41639.431147374198</v>
      </c>
      <c r="AE37" s="185">
        <v>51733.604844110698</v>
      </c>
      <c r="AF37" s="185">
        <v>41820.198163004403</v>
      </c>
      <c r="AG37" s="185">
        <v>41820.198163004403</v>
      </c>
      <c r="AH37" s="185">
        <v>51957.983482393</v>
      </c>
      <c r="AI37" s="185">
        <v>41820.198163004403</v>
      </c>
      <c r="AJ37" s="185">
        <v>41820.198163004403</v>
      </c>
      <c r="AK37" s="185">
        <v>54889.708373149297</v>
      </c>
      <c r="AL37" s="186">
        <f t="shared" si="35"/>
        <v>529939.47763790388</v>
      </c>
      <c r="AM37" s="221"/>
      <c r="AN37" s="187">
        <v>41639.431147374198</v>
      </c>
      <c r="AO37" s="187">
        <v>41639.431147374198</v>
      </c>
      <c r="AP37" s="187">
        <v>51733.604844110698</v>
      </c>
      <c r="AQ37" s="187">
        <v>41639.431147374198</v>
      </c>
      <c r="AR37" s="187">
        <v>41639.431147374198</v>
      </c>
      <c r="AS37" s="187">
        <v>51733.604844110698</v>
      </c>
      <c r="AT37" s="187">
        <v>41820.198163004403</v>
      </c>
      <c r="AU37" s="187">
        <v>41820.198163004403</v>
      </c>
      <c r="AV37" s="187">
        <v>51957.983482393</v>
      </c>
      <c r="AW37" s="187">
        <v>41820.198163004403</v>
      </c>
      <c r="AX37" s="187">
        <v>41820.198163004403</v>
      </c>
      <c r="AY37" s="187">
        <v>54889.708373149297</v>
      </c>
      <c r="AZ37" s="186">
        <f t="shared" si="36"/>
        <v>544153.4187852781</v>
      </c>
      <c r="BA37" s="221"/>
      <c r="BB37" s="187">
        <v>41639.431147374198</v>
      </c>
      <c r="BC37" s="187">
        <v>41639.431147374198</v>
      </c>
      <c r="BD37" s="187">
        <v>51733.604844110698</v>
      </c>
      <c r="BE37" s="187">
        <v>41639.431147374198</v>
      </c>
      <c r="BF37" s="187">
        <v>41639.431147374198</v>
      </c>
      <c r="BG37" s="187">
        <v>51733.604844110698</v>
      </c>
      <c r="BH37" s="187">
        <v>41820.198163004403</v>
      </c>
      <c r="BI37" s="187">
        <v>41820.198163004403</v>
      </c>
      <c r="BJ37" s="187">
        <v>51957.983482393</v>
      </c>
      <c r="BK37" s="187">
        <v>41820.198163004403</v>
      </c>
      <c r="BL37" s="187">
        <v>41820.198163004403</v>
      </c>
      <c r="BM37" s="187">
        <v>54889.708373149297</v>
      </c>
      <c r="BN37" s="186">
        <f t="shared" si="37"/>
        <v>544153.4187852781</v>
      </c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spans="1:80" ht="11.95" outlineLevel="1" thickBot="1" x14ac:dyDescent="0.3">
      <c r="A38" t="str">
        <f t="shared" si="33"/>
        <v>#showrow</v>
      </c>
      <c r="E38" s="3"/>
      <c r="F38" s="3"/>
      <c r="G38" s="257" t="s">
        <v>136</v>
      </c>
      <c r="H38" s="3"/>
      <c r="I38" s="18"/>
      <c r="J38" s="18"/>
      <c r="K38" s="18"/>
      <c r="L38" s="185"/>
      <c r="M38" s="185"/>
      <c r="N38" s="185"/>
      <c r="O38" s="185"/>
      <c r="P38" s="185"/>
      <c r="Q38" s="185">
        <v>98743.08</v>
      </c>
      <c r="R38" s="185">
        <v>85725.73</v>
      </c>
      <c r="S38" s="185">
        <v>83689.850000000006</v>
      </c>
      <c r="T38" s="185">
        <v>135292.34</v>
      </c>
      <c r="U38" s="185">
        <v>98545.99</v>
      </c>
      <c r="V38" s="185">
        <v>104665.79</v>
      </c>
      <c r="W38" s="185">
        <v>178191.68</v>
      </c>
      <c r="X38" s="186">
        <f t="shared" si="34"/>
        <v>784854.46</v>
      </c>
      <c r="Y38" s="219"/>
      <c r="Z38" s="185">
        <v>137809.26</v>
      </c>
      <c r="AA38" s="185">
        <v>128797.152225078</v>
      </c>
      <c r="AB38" s="185">
        <v>160019.98093288401</v>
      </c>
      <c r="AC38" s="185">
        <v>128797.152225078</v>
      </c>
      <c r="AD38" s="185">
        <v>128797.152225078</v>
      </c>
      <c r="AE38" s="185">
        <v>160019.98093288401</v>
      </c>
      <c r="AF38" s="185">
        <v>129356.292352305</v>
      </c>
      <c r="AG38" s="185">
        <v>129356.292352305</v>
      </c>
      <c r="AH38" s="185">
        <v>160714.01850339299</v>
      </c>
      <c r="AI38" s="185">
        <v>129356.292352305</v>
      </c>
      <c r="AJ38" s="185">
        <v>129356.292352305</v>
      </c>
      <c r="AK38" s="185">
        <v>169782.293612637</v>
      </c>
      <c r="AL38" s="186">
        <f t="shared" si="35"/>
        <v>1692162.1600662521</v>
      </c>
      <c r="AM38" s="221"/>
      <c r="AN38" s="187">
        <v>128797.152225078</v>
      </c>
      <c r="AO38" s="187">
        <v>128797.152225078</v>
      </c>
      <c r="AP38" s="187">
        <v>160019.98093288401</v>
      </c>
      <c r="AQ38" s="187">
        <v>128797.152225078</v>
      </c>
      <c r="AR38" s="187">
        <v>128797.152225078</v>
      </c>
      <c r="AS38" s="187">
        <v>160019.98093288401</v>
      </c>
      <c r="AT38" s="187">
        <v>129356.292352305</v>
      </c>
      <c r="AU38" s="187">
        <v>129356.292352305</v>
      </c>
      <c r="AV38" s="187">
        <v>160714.01850339299</v>
      </c>
      <c r="AW38" s="187">
        <v>129356.292352305</v>
      </c>
      <c r="AX38" s="187">
        <v>129356.292352305</v>
      </c>
      <c r="AY38" s="187">
        <v>169782.293612637</v>
      </c>
      <c r="AZ38" s="186">
        <f t="shared" si="36"/>
        <v>1683150.0522913302</v>
      </c>
      <c r="BA38" s="221"/>
      <c r="BB38" s="187">
        <v>128797.152225078</v>
      </c>
      <c r="BC38" s="187">
        <v>128797.152225078</v>
      </c>
      <c r="BD38" s="187">
        <v>160019.98093288401</v>
      </c>
      <c r="BE38" s="187">
        <v>128797.152225078</v>
      </c>
      <c r="BF38" s="187">
        <v>128797.152225078</v>
      </c>
      <c r="BG38" s="187">
        <v>160019.98093288401</v>
      </c>
      <c r="BH38" s="187">
        <v>129356.292352305</v>
      </c>
      <c r="BI38" s="187">
        <v>129356.292352305</v>
      </c>
      <c r="BJ38" s="187">
        <v>160714.01850339299</v>
      </c>
      <c r="BK38" s="187">
        <v>129356.292352305</v>
      </c>
      <c r="BL38" s="187">
        <v>129356.292352305</v>
      </c>
      <c r="BM38" s="187">
        <v>169782.293612637</v>
      </c>
      <c r="BN38" s="186">
        <f t="shared" si="37"/>
        <v>1683150.0522913302</v>
      </c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spans="1:80" ht="11.95" outlineLevel="1" thickBot="1" x14ac:dyDescent="0.3">
      <c r="A39" t="str">
        <f t="shared" si="33"/>
        <v>#showrow</v>
      </c>
      <c r="E39" s="3"/>
      <c r="F39" s="3"/>
      <c r="G39" s="257" t="s">
        <v>137</v>
      </c>
      <c r="H39" s="3"/>
      <c r="I39" s="18"/>
      <c r="J39" s="18"/>
      <c r="K39" s="18"/>
      <c r="L39" s="185"/>
      <c r="M39" s="185"/>
      <c r="N39" s="185"/>
      <c r="O39" s="185"/>
      <c r="P39" s="185"/>
      <c r="Q39" s="185">
        <v>-11909.59</v>
      </c>
      <c r="R39" s="185">
        <v>16768.36</v>
      </c>
      <c r="S39" s="185">
        <v>-30861.759999999998</v>
      </c>
      <c r="T39" s="185">
        <v>13045.69</v>
      </c>
      <c r="U39" s="185">
        <v>-27677.08</v>
      </c>
      <c r="V39" s="185">
        <v>-26161.26</v>
      </c>
      <c r="W39" s="185">
        <v>14273.9</v>
      </c>
      <c r="X39" s="186">
        <f t="shared" si="34"/>
        <v>-52521.74</v>
      </c>
      <c r="Y39" s="219"/>
      <c r="Z39" s="185">
        <v>-74962.37</v>
      </c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6">
        <f t="shared" si="35"/>
        <v>-74962.37</v>
      </c>
      <c r="AM39" s="221"/>
      <c r="AN39" s="187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6">
        <f t="shared" si="36"/>
        <v>0</v>
      </c>
      <c r="BA39" s="221"/>
      <c r="BB39" s="187"/>
      <c r="BC39" s="187"/>
      <c r="BD39" s="187"/>
      <c r="BE39" s="187"/>
      <c r="BF39" s="187"/>
      <c r="BG39" s="187"/>
      <c r="BH39" s="187"/>
      <c r="BI39" s="187"/>
      <c r="BJ39" s="187"/>
      <c r="BK39" s="187"/>
      <c r="BL39" s="187"/>
      <c r="BM39" s="187"/>
      <c r="BN39" s="186">
        <f t="shared" si="37"/>
        <v>0</v>
      </c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spans="1:80" ht="11.95" outlineLevel="1" thickBot="1" x14ac:dyDescent="0.3">
      <c r="A40" t="str">
        <f t="shared" si="33"/>
        <v>#showrow</v>
      </c>
      <c r="E40" s="3"/>
      <c r="F40" s="3"/>
      <c r="G40" s="257" t="s">
        <v>151</v>
      </c>
      <c r="H40" s="3"/>
      <c r="I40" s="18"/>
      <c r="J40" s="18"/>
      <c r="K40" s="18"/>
      <c r="L40" s="185"/>
      <c r="M40" s="185"/>
      <c r="N40" s="185"/>
      <c r="O40" s="185"/>
      <c r="P40" s="185"/>
      <c r="Q40" s="185">
        <v>-10050.73</v>
      </c>
      <c r="R40" s="185">
        <v>11495.96</v>
      </c>
      <c r="S40" s="185">
        <v>-35164.660000000003</v>
      </c>
      <c r="T40" s="185">
        <v>9547.7199999999993</v>
      </c>
      <c r="U40" s="185">
        <v>-26696.36</v>
      </c>
      <c r="V40" s="185">
        <v>-24983.33</v>
      </c>
      <c r="W40" s="185">
        <v>7831.35</v>
      </c>
      <c r="X40" s="186">
        <f t="shared" si="34"/>
        <v>-68020.05</v>
      </c>
      <c r="Y40" s="219"/>
      <c r="Z40" s="185">
        <v>-14918.3</v>
      </c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6">
        <f t="shared" si="35"/>
        <v>-14918.3</v>
      </c>
      <c r="AM40" s="221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6">
        <f t="shared" si="36"/>
        <v>0</v>
      </c>
      <c r="BA40" s="221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6">
        <f t="shared" si="37"/>
        <v>0</v>
      </c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spans="1:80" ht="11.95" outlineLevel="1" thickBot="1" x14ac:dyDescent="0.3">
      <c r="A41" t="str">
        <f t="shared" si="33"/>
        <v>#showrow</v>
      </c>
      <c r="E41" s="3"/>
      <c r="F41" s="3"/>
      <c r="G41" s="257" t="s">
        <v>138</v>
      </c>
      <c r="H41" s="3"/>
      <c r="I41" s="18"/>
      <c r="J41" s="18"/>
      <c r="K41" s="18"/>
      <c r="L41" s="185"/>
      <c r="M41" s="185"/>
      <c r="N41" s="185"/>
      <c r="O41" s="185"/>
      <c r="P41" s="185"/>
      <c r="Q41" s="185">
        <v>38819.86</v>
      </c>
      <c r="R41" s="185">
        <v>29444.7</v>
      </c>
      <c r="S41" s="185">
        <v>30367.55</v>
      </c>
      <c r="T41" s="185">
        <v>56385.09</v>
      </c>
      <c r="U41" s="185">
        <v>23711.96</v>
      </c>
      <c r="V41" s="185">
        <v>45871.99</v>
      </c>
      <c r="W41" s="185">
        <v>52121.04</v>
      </c>
      <c r="X41" s="186">
        <f t="shared" si="34"/>
        <v>276722.19</v>
      </c>
      <c r="Y41" s="219"/>
      <c r="Z41" s="185">
        <v>50422.29</v>
      </c>
      <c r="AA41" s="185">
        <v>50935.745599029098</v>
      </c>
      <c r="AB41" s="185">
        <v>50935.745599029098</v>
      </c>
      <c r="AC41" s="185">
        <v>50935.745599029098</v>
      </c>
      <c r="AD41" s="185">
        <v>50935.745599029098</v>
      </c>
      <c r="AE41" s="185">
        <v>50935.745599029098</v>
      </c>
      <c r="AF41" s="185">
        <v>50935.745599029098</v>
      </c>
      <c r="AG41" s="185">
        <v>50935.745599029098</v>
      </c>
      <c r="AH41" s="185">
        <v>50935.745599029098</v>
      </c>
      <c r="AI41" s="185">
        <v>50935.745599029098</v>
      </c>
      <c r="AJ41" s="185">
        <v>50935.745599029098</v>
      </c>
      <c r="AK41" s="185">
        <v>50935.745599029098</v>
      </c>
      <c r="AL41" s="186">
        <f t="shared" si="35"/>
        <v>610715.49158932013</v>
      </c>
      <c r="AM41" s="221"/>
      <c r="AN41" s="187">
        <v>50935.745599029098</v>
      </c>
      <c r="AO41" s="187">
        <v>50935.745599029098</v>
      </c>
      <c r="AP41" s="187">
        <v>50935.745599029098</v>
      </c>
      <c r="AQ41" s="187">
        <v>50935.745599029098</v>
      </c>
      <c r="AR41" s="187">
        <v>50935.745599029098</v>
      </c>
      <c r="AS41" s="187">
        <v>50935.745599029098</v>
      </c>
      <c r="AT41" s="187">
        <v>50935.745599029098</v>
      </c>
      <c r="AU41" s="187">
        <v>50935.745599029098</v>
      </c>
      <c r="AV41" s="187">
        <v>50935.745599029098</v>
      </c>
      <c r="AW41" s="187">
        <v>50935.745599029098</v>
      </c>
      <c r="AX41" s="187">
        <v>50935.745599029098</v>
      </c>
      <c r="AY41" s="187">
        <v>50935.745599029098</v>
      </c>
      <c r="AZ41" s="186">
        <f t="shared" si="36"/>
        <v>611228.94718834932</v>
      </c>
      <c r="BA41" s="221"/>
      <c r="BB41" s="187">
        <v>50935.745599029098</v>
      </c>
      <c r="BC41" s="187">
        <v>50935.745599029098</v>
      </c>
      <c r="BD41" s="187">
        <v>50935.745599029098</v>
      </c>
      <c r="BE41" s="187">
        <v>50935.745599029098</v>
      </c>
      <c r="BF41" s="187">
        <v>50935.745599029098</v>
      </c>
      <c r="BG41" s="187">
        <v>50935.745599029098</v>
      </c>
      <c r="BH41" s="187">
        <v>50935.745599029098</v>
      </c>
      <c r="BI41" s="187">
        <v>50935.745599029098</v>
      </c>
      <c r="BJ41" s="187">
        <v>50935.745599029098</v>
      </c>
      <c r="BK41" s="187">
        <v>50935.745599029098</v>
      </c>
      <c r="BL41" s="187">
        <v>50935.745599029098</v>
      </c>
      <c r="BM41" s="187">
        <v>50935.745599029098</v>
      </c>
      <c r="BN41" s="186">
        <f t="shared" si="37"/>
        <v>611228.94718834932</v>
      </c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spans="1:80" ht="11.95" outlineLevel="1" thickBot="1" x14ac:dyDescent="0.3">
      <c r="A42" t="str">
        <f t="shared" si="33"/>
        <v>#showrow</v>
      </c>
      <c r="E42" s="3"/>
      <c r="F42" s="3"/>
      <c r="G42" s="257" t="s">
        <v>139</v>
      </c>
      <c r="H42" s="3"/>
      <c r="I42" s="18"/>
      <c r="J42" s="18"/>
      <c r="K42" s="18"/>
      <c r="L42" s="185"/>
      <c r="M42" s="185"/>
      <c r="N42" s="185"/>
      <c r="O42" s="185"/>
      <c r="P42" s="185"/>
      <c r="Q42" s="185">
        <v>32760.82</v>
      </c>
      <c r="R42" s="185">
        <v>20186.54</v>
      </c>
      <c r="S42" s="185">
        <v>34601.53</v>
      </c>
      <c r="T42" s="185">
        <v>41266.43</v>
      </c>
      <c r="U42" s="185">
        <v>22871.73</v>
      </c>
      <c r="V42" s="185">
        <v>43806.59</v>
      </c>
      <c r="W42" s="185">
        <v>28596.1</v>
      </c>
      <c r="X42" s="186">
        <f t="shared" si="34"/>
        <v>224089.74000000002</v>
      </c>
      <c r="Y42" s="219"/>
      <c r="Z42" s="185">
        <v>10034.57</v>
      </c>
      <c r="AA42" s="185">
        <v>16467.254400970902</v>
      </c>
      <c r="AB42" s="185">
        <v>16467.254400970902</v>
      </c>
      <c r="AC42" s="185">
        <v>16467.254400970902</v>
      </c>
      <c r="AD42" s="185">
        <v>16467.254400970902</v>
      </c>
      <c r="AE42" s="185">
        <v>16467.254400970902</v>
      </c>
      <c r="AF42" s="185">
        <v>16467.254400970902</v>
      </c>
      <c r="AG42" s="185">
        <v>16467.254400970902</v>
      </c>
      <c r="AH42" s="185">
        <v>16467.254400970902</v>
      </c>
      <c r="AI42" s="185">
        <v>16467.254400970902</v>
      </c>
      <c r="AJ42" s="185">
        <v>16467.254400970902</v>
      </c>
      <c r="AK42" s="185">
        <v>16467.254400970902</v>
      </c>
      <c r="AL42" s="186">
        <f t="shared" si="35"/>
        <v>191174.36841067998</v>
      </c>
      <c r="AM42" s="221"/>
      <c r="AN42" s="187">
        <v>16467.254400970902</v>
      </c>
      <c r="AO42" s="187">
        <v>16467.254400970902</v>
      </c>
      <c r="AP42" s="187">
        <v>16467.254400970902</v>
      </c>
      <c r="AQ42" s="187">
        <v>16467.254400970902</v>
      </c>
      <c r="AR42" s="187">
        <v>16467.254400970902</v>
      </c>
      <c r="AS42" s="187">
        <v>16467.254400970902</v>
      </c>
      <c r="AT42" s="187">
        <v>16467.254400970902</v>
      </c>
      <c r="AU42" s="187">
        <v>16467.254400970902</v>
      </c>
      <c r="AV42" s="187">
        <v>16467.254400970902</v>
      </c>
      <c r="AW42" s="187">
        <v>16467.254400970902</v>
      </c>
      <c r="AX42" s="187">
        <v>16467.254400970902</v>
      </c>
      <c r="AY42" s="187">
        <v>16467.254400970902</v>
      </c>
      <c r="AZ42" s="186">
        <f t="shared" si="36"/>
        <v>197607.05281165088</v>
      </c>
      <c r="BA42" s="221"/>
      <c r="BB42" s="187">
        <v>16467.254400970902</v>
      </c>
      <c r="BC42" s="187">
        <v>16467.254400970902</v>
      </c>
      <c r="BD42" s="187">
        <v>16467.254400970902</v>
      </c>
      <c r="BE42" s="187">
        <v>16467.254400970902</v>
      </c>
      <c r="BF42" s="187">
        <v>16467.254400970902</v>
      </c>
      <c r="BG42" s="187">
        <v>16467.254400970902</v>
      </c>
      <c r="BH42" s="187">
        <v>16467.254400970902</v>
      </c>
      <c r="BI42" s="187">
        <v>16467.254400970902</v>
      </c>
      <c r="BJ42" s="187">
        <v>16467.254400970902</v>
      </c>
      <c r="BK42" s="187">
        <v>16467.254400970902</v>
      </c>
      <c r="BL42" s="187">
        <v>16467.254400970902</v>
      </c>
      <c r="BM42" s="187">
        <v>16467.254400970902</v>
      </c>
      <c r="BN42" s="186">
        <f t="shared" si="37"/>
        <v>197607.05281165088</v>
      </c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 spans="1:80" ht="11.95" thickBot="1" x14ac:dyDescent="0.3">
      <c r="E43" s="3"/>
      <c r="F43" s="3"/>
      <c r="G43" s="253" t="s">
        <v>100</v>
      </c>
      <c r="H43" s="3"/>
      <c r="I43" s="18"/>
      <c r="J43" s="18"/>
      <c r="K43" s="18"/>
      <c r="L43" s="185">
        <v>0</v>
      </c>
      <c r="M43" s="185">
        <v>0</v>
      </c>
      <c r="N43" s="185">
        <v>0</v>
      </c>
      <c r="O43" s="185">
        <v>0</v>
      </c>
      <c r="P43" s="185">
        <v>0</v>
      </c>
      <c r="Q43" s="185">
        <v>0</v>
      </c>
      <c r="R43" s="185">
        <v>0</v>
      </c>
      <c r="S43" s="185">
        <v>0</v>
      </c>
      <c r="T43" s="185">
        <v>0</v>
      </c>
      <c r="U43" s="185">
        <v>0</v>
      </c>
      <c r="V43" s="185">
        <v>0</v>
      </c>
      <c r="W43" s="185">
        <v>0</v>
      </c>
      <c r="X43" s="186">
        <f t="shared" si="28"/>
        <v>0</v>
      </c>
      <c r="Y43" s="219"/>
      <c r="Z43" s="185">
        <v>0</v>
      </c>
      <c r="AA43" s="185">
        <v>0</v>
      </c>
      <c r="AB43" s="185">
        <v>0</v>
      </c>
      <c r="AC43" s="185">
        <v>0</v>
      </c>
      <c r="AD43" s="185">
        <v>0</v>
      </c>
      <c r="AE43" s="185">
        <v>0</v>
      </c>
      <c r="AF43" s="185">
        <v>0</v>
      </c>
      <c r="AG43" s="185">
        <v>0</v>
      </c>
      <c r="AH43" s="185">
        <v>0</v>
      </c>
      <c r="AI43" s="185">
        <v>0</v>
      </c>
      <c r="AJ43" s="185">
        <v>0</v>
      </c>
      <c r="AK43" s="185">
        <v>0</v>
      </c>
      <c r="AL43" s="186">
        <f t="shared" si="29"/>
        <v>0</v>
      </c>
      <c r="AM43" s="221"/>
      <c r="AN43" s="187">
        <v>0</v>
      </c>
      <c r="AO43" s="187">
        <v>0</v>
      </c>
      <c r="AP43" s="187">
        <v>0</v>
      </c>
      <c r="AQ43" s="187">
        <v>0</v>
      </c>
      <c r="AR43" s="187">
        <v>0</v>
      </c>
      <c r="AS43" s="187">
        <v>0</v>
      </c>
      <c r="AT43" s="187">
        <v>0</v>
      </c>
      <c r="AU43" s="187">
        <v>0</v>
      </c>
      <c r="AV43" s="187">
        <v>0</v>
      </c>
      <c r="AW43" s="187">
        <v>0</v>
      </c>
      <c r="AX43" s="187">
        <v>0</v>
      </c>
      <c r="AY43" s="187">
        <v>0</v>
      </c>
      <c r="AZ43" s="186">
        <f t="shared" si="30"/>
        <v>0</v>
      </c>
      <c r="BA43" s="221"/>
      <c r="BB43" s="187">
        <v>0</v>
      </c>
      <c r="BC43" s="187">
        <v>0</v>
      </c>
      <c r="BD43" s="187">
        <v>0</v>
      </c>
      <c r="BE43" s="187">
        <v>0</v>
      </c>
      <c r="BF43" s="187">
        <v>0</v>
      </c>
      <c r="BG43" s="187">
        <v>0</v>
      </c>
      <c r="BH43" s="187">
        <v>0</v>
      </c>
      <c r="BI43" s="187">
        <v>0</v>
      </c>
      <c r="BJ43" s="187">
        <v>0</v>
      </c>
      <c r="BK43" s="187">
        <v>0</v>
      </c>
      <c r="BL43" s="187">
        <v>0</v>
      </c>
      <c r="BM43" s="187">
        <v>0</v>
      </c>
      <c r="BN43" s="186">
        <f t="shared" si="31"/>
        <v>0</v>
      </c>
      <c r="BP43"/>
      <c r="BQ43"/>
      <c r="BR43"/>
      <c r="BS43"/>
      <c r="BT43"/>
      <c r="BU43"/>
      <c r="BV43"/>
      <c r="BW43"/>
      <c r="BX43"/>
      <c r="BY43"/>
      <c r="BZ43"/>
      <c r="CA43"/>
      <c r="CB43"/>
    </row>
    <row r="44" spans="1:80" ht="11.95" outlineLevel="1" collapsed="1" thickBot="1" x14ac:dyDescent="0.3">
      <c r="E44" s="3"/>
      <c r="F44" s="3"/>
      <c r="G44" s="256" t="s">
        <v>101</v>
      </c>
      <c r="H44" s="3"/>
      <c r="I44" s="18"/>
      <c r="J44" s="18"/>
      <c r="K44" s="18"/>
      <c r="L44" s="185">
        <v>0</v>
      </c>
      <c r="M44" s="185">
        <v>0</v>
      </c>
      <c r="N44" s="185">
        <v>0</v>
      </c>
      <c r="O44" s="185">
        <v>0</v>
      </c>
      <c r="P44" s="185">
        <v>0</v>
      </c>
      <c r="Q44" s="185">
        <v>0</v>
      </c>
      <c r="R44" s="185">
        <v>0</v>
      </c>
      <c r="S44" s="185">
        <v>0</v>
      </c>
      <c r="T44" s="185">
        <v>0</v>
      </c>
      <c r="U44" s="185">
        <v>0</v>
      </c>
      <c r="V44" s="185">
        <v>0</v>
      </c>
      <c r="W44" s="185">
        <v>0</v>
      </c>
      <c r="X44" s="186">
        <f t="shared" si="28"/>
        <v>0</v>
      </c>
      <c r="Y44" s="219"/>
      <c r="Z44" s="185">
        <v>0</v>
      </c>
      <c r="AA44" s="185">
        <v>0</v>
      </c>
      <c r="AB44" s="185">
        <v>0</v>
      </c>
      <c r="AC44" s="185">
        <v>0</v>
      </c>
      <c r="AD44" s="185">
        <v>0</v>
      </c>
      <c r="AE44" s="185">
        <v>0</v>
      </c>
      <c r="AF44" s="185">
        <v>0</v>
      </c>
      <c r="AG44" s="185">
        <v>0</v>
      </c>
      <c r="AH44" s="185">
        <v>0</v>
      </c>
      <c r="AI44" s="185">
        <v>0</v>
      </c>
      <c r="AJ44" s="185">
        <v>0</v>
      </c>
      <c r="AK44" s="185">
        <v>0</v>
      </c>
      <c r="AL44" s="186">
        <f t="shared" si="29"/>
        <v>0</v>
      </c>
      <c r="AM44" s="221"/>
      <c r="AN44" s="187">
        <v>0</v>
      </c>
      <c r="AO44" s="187">
        <v>0</v>
      </c>
      <c r="AP44" s="187">
        <v>0</v>
      </c>
      <c r="AQ44" s="187">
        <v>0</v>
      </c>
      <c r="AR44" s="187">
        <v>0</v>
      </c>
      <c r="AS44" s="187">
        <v>0</v>
      </c>
      <c r="AT44" s="187">
        <v>0</v>
      </c>
      <c r="AU44" s="187">
        <v>0</v>
      </c>
      <c r="AV44" s="187">
        <v>0</v>
      </c>
      <c r="AW44" s="187">
        <v>0</v>
      </c>
      <c r="AX44" s="187">
        <v>0</v>
      </c>
      <c r="AY44" s="187">
        <v>0</v>
      </c>
      <c r="AZ44" s="186">
        <f t="shared" si="30"/>
        <v>0</v>
      </c>
      <c r="BA44" s="221"/>
      <c r="BB44" s="187">
        <v>0</v>
      </c>
      <c r="BC44" s="187">
        <v>0</v>
      </c>
      <c r="BD44" s="187">
        <v>0</v>
      </c>
      <c r="BE44" s="187">
        <v>0</v>
      </c>
      <c r="BF44" s="187">
        <v>0</v>
      </c>
      <c r="BG44" s="187">
        <v>0</v>
      </c>
      <c r="BH44" s="187">
        <v>0</v>
      </c>
      <c r="BI44" s="187">
        <v>0</v>
      </c>
      <c r="BJ44" s="187">
        <v>0</v>
      </c>
      <c r="BK44" s="187">
        <v>0</v>
      </c>
      <c r="BL44" s="187">
        <v>0</v>
      </c>
      <c r="BM44" s="187">
        <v>0</v>
      </c>
      <c r="BN44" s="186">
        <f t="shared" si="31"/>
        <v>0</v>
      </c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 spans="1:80" ht="11.95" hidden="1" outlineLevel="2" thickBot="1" x14ac:dyDescent="0.3">
      <c r="A45" t="str">
        <f t="shared" ref="A45" si="38">IF(LEFT(G45,3)="Mul", "#hiderow", "#showrow")</f>
        <v>#hiderow</v>
      </c>
      <c r="E45" s="3"/>
      <c r="F45" s="3"/>
      <c r="G45" s="255" t="s">
        <v>6</v>
      </c>
      <c r="H45" s="3"/>
      <c r="I45" s="18"/>
      <c r="J45" s="18"/>
      <c r="K45" s="18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6">
        <f t="shared" si="28"/>
        <v>0</v>
      </c>
      <c r="Y45" s="219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6">
        <f t="shared" si="29"/>
        <v>0</v>
      </c>
      <c r="AM45" s="221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6">
        <f t="shared" si="30"/>
        <v>0</v>
      </c>
      <c r="BA45" s="221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7"/>
      <c r="BN45" s="186">
        <f t="shared" si="31"/>
        <v>0</v>
      </c>
      <c r="BP45"/>
      <c r="BQ45"/>
      <c r="BR45"/>
      <c r="BS45"/>
      <c r="BT45"/>
      <c r="BU45"/>
      <c r="BV45"/>
      <c r="BW45"/>
      <c r="BX45"/>
      <c r="BY45"/>
      <c r="BZ45"/>
      <c r="CA45"/>
      <c r="CB45"/>
    </row>
    <row r="46" spans="1:80" ht="11.95" outlineLevel="1" collapsed="1" thickBot="1" x14ac:dyDescent="0.3">
      <c r="E46" s="3"/>
      <c r="F46" s="3"/>
      <c r="G46" s="256" t="s">
        <v>102</v>
      </c>
      <c r="H46" s="3"/>
      <c r="I46" s="18"/>
      <c r="J46" s="18"/>
      <c r="K46" s="18"/>
      <c r="L46" s="185">
        <v>0</v>
      </c>
      <c r="M46" s="185">
        <v>0</v>
      </c>
      <c r="N46" s="185">
        <v>0</v>
      </c>
      <c r="O46" s="185">
        <v>0</v>
      </c>
      <c r="P46" s="185">
        <v>0</v>
      </c>
      <c r="Q46" s="185">
        <v>0</v>
      </c>
      <c r="R46" s="185">
        <v>0</v>
      </c>
      <c r="S46" s="185">
        <v>0</v>
      </c>
      <c r="T46" s="185">
        <v>0</v>
      </c>
      <c r="U46" s="185">
        <v>0</v>
      </c>
      <c r="V46" s="185">
        <v>0</v>
      </c>
      <c r="W46" s="185">
        <v>0</v>
      </c>
      <c r="X46" s="186">
        <f t="shared" si="28"/>
        <v>0</v>
      </c>
      <c r="Y46" s="219"/>
      <c r="Z46" s="185">
        <v>0</v>
      </c>
      <c r="AA46" s="185">
        <v>0</v>
      </c>
      <c r="AB46" s="185">
        <v>0</v>
      </c>
      <c r="AC46" s="185">
        <v>0</v>
      </c>
      <c r="AD46" s="185">
        <v>0</v>
      </c>
      <c r="AE46" s="185">
        <v>0</v>
      </c>
      <c r="AF46" s="185">
        <v>0</v>
      </c>
      <c r="AG46" s="185">
        <v>0</v>
      </c>
      <c r="AH46" s="185">
        <v>0</v>
      </c>
      <c r="AI46" s="185">
        <v>0</v>
      </c>
      <c r="AJ46" s="185">
        <v>0</v>
      </c>
      <c r="AK46" s="185">
        <v>0</v>
      </c>
      <c r="AL46" s="186">
        <f t="shared" si="29"/>
        <v>0</v>
      </c>
      <c r="AM46" s="221"/>
      <c r="AN46" s="187">
        <v>0</v>
      </c>
      <c r="AO46" s="187">
        <v>0</v>
      </c>
      <c r="AP46" s="187">
        <v>0</v>
      </c>
      <c r="AQ46" s="187">
        <v>0</v>
      </c>
      <c r="AR46" s="187">
        <v>0</v>
      </c>
      <c r="AS46" s="187">
        <v>0</v>
      </c>
      <c r="AT46" s="187">
        <v>0</v>
      </c>
      <c r="AU46" s="187">
        <v>0</v>
      </c>
      <c r="AV46" s="187">
        <v>0</v>
      </c>
      <c r="AW46" s="187">
        <v>0</v>
      </c>
      <c r="AX46" s="187">
        <v>0</v>
      </c>
      <c r="AY46" s="187">
        <v>0</v>
      </c>
      <c r="AZ46" s="186">
        <f t="shared" si="30"/>
        <v>0</v>
      </c>
      <c r="BA46" s="221"/>
      <c r="BB46" s="187">
        <v>0</v>
      </c>
      <c r="BC46" s="187">
        <v>0</v>
      </c>
      <c r="BD46" s="187">
        <v>0</v>
      </c>
      <c r="BE46" s="187">
        <v>0</v>
      </c>
      <c r="BF46" s="187">
        <v>0</v>
      </c>
      <c r="BG46" s="187">
        <v>0</v>
      </c>
      <c r="BH46" s="187">
        <v>0</v>
      </c>
      <c r="BI46" s="187">
        <v>0</v>
      </c>
      <c r="BJ46" s="187">
        <v>0</v>
      </c>
      <c r="BK46" s="187">
        <v>0</v>
      </c>
      <c r="BL46" s="187">
        <v>0</v>
      </c>
      <c r="BM46" s="187">
        <v>0</v>
      </c>
      <c r="BN46" s="186">
        <f t="shared" si="31"/>
        <v>0</v>
      </c>
      <c r="BP46"/>
      <c r="BQ46"/>
      <c r="BR46"/>
      <c r="BS46"/>
      <c r="BT46"/>
      <c r="BU46"/>
      <c r="BV46"/>
      <c r="BW46"/>
      <c r="BX46"/>
      <c r="BY46"/>
      <c r="BZ46"/>
      <c r="CA46"/>
      <c r="CB46"/>
    </row>
    <row r="47" spans="1:80" ht="11.95" hidden="1" outlineLevel="2" thickBot="1" x14ac:dyDescent="0.3">
      <c r="A47" t="str">
        <f t="shared" ref="A47" si="39">IF(LEFT(G47,3)="Mul", "#hiderow", "#showrow")</f>
        <v>#hiderow</v>
      </c>
      <c r="E47" s="3"/>
      <c r="F47" s="3"/>
      <c r="G47" s="255" t="s">
        <v>6</v>
      </c>
      <c r="H47" s="3"/>
      <c r="I47" s="18"/>
      <c r="J47" s="18"/>
      <c r="K47" s="18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6">
        <f t="shared" si="28"/>
        <v>0</v>
      </c>
      <c r="Y47" s="219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6">
        <f t="shared" si="29"/>
        <v>0</v>
      </c>
      <c r="AM47" s="221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87"/>
      <c r="AZ47" s="186">
        <f t="shared" si="30"/>
        <v>0</v>
      </c>
      <c r="BA47" s="221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6">
        <f t="shared" si="31"/>
        <v>0</v>
      </c>
      <c r="BP47"/>
      <c r="BQ47"/>
      <c r="BR47"/>
      <c r="BS47"/>
      <c r="BT47"/>
      <c r="BU47"/>
      <c r="BV47"/>
      <c r="BW47"/>
      <c r="BX47"/>
      <c r="BY47"/>
      <c r="BZ47"/>
      <c r="CA47"/>
      <c r="CB47"/>
    </row>
    <row r="48" spans="1:80" ht="11.95" collapsed="1" thickBot="1" x14ac:dyDescent="0.3">
      <c r="E48" s="3"/>
      <c r="F48" s="3"/>
      <c r="G48" s="253" t="s">
        <v>103</v>
      </c>
      <c r="H48" s="3"/>
      <c r="I48" s="18"/>
      <c r="J48" s="18"/>
      <c r="K48" s="18"/>
      <c r="L48" s="185">
        <v>0</v>
      </c>
      <c r="M48" s="185">
        <v>0</v>
      </c>
      <c r="N48" s="185">
        <v>0</v>
      </c>
      <c r="O48" s="185">
        <v>0</v>
      </c>
      <c r="P48" s="185">
        <v>0</v>
      </c>
      <c r="Q48" s="185">
        <v>0</v>
      </c>
      <c r="R48" s="185">
        <v>0</v>
      </c>
      <c r="S48" s="185">
        <v>0</v>
      </c>
      <c r="T48" s="185">
        <v>0</v>
      </c>
      <c r="U48" s="185">
        <v>0</v>
      </c>
      <c r="V48" s="185">
        <v>0</v>
      </c>
      <c r="W48" s="185">
        <v>0</v>
      </c>
      <c r="X48" s="186">
        <f t="shared" si="28"/>
        <v>0</v>
      </c>
      <c r="Y48" s="219"/>
      <c r="Z48" s="185">
        <v>0</v>
      </c>
      <c r="AA48" s="185">
        <v>0</v>
      </c>
      <c r="AB48" s="185">
        <v>0</v>
      </c>
      <c r="AC48" s="185">
        <v>0</v>
      </c>
      <c r="AD48" s="185">
        <v>0</v>
      </c>
      <c r="AE48" s="185">
        <v>0</v>
      </c>
      <c r="AF48" s="185">
        <v>0</v>
      </c>
      <c r="AG48" s="185">
        <v>0</v>
      </c>
      <c r="AH48" s="185">
        <v>0</v>
      </c>
      <c r="AI48" s="185">
        <v>0</v>
      </c>
      <c r="AJ48" s="185">
        <v>0</v>
      </c>
      <c r="AK48" s="185">
        <v>0</v>
      </c>
      <c r="AL48" s="186">
        <f t="shared" si="29"/>
        <v>0</v>
      </c>
      <c r="AM48" s="221"/>
      <c r="AN48" s="187">
        <v>0</v>
      </c>
      <c r="AO48" s="187">
        <v>0</v>
      </c>
      <c r="AP48" s="187">
        <v>0</v>
      </c>
      <c r="AQ48" s="187">
        <v>0</v>
      </c>
      <c r="AR48" s="187">
        <v>0</v>
      </c>
      <c r="AS48" s="187">
        <v>0</v>
      </c>
      <c r="AT48" s="187">
        <v>0</v>
      </c>
      <c r="AU48" s="187">
        <v>0</v>
      </c>
      <c r="AV48" s="187">
        <v>0</v>
      </c>
      <c r="AW48" s="187">
        <v>0</v>
      </c>
      <c r="AX48" s="187">
        <v>0</v>
      </c>
      <c r="AY48" s="187">
        <v>0</v>
      </c>
      <c r="AZ48" s="186">
        <f t="shared" si="30"/>
        <v>0</v>
      </c>
      <c r="BA48" s="221"/>
      <c r="BB48" s="187">
        <v>0</v>
      </c>
      <c r="BC48" s="187">
        <v>0</v>
      </c>
      <c r="BD48" s="187">
        <v>0</v>
      </c>
      <c r="BE48" s="187">
        <v>0</v>
      </c>
      <c r="BF48" s="187">
        <v>0</v>
      </c>
      <c r="BG48" s="187">
        <v>0</v>
      </c>
      <c r="BH48" s="187">
        <v>0</v>
      </c>
      <c r="BI48" s="187">
        <v>0</v>
      </c>
      <c r="BJ48" s="187">
        <v>0</v>
      </c>
      <c r="BK48" s="187">
        <v>0</v>
      </c>
      <c r="BL48" s="187">
        <v>0</v>
      </c>
      <c r="BM48" s="187">
        <v>0</v>
      </c>
      <c r="BN48" s="186">
        <f t="shared" si="31"/>
        <v>0</v>
      </c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49" spans="1:80" ht="11.95" hidden="1" outlineLevel="1" thickBot="1" x14ac:dyDescent="0.3">
      <c r="A49" t="str">
        <f t="shared" ref="A49" si="40">IF(LEFT(G49,3)="Mul", "#hiderow", "#showrow")</f>
        <v>#hiderow</v>
      </c>
      <c r="E49" s="3"/>
      <c r="F49" s="3"/>
      <c r="G49" s="257" t="s">
        <v>6</v>
      </c>
      <c r="H49" s="3"/>
      <c r="I49" s="18"/>
      <c r="J49" s="18"/>
      <c r="K49" s="18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6">
        <f t="shared" si="28"/>
        <v>0</v>
      </c>
      <c r="Y49" s="219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6">
        <f t="shared" si="29"/>
        <v>0</v>
      </c>
      <c r="AM49" s="221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6">
        <f t="shared" si="30"/>
        <v>0</v>
      </c>
      <c r="BA49" s="221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7"/>
      <c r="BN49" s="186">
        <f t="shared" si="31"/>
        <v>0</v>
      </c>
      <c r="BP49"/>
      <c r="BQ49"/>
      <c r="BR49"/>
      <c r="BS49"/>
      <c r="BT49"/>
      <c r="BU49"/>
      <c r="BV49"/>
      <c r="BW49"/>
      <c r="BX49"/>
      <c r="BY49"/>
      <c r="BZ49"/>
      <c r="CA49"/>
      <c r="CB49"/>
    </row>
    <row r="50" spans="1:80" ht="12.45" thickBot="1" x14ac:dyDescent="0.3">
      <c r="C50" s="19" t="str">
        <f>"Total "&amp;C31</f>
        <v>Total Cost of Goods Sold</v>
      </c>
      <c r="D50" s="19"/>
      <c r="E50" s="19"/>
      <c r="F50" s="19"/>
      <c r="G50" s="19"/>
      <c r="H50" s="188"/>
      <c r="I50" s="188"/>
      <c r="J50" s="188"/>
      <c r="K50" s="188">
        <v>-1</v>
      </c>
      <c r="L50" s="188">
        <f t="shared" ref="L50:X50" si="41">SUMIFS(L32:L49,$H32:$H49,"&lt;&gt;"&amp;$H$18,$D32:$D49,"&lt;&gt;*[-]*",$E32:$E49,"&lt;&gt;*[-]*",$F32:$F49,"&lt;&gt;*[-]*",$G32:$G49,"Cost of Goods Sold")</f>
        <v>240073.65</v>
      </c>
      <c r="M50" s="188">
        <f t="shared" si="41"/>
        <v>299889.74</v>
      </c>
      <c r="N50" s="188">
        <f t="shared" si="41"/>
        <v>278314.65999999997</v>
      </c>
      <c r="O50" s="188">
        <f t="shared" si="41"/>
        <v>268285.84000000003</v>
      </c>
      <c r="P50" s="188">
        <f t="shared" si="41"/>
        <v>276101.55</v>
      </c>
      <c r="Q50" s="188">
        <f t="shared" si="41"/>
        <v>359123.54</v>
      </c>
      <c r="R50" s="188">
        <f t="shared" si="41"/>
        <v>297356.08</v>
      </c>
      <c r="S50" s="188">
        <f t="shared" si="41"/>
        <v>435775.79</v>
      </c>
      <c r="T50" s="188">
        <f t="shared" si="41"/>
        <v>634169.86</v>
      </c>
      <c r="U50" s="188">
        <f t="shared" si="41"/>
        <v>313557.93</v>
      </c>
      <c r="V50" s="188">
        <f t="shared" si="41"/>
        <v>487624.41</v>
      </c>
      <c r="W50" s="188">
        <f t="shared" si="41"/>
        <v>527800.62</v>
      </c>
      <c r="X50" s="189">
        <f t="shared" si="41"/>
        <v>4418073.67</v>
      </c>
      <c r="Z50" s="188">
        <f t="shared" ref="Z50:AL50" si="42">SUMIFS(Z32:Z49,$H32:$H49,"&lt;&gt;"&amp;$H$18,$D32:$D49,"&lt;&gt;*[-]*",$E32:$E49,"&lt;&gt;*[-]*",$F32:$F49,"&lt;&gt;*[-]*",$G32:$G49,"Cost of Goods Sold")</f>
        <v>603548.78</v>
      </c>
      <c r="AA50" s="188">
        <f t="shared" si="42"/>
        <v>450453.24352673301</v>
      </c>
      <c r="AB50" s="188">
        <f t="shared" si="42"/>
        <v>544923.66096984595</v>
      </c>
      <c r="AC50" s="188">
        <f t="shared" si="42"/>
        <v>450453.24352673301</v>
      </c>
      <c r="AD50" s="188">
        <f t="shared" si="42"/>
        <v>450453.24352673301</v>
      </c>
      <c r="AE50" s="188">
        <f t="shared" si="42"/>
        <v>544923.66096984595</v>
      </c>
      <c r="AF50" s="188">
        <f t="shared" si="42"/>
        <v>451193.15066958999</v>
      </c>
      <c r="AG50" s="188">
        <f t="shared" si="42"/>
        <v>451193.15066958999</v>
      </c>
      <c r="AH50" s="188">
        <f t="shared" si="42"/>
        <v>545842.07717863703</v>
      </c>
      <c r="AI50" s="188">
        <f t="shared" si="42"/>
        <v>451193.15066958999</v>
      </c>
      <c r="AJ50" s="188">
        <f t="shared" si="42"/>
        <v>451193.15066958999</v>
      </c>
      <c r="AK50" s="188">
        <f t="shared" si="42"/>
        <v>557842.07717863703</v>
      </c>
      <c r="AL50" s="189">
        <f t="shared" si="42"/>
        <v>5953212.5895555243</v>
      </c>
      <c r="AN50" s="188">
        <f t="shared" ref="AN50:AZ50" si="43">SUMIFS(AN32:AN49,$H32:$H49,"&lt;&gt;"&amp;$H$18,$D32:$D49,"&lt;&gt;*[-]*",$E32:$E49,"&lt;&gt;*[-]*",$F32:$F49,"&lt;&gt;*[-]*",$G32:$G49,"Cost of Goods Sold")</f>
        <v>450453.24352673301</v>
      </c>
      <c r="AO50" s="188">
        <f t="shared" si="43"/>
        <v>450453.24352673301</v>
      </c>
      <c r="AP50" s="188">
        <f t="shared" si="43"/>
        <v>544923.66096984595</v>
      </c>
      <c r="AQ50" s="188">
        <f t="shared" si="43"/>
        <v>450453.24352673301</v>
      </c>
      <c r="AR50" s="188">
        <f t="shared" si="43"/>
        <v>450453.24352673301</v>
      </c>
      <c r="AS50" s="188">
        <f t="shared" si="43"/>
        <v>544923.66096984595</v>
      </c>
      <c r="AT50" s="188">
        <f t="shared" si="43"/>
        <v>451193.15066958999</v>
      </c>
      <c r="AU50" s="188">
        <f t="shared" si="43"/>
        <v>451193.15066958999</v>
      </c>
      <c r="AV50" s="188">
        <f t="shared" si="43"/>
        <v>545842.07717863703</v>
      </c>
      <c r="AW50" s="188">
        <f t="shared" si="43"/>
        <v>451193.15066958999</v>
      </c>
      <c r="AX50" s="188">
        <f t="shared" si="43"/>
        <v>451193.15066958999</v>
      </c>
      <c r="AY50" s="188">
        <f t="shared" si="43"/>
        <v>557842.07717863703</v>
      </c>
      <c r="AZ50" s="189">
        <f t="shared" si="43"/>
        <v>5800117.0530822575</v>
      </c>
      <c r="BB50" s="188">
        <f t="shared" ref="BB50:BN50" si="44">SUMIFS(BB32:BB49,$H32:$H49,"&lt;&gt;"&amp;$H$18,$D32:$D49,"&lt;&gt;*[-]*",$E32:$E49,"&lt;&gt;*[-]*",$F32:$F49,"&lt;&gt;*[-]*",$G32:$G49,"Cost of Goods Sold")</f>
        <v>450453.24352673301</v>
      </c>
      <c r="BC50" s="188">
        <f t="shared" si="44"/>
        <v>450453.24352673301</v>
      </c>
      <c r="BD50" s="188">
        <f t="shared" si="44"/>
        <v>544923.66096984595</v>
      </c>
      <c r="BE50" s="188">
        <f t="shared" si="44"/>
        <v>450453.24352673301</v>
      </c>
      <c r="BF50" s="188">
        <f t="shared" si="44"/>
        <v>450453.24352673301</v>
      </c>
      <c r="BG50" s="188">
        <f t="shared" si="44"/>
        <v>544923.66096984595</v>
      </c>
      <c r="BH50" s="188">
        <f t="shared" si="44"/>
        <v>451193.15066958999</v>
      </c>
      <c r="BI50" s="188">
        <f t="shared" si="44"/>
        <v>451193.15066958999</v>
      </c>
      <c r="BJ50" s="188">
        <f t="shared" si="44"/>
        <v>545842.07717863703</v>
      </c>
      <c r="BK50" s="188">
        <f t="shared" si="44"/>
        <v>451193.15066958999</v>
      </c>
      <c r="BL50" s="188">
        <f t="shared" si="44"/>
        <v>451193.15066958999</v>
      </c>
      <c r="BM50" s="188">
        <f t="shared" si="44"/>
        <v>557842.07717863703</v>
      </c>
      <c r="BN50" s="189">
        <f t="shared" si="44"/>
        <v>5800117.0530822575</v>
      </c>
      <c r="BP50" s="203">
        <f t="shared" ref="BP50:CB50" si="45">SUMIFS(BP32:BP49,$H32:$H49,"&lt;&gt;"&amp;$H$18,$D32:$D49,"&lt;&gt;*[-]*",$E32:$E49,"&lt;&gt;*[-]*",$F32:$F49,"&lt;&gt;*[-]*",$G32:$G49,"&lt;&gt;*[-]*")</f>
        <v>0</v>
      </c>
      <c r="BQ50" s="203">
        <f t="shared" si="45"/>
        <v>0</v>
      </c>
      <c r="BR50" s="203">
        <f t="shared" si="45"/>
        <v>0</v>
      </c>
      <c r="BS50" s="203">
        <f t="shared" si="45"/>
        <v>0</v>
      </c>
      <c r="BT50" s="203">
        <f t="shared" si="45"/>
        <v>0</v>
      </c>
      <c r="BU50" s="203">
        <f t="shared" si="45"/>
        <v>0</v>
      </c>
      <c r="BV50" s="203">
        <f t="shared" si="45"/>
        <v>0</v>
      </c>
      <c r="BW50" s="203">
        <f t="shared" si="45"/>
        <v>0</v>
      </c>
      <c r="BX50" s="203">
        <f t="shared" si="45"/>
        <v>0</v>
      </c>
      <c r="BY50" s="203">
        <f t="shared" si="45"/>
        <v>0</v>
      </c>
      <c r="BZ50" s="203">
        <f t="shared" si="45"/>
        <v>0</v>
      </c>
      <c r="CA50" s="203">
        <f t="shared" si="45"/>
        <v>0</v>
      </c>
      <c r="CB50" s="204">
        <f t="shared" si="45"/>
        <v>0</v>
      </c>
    </row>
    <row r="51" spans="1:80" ht="12.45" thickBot="1" x14ac:dyDescent="0.3">
      <c r="C51" s="19"/>
      <c r="D51" s="190"/>
      <c r="E51" s="190"/>
      <c r="F51" s="190"/>
      <c r="G51" s="19" t="s">
        <v>31</v>
      </c>
      <c r="H51" s="188"/>
      <c r="I51" s="188"/>
      <c r="J51" s="188"/>
      <c r="K51" s="188"/>
      <c r="L51" s="188">
        <f t="shared" ref="L51:X51" si="46">SUMPRODUCT($K$19:$K$50,L$19:L$50)</f>
        <v>-13525.220000000001</v>
      </c>
      <c r="M51" s="188">
        <f t="shared" si="46"/>
        <v>-60755.119999999995</v>
      </c>
      <c r="N51" s="188">
        <f t="shared" si="46"/>
        <v>87442.340000000026</v>
      </c>
      <c r="O51" s="188">
        <f t="shared" si="46"/>
        <v>-77753.870000000024</v>
      </c>
      <c r="P51" s="188">
        <f t="shared" si="46"/>
        <v>-18344.479999999981</v>
      </c>
      <c r="Q51" s="188">
        <f t="shared" si="46"/>
        <v>-30233.440000000002</v>
      </c>
      <c r="R51" s="188">
        <f t="shared" si="46"/>
        <v>-80989.840000000026</v>
      </c>
      <c r="S51" s="188">
        <f t="shared" si="46"/>
        <v>-65267.289999999979</v>
      </c>
      <c r="T51" s="188">
        <f t="shared" si="46"/>
        <v>-60246.969999999972</v>
      </c>
      <c r="U51" s="188">
        <f t="shared" si="46"/>
        <v>-1066.1900000000023</v>
      </c>
      <c r="V51" s="188">
        <f t="shared" si="46"/>
        <v>15536.330000000016</v>
      </c>
      <c r="W51" s="188">
        <f t="shared" si="46"/>
        <v>114864.92000000004</v>
      </c>
      <c r="X51" s="189">
        <f t="shared" si="46"/>
        <v>-190338.83000000007</v>
      </c>
      <c r="Z51" s="188">
        <f t="shared" ref="Z51:AL51" si="47">SUMPRODUCT($K$19:$K$50,Z$19:Z$50)</f>
        <v>-195780.92000000004</v>
      </c>
      <c r="AA51" s="188">
        <f t="shared" si="47"/>
        <v>65350.715170448995</v>
      </c>
      <c r="AB51" s="188">
        <f t="shared" si="47"/>
        <v>99831.287401632057</v>
      </c>
      <c r="AC51" s="188">
        <f t="shared" si="47"/>
        <v>65350.715170448995</v>
      </c>
      <c r="AD51" s="188">
        <f t="shared" si="47"/>
        <v>65350.715170448995</v>
      </c>
      <c r="AE51" s="188">
        <f t="shared" si="47"/>
        <v>99831.287401632057</v>
      </c>
      <c r="AF51" s="188">
        <f t="shared" si="47"/>
        <v>64610.808027592022</v>
      </c>
      <c r="AG51" s="188">
        <f t="shared" si="47"/>
        <v>64610.808027592022</v>
      </c>
      <c r="AH51" s="188">
        <f t="shared" si="47"/>
        <v>98912.871192840976</v>
      </c>
      <c r="AI51" s="188">
        <f t="shared" si="47"/>
        <v>64610.808027592022</v>
      </c>
      <c r="AJ51" s="188">
        <f t="shared" si="47"/>
        <v>64610.808027592022</v>
      </c>
      <c r="AK51" s="188">
        <f t="shared" si="47"/>
        <v>86912.871192840976</v>
      </c>
      <c r="AL51" s="189">
        <f t="shared" si="47"/>
        <v>644202.77481066249</v>
      </c>
      <c r="AN51" s="188">
        <f t="shared" ref="AN51:AZ51" si="48">SUMPRODUCT($K$19:$K$50,AN$19:AN$50)</f>
        <v>65350.715170448995</v>
      </c>
      <c r="AO51" s="188">
        <f t="shared" si="48"/>
        <v>65350.715170448995</v>
      </c>
      <c r="AP51" s="188">
        <f t="shared" si="48"/>
        <v>99831.287401632057</v>
      </c>
      <c r="AQ51" s="188">
        <f t="shared" si="48"/>
        <v>65350.715170448995</v>
      </c>
      <c r="AR51" s="188">
        <f t="shared" si="48"/>
        <v>65350.715170448995</v>
      </c>
      <c r="AS51" s="188">
        <f t="shared" si="48"/>
        <v>99831.287401632057</v>
      </c>
      <c r="AT51" s="188">
        <f t="shared" si="48"/>
        <v>64610.808027592022</v>
      </c>
      <c r="AU51" s="188">
        <f t="shared" si="48"/>
        <v>64610.808027592022</v>
      </c>
      <c r="AV51" s="188">
        <f t="shared" si="48"/>
        <v>98912.871192840976</v>
      </c>
      <c r="AW51" s="188">
        <f t="shared" si="48"/>
        <v>64610.808027592022</v>
      </c>
      <c r="AX51" s="188">
        <f t="shared" si="48"/>
        <v>64610.808027592022</v>
      </c>
      <c r="AY51" s="188">
        <f t="shared" si="48"/>
        <v>86912.871192840976</v>
      </c>
      <c r="AZ51" s="189">
        <f t="shared" si="48"/>
        <v>905334.409981112</v>
      </c>
      <c r="BB51" s="188">
        <f t="shared" ref="BB51:BN51" si="49">SUMPRODUCT($K$19:$K$50,BB$19:BB$50)</f>
        <v>65350.715170448995</v>
      </c>
      <c r="BC51" s="188">
        <f t="shared" si="49"/>
        <v>65350.715170448995</v>
      </c>
      <c r="BD51" s="188">
        <f t="shared" si="49"/>
        <v>99831.287401632057</v>
      </c>
      <c r="BE51" s="188">
        <f t="shared" si="49"/>
        <v>65350.715170448995</v>
      </c>
      <c r="BF51" s="188">
        <f t="shared" si="49"/>
        <v>65350.715170448995</v>
      </c>
      <c r="BG51" s="188">
        <f t="shared" si="49"/>
        <v>99831.287401632057</v>
      </c>
      <c r="BH51" s="188">
        <f t="shared" si="49"/>
        <v>64610.808027592022</v>
      </c>
      <c r="BI51" s="188">
        <f t="shared" si="49"/>
        <v>64610.808027592022</v>
      </c>
      <c r="BJ51" s="188">
        <f t="shared" si="49"/>
        <v>98912.871192840976</v>
      </c>
      <c r="BK51" s="188">
        <f t="shared" si="49"/>
        <v>64610.808027592022</v>
      </c>
      <c r="BL51" s="188">
        <f t="shared" si="49"/>
        <v>64610.808027592022</v>
      </c>
      <c r="BM51" s="188">
        <f t="shared" si="49"/>
        <v>86912.871192840976</v>
      </c>
      <c r="BN51" s="189">
        <f t="shared" si="49"/>
        <v>905334.409981112</v>
      </c>
      <c r="BP51" s="203">
        <f t="shared" ref="BP51:CB51" si="50">SUMPRODUCT($K$19:$K$50,BP$19:BP$50)</f>
        <v>0</v>
      </c>
      <c r="BQ51" s="203">
        <f t="shared" si="50"/>
        <v>0</v>
      </c>
      <c r="BR51" s="203">
        <f t="shared" si="50"/>
        <v>0</v>
      </c>
      <c r="BS51" s="203">
        <f t="shared" si="50"/>
        <v>0</v>
      </c>
      <c r="BT51" s="203">
        <f t="shared" si="50"/>
        <v>0</v>
      </c>
      <c r="BU51" s="203">
        <f t="shared" si="50"/>
        <v>0</v>
      </c>
      <c r="BV51" s="203">
        <f t="shared" si="50"/>
        <v>0</v>
      </c>
      <c r="BW51" s="203">
        <f t="shared" si="50"/>
        <v>0</v>
      </c>
      <c r="BX51" s="203">
        <f t="shared" si="50"/>
        <v>0</v>
      </c>
      <c r="BY51" s="203">
        <f t="shared" si="50"/>
        <v>0</v>
      </c>
      <c r="BZ51" s="203">
        <f t="shared" si="50"/>
        <v>0</v>
      </c>
      <c r="CA51" s="203">
        <f t="shared" si="50"/>
        <v>0</v>
      </c>
      <c r="CB51" s="204">
        <f t="shared" si="50"/>
        <v>0</v>
      </c>
    </row>
    <row r="52" spans="1:80" ht="12.45" thickBot="1" x14ac:dyDescent="0.3">
      <c r="B52" s="20"/>
      <c r="C52" s="191"/>
      <c r="D52" s="192"/>
      <c r="E52" s="192"/>
      <c r="F52" s="192"/>
      <c r="G52" s="191" t="s">
        <v>128</v>
      </c>
      <c r="H52" s="193"/>
      <c r="I52" s="193"/>
      <c r="J52" s="193"/>
      <c r="K52" s="193"/>
      <c r="L52" s="194">
        <f t="shared" ref="L52:X52" si="51">((SUMPRODUCT($K$19:$K$29,L$19:L$29)+SUMPRODUCT($K$32:$K$50,L$32:L$50)))/(SUMPRODUCT($K$19:$K$29,L$19:L$29))</f>
        <v>-5.9701230328543888E-2</v>
      </c>
      <c r="M52" s="194">
        <f t="shared" si="51"/>
        <v>-0.25406241890028303</v>
      </c>
      <c r="N52" s="194">
        <f t="shared" si="51"/>
        <v>0.2390722255486567</v>
      </c>
      <c r="O52" s="194">
        <f t="shared" si="51"/>
        <v>-0.40808831189852296</v>
      </c>
      <c r="P52" s="194">
        <f t="shared" si="51"/>
        <v>-7.1169648227301707E-2</v>
      </c>
      <c r="Q52" s="194">
        <f t="shared" si="51"/>
        <v>-9.1925661489962771E-2</v>
      </c>
      <c r="R52" s="194">
        <f t="shared" si="51"/>
        <v>-0.3743182855144131</v>
      </c>
      <c r="S52" s="194">
        <f t="shared" si="51"/>
        <v>-0.17615598562516105</v>
      </c>
      <c r="T52" s="194">
        <f t="shared" si="51"/>
        <v>-0.10497398004111662</v>
      </c>
      <c r="U52" s="194">
        <f t="shared" si="51"/>
        <v>-3.4118981832927885E-3</v>
      </c>
      <c r="V52" s="194">
        <f t="shared" si="51"/>
        <v>3.0877468699167618E-2</v>
      </c>
      <c r="W52" s="194">
        <f t="shared" si="51"/>
        <v>0.17873203532898316</v>
      </c>
      <c r="X52" s="195">
        <f t="shared" si="51"/>
        <v>-4.5021468281109152E-2</v>
      </c>
      <c r="Y52" s="20"/>
      <c r="Z52" s="194">
        <f t="shared" ref="Z52:AL52" si="52">((SUMPRODUCT($K$19:$K$29,Z$19:Z$29)+SUMPRODUCT($K$32:$K$50,Z$32:Z$50)))/(SUMPRODUCT($K$19:$K$29,Z$19:Z$29))</f>
        <v>-0.48012837500238503</v>
      </c>
      <c r="AA52" s="194">
        <f t="shared" si="52"/>
        <v>0.12669680809645564</v>
      </c>
      <c r="AB52" s="194">
        <f t="shared" si="52"/>
        <v>0.15483601584413723</v>
      </c>
      <c r="AC52" s="194">
        <f t="shared" si="52"/>
        <v>0.12669680809645564</v>
      </c>
      <c r="AD52" s="194">
        <f t="shared" si="52"/>
        <v>0.12669680809645564</v>
      </c>
      <c r="AE52" s="194">
        <f t="shared" si="52"/>
        <v>0.15483601584413723</v>
      </c>
      <c r="AF52" s="194">
        <f t="shared" si="52"/>
        <v>0.12526233453265082</v>
      </c>
      <c r="AG52" s="194">
        <f t="shared" si="52"/>
        <v>0.12526233453265082</v>
      </c>
      <c r="AH52" s="194">
        <f t="shared" si="52"/>
        <v>0.15341157356399529</v>
      </c>
      <c r="AI52" s="194">
        <f t="shared" si="52"/>
        <v>0.12526233453265082</v>
      </c>
      <c r="AJ52" s="194">
        <f t="shared" si="52"/>
        <v>0.12526233453265082</v>
      </c>
      <c r="AK52" s="194">
        <f t="shared" si="52"/>
        <v>0.13479985134253797</v>
      </c>
      <c r="AL52" s="195">
        <f t="shared" si="52"/>
        <v>9.7644719823177448E-2</v>
      </c>
      <c r="AM52" s="20"/>
      <c r="AN52" s="194">
        <f t="shared" ref="AN52:AZ52" si="53">((SUMPRODUCT($K$19:$K$29,AN$19:AN$29)+SUMPRODUCT($K$32:$K$50,AN$32:AN$50)))/(SUMPRODUCT($K$19:$K$29,AN$19:AN$29))</f>
        <v>0.12669680809645564</v>
      </c>
      <c r="AO52" s="194">
        <f t="shared" si="53"/>
        <v>0.12669680809645564</v>
      </c>
      <c r="AP52" s="194">
        <f t="shared" si="53"/>
        <v>0.15483601584413723</v>
      </c>
      <c r="AQ52" s="194">
        <f t="shared" si="53"/>
        <v>0.12669680809645564</v>
      </c>
      <c r="AR52" s="194">
        <f t="shared" si="53"/>
        <v>0.12669680809645564</v>
      </c>
      <c r="AS52" s="194">
        <f t="shared" si="53"/>
        <v>0.15483601584413723</v>
      </c>
      <c r="AT52" s="194">
        <f t="shared" si="53"/>
        <v>0.12526233453265082</v>
      </c>
      <c r="AU52" s="194">
        <f t="shared" si="53"/>
        <v>0.12526233453265082</v>
      </c>
      <c r="AV52" s="194">
        <f t="shared" si="53"/>
        <v>0.15341157356399529</v>
      </c>
      <c r="AW52" s="194">
        <f t="shared" si="53"/>
        <v>0.12526233453265082</v>
      </c>
      <c r="AX52" s="194">
        <f t="shared" si="53"/>
        <v>0.12526233453265082</v>
      </c>
      <c r="AY52" s="194">
        <f t="shared" si="53"/>
        <v>0.13479985134253797</v>
      </c>
      <c r="AZ52" s="195">
        <f t="shared" si="53"/>
        <v>0.1350146839430722</v>
      </c>
      <c r="BA52" s="20"/>
      <c r="BB52" s="194">
        <f t="shared" ref="BB52:BN52" si="54">((SUMPRODUCT($K$19:$K$29,BB$19:BB$29)+SUMPRODUCT($K$32:$K$50,BB$32:BB$50)))/(SUMPRODUCT($K$19:$K$29,BB$19:BB$29))</f>
        <v>0.12669680809645564</v>
      </c>
      <c r="BC52" s="194">
        <f t="shared" si="54"/>
        <v>0.12669680809645564</v>
      </c>
      <c r="BD52" s="194">
        <f t="shared" si="54"/>
        <v>0.15483601584413723</v>
      </c>
      <c r="BE52" s="194">
        <f t="shared" si="54"/>
        <v>0.12669680809645564</v>
      </c>
      <c r="BF52" s="194">
        <f t="shared" si="54"/>
        <v>0.12669680809645564</v>
      </c>
      <c r="BG52" s="194">
        <f t="shared" si="54"/>
        <v>0.15483601584413723</v>
      </c>
      <c r="BH52" s="194">
        <f t="shared" si="54"/>
        <v>0.12526233453265082</v>
      </c>
      <c r="BI52" s="194">
        <f t="shared" si="54"/>
        <v>0.12526233453265082</v>
      </c>
      <c r="BJ52" s="194">
        <f t="shared" si="54"/>
        <v>0.15341157356399529</v>
      </c>
      <c r="BK52" s="194">
        <f t="shared" si="54"/>
        <v>0.12526233453265082</v>
      </c>
      <c r="BL52" s="194">
        <f t="shared" si="54"/>
        <v>0.12526233453265082</v>
      </c>
      <c r="BM52" s="194">
        <f t="shared" si="54"/>
        <v>0.13479985134253797</v>
      </c>
      <c r="BN52" s="195">
        <f t="shared" si="54"/>
        <v>0.1350146839430722</v>
      </c>
      <c r="BO52" s="20"/>
      <c r="BP52" s="214" t="e">
        <f t="shared" ref="BP52:CB52" si="55">((SUMPRODUCT($K$19:$K$29,BP$19:BP$29)+SUMPRODUCT($K$32:$K$50,BP$32:BP$50)))/(SUMPRODUCT($K$19:$K$29,BP$19:BP$29))</f>
        <v>#DIV/0!</v>
      </c>
      <c r="BQ52" s="214" t="e">
        <f t="shared" si="55"/>
        <v>#DIV/0!</v>
      </c>
      <c r="BR52" s="214" t="e">
        <f t="shared" si="55"/>
        <v>#DIV/0!</v>
      </c>
      <c r="BS52" s="214" t="e">
        <f t="shared" si="55"/>
        <v>#DIV/0!</v>
      </c>
      <c r="BT52" s="214" t="e">
        <f t="shared" si="55"/>
        <v>#DIV/0!</v>
      </c>
      <c r="BU52" s="214" t="e">
        <f t="shared" si="55"/>
        <v>#DIV/0!</v>
      </c>
      <c r="BV52" s="214" t="e">
        <f t="shared" si="55"/>
        <v>#DIV/0!</v>
      </c>
      <c r="BW52" s="214" t="e">
        <f t="shared" si="55"/>
        <v>#DIV/0!</v>
      </c>
      <c r="BX52" s="214" t="e">
        <f t="shared" si="55"/>
        <v>#DIV/0!</v>
      </c>
      <c r="BY52" s="214" t="e">
        <f t="shared" si="55"/>
        <v>#DIV/0!</v>
      </c>
      <c r="BZ52" s="214" t="e">
        <f t="shared" si="55"/>
        <v>#DIV/0!</v>
      </c>
      <c r="CA52" s="214" t="e">
        <f t="shared" si="55"/>
        <v>#DIV/0!</v>
      </c>
      <c r="CB52" s="215" t="e">
        <f t="shared" si="55"/>
        <v>#DIV/0!</v>
      </c>
    </row>
    <row r="53" spans="1:80" ht="11.95" x14ac:dyDescent="0.25">
      <c r="C53" s="19"/>
      <c r="D53" s="19"/>
      <c r="E53" s="19"/>
      <c r="F53" s="19"/>
      <c r="G53" s="19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9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9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9"/>
      <c r="BB53" s="188"/>
      <c r="BC53" s="188"/>
      <c r="BD53" s="188"/>
      <c r="BE53" s="188"/>
      <c r="BF53" s="188"/>
      <c r="BG53" s="188"/>
      <c r="BH53" s="188"/>
      <c r="BI53" s="188"/>
      <c r="BJ53" s="188"/>
      <c r="BK53" s="188"/>
      <c r="BL53" s="188"/>
      <c r="BM53" s="188"/>
      <c r="BN53" s="189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4"/>
    </row>
    <row r="54" spans="1:80" ht="12.45" thickBot="1" x14ac:dyDescent="0.3">
      <c r="C54" s="4" t="s">
        <v>2</v>
      </c>
      <c r="D54" s="4"/>
      <c r="E54" s="4"/>
      <c r="F54" s="4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P54" s="133"/>
      <c r="BQ54" s="133"/>
      <c r="BR54" s="133"/>
      <c r="BS54" s="133"/>
      <c r="BT54" s="133"/>
      <c r="BU54" s="133"/>
      <c r="BV54" s="133"/>
      <c r="BW54" s="133"/>
      <c r="BX54" s="133"/>
      <c r="BY54" s="133"/>
      <c r="BZ54" s="133"/>
      <c r="CA54" s="133"/>
      <c r="CB54" s="133"/>
    </row>
    <row r="55" spans="1:80" ht="11.95" thickBot="1" x14ac:dyDescent="0.3">
      <c r="E55" s="3"/>
      <c r="F55" s="3"/>
      <c r="G55" s="253" t="s">
        <v>2</v>
      </c>
      <c r="H55" s="3"/>
      <c r="I55" s="18"/>
      <c r="J55" s="18"/>
      <c r="K55" s="18"/>
      <c r="L55" s="185">
        <v>-8173.07</v>
      </c>
      <c r="M55" s="185">
        <v>-5002.57</v>
      </c>
      <c r="N55" s="185">
        <v>13175.64</v>
      </c>
      <c r="O55" s="185">
        <v>0</v>
      </c>
      <c r="P55" s="185">
        <v>147.69999999999999</v>
      </c>
      <c r="Q55" s="185"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-147.69999999999999</v>
      </c>
      <c r="X55" s="186">
        <f>SUM(L55:W55)</f>
        <v>0</v>
      </c>
      <c r="Y55" s="219"/>
      <c r="Z55" s="185">
        <v>0</v>
      </c>
      <c r="AA55" s="185">
        <v>1.5E-10</v>
      </c>
      <c r="AB55" s="185">
        <v>5.4999999999999996E-10</v>
      </c>
      <c r="AC55" s="185">
        <v>1.5E-10</v>
      </c>
      <c r="AD55" s="185">
        <v>1.5E-10</v>
      </c>
      <c r="AE55" s="185">
        <v>5.4999999999999996E-10</v>
      </c>
      <c r="AF55" s="185">
        <v>-7.7000000000000003E-10</v>
      </c>
      <c r="AG55" s="185">
        <v>-7.7000000000000003E-10</v>
      </c>
      <c r="AH55" s="185">
        <v>3.3E-10</v>
      </c>
      <c r="AI55" s="185">
        <v>-7.7000000000000003E-10</v>
      </c>
      <c r="AJ55" s="185">
        <v>-7.7000000000000003E-10</v>
      </c>
      <c r="AK55" s="185">
        <v>3E-10</v>
      </c>
      <c r="AL55" s="186">
        <f>SUM(Z55:AK55)</f>
        <v>-9.0000000000000041E-10</v>
      </c>
      <c r="AM55" s="221"/>
      <c r="AN55" s="187">
        <v>1.5E-10</v>
      </c>
      <c r="AO55" s="187">
        <v>1.5E-10</v>
      </c>
      <c r="AP55" s="187">
        <v>5.4999999999999996E-10</v>
      </c>
      <c r="AQ55" s="187">
        <v>1.5E-10</v>
      </c>
      <c r="AR55" s="187">
        <v>1.5E-10</v>
      </c>
      <c r="AS55" s="187">
        <v>5.4999999999999996E-10</v>
      </c>
      <c r="AT55" s="187">
        <v>-7.7000000000000003E-10</v>
      </c>
      <c r="AU55" s="187">
        <v>-7.7000000000000003E-10</v>
      </c>
      <c r="AV55" s="187">
        <v>3.3E-10</v>
      </c>
      <c r="AW55" s="187">
        <v>-7.7000000000000003E-10</v>
      </c>
      <c r="AX55" s="187">
        <v>-7.7000000000000003E-10</v>
      </c>
      <c r="AY55" s="187">
        <v>3E-10</v>
      </c>
      <c r="AZ55" s="186">
        <f>SUM(AN55:AY55)</f>
        <v>-7.5000000000000031E-10</v>
      </c>
      <c r="BA55" s="221"/>
      <c r="BB55" s="187">
        <v>1.5E-10</v>
      </c>
      <c r="BC55" s="187">
        <v>1.5E-10</v>
      </c>
      <c r="BD55" s="187">
        <v>5.4999999999999996E-10</v>
      </c>
      <c r="BE55" s="187">
        <v>1.5E-10</v>
      </c>
      <c r="BF55" s="187">
        <v>1.5E-10</v>
      </c>
      <c r="BG55" s="187">
        <v>5.4999999999999996E-10</v>
      </c>
      <c r="BH55" s="187">
        <v>-7.7000000000000003E-10</v>
      </c>
      <c r="BI55" s="187">
        <v>-7.7000000000000003E-10</v>
      </c>
      <c r="BJ55" s="187">
        <v>3.3E-10</v>
      </c>
      <c r="BK55" s="187">
        <v>-7.7000000000000003E-10</v>
      </c>
      <c r="BL55" s="187">
        <v>-7.7000000000000003E-10</v>
      </c>
      <c r="BM55" s="187">
        <v>3E-10</v>
      </c>
      <c r="BN55" s="186">
        <f>SUM(BB55:BM55)</f>
        <v>-7.5000000000000031E-10</v>
      </c>
      <c r="BP55"/>
      <c r="BQ55"/>
      <c r="BR55"/>
      <c r="BS55"/>
      <c r="BT55"/>
      <c r="BU55"/>
      <c r="BV55"/>
      <c r="BW55"/>
      <c r="BX55"/>
      <c r="BY55"/>
      <c r="BZ55"/>
      <c r="CA55"/>
      <c r="CB55">
        <f>SUM(BP55:CA55)</f>
        <v>0</v>
      </c>
    </row>
    <row r="56" spans="1:80" ht="11.95" outlineLevel="1" thickBot="1" x14ac:dyDescent="0.3">
      <c r="E56" s="3"/>
      <c r="F56" s="3"/>
      <c r="G56" s="256" t="s">
        <v>104</v>
      </c>
      <c r="H56" s="3"/>
      <c r="I56" s="18"/>
      <c r="J56" s="18"/>
      <c r="K56" s="18"/>
      <c r="L56" s="185">
        <v>78485.100000000006</v>
      </c>
      <c r="M56" s="185">
        <v>118736.69</v>
      </c>
      <c r="N56" s="185">
        <v>130850.06</v>
      </c>
      <c r="O56" s="185">
        <v>122604.24</v>
      </c>
      <c r="P56" s="185">
        <v>136235.79</v>
      </c>
      <c r="Q56" s="185">
        <v>176479.16</v>
      </c>
      <c r="R56" s="185">
        <v>150092.20000000001</v>
      </c>
      <c r="S56" s="185">
        <v>179048.13</v>
      </c>
      <c r="T56" s="185">
        <v>234308.46</v>
      </c>
      <c r="U56" s="185">
        <v>193600.06</v>
      </c>
      <c r="V56" s="185">
        <v>204618.95</v>
      </c>
      <c r="W56" s="185">
        <v>275956.17</v>
      </c>
      <c r="X56" s="186">
        <f t="shared" ref="X56:X124" si="56">SUM(L56:W56)</f>
        <v>2001015.01</v>
      </c>
      <c r="Y56" s="219"/>
      <c r="Z56" s="185">
        <v>165234.75</v>
      </c>
      <c r="AA56" s="185">
        <v>170436.58337245201</v>
      </c>
      <c r="AB56" s="185">
        <v>211753.58577699499</v>
      </c>
      <c r="AC56" s="185">
        <v>170436.58337245201</v>
      </c>
      <c r="AD56" s="185">
        <v>170436.58337245201</v>
      </c>
      <c r="AE56" s="185">
        <v>211753.58577699499</v>
      </c>
      <c r="AF56" s="185">
        <v>171176.49051530901</v>
      </c>
      <c r="AG56" s="185">
        <v>171176.49051530901</v>
      </c>
      <c r="AH56" s="185">
        <v>212672.00198578599</v>
      </c>
      <c r="AI56" s="185">
        <v>171176.49051530901</v>
      </c>
      <c r="AJ56" s="185">
        <v>171176.49051530901</v>
      </c>
      <c r="AK56" s="185">
        <v>224672.00198578599</v>
      </c>
      <c r="AL56" s="186">
        <f t="shared" ref="AL56:AL124" si="57">SUM(Z56:AK56)</f>
        <v>2222101.6377041535</v>
      </c>
      <c r="AM56" s="221"/>
      <c r="AN56" s="187">
        <v>170436.58337245201</v>
      </c>
      <c r="AO56" s="187">
        <v>170436.58337245201</v>
      </c>
      <c r="AP56" s="187">
        <v>211753.58577699499</v>
      </c>
      <c r="AQ56" s="187">
        <v>170436.58337245201</v>
      </c>
      <c r="AR56" s="187">
        <v>170436.58337245201</v>
      </c>
      <c r="AS56" s="187">
        <v>211753.58577699499</v>
      </c>
      <c r="AT56" s="187">
        <v>171176.49051530901</v>
      </c>
      <c r="AU56" s="187">
        <v>171176.49051530901</v>
      </c>
      <c r="AV56" s="187">
        <v>212672.00198578599</v>
      </c>
      <c r="AW56" s="187">
        <v>171176.49051530901</v>
      </c>
      <c r="AX56" s="187">
        <v>171176.49051530901</v>
      </c>
      <c r="AY56" s="187">
        <v>224672.00198578599</v>
      </c>
      <c r="AZ56" s="186">
        <f t="shared" ref="AZ56:AZ124" si="58">SUM(AN56:AY56)</f>
        <v>2227303.4710766058</v>
      </c>
      <c r="BA56" s="221"/>
      <c r="BB56" s="187">
        <v>170436.58337245201</v>
      </c>
      <c r="BC56" s="187">
        <v>170436.58337245201</v>
      </c>
      <c r="BD56" s="187">
        <v>211753.58577699499</v>
      </c>
      <c r="BE56" s="187">
        <v>170436.58337245201</v>
      </c>
      <c r="BF56" s="187">
        <v>170436.58337245201</v>
      </c>
      <c r="BG56" s="187">
        <v>211753.58577699499</v>
      </c>
      <c r="BH56" s="187">
        <v>171176.49051530901</v>
      </c>
      <c r="BI56" s="187">
        <v>171176.49051530901</v>
      </c>
      <c r="BJ56" s="187">
        <v>212672.00198578599</v>
      </c>
      <c r="BK56" s="187">
        <v>171176.49051530901</v>
      </c>
      <c r="BL56" s="187">
        <v>171176.49051530901</v>
      </c>
      <c r="BM56" s="187">
        <v>224672.00198578599</v>
      </c>
      <c r="BN56" s="186">
        <f t="shared" ref="BN56:BN124" si="59">SUM(BB56:BM56)</f>
        <v>2227303.4710766058</v>
      </c>
      <c r="BP56"/>
      <c r="BQ56"/>
      <c r="BR56"/>
      <c r="BS56"/>
      <c r="BT56"/>
      <c r="BU56"/>
      <c r="BV56"/>
      <c r="BW56"/>
      <c r="BX56"/>
      <c r="BY56"/>
      <c r="BZ56"/>
      <c r="CA56"/>
      <c r="CB56"/>
    </row>
    <row r="57" spans="1:80" ht="11.95" hidden="1" outlineLevel="2" thickBot="1" x14ac:dyDescent="0.3">
      <c r="A57" t="str">
        <f t="shared" ref="A57" si="60">IF(LEFT(G57,3)="Mul", "#hiderow", "#showrow")</f>
        <v>#hiderow</v>
      </c>
      <c r="E57" s="3"/>
      <c r="F57" s="3"/>
      <c r="G57" s="255" t="s">
        <v>6</v>
      </c>
      <c r="H57" s="3"/>
      <c r="I57" s="18"/>
      <c r="J57" s="18"/>
      <c r="K57" s="18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6">
        <f t="shared" si="56"/>
        <v>0</v>
      </c>
      <c r="Y57" s="219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6">
        <f t="shared" si="57"/>
        <v>0</v>
      </c>
      <c r="AM57" s="221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6">
        <f t="shared" si="58"/>
        <v>0</v>
      </c>
      <c r="BA57" s="221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6">
        <f t="shared" si="59"/>
        <v>0</v>
      </c>
      <c r="BP57"/>
      <c r="BQ57"/>
      <c r="BR57"/>
      <c r="BS57"/>
      <c r="BT57"/>
      <c r="BU57"/>
      <c r="BV57"/>
      <c r="BW57"/>
      <c r="BX57"/>
      <c r="BY57"/>
      <c r="BZ57"/>
      <c r="CA57"/>
      <c r="CB57"/>
    </row>
    <row r="58" spans="1:80" ht="11.95" outlineLevel="2" thickBot="1" x14ac:dyDescent="0.3">
      <c r="A58" t="str">
        <f t="shared" ref="A58:A63" si="61">IF(LEFT(G58,3)="Mul", "#hiderow", "#showrow")</f>
        <v>#showrow</v>
      </c>
      <c r="E58" s="3"/>
      <c r="F58" s="3"/>
      <c r="G58" s="255" t="s">
        <v>181</v>
      </c>
      <c r="H58" s="3"/>
      <c r="I58" s="18"/>
      <c r="J58" s="18"/>
      <c r="K58" s="18"/>
      <c r="L58" s="185">
        <v>53684.75</v>
      </c>
      <c r="M58" s="185">
        <v>77623.59</v>
      </c>
      <c r="N58" s="185">
        <v>99519.99</v>
      </c>
      <c r="O58" s="185">
        <v>87610.14</v>
      </c>
      <c r="P58" s="185">
        <v>92136.04</v>
      </c>
      <c r="Q58" s="185">
        <v>113013.74</v>
      </c>
      <c r="R58" s="185">
        <v>103696.69</v>
      </c>
      <c r="S58" s="185">
        <v>114831.43</v>
      </c>
      <c r="T58" s="185">
        <v>141393.76999999999</v>
      </c>
      <c r="U58" s="185">
        <v>120603.37</v>
      </c>
      <c r="V58" s="185">
        <v>123597.08</v>
      </c>
      <c r="W58" s="185">
        <v>168728.74</v>
      </c>
      <c r="X58" s="186">
        <f t="shared" ref="X58:X63" si="62">SUM(L58:W58)</f>
        <v>1296439.3299999998</v>
      </c>
      <c r="Y58" s="219"/>
      <c r="Z58" s="185">
        <v>103685.43</v>
      </c>
      <c r="AA58" s="185">
        <v>133276.53010275701</v>
      </c>
      <c r="AB58" s="185">
        <v>166595.662628447</v>
      </c>
      <c r="AC58" s="185">
        <v>133276.53010275701</v>
      </c>
      <c r="AD58" s="185">
        <v>133276.53010275701</v>
      </c>
      <c r="AE58" s="185">
        <v>166595.662628447</v>
      </c>
      <c r="AF58" s="185">
        <v>133897.43120165801</v>
      </c>
      <c r="AG58" s="185">
        <v>133897.43120165801</v>
      </c>
      <c r="AH58" s="185">
        <v>167371.789002073</v>
      </c>
      <c r="AI58" s="185">
        <v>133897.43120165801</v>
      </c>
      <c r="AJ58" s="185">
        <v>133897.43120165801</v>
      </c>
      <c r="AK58" s="185">
        <v>167371.789002073</v>
      </c>
      <c r="AL58" s="186">
        <f t="shared" ref="AL58:AL63" si="63">SUM(Z58:AK58)</f>
        <v>1707039.6483759431</v>
      </c>
      <c r="AM58" s="221"/>
      <c r="AN58" s="187">
        <v>133276.53010275701</v>
      </c>
      <c r="AO58" s="187">
        <v>133276.53010275701</v>
      </c>
      <c r="AP58" s="187">
        <v>166595.662628447</v>
      </c>
      <c r="AQ58" s="187">
        <v>133276.53010275701</v>
      </c>
      <c r="AR58" s="187">
        <v>133276.53010275701</v>
      </c>
      <c r="AS58" s="187">
        <v>166595.662628447</v>
      </c>
      <c r="AT58" s="187">
        <v>133897.43120165801</v>
      </c>
      <c r="AU58" s="187">
        <v>133897.43120165801</v>
      </c>
      <c r="AV58" s="187">
        <v>167371.789002073</v>
      </c>
      <c r="AW58" s="187">
        <v>133897.43120165801</v>
      </c>
      <c r="AX58" s="187">
        <v>133897.43120165801</v>
      </c>
      <c r="AY58" s="187">
        <v>167371.789002073</v>
      </c>
      <c r="AZ58" s="186">
        <f t="shared" ref="AZ58:AZ63" si="64">SUM(AN58:AY58)</f>
        <v>1736630.7484786999</v>
      </c>
      <c r="BA58" s="221"/>
      <c r="BB58" s="187">
        <v>133276.53010275701</v>
      </c>
      <c r="BC58" s="187">
        <v>133276.53010275701</v>
      </c>
      <c r="BD58" s="187">
        <v>166595.662628447</v>
      </c>
      <c r="BE58" s="187">
        <v>133276.53010275701</v>
      </c>
      <c r="BF58" s="187">
        <v>133276.53010275701</v>
      </c>
      <c r="BG58" s="187">
        <v>166595.662628447</v>
      </c>
      <c r="BH58" s="187">
        <v>133897.43120165801</v>
      </c>
      <c r="BI58" s="187">
        <v>133897.43120165801</v>
      </c>
      <c r="BJ58" s="187">
        <v>167371.789002073</v>
      </c>
      <c r="BK58" s="187">
        <v>133897.43120165801</v>
      </c>
      <c r="BL58" s="187">
        <v>133897.43120165801</v>
      </c>
      <c r="BM58" s="187">
        <v>167371.789002073</v>
      </c>
      <c r="BN58" s="186">
        <f t="shared" ref="BN58:BN63" si="65">SUM(BB58:BM58)</f>
        <v>1736630.7484786999</v>
      </c>
      <c r="BP58"/>
      <c r="BQ58"/>
      <c r="BR58"/>
      <c r="BS58"/>
      <c r="BT58"/>
      <c r="BU58"/>
      <c r="BV58"/>
      <c r="BW58"/>
      <c r="BX58"/>
      <c r="BY58"/>
      <c r="BZ58"/>
      <c r="CA58"/>
      <c r="CB58"/>
    </row>
    <row r="59" spans="1:80" ht="11.95" outlineLevel="2" thickBot="1" x14ac:dyDescent="0.3">
      <c r="A59" t="str">
        <f t="shared" si="61"/>
        <v>#showrow</v>
      </c>
      <c r="E59" s="3"/>
      <c r="F59" s="3"/>
      <c r="G59" s="255" t="s">
        <v>182</v>
      </c>
      <c r="H59" s="3"/>
      <c r="I59" s="18"/>
      <c r="J59" s="18"/>
      <c r="K59" s="18"/>
      <c r="L59" s="185">
        <v>7183.8</v>
      </c>
      <c r="M59" s="185">
        <v>10037.700000000001</v>
      </c>
      <c r="N59" s="185">
        <v>5922.38</v>
      </c>
      <c r="O59" s="185">
        <v>1066.54</v>
      </c>
      <c r="P59" s="185">
        <v>5709.31</v>
      </c>
      <c r="Q59" s="185">
        <v>10094.4</v>
      </c>
      <c r="R59" s="185">
        <v>5259.84</v>
      </c>
      <c r="S59" s="185">
        <v>11102.22</v>
      </c>
      <c r="T59" s="185">
        <v>25529.06</v>
      </c>
      <c r="U59" s="185">
        <v>24106.62</v>
      </c>
      <c r="V59" s="185">
        <v>24333.72</v>
      </c>
      <c r="W59" s="185">
        <v>29613.75</v>
      </c>
      <c r="X59" s="186">
        <f t="shared" si="62"/>
        <v>159959.34</v>
      </c>
      <c r="Y59" s="219"/>
      <c r="Z59" s="185">
        <v>22587.08</v>
      </c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6">
        <f t="shared" si="63"/>
        <v>22587.08</v>
      </c>
      <c r="AM59" s="221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6">
        <f t="shared" si="64"/>
        <v>0</v>
      </c>
      <c r="BA59" s="221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6">
        <f t="shared" si="65"/>
        <v>0</v>
      </c>
      <c r="BP59"/>
      <c r="BQ59"/>
      <c r="BR59"/>
      <c r="BS59"/>
      <c r="BT59"/>
      <c r="BU59"/>
      <c r="BV59"/>
      <c r="BW59"/>
      <c r="BX59"/>
      <c r="BY59"/>
      <c r="BZ59"/>
      <c r="CA59"/>
      <c r="CB59"/>
    </row>
    <row r="60" spans="1:80" ht="11.95" outlineLevel="2" thickBot="1" x14ac:dyDescent="0.3">
      <c r="A60" t="str">
        <f t="shared" si="61"/>
        <v>#showrow</v>
      </c>
      <c r="E60" s="3"/>
      <c r="F60" s="3"/>
      <c r="G60" s="255" t="s">
        <v>183</v>
      </c>
      <c r="H60" s="3"/>
      <c r="I60" s="18"/>
      <c r="J60" s="18"/>
      <c r="K60" s="18"/>
      <c r="L60" s="185">
        <v>-1634.61</v>
      </c>
      <c r="M60" s="185">
        <v>-1634.62</v>
      </c>
      <c r="N60" s="185">
        <v>-1610.58</v>
      </c>
      <c r="O60" s="185">
        <v>22496.29</v>
      </c>
      <c r="P60" s="185">
        <v>23553.01</v>
      </c>
      <c r="Q60" s="185">
        <v>28680.19</v>
      </c>
      <c r="R60" s="185">
        <v>26475.67</v>
      </c>
      <c r="S60" s="185">
        <v>30174.959999999999</v>
      </c>
      <c r="T60" s="185">
        <v>36497.32</v>
      </c>
      <c r="U60" s="185">
        <v>30345.09</v>
      </c>
      <c r="V60" s="185">
        <v>31825.52</v>
      </c>
      <c r="W60" s="185">
        <v>47489.08</v>
      </c>
      <c r="X60" s="186">
        <f t="shared" si="62"/>
        <v>272657.32</v>
      </c>
      <c r="Y60" s="219"/>
      <c r="Z60" s="185">
        <v>17527.04</v>
      </c>
      <c r="AA60" s="185">
        <v>19991.479515413601</v>
      </c>
      <c r="AB60" s="185">
        <v>24989.349394266999</v>
      </c>
      <c r="AC60" s="185">
        <v>19991.479515413601</v>
      </c>
      <c r="AD60" s="185">
        <v>19991.479515413601</v>
      </c>
      <c r="AE60" s="185">
        <v>24989.349394266999</v>
      </c>
      <c r="AF60" s="185">
        <v>20084.6146802488</v>
      </c>
      <c r="AG60" s="185">
        <v>20084.6146802488</v>
      </c>
      <c r="AH60" s="185">
        <v>25105.7683503109</v>
      </c>
      <c r="AI60" s="185">
        <v>20084.6146802488</v>
      </c>
      <c r="AJ60" s="185">
        <v>20084.6146802488</v>
      </c>
      <c r="AK60" s="185">
        <v>25105.7683503109</v>
      </c>
      <c r="AL60" s="186">
        <f t="shared" si="63"/>
        <v>258030.17275639187</v>
      </c>
      <c r="AM60" s="221"/>
      <c r="AN60" s="187">
        <v>19991.479515413601</v>
      </c>
      <c r="AO60" s="187">
        <v>19991.479515413601</v>
      </c>
      <c r="AP60" s="187">
        <v>24989.349394266999</v>
      </c>
      <c r="AQ60" s="187">
        <v>19991.479515413601</v>
      </c>
      <c r="AR60" s="187">
        <v>19991.479515413601</v>
      </c>
      <c r="AS60" s="187">
        <v>24989.349394266999</v>
      </c>
      <c r="AT60" s="187">
        <v>20084.6146802488</v>
      </c>
      <c r="AU60" s="187">
        <v>20084.6146802488</v>
      </c>
      <c r="AV60" s="187">
        <v>25105.7683503109</v>
      </c>
      <c r="AW60" s="187">
        <v>20084.6146802488</v>
      </c>
      <c r="AX60" s="187">
        <v>20084.6146802488</v>
      </c>
      <c r="AY60" s="187">
        <v>25105.7683503109</v>
      </c>
      <c r="AZ60" s="186">
        <f t="shared" si="64"/>
        <v>260494.61227180547</v>
      </c>
      <c r="BA60" s="221"/>
      <c r="BB60" s="187">
        <v>19991.479515413601</v>
      </c>
      <c r="BC60" s="187">
        <v>19991.479515413601</v>
      </c>
      <c r="BD60" s="187">
        <v>24989.349394266999</v>
      </c>
      <c r="BE60" s="187">
        <v>19991.479515413601</v>
      </c>
      <c r="BF60" s="187">
        <v>19991.479515413601</v>
      </c>
      <c r="BG60" s="187">
        <v>24989.349394266999</v>
      </c>
      <c r="BH60" s="187">
        <v>20084.6146802488</v>
      </c>
      <c r="BI60" s="187">
        <v>20084.6146802488</v>
      </c>
      <c r="BJ60" s="187">
        <v>25105.7683503109</v>
      </c>
      <c r="BK60" s="187">
        <v>20084.6146802488</v>
      </c>
      <c r="BL60" s="187">
        <v>20084.6146802488</v>
      </c>
      <c r="BM60" s="187">
        <v>25105.7683503109</v>
      </c>
      <c r="BN60" s="186">
        <f t="shared" si="65"/>
        <v>260494.61227180547</v>
      </c>
      <c r="BP60"/>
      <c r="BQ60"/>
      <c r="BR60"/>
      <c r="BS60"/>
      <c r="BT60"/>
      <c r="BU60"/>
      <c r="BV60"/>
      <c r="BW60"/>
      <c r="BX60"/>
      <c r="BY60"/>
      <c r="BZ60"/>
      <c r="CA60"/>
      <c r="CB60"/>
    </row>
    <row r="61" spans="1:80" ht="11.95" outlineLevel="2" thickBot="1" x14ac:dyDescent="0.3">
      <c r="A61" t="str">
        <f t="shared" si="61"/>
        <v>#showrow</v>
      </c>
      <c r="E61" s="3"/>
      <c r="F61" s="3"/>
      <c r="G61" s="255" t="s">
        <v>184</v>
      </c>
      <c r="H61" s="3"/>
      <c r="I61" s="18"/>
      <c r="J61" s="18"/>
      <c r="K61" s="18"/>
      <c r="L61" s="185">
        <v>11787</v>
      </c>
      <c r="M61" s="185">
        <v>29842.02</v>
      </c>
      <c r="N61" s="185">
        <v>24744.5</v>
      </c>
      <c r="O61" s="185">
        <v>9056.27</v>
      </c>
      <c r="P61" s="185">
        <v>8317.43</v>
      </c>
      <c r="Q61" s="185">
        <v>18539.830000000002</v>
      </c>
      <c r="R61" s="185">
        <v>6760</v>
      </c>
      <c r="S61" s="185">
        <v>10121.120000000001</v>
      </c>
      <c r="T61" s="185">
        <v>15020.01</v>
      </c>
      <c r="U61" s="185">
        <v>9424.7800000000007</v>
      </c>
      <c r="V61" s="185">
        <v>8903.6299999999992</v>
      </c>
      <c r="W61" s="185">
        <v>12437.44</v>
      </c>
      <c r="X61" s="186">
        <f t="shared" si="62"/>
        <v>164954.03</v>
      </c>
      <c r="Y61" s="219"/>
      <c r="Z61" s="185">
        <v>8273.7000000000007</v>
      </c>
      <c r="AA61" s="185">
        <v>12000</v>
      </c>
      <c r="AB61" s="185">
        <v>15000</v>
      </c>
      <c r="AC61" s="185">
        <v>12000</v>
      </c>
      <c r="AD61" s="185">
        <v>12000</v>
      </c>
      <c r="AE61" s="185">
        <v>15000</v>
      </c>
      <c r="AF61" s="185">
        <v>12000</v>
      </c>
      <c r="AG61" s="185">
        <v>12000</v>
      </c>
      <c r="AH61" s="185">
        <v>15000</v>
      </c>
      <c r="AI61" s="185">
        <v>12000</v>
      </c>
      <c r="AJ61" s="185">
        <v>12000</v>
      </c>
      <c r="AK61" s="185">
        <v>15000</v>
      </c>
      <c r="AL61" s="186">
        <f t="shared" si="63"/>
        <v>152273.70000000001</v>
      </c>
      <c r="AM61" s="221"/>
      <c r="AN61" s="187">
        <v>12000</v>
      </c>
      <c r="AO61" s="187">
        <v>12000</v>
      </c>
      <c r="AP61" s="187">
        <v>15000</v>
      </c>
      <c r="AQ61" s="187">
        <v>12000</v>
      </c>
      <c r="AR61" s="187">
        <v>12000</v>
      </c>
      <c r="AS61" s="187">
        <v>15000</v>
      </c>
      <c r="AT61" s="187">
        <v>12000</v>
      </c>
      <c r="AU61" s="187">
        <v>12000</v>
      </c>
      <c r="AV61" s="187">
        <v>15000</v>
      </c>
      <c r="AW61" s="187">
        <v>12000</v>
      </c>
      <c r="AX61" s="187">
        <v>12000</v>
      </c>
      <c r="AY61" s="187">
        <v>15000</v>
      </c>
      <c r="AZ61" s="186">
        <f t="shared" si="64"/>
        <v>156000</v>
      </c>
      <c r="BA61" s="221"/>
      <c r="BB61" s="187">
        <v>12000</v>
      </c>
      <c r="BC61" s="187">
        <v>12000</v>
      </c>
      <c r="BD61" s="187">
        <v>15000</v>
      </c>
      <c r="BE61" s="187">
        <v>12000</v>
      </c>
      <c r="BF61" s="187">
        <v>12000</v>
      </c>
      <c r="BG61" s="187">
        <v>15000</v>
      </c>
      <c r="BH61" s="187">
        <v>12000</v>
      </c>
      <c r="BI61" s="187">
        <v>12000</v>
      </c>
      <c r="BJ61" s="187">
        <v>15000</v>
      </c>
      <c r="BK61" s="187">
        <v>12000</v>
      </c>
      <c r="BL61" s="187">
        <v>12000</v>
      </c>
      <c r="BM61" s="187">
        <v>15000</v>
      </c>
      <c r="BN61" s="186">
        <f t="shared" si="65"/>
        <v>156000</v>
      </c>
      <c r="BP61"/>
      <c r="BQ61"/>
      <c r="BR61"/>
      <c r="BS61"/>
      <c r="BT61"/>
      <c r="BU61"/>
      <c r="BV61"/>
      <c r="BW61"/>
      <c r="BX61"/>
      <c r="BY61"/>
      <c r="BZ61"/>
      <c r="CA61"/>
      <c r="CB61"/>
    </row>
    <row r="62" spans="1:80" ht="11.95" outlineLevel="2" thickBot="1" x14ac:dyDescent="0.3">
      <c r="A62" t="str">
        <f t="shared" si="61"/>
        <v>#showrow</v>
      </c>
      <c r="E62" s="3"/>
      <c r="F62" s="3"/>
      <c r="G62" s="255" t="s">
        <v>185</v>
      </c>
      <c r="H62" s="3"/>
      <c r="I62" s="18"/>
      <c r="J62" s="18"/>
      <c r="K62" s="18"/>
      <c r="L62" s="185"/>
      <c r="M62" s="185"/>
      <c r="N62" s="185"/>
      <c r="O62" s="185"/>
      <c r="P62" s="185">
        <v>4444</v>
      </c>
      <c r="Q62" s="185">
        <v>4444</v>
      </c>
      <c r="R62" s="185">
        <v>5694</v>
      </c>
      <c r="S62" s="185">
        <v>8194.4</v>
      </c>
      <c r="T62" s="185">
        <v>11272.8</v>
      </c>
      <c r="U62" s="185">
        <v>8343.2000000000007</v>
      </c>
      <c r="V62" s="185">
        <v>12254</v>
      </c>
      <c r="W62" s="185">
        <v>-3540.4</v>
      </c>
      <c r="X62" s="186">
        <f t="shared" si="62"/>
        <v>51105.999999999993</v>
      </c>
      <c r="Y62" s="219"/>
      <c r="Z62" s="185"/>
      <c r="AA62" s="185">
        <v>5168.5737542815496</v>
      </c>
      <c r="AB62" s="185">
        <v>5168.5737542815496</v>
      </c>
      <c r="AC62" s="185">
        <v>5168.5737542815496</v>
      </c>
      <c r="AD62" s="185">
        <v>5168.5737542815496</v>
      </c>
      <c r="AE62" s="185">
        <v>5168.5737542815496</v>
      </c>
      <c r="AF62" s="185">
        <v>5194.4446334024296</v>
      </c>
      <c r="AG62" s="185">
        <v>5194.4446334024296</v>
      </c>
      <c r="AH62" s="185">
        <v>5194.4446334024296</v>
      </c>
      <c r="AI62" s="185">
        <v>5194.4446334024296</v>
      </c>
      <c r="AJ62" s="185">
        <v>5194.4446334024296</v>
      </c>
      <c r="AK62" s="185">
        <v>17194.4446334024</v>
      </c>
      <c r="AL62" s="186">
        <f t="shared" si="63"/>
        <v>69009.536571822304</v>
      </c>
      <c r="AM62" s="221"/>
      <c r="AN62" s="187">
        <v>5168.5737542815496</v>
      </c>
      <c r="AO62" s="187">
        <v>5168.5737542815496</v>
      </c>
      <c r="AP62" s="187">
        <v>5168.5737542815496</v>
      </c>
      <c r="AQ62" s="187">
        <v>5168.5737542815496</v>
      </c>
      <c r="AR62" s="187">
        <v>5168.5737542815496</v>
      </c>
      <c r="AS62" s="187">
        <v>5168.5737542815496</v>
      </c>
      <c r="AT62" s="187">
        <v>5194.4446334024296</v>
      </c>
      <c r="AU62" s="187">
        <v>5194.4446334024296</v>
      </c>
      <c r="AV62" s="187">
        <v>5194.4446334024296</v>
      </c>
      <c r="AW62" s="187">
        <v>5194.4446334024296</v>
      </c>
      <c r="AX62" s="187">
        <v>5194.4446334024296</v>
      </c>
      <c r="AY62" s="187">
        <v>17194.4446334024</v>
      </c>
      <c r="AZ62" s="186">
        <f t="shared" si="64"/>
        <v>74178.110326103852</v>
      </c>
      <c r="BA62" s="221"/>
      <c r="BB62" s="187">
        <v>5168.5737542815496</v>
      </c>
      <c r="BC62" s="187">
        <v>5168.5737542815496</v>
      </c>
      <c r="BD62" s="187">
        <v>5168.5737542815496</v>
      </c>
      <c r="BE62" s="187">
        <v>5168.5737542815496</v>
      </c>
      <c r="BF62" s="187">
        <v>5168.5737542815496</v>
      </c>
      <c r="BG62" s="187">
        <v>5168.5737542815496</v>
      </c>
      <c r="BH62" s="187">
        <v>5194.4446334024296</v>
      </c>
      <c r="BI62" s="187">
        <v>5194.4446334024296</v>
      </c>
      <c r="BJ62" s="187">
        <v>5194.4446334024296</v>
      </c>
      <c r="BK62" s="187">
        <v>5194.4446334024296</v>
      </c>
      <c r="BL62" s="187">
        <v>5194.4446334024296</v>
      </c>
      <c r="BM62" s="187">
        <v>17194.4446334024</v>
      </c>
      <c r="BN62" s="186">
        <f t="shared" si="65"/>
        <v>74178.110326103852</v>
      </c>
      <c r="BP62"/>
      <c r="BQ62"/>
      <c r="BR62"/>
      <c r="BS62"/>
      <c r="BT62"/>
      <c r="BU62"/>
      <c r="BV62"/>
      <c r="BW62"/>
      <c r="BX62"/>
      <c r="BY62"/>
      <c r="BZ62"/>
      <c r="CA62"/>
      <c r="CB62"/>
    </row>
    <row r="63" spans="1:80" ht="11.95" outlineLevel="2" thickBot="1" x14ac:dyDescent="0.3">
      <c r="A63" t="str">
        <f t="shared" si="61"/>
        <v>#showrow</v>
      </c>
      <c r="E63" s="3"/>
      <c r="F63" s="3"/>
      <c r="G63" s="255" t="s">
        <v>186</v>
      </c>
      <c r="H63" s="3"/>
      <c r="I63" s="18"/>
      <c r="J63" s="18"/>
      <c r="K63" s="18"/>
      <c r="L63" s="185">
        <v>7464.16</v>
      </c>
      <c r="M63" s="185">
        <v>2868</v>
      </c>
      <c r="N63" s="185">
        <v>2273.77</v>
      </c>
      <c r="O63" s="185">
        <v>2375</v>
      </c>
      <c r="P63" s="185">
        <v>2076</v>
      </c>
      <c r="Q63" s="185">
        <v>1707</v>
      </c>
      <c r="R63" s="185">
        <v>2206</v>
      </c>
      <c r="S63" s="185">
        <v>4624</v>
      </c>
      <c r="T63" s="185">
        <v>4595.5</v>
      </c>
      <c r="U63" s="185">
        <v>777</v>
      </c>
      <c r="V63" s="185">
        <v>3705</v>
      </c>
      <c r="W63" s="185">
        <v>21227.56</v>
      </c>
      <c r="X63" s="186">
        <f t="shared" si="62"/>
        <v>55898.990000000005</v>
      </c>
      <c r="Y63" s="219"/>
      <c r="Z63" s="185">
        <v>13161.5</v>
      </c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6">
        <f t="shared" si="63"/>
        <v>13161.5</v>
      </c>
      <c r="AM63" s="221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6">
        <f t="shared" si="64"/>
        <v>0</v>
      </c>
      <c r="BA63" s="221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6">
        <f t="shared" si="65"/>
        <v>0</v>
      </c>
      <c r="BP63"/>
      <c r="BQ63"/>
      <c r="BR63"/>
      <c r="BS63"/>
      <c r="BT63"/>
      <c r="BU63"/>
      <c r="BV63"/>
      <c r="BW63"/>
      <c r="BX63"/>
      <c r="BY63"/>
      <c r="BZ63"/>
      <c r="CA63"/>
      <c r="CB63"/>
    </row>
    <row r="64" spans="1:80" ht="11.95" outlineLevel="1" thickBot="1" x14ac:dyDescent="0.3">
      <c r="E64" s="3"/>
      <c r="F64" s="3"/>
      <c r="G64" s="256" t="s">
        <v>105</v>
      </c>
      <c r="H64" s="3"/>
      <c r="I64" s="18"/>
      <c r="J64" s="18"/>
      <c r="K64" s="18"/>
      <c r="L64" s="185">
        <v>6439.46</v>
      </c>
      <c r="M64" s="185">
        <v>666.86</v>
      </c>
      <c r="N64" s="185">
        <v>8373.18</v>
      </c>
      <c r="O64" s="185">
        <v>3620.44</v>
      </c>
      <c r="P64" s="185">
        <v>4064.68</v>
      </c>
      <c r="Q64" s="185">
        <v>5595.08</v>
      </c>
      <c r="R64" s="185">
        <v>5764.08</v>
      </c>
      <c r="S64" s="185">
        <v>4319.6499999999996</v>
      </c>
      <c r="T64" s="185">
        <v>4364.42</v>
      </c>
      <c r="U64" s="185">
        <v>2606.36</v>
      </c>
      <c r="V64" s="185">
        <v>3197.77</v>
      </c>
      <c r="W64" s="185">
        <v>6140.03</v>
      </c>
      <c r="X64" s="186">
        <f t="shared" si="56"/>
        <v>55152.009999999995</v>
      </c>
      <c r="Y64" s="219"/>
      <c r="Z64" s="185">
        <v>3070.79</v>
      </c>
      <c r="AA64" s="185">
        <v>3500</v>
      </c>
      <c r="AB64" s="185">
        <v>3500</v>
      </c>
      <c r="AC64" s="185">
        <v>3500</v>
      </c>
      <c r="AD64" s="185">
        <v>3500</v>
      </c>
      <c r="AE64" s="185">
        <v>3500</v>
      </c>
      <c r="AF64" s="185">
        <v>3500</v>
      </c>
      <c r="AG64" s="185">
        <v>3500</v>
      </c>
      <c r="AH64" s="185">
        <v>3500</v>
      </c>
      <c r="AI64" s="185">
        <v>3500</v>
      </c>
      <c r="AJ64" s="185">
        <v>3500</v>
      </c>
      <c r="AK64" s="185">
        <v>3500</v>
      </c>
      <c r="AL64" s="186">
        <f t="shared" si="57"/>
        <v>41570.79</v>
      </c>
      <c r="AM64" s="221"/>
      <c r="AN64" s="187">
        <v>3500</v>
      </c>
      <c r="AO64" s="187">
        <v>3500</v>
      </c>
      <c r="AP64" s="187">
        <v>3500</v>
      </c>
      <c r="AQ64" s="187">
        <v>3500</v>
      </c>
      <c r="AR64" s="187">
        <v>3500</v>
      </c>
      <c r="AS64" s="187">
        <v>3500</v>
      </c>
      <c r="AT64" s="187">
        <v>3500</v>
      </c>
      <c r="AU64" s="187">
        <v>3500</v>
      </c>
      <c r="AV64" s="187">
        <v>3500</v>
      </c>
      <c r="AW64" s="187">
        <v>3500</v>
      </c>
      <c r="AX64" s="187">
        <v>3500</v>
      </c>
      <c r="AY64" s="187">
        <v>3500</v>
      </c>
      <c r="AZ64" s="186">
        <f t="shared" si="58"/>
        <v>42000</v>
      </c>
      <c r="BA64" s="221"/>
      <c r="BB64" s="187">
        <v>3500</v>
      </c>
      <c r="BC64" s="187">
        <v>3500</v>
      </c>
      <c r="BD64" s="187">
        <v>3500</v>
      </c>
      <c r="BE64" s="187">
        <v>3500</v>
      </c>
      <c r="BF64" s="187">
        <v>3500</v>
      </c>
      <c r="BG64" s="187">
        <v>3500</v>
      </c>
      <c r="BH64" s="187">
        <v>3500</v>
      </c>
      <c r="BI64" s="187">
        <v>3500</v>
      </c>
      <c r="BJ64" s="187">
        <v>3500</v>
      </c>
      <c r="BK64" s="187">
        <v>3500</v>
      </c>
      <c r="BL64" s="187">
        <v>3500</v>
      </c>
      <c r="BM64" s="187">
        <v>3500</v>
      </c>
      <c r="BN64" s="186">
        <f t="shared" si="59"/>
        <v>42000</v>
      </c>
      <c r="BP64"/>
      <c r="BQ64"/>
      <c r="BR64"/>
      <c r="BS64"/>
      <c r="BT64"/>
      <c r="BU64"/>
      <c r="BV64"/>
      <c r="BW64"/>
      <c r="BX64"/>
      <c r="BY64"/>
      <c r="BZ64"/>
      <c r="CA64"/>
      <c r="CB64"/>
    </row>
    <row r="65" spans="1:80" ht="11.95" hidden="1" outlineLevel="2" thickBot="1" x14ac:dyDescent="0.3">
      <c r="A65" t="str">
        <f t="shared" ref="A65" si="66">IF(LEFT(G65,3)="Mul", "#hiderow", "#showrow")</f>
        <v>#hiderow</v>
      </c>
      <c r="E65" s="3"/>
      <c r="F65" s="3"/>
      <c r="G65" s="255" t="s">
        <v>6</v>
      </c>
      <c r="H65" s="3"/>
      <c r="I65" s="18"/>
      <c r="J65" s="18"/>
      <c r="K65" s="18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6">
        <f t="shared" si="56"/>
        <v>0</v>
      </c>
      <c r="Y65" s="219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6">
        <f t="shared" si="57"/>
        <v>0</v>
      </c>
      <c r="AM65" s="221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6">
        <f t="shared" si="58"/>
        <v>0</v>
      </c>
      <c r="BA65" s="221"/>
      <c r="BB65" s="187"/>
      <c r="BC65" s="187"/>
      <c r="BD65" s="187"/>
      <c r="BE65" s="187"/>
      <c r="BF65" s="187"/>
      <c r="BG65" s="187"/>
      <c r="BH65" s="187"/>
      <c r="BI65" s="187"/>
      <c r="BJ65" s="187"/>
      <c r="BK65" s="187"/>
      <c r="BL65" s="187"/>
      <c r="BM65" s="187"/>
      <c r="BN65" s="186">
        <f t="shared" si="59"/>
        <v>0</v>
      </c>
      <c r="BP65"/>
      <c r="BQ65"/>
      <c r="BR65"/>
      <c r="BS65"/>
      <c r="BT65"/>
      <c r="BU65"/>
      <c r="BV65"/>
      <c r="BW65"/>
      <c r="BX65"/>
      <c r="BY65"/>
      <c r="BZ65"/>
      <c r="CA65"/>
      <c r="CB65"/>
    </row>
    <row r="66" spans="1:80" ht="11.95" outlineLevel="2" thickBot="1" x14ac:dyDescent="0.3">
      <c r="A66" t="str">
        <f t="shared" ref="A66:A77" si="67">IF(LEFT(G66,3)="Mul", "#hiderow", "#showrow")</f>
        <v>#showrow</v>
      </c>
      <c r="E66" s="3"/>
      <c r="F66" s="3"/>
      <c r="G66" s="255" t="s">
        <v>164</v>
      </c>
      <c r="H66" s="3"/>
      <c r="I66" s="18"/>
      <c r="J66" s="18"/>
      <c r="K66" s="18"/>
      <c r="L66" s="185"/>
      <c r="M66" s="185"/>
      <c r="N66" s="185">
        <v>2345.23</v>
      </c>
      <c r="O66" s="185"/>
      <c r="P66" s="185"/>
      <c r="Q66" s="185"/>
      <c r="R66" s="185"/>
      <c r="S66" s="185">
        <v>2550</v>
      </c>
      <c r="T66" s="185">
        <v>2550</v>
      </c>
      <c r="U66" s="185"/>
      <c r="V66" s="185">
        <v>2550</v>
      </c>
      <c r="W66" s="185">
        <v>5100</v>
      </c>
      <c r="X66" s="186">
        <f t="shared" ref="X66:X77" si="68">SUM(L66:W66)</f>
        <v>15095.23</v>
      </c>
      <c r="Y66" s="219"/>
      <c r="Z66" s="185">
        <v>2550</v>
      </c>
      <c r="AA66" s="185">
        <v>3500</v>
      </c>
      <c r="AB66" s="185">
        <v>3500</v>
      </c>
      <c r="AC66" s="185">
        <v>3500</v>
      </c>
      <c r="AD66" s="185">
        <v>3500</v>
      </c>
      <c r="AE66" s="185">
        <v>3500</v>
      </c>
      <c r="AF66" s="185">
        <v>3500</v>
      </c>
      <c r="AG66" s="185">
        <v>3500</v>
      </c>
      <c r="AH66" s="185">
        <v>3500</v>
      </c>
      <c r="AI66" s="185">
        <v>3500</v>
      </c>
      <c r="AJ66" s="185">
        <v>3500</v>
      </c>
      <c r="AK66" s="185">
        <v>3500</v>
      </c>
      <c r="AL66" s="186">
        <f t="shared" ref="AL66:AL77" si="69">SUM(Z66:AK66)</f>
        <v>41050</v>
      </c>
      <c r="AM66" s="221"/>
      <c r="AN66" s="187">
        <v>3500</v>
      </c>
      <c r="AO66" s="187">
        <v>3500</v>
      </c>
      <c r="AP66" s="187">
        <v>3500</v>
      </c>
      <c r="AQ66" s="187">
        <v>3500</v>
      </c>
      <c r="AR66" s="187">
        <v>3500</v>
      </c>
      <c r="AS66" s="187">
        <v>3500</v>
      </c>
      <c r="AT66" s="187">
        <v>3500</v>
      </c>
      <c r="AU66" s="187">
        <v>3500</v>
      </c>
      <c r="AV66" s="187">
        <v>3500</v>
      </c>
      <c r="AW66" s="187">
        <v>3500</v>
      </c>
      <c r="AX66" s="187">
        <v>3500</v>
      </c>
      <c r="AY66" s="187">
        <v>3500</v>
      </c>
      <c r="AZ66" s="186">
        <f t="shared" ref="AZ66:AZ77" si="70">SUM(AN66:AY66)</f>
        <v>42000</v>
      </c>
      <c r="BA66" s="221"/>
      <c r="BB66" s="187">
        <v>3500</v>
      </c>
      <c r="BC66" s="187">
        <v>3500</v>
      </c>
      <c r="BD66" s="187">
        <v>3500</v>
      </c>
      <c r="BE66" s="187">
        <v>3500</v>
      </c>
      <c r="BF66" s="187">
        <v>3500</v>
      </c>
      <c r="BG66" s="187">
        <v>3500</v>
      </c>
      <c r="BH66" s="187">
        <v>3500</v>
      </c>
      <c r="BI66" s="187">
        <v>3500</v>
      </c>
      <c r="BJ66" s="187">
        <v>3500</v>
      </c>
      <c r="BK66" s="187">
        <v>3500</v>
      </c>
      <c r="BL66" s="187">
        <v>3500</v>
      </c>
      <c r="BM66" s="187">
        <v>3500</v>
      </c>
      <c r="BN66" s="186">
        <f t="shared" ref="BN66:BN77" si="71">SUM(BB66:BM66)</f>
        <v>42000</v>
      </c>
      <c r="BP66"/>
      <c r="BQ66"/>
      <c r="BR66"/>
      <c r="BS66"/>
      <c r="BT66"/>
      <c r="BU66"/>
      <c r="BV66"/>
      <c r="BW66"/>
      <c r="BX66"/>
      <c r="BY66"/>
      <c r="BZ66"/>
      <c r="CA66"/>
      <c r="CB66"/>
    </row>
    <row r="67" spans="1:80" ht="11.95" outlineLevel="2" thickBot="1" x14ac:dyDescent="0.3">
      <c r="A67" t="str">
        <f t="shared" si="67"/>
        <v>#showrow</v>
      </c>
      <c r="E67" s="3"/>
      <c r="F67" s="3"/>
      <c r="G67" s="255" t="s">
        <v>473</v>
      </c>
      <c r="H67" s="3"/>
      <c r="I67" s="18"/>
      <c r="J67" s="18"/>
      <c r="K67" s="18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>
        <v>26.9</v>
      </c>
      <c r="W67" s="185"/>
      <c r="X67" s="186">
        <f t="shared" si="68"/>
        <v>26.9</v>
      </c>
      <c r="Y67" s="219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6">
        <f t="shared" si="69"/>
        <v>0</v>
      </c>
      <c r="AM67" s="221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6">
        <f t="shared" si="70"/>
        <v>0</v>
      </c>
      <c r="BA67" s="221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6">
        <f t="shared" si="71"/>
        <v>0</v>
      </c>
      <c r="BP67"/>
      <c r="BQ67"/>
      <c r="BR67"/>
      <c r="BS67"/>
      <c r="BT67"/>
      <c r="BU67"/>
      <c r="BV67"/>
      <c r="BW67"/>
      <c r="BX67"/>
      <c r="BY67"/>
      <c r="BZ67"/>
      <c r="CA67"/>
      <c r="CB67"/>
    </row>
    <row r="68" spans="1:80" ht="11.95" outlineLevel="2" thickBot="1" x14ac:dyDescent="0.3">
      <c r="A68" t="str">
        <f t="shared" si="67"/>
        <v>#showrow</v>
      </c>
      <c r="E68" s="3"/>
      <c r="F68" s="3"/>
      <c r="G68" s="255" t="s">
        <v>165</v>
      </c>
      <c r="H68" s="3"/>
      <c r="I68" s="18"/>
      <c r="J68" s="18"/>
      <c r="K68" s="18"/>
      <c r="L68" s="185">
        <v>127.81</v>
      </c>
      <c r="M68" s="185">
        <v>167.43</v>
      </c>
      <c r="N68" s="185">
        <v>77.8</v>
      </c>
      <c r="O68" s="185">
        <v>62.3</v>
      </c>
      <c r="P68" s="185">
        <v>220.4</v>
      </c>
      <c r="Q68" s="185">
        <v>126.08</v>
      </c>
      <c r="R68" s="185">
        <v>94.56</v>
      </c>
      <c r="S68" s="185">
        <v>141.9</v>
      </c>
      <c r="T68" s="185">
        <v>78.8</v>
      </c>
      <c r="U68" s="185"/>
      <c r="V68" s="185"/>
      <c r="W68" s="185"/>
      <c r="X68" s="186">
        <f t="shared" si="68"/>
        <v>1097.0800000000002</v>
      </c>
      <c r="Y68" s="219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6">
        <f t="shared" si="69"/>
        <v>0</v>
      </c>
      <c r="AM68" s="221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6">
        <f t="shared" si="70"/>
        <v>0</v>
      </c>
      <c r="BA68" s="221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87"/>
      <c r="BN68" s="186">
        <f t="shared" si="71"/>
        <v>0</v>
      </c>
      <c r="BP68"/>
      <c r="BQ68"/>
      <c r="BR68"/>
      <c r="BS68"/>
      <c r="BT68"/>
      <c r="BU68"/>
      <c r="BV68"/>
      <c r="BW68"/>
      <c r="BX68"/>
      <c r="BY68"/>
      <c r="BZ68"/>
      <c r="CA68"/>
      <c r="CB68"/>
    </row>
    <row r="69" spans="1:80" ht="11.95" outlineLevel="2" thickBot="1" x14ac:dyDescent="0.3">
      <c r="A69" t="str">
        <f t="shared" si="67"/>
        <v>#showrow</v>
      </c>
      <c r="E69" s="3"/>
      <c r="F69" s="3"/>
      <c r="G69" s="255" t="s">
        <v>166</v>
      </c>
      <c r="H69" s="3"/>
      <c r="I69" s="18"/>
      <c r="J69" s="18"/>
      <c r="K69" s="18"/>
      <c r="L69" s="185"/>
      <c r="M69" s="185"/>
      <c r="N69" s="185"/>
      <c r="O69" s="185"/>
      <c r="P69" s="185"/>
      <c r="Q69" s="185"/>
      <c r="R69" s="185"/>
      <c r="S69" s="185"/>
      <c r="T69" s="185">
        <v>292.77999999999997</v>
      </c>
      <c r="U69" s="185"/>
      <c r="V69" s="185"/>
      <c r="W69" s="185">
        <v>41.46</v>
      </c>
      <c r="X69" s="186">
        <f t="shared" si="68"/>
        <v>334.23999999999995</v>
      </c>
      <c r="Y69" s="219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6">
        <f t="shared" si="69"/>
        <v>0</v>
      </c>
      <c r="AM69" s="221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6">
        <f t="shared" si="70"/>
        <v>0</v>
      </c>
      <c r="BA69" s="221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6">
        <f t="shared" si="71"/>
        <v>0</v>
      </c>
      <c r="BP69"/>
      <c r="BQ69"/>
      <c r="BR69"/>
      <c r="BS69"/>
      <c r="BT69"/>
      <c r="BU69"/>
      <c r="BV69"/>
      <c r="BW69"/>
      <c r="BX69"/>
      <c r="BY69"/>
      <c r="BZ69"/>
      <c r="CA69"/>
      <c r="CB69"/>
    </row>
    <row r="70" spans="1:80" ht="11.95" outlineLevel="2" thickBot="1" x14ac:dyDescent="0.3">
      <c r="A70" t="str">
        <f t="shared" si="67"/>
        <v>#showrow</v>
      </c>
      <c r="E70" s="3"/>
      <c r="F70" s="3"/>
      <c r="G70" s="255" t="s">
        <v>167</v>
      </c>
      <c r="H70" s="3"/>
      <c r="I70" s="18"/>
      <c r="J70" s="18"/>
      <c r="K70" s="18"/>
      <c r="L70" s="185">
        <v>476.95</v>
      </c>
      <c r="M70" s="185">
        <v>218.57</v>
      </c>
      <c r="N70" s="185">
        <v>692.82</v>
      </c>
      <c r="O70" s="185">
        <v>943.38</v>
      </c>
      <c r="P70" s="185">
        <v>643.58000000000004</v>
      </c>
      <c r="Q70" s="185">
        <v>3885.29</v>
      </c>
      <c r="R70" s="185">
        <v>4288.12</v>
      </c>
      <c r="S70" s="185">
        <v>583.98</v>
      </c>
      <c r="T70" s="185">
        <v>167.5</v>
      </c>
      <c r="U70" s="185">
        <v>455.56</v>
      </c>
      <c r="V70" s="185">
        <v>120</v>
      </c>
      <c r="W70" s="185"/>
      <c r="X70" s="186">
        <f t="shared" si="68"/>
        <v>12475.749999999998</v>
      </c>
      <c r="Y70" s="219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6">
        <f t="shared" si="69"/>
        <v>0</v>
      </c>
      <c r="AM70" s="221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6">
        <f t="shared" si="70"/>
        <v>0</v>
      </c>
      <c r="BA70" s="221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87"/>
      <c r="BN70" s="186">
        <f t="shared" si="71"/>
        <v>0</v>
      </c>
      <c r="BP70"/>
      <c r="BQ70"/>
      <c r="BR70"/>
      <c r="BS70"/>
      <c r="BT70"/>
      <c r="BU70"/>
      <c r="BV70"/>
      <c r="BW70"/>
      <c r="BX70"/>
      <c r="BY70"/>
      <c r="BZ70"/>
      <c r="CA70"/>
      <c r="CB70"/>
    </row>
    <row r="71" spans="1:80" ht="11.95" outlineLevel="2" thickBot="1" x14ac:dyDescent="0.3">
      <c r="A71" t="str">
        <f t="shared" si="67"/>
        <v>#showrow</v>
      </c>
      <c r="E71" s="3"/>
      <c r="F71" s="3"/>
      <c r="G71" s="255" t="s">
        <v>168</v>
      </c>
      <c r="H71" s="3"/>
      <c r="I71" s="18"/>
      <c r="J71" s="18"/>
      <c r="K71" s="18"/>
      <c r="L71" s="185"/>
      <c r="M71" s="185"/>
      <c r="N71" s="185"/>
      <c r="O71" s="185">
        <v>43.52</v>
      </c>
      <c r="P71" s="185"/>
      <c r="Q71" s="185">
        <v>43.52</v>
      </c>
      <c r="R71" s="185"/>
      <c r="S71" s="185"/>
      <c r="T71" s="185"/>
      <c r="U71" s="185"/>
      <c r="V71" s="185"/>
      <c r="W71" s="185"/>
      <c r="X71" s="186">
        <f t="shared" si="68"/>
        <v>87.04</v>
      </c>
      <c r="Y71" s="219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6">
        <f t="shared" si="69"/>
        <v>0</v>
      </c>
      <c r="AM71" s="221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6">
        <f t="shared" si="70"/>
        <v>0</v>
      </c>
      <c r="BA71" s="221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6">
        <f t="shared" si="71"/>
        <v>0</v>
      </c>
      <c r="BP71"/>
      <c r="BQ71"/>
      <c r="BR71"/>
      <c r="BS71"/>
      <c r="BT71"/>
      <c r="BU71"/>
      <c r="BV71"/>
      <c r="BW71"/>
      <c r="BX71"/>
      <c r="BY71"/>
      <c r="BZ71"/>
      <c r="CA71"/>
      <c r="CB71"/>
    </row>
    <row r="72" spans="1:80" ht="11.95" outlineLevel="2" thickBot="1" x14ac:dyDescent="0.3">
      <c r="A72" t="str">
        <f t="shared" si="67"/>
        <v>#showrow</v>
      </c>
      <c r="E72" s="3"/>
      <c r="F72" s="3"/>
      <c r="G72" s="255" t="s">
        <v>169</v>
      </c>
      <c r="H72" s="3"/>
      <c r="I72" s="18"/>
      <c r="J72" s="18"/>
      <c r="K72" s="18"/>
      <c r="L72" s="185">
        <v>5000</v>
      </c>
      <c r="M72" s="185"/>
      <c r="N72" s="185">
        <v>32.65</v>
      </c>
      <c r="O72" s="185"/>
      <c r="P72" s="185"/>
      <c r="Q72" s="185"/>
      <c r="R72" s="185"/>
      <c r="S72" s="185"/>
      <c r="T72" s="185"/>
      <c r="U72" s="185">
        <v>653.25</v>
      </c>
      <c r="V72" s="185"/>
      <c r="W72" s="185"/>
      <c r="X72" s="186">
        <f t="shared" si="68"/>
        <v>5685.9</v>
      </c>
      <c r="Y72" s="219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6">
        <f t="shared" si="69"/>
        <v>0</v>
      </c>
      <c r="AM72" s="221"/>
      <c r="AN72" s="187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6">
        <f t="shared" si="70"/>
        <v>0</v>
      </c>
      <c r="BA72" s="221"/>
      <c r="BB72" s="187"/>
      <c r="BC72" s="187"/>
      <c r="BD72" s="187"/>
      <c r="BE72" s="187"/>
      <c r="BF72" s="187"/>
      <c r="BG72" s="187"/>
      <c r="BH72" s="187"/>
      <c r="BI72" s="187"/>
      <c r="BJ72" s="187"/>
      <c r="BK72" s="187"/>
      <c r="BL72" s="187"/>
      <c r="BM72" s="187"/>
      <c r="BN72" s="186">
        <f t="shared" si="71"/>
        <v>0</v>
      </c>
      <c r="BP72"/>
      <c r="BQ72"/>
      <c r="BR72"/>
      <c r="BS72"/>
      <c r="BT72"/>
      <c r="BU72"/>
      <c r="BV72"/>
      <c r="BW72"/>
      <c r="BX72"/>
      <c r="BY72"/>
      <c r="BZ72"/>
      <c r="CA72"/>
      <c r="CB72"/>
    </row>
    <row r="73" spans="1:80" ht="11.95" outlineLevel="2" thickBot="1" x14ac:dyDescent="0.3">
      <c r="A73" t="str">
        <f t="shared" si="67"/>
        <v>#showrow</v>
      </c>
      <c r="E73" s="3"/>
      <c r="F73" s="3"/>
      <c r="G73" s="255" t="s">
        <v>170</v>
      </c>
      <c r="H73" s="3"/>
      <c r="I73" s="18"/>
      <c r="J73" s="18"/>
      <c r="K73" s="18"/>
      <c r="L73" s="185"/>
      <c r="M73" s="185"/>
      <c r="N73" s="185">
        <v>98.18</v>
      </c>
      <c r="O73" s="185"/>
      <c r="P73" s="185"/>
      <c r="Q73" s="185"/>
      <c r="R73" s="185">
        <v>540.46</v>
      </c>
      <c r="S73" s="185">
        <v>229.57</v>
      </c>
      <c r="T73" s="185">
        <v>117.06</v>
      </c>
      <c r="U73" s="185">
        <v>200.47</v>
      </c>
      <c r="V73" s="185"/>
      <c r="W73" s="185">
        <v>135.72</v>
      </c>
      <c r="X73" s="186">
        <f t="shared" si="68"/>
        <v>1321.46</v>
      </c>
      <c r="Y73" s="219"/>
      <c r="Z73" s="185">
        <v>60</v>
      </c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6">
        <f t="shared" si="69"/>
        <v>60</v>
      </c>
      <c r="AM73" s="221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186">
        <f t="shared" si="70"/>
        <v>0</v>
      </c>
      <c r="BA73" s="221"/>
      <c r="BB73" s="187"/>
      <c r="BC73" s="187"/>
      <c r="BD73" s="187"/>
      <c r="BE73" s="187"/>
      <c r="BF73" s="187"/>
      <c r="BG73" s="187"/>
      <c r="BH73" s="187"/>
      <c r="BI73" s="187"/>
      <c r="BJ73" s="187"/>
      <c r="BK73" s="187"/>
      <c r="BL73" s="187"/>
      <c r="BM73" s="187"/>
      <c r="BN73" s="186">
        <f t="shared" si="71"/>
        <v>0</v>
      </c>
      <c r="BP73"/>
      <c r="BQ73"/>
      <c r="BR73"/>
      <c r="BS73"/>
      <c r="BT73"/>
      <c r="BU73"/>
      <c r="BV73"/>
      <c r="BW73"/>
      <c r="BX73"/>
      <c r="BY73"/>
      <c r="BZ73"/>
      <c r="CA73"/>
      <c r="CB73"/>
    </row>
    <row r="74" spans="1:80" ht="11.95" outlineLevel="2" thickBot="1" x14ac:dyDescent="0.3">
      <c r="A74" t="str">
        <f t="shared" si="67"/>
        <v>#showrow</v>
      </c>
      <c r="E74" s="3"/>
      <c r="F74" s="3"/>
      <c r="G74" s="255" t="s">
        <v>171</v>
      </c>
      <c r="H74" s="3"/>
      <c r="I74" s="18"/>
      <c r="J74" s="18"/>
      <c r="K74" s="18"/>
      <c r="L74" s="185"/>
      <c r="M74" s="185"/>
      <c r="N74" s="185"/>
      <c r="O74" s="185"/>
      <c r="P74" s="185"/>
      <c r="Q74" s="185"/>
      <c r="R74" s="185"/>
      <c r="S74" s="185"/>
      <c r="T74" s="185">
        <v>364.59</v>
      </c>
      <c r="U74" s="185">
        <v>447.6</v>
      </c>
      <c r="V74" s="185"/>
      <c r="W74" s="185"/>
      <c r="X74" s="186">
        <f t="shared" si="68"/>
        <v>812.19</v>
      </c>
      <c r="Y74" s="219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6">
        <f t="shared" si="69"/>
        <v>0</v>
      </c>
      <c r="AM74" s="221"/>
      <c r="AN74" s="187"/>
      <c r="AO74" s="187"/>
      <c r="AP74" s="187"/>
      <c r="AQ74" s="187"/>
      <c r="AR74" s="187"/>
      <c r="AS74" s="187"/>
      <c r="AT74" s="187"/>
      <c r="AU74" s="187"/>
      <c r="AV74" s="187"/>
      <c r="AW74" s="187"/>
      <c r="AX74" s="187"/>
      <c r="AY74" s="187"/>
      <c r="AZ74" s="186">
        <f t="shared" si="70"/>
        <v>0</v>
      </c>
      <c r="BA74" s="221"/>
      <c r="BB74" s="187"/>
      <c r="BC74" s="187"/>
      <c r="BD74" s="187"/>
      <c r="BE74" s="187"/>
      <c r="BF74" s="187"/>
      <c r="BG74" s="187"/>
      <c r="BH74" s="187"/>
      <c r="BI74" s="187"/>
      <c r="BJ74" s="187"/>
      <c r="BK74" s="187"/>
      <c r="BL74" s="187"/>
      <c r="BM74" s="187"/>
      <c r="BN74" s="186">
        <f t="shared" si="71"/>
        <v>0</v>
      </c>
      <c r="BP74"/>
      <c r="BQ74"/>
      <c r="BR74"/>
      <c r="BS74"/>
      <c r="BT74"/>
      <c r="BU74"/>
      <c r="BV74"/>
      <c r="BW74"/>
      <c r="BX74"/>
      <c r="BY74"/>
      <c r="BZ74"/>
      <c r="CA74"/>
      <c r="CB74"/>
    </row>
    <row r="75" spans="1:80" ht="11.95" outlineLevel="2" thickBot="1" x14ac:dyDescent="0.3">
      <c r="A75" t="str">
        <f t="shared" si="67"/>
        <v>#showrow</v>
      </c>
      <c r="E75" s="3"/>
      <c r="F75" s="3"/>
      <c r="G75" s="255" t="s">
        <v>172</v>
      </c>
      <c r="H75" s="3"/>
      <c r="I75" s="18"/>
      <c r="J75" s="18"/>
      <c r="K75" s="18"/>
      <c r="L75" s="185">
        <v>834.7</v>
      </c>
      <c r="M75" s="185">
        <v>280.86</v>
      </c>
      <c r="N75" s="185">
        <v>4511.43</v>
      </c>
      <c r="O75" s="185">
        <v>2571.2399999999998</v>
      </c>
      <c r="P75" s="185">
        <v>3200.7</v>
      </c>
      <c r="Q75" s="185">
        <v>1540.19</v>
      </c>
      <c r="R75" s="185">
        <v>840.94</v>
      </c>
      <c r="S75" s="185">
        <v>814.2</v>
      </c>
      <c r="T75" s="185">
        <v>793.69</v>
      </c>
      <c r="U75" s="185">
        <v>849.48</v>
      </c>
      <c r="V75" s="185">
        <v>455.79</v>
      </c>
      <c r="W75" s="185">
        <v>862.85</v>
      </c>
      <c r="X75" s="186">
        <f t="shared" si="68"/>
        <v>17556.07</v>
      </c>
      <c r="Y75" s="219"/>
      <c r="Z75" s="185">
        <v>460.79</v>
      </c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6">
        <f t="shared" si="69"/>
        <v>460.79</v>
      </c>
      <c r="AM75" s="221"/>
      <c r="AN75" s="187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6">
        <f t="shared" si="70"/>
        <v>0</v>
      </c>
      <c r="BA75" s="221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87"/>
      <c r="BN75" s="186">
        <f t="shared" si="71"/>
        <v>0</v>
      </c>
      <c r="BP75"/>
      <c r="BQ75"/>
      <c r="BR75"/>
      <c r="BS75"/>
      <c r="BT75"/>
      <c r="BU75"/>
      <c r="BV75"/>
      <c r="BW75"/>
      <c r="BX75"/>
      <c r="BY75"/>
      <c r="BZ75"/>
      <c r="CA75"/>
      <c r="CB75"/>
    </row>
    <row r="76" spans="1:80" ht="11.95" outlineLevel="2" thickBot="1" x14ac:dyDescent="0.3">
      <c r="A76" t="str">
        <f t="shared" si="67"/>
        <v>#showrow</v>
      </c>
      <c r="E76" s="3"/>
      <c r="F76" s="3"/>
      <c r="G76" s="255" t="s">
        <v>173</v>
      </c>
      <c r="H76" s="3"/>
      <c r="I76" s="18"/>
      <c r="J76" s="18"/>
      <c r="K76" s="18"/>
      <c r="L76" s="185"/>
      <c r="M76" s="185"/>
      <c r="N76" s="185">
        <v>615.07000000000005</v>
      </c>
      <c r="O76" s="185"/>
      <c r="P76" s="185"/>
      <c r="Q76" s="185"/>
      <c r="R76" s="185"/>
      <c r="S76" s="185"/>
      <c r="T76" s="185"/>
      <c r="U76" s="185"/>
      <c r="V76" s="185"/>
      <c r="W76" s="185"/>
      <c r="X76" s="186">
        <f t="shared" si="68"/>
        <v>615.07000000000005</v>
      </c>
      <c r="Y76" s="219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6">
        <f t="shared" si="69"/>
        <v>0</v>
      </c>
      <c r="AM76" s="221"/>
      <c r="AN76" s="187"/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187"/>
      <c r="AZ76" s="186">
        <f t="shared" si="70"/>
        <v>0</v>
      </c>
      <c r="BA76" s="221"/>
      <c r="BB76" s="187"/>
      <c r="BC76" s="187"/>
      <c r="BD76" s="187"/>
      <c r="BE76" s="187"/>
      <c r="BF76" s="187"/>
      <c r="BG76" s="187"/>
      <c r="BH76" s="187"/>
      <c r="BI76" s="187"/>
      <c r="BJ76" s="187"/>
      <c r="BK76" s="187"/>
      <c r="BL76" s="187"/>
      <c r="BM76" s="187"/>
      <c r="BN76" s="186">
        <f t="shared" si="71"/>
        <v>0</v>
      </c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 spans="1:80" ht="11.95" outlineLevel="2" thickBot="1" x14ac:dyDescent="0.3">
      <c r="A77" t="str">
        <f t="shared" si="67"/>
        <v>#showrow</v>
      </c>
      <c r="E77" s="3"/>
      <c r="F77" s="3"/>
      <c r="G77" s="255" t="s">
        <v>174</v>
      </c>
      <c r="H77" s="3"/>
      <c r="I77" s="18"/>
      <c r="J77" s="18"/>
      <c r="K77" s="18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>
        <v>45.08</v>
      </c>
      <c r="W77" s="185"/>
      <c r="X77" s="186">
        <f t="shared" si="68"/>
        <v>45.08</v>
      </c>
      <c r="Y77" s="219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6">
        <f t="shared" si="69"/>
        <v>0</v>
      </c>
      <c r="AM77" s="221"/>
      <c r="AN77" s="187"/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6">
        <f t="shared" si="70"/>
        <v>0</v>
      </c>
      <c r="BA77" s="221"/>
      <c r="BB77" s="187"/>
      <c r="BC77" s="187"/>
      <c r="BD77" s="187"/>
      <c r="BE77" s="187"/>
      <c r="BF77" s="187"/>
      <c r="BG77" s="187"/>
      <c r="BH77" s="187"/>
      <c r="BI77" s="187"/>
      <c r="BJ77" s="187"/>
      <c r="BK77" s="187"/>
      <c r="BL77" s="187"/>
      <c r="BM77" s="187"/>
      <c r="BN77" s="186">
        <f t="shared" si="71"/>
        <v>0</v>
      </c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 spans="1:80" ht="11.95" outlineLevel="1" thickBot="1" x14ac:dyDescent="0.3">
      <c r="E78" s="3"/>
      <c r="F78" s="3"/>
      <c r="G78" s="256" t="s">
        <v>106</v>
      </c>
      <c r="H78" s="3"/>
      <c r="I78" s="18"/>
      <c r="J78" s="18"/>
      <c r="K78" s="18"/>
      <c r="L78" s="185">
        <v>-142585.29999999999</v>
      </c>
      <c r="M78" s="185">
        <v>-206573.03</v>
      </c>
      <c r="N78" s="185">
        <v>-214528.9</v>
      </c>
      <c r="O78" s="185">
        <v>-181365.92</v>
      </c>
      <c r="P78" s="185">
        <v>-200300.47</v>
      </c>
      <c r="Q78" s="185">
        <v>-244253.43</v>
      </c>
      <c r="R78" s="185">
        <v>-203529.85</v>
      </c>
      <c r="S78" s="185">
        <v>-244017.21</v>
      </c>
      <c r="T78" s="185">
        <v>-331959.98</v>
      </c>
      <c r="U78" s="185">
        <v>-240183.75</v>
      </c>
      <c r="V78" s="185">
        <v>-294297.53000000003</v>
      </c>
      <c r="W78" s="185">
        <v>-356821.01</v>
      </c>
      <c r="X78" s="186">
        <f t="shared" si="56"/>
        <v>-2860416.38</v>
      </c>
      <c r="Y78" s="219"/>
      <c r="Z78" s="185">
        <v>-225691.61</v>
      </c>
      <c r="AA78" s="185">
        <v>-237839.58337245201</v>
      </c>
      <c r="AB78" s="185">
        <v>-279156.58577699499</v>
      </c>
      <c r="AC78" s="185">
        <v>-237839.58337245201</v>
      </c>
      <c r="AD78" s="185">
        <v>-237839.58337245201</v>
      </c>
      <c r="AE78" s="185">
        <v>-279156.58577699499</v>
      </c>
      <c r="AF78" s="185">
        <v>-238579.49051531</v>
      </c>
      <c r="AG78" s="185">
        <v>-238579.49051531</v>
      </c>
      <c r="AH78" s="185">
        <v>-280075.00198578602</v>
      </c>
      <c r="AI78" s="185">
        <v>-238579.49051531</v>
      </c>
      <c r="AJ78" s="185">
        <v>-238579.49051531</v>
      </c>
      <c r="AK78" s="185">
        <v>-292075.00198578602</v>
      </c>
      <c r="AL78" s="186">
        <f t="shared" si="57"/>
        <v>-3023991.4977041581</v>
      </c>
      <c r="AM78" s="221"/>
      <c r="AN78" s="187">
        <v>-237839.58337245201</v>
      </c>
      <c r="AO78" s="187">
        <v>-237839.58337245201</v>
      </c>
      <c r="AP78" s="187">
        <v>-279156.58577699499</v>
      </c>
      <c r="AQ78" s="187">
        <v>-237839.58337245201</v>
      </c>
      <c r="AR78" s="187">
        <v>-237839.58337245201</v>
      </c>
      <c r="AS78" s="187">
        <v>-279156.58577699499</v>
      </c>
      <c r="AT78" s="187">
        <v>-238579.49051531</v>
      </c>
      <c r="AU78" s="187">
        <v>-238579.49051531</v>
      </c>
      <c r="AV78" s="187">
        <v>-280075.00198578602</v>
      </c>
      <c r="AW78" s="187">
        <v>-238579.49051531</v>
      </c>
      <c r="AX78" s="187">
        <v>-238579.49051531</v>
      </c>
      <c r="AY78" s="187">
        <v>-292075.00198578602</v>
      </c>
      <c r="AZ78" s="186">
        <f t="shared" si="58"/>
        <v>-3036139.47107661</v>
      </c>
      <c r="BA78" s="221"/>
      <c r="BB78" s="187">
        <v>-237839.58337245201</v>
      </c>
      <c r="BC78" s="187">
        <v>-237839.58337245201</v>
      </c>
      <c r="BD78" s="187">
        <v>-279156.58577699499</v>
      </c>
      <c r="BE78" s="187">
        <v>-237839.58337245201</v>
      </c>
      <c r="BF78" s="187">
        <v>-237839.58337245201</v>
      </c>
      <c r="BG78" s="187">
        <v>-279156.58577699499</v>
      </c>
      <c r="BH78" s="187">
        <v>-238579.49051531</v>
      </c>
      <c r="BI78" s="187">
        <v>-238579.49051531</v>
      </c>
      <c r="BJ78" s="187">
        <v>-280075.00198578602</v>
      </c>
      <c r="BK78" s="187">
        <v>-238579.49051531</v>
      </c>
      <c r="BL78" s="187">
        <v>-238579.49051531</v>
      </c>
      <c r="BM78" s="187">
        <v>-292075.00198578602</v>
      </c>
      <c r="BN78" s="186">
        <f t="shared" si="59"/>
        <v>-3036139.47107661</v>
      </c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 spans="1:80" ht="11.95" hidden="1" outlineLevel="2" thickBot="1" x14ac:dyDescent="0.3">
      <c r="A79" t="str">
        <f>IF(LEFT(G79,3)="Mul", "#hiderow", "#showrow")</f>
        <v>#hiderow</v>
      </c>
      <c r="E79" s="3"/>
      <c r="F79" s="3"/>
      <c r="G79" s="255" t="s">
        <v>6</v>
      </c>
      <c r="H79" s="3"/>
      <c r="I79" s="18"/>
      <c r="J79" s="18"/>
      <c r="K79" s="18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6">
        <f t="shared" si="56"/>
        <v>0</v>
      </c>
      <c r="Y79" s="219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6">
        <f t="shared" si="57"/>
        <v>0</v>
      </c>
      <c r="AM79" s="221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6">
        <f t="shared" si="58"/>
        <v>0</v>
      </c>
      <c r="BA79" s="221"/>
      <c r="BB79" s="187"/>
      <c r="BC79" s="187"/>
      <c r="BD79" s="187"/>
      <c r="BE79" s="187"/>
      <c r="BF79" s="187"/>
      <c r="BG79" s="187"/>
      <c r="BH79" s="187"/>
      <c r="BI79" s="187"/>
      <c r="BJ79" s="187"/>
      <c r="BK79" s="187"/>
      <c r="BL79" s="187"/>
      <c r="BM79" s="187"/>
      <c r="BN79" s="186">
        <f t="shared" si="59"/>
        <v>0</v>
      </c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spans="1:80" ht="11.95" outlineLevel="2" thickBot="1" x14ac:dyDescent="0.3">
      <c r="A80" t="str">
        <f>IF(LEFT(G80,3)="Mul", "#hiderow", "#showrow")</f>
        <v>#showrow</v>
      </c>
      <c r="E80" s="3"/>
      <c r="F80" s="3"/>
      <c r="G80" s="255" t="s">
        <v>140</v>
      </c>
      <c r="H80" s="3"/>
      <c r="I80" s="18"/>
      <c r="J80" s="18"/>
      <c r="K80" s="18"/>
      <c r="L80" s="185">
        <v>-142585.29999999999</v>
      </c>
      <c r="M80" s="185">
        <v>-206573.03</v>
      </c>
      <c r="N80" s="185">
        <v>-214528.9</v>
      </c>
      <c r="O80" s="185">
        <v>-181365.92</v>
      </c>
      <c r="P80" s="185">
        <v>-200300.47</v>
      </c>
      <c r="Q80" s="185">
        <v>-244253.43</v>
      </c>
      <c r="R80" s="185">
        <v>-203529.85</v>
      </c>
      <c r="S80" s="185">
        <v>-244017.21</v>
      </c>
      <c r="T80" s="185">
        <v>-331959.98</v>
      </c>
      <c r="U80" s="185">
        <v>-240183.75</v>
      </c>
      <c r="V80" s="185">
        <v>-294297.53000000003</v>
      </c>
      <c r="W80" s="185">
        <v>-356821.01</v>
      </c>
      <c r="X80" s="186">
        <f t="shared" ref="X80" si="72">SUM(L80:W80)</f>
        <v>-2860416.38</v>
      </c>
      <c r="Y80" s="219"/>
      <c r="Z80" s="185">
        <v>-225691.61</v>
      </c>
      <c r="AA80" s="185">
        <v>-237839.58337245201</v>
      </c>
      <c r="AB80" s="185">
        <v>-279156.58577699499</v>
      </c>
      <c r="AC80" s="185">
        <v>-237839.58337245201</v>
      </c>
      <c r="AD80" s="185">
        <v>-237839.58337245201</v>
      </c>
      <c r="AE80" s="185">
        <v>-279156.58577699499</v>
      </c>
      <c r="AF80" s="185">
        <v>-238579.49051531</v>
      </c>
      <c r="AG80" s="185">
        <v>-238579.49051531</v>
      </c>
      <c r="AH80" s="185">
        <v>-280075.00198578602</v>
      </c>
      <c r="AI80" s="185">
        <v>-238579.49051531</v>
      </c>
      <c r="AJ80" s="185">
        <v>-238579.49051531</v>
      </c>
      <c r="AK80" s="185">
        <v>-292075.00198578602</v>
      </c>
      <c r="AL80" s="186">
        <f t="shared" ref="AL80" si="73">SUM(Z80:AK80)</f>
        <v>-3023991.4977041581</v>
      </c>
      <c r="AM80" s="221"/>
      <c r="AN80" s="187">
        <v>-237839.58337245201</v>
      </c>
      <c r="AO80" s="187">
        <v>-237839.58337245201</v>
      </c>
      <c r="AP80" s="187">
        <v>-279156.58577699499</v>
      </c>
      <c r="AQ80" s="187">
        <v>-237839.58337245201</v>
      </c>
      <c r="AR80" s="187">
        <v>-237839.58337245201</v>
      </c>
      <c r="AS80" s="187">
        <v>-279156.58577699499</v>
      </c>
      <c r="AT80" s="187">
        <v>-238579.49051531</v>
      </c>
      <c r="AU80" s="187">
        <v>-238579.49051531</v>
      </c>
      <c r="AV80" s="187">
        <v>-280075.00198578602</v>
      </c>
      <c r="AW80" s="187">
        <v>-238579.49051531</v>
      </c>
      <c r="AX80" s="187">
        <v>-238579.49051531</v>
      </c>
      <c r="AY80" s="187">
        <v>-292075.00198578602</v>
      </c>
      <c r="AZ80" s="186">
        <f t="shared" ref="AZ80" si="74">SUM(AN80:AY80)</f>
        <v>-3036139.47107661</v>
      </c>
      <c r="BA80" s="221"/>
      <c r="BB80" s="187">
        <v>-237839.58337245201</v>
      </c>
      <c r="BC80" s="187">
        <v>-237839.58337245201</v>
      </c>
      <c r="BD80" s="187">
        <v>-279156.58577699499</v>
      </c>
      <c r="BE80" s="187">
        <v>-237839.58337245201</v>
      </c>
      <c r="BF80" s="187">
        <v>-237839.58337245201</v>
      </c>
      <c r="BG80" s="187">
        <v>-279156.58577699499</v>
      </c>
      <c r="BH80" s="187">
        <v>-238579.49051531</v>
      </c>
      <c r="BI80" s="187">
        <v>-238579.49051531</v>
      </c>
      <c r="BJ80" s="187">
        <v>-280075.00198578602</v>
      </c>
      <c r="BK80" s="187">
        <v>-238579.49051531</v>
      </c>
      <c r="BL80" s="187">
        <v>-238579.49051531</v>
      </c>
      <c r="BM80" s="187">
        <v>-292075.00198578602</v>
      </c>
      <c r="BN80" s="186">
        <f t="shared" ref="BN80" si="75">SUM(BB80:BM80)</f>
        <v>-3036139.47107661</v>
      </c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 ht="11.95" outlineLevel="1" thickBot="1" x14ac:dyDescent="0.3">
      <c r="E81" s="3"/>
      <c r="F81" s="3"/>
      <c r="G81" s="256" t="s">
        <v>107</v>
      </c>
      <c r="H81" s="3"/>
      <c r="I81" s="18"/>
      <c r="J81" s="18"/>
      <c r="K81" s="18"/>
      <c r="L81" s="185">
        <v>0</v>
      </c>
      <c r="M81" s="185">
        <v>0</v>
      </c>
      <c r="N81" s="185">
        <v>0</v>
      </c>
      <c r="O81" s="185">
        <v>0</v>
      </c>
      <c r="P81" s="185">
        <v>0</v>
      </c>
      <c r="Q81" s="185">
        <v>170.46</v>
      </c>
      <c r="R81" s="185">
        <v>1375.99</v>
      </c>
      <c r="S81" s="185">
        <v>0</v>
      </c>
      <c r="T81" s="185">
        <v>0</v>
      </c>
      <c r="U81" s="185">
        <v>0</v>
      </c>
      <c r="V81" s="185">
        <v>5548.19</v>
      </c>
      <c r="W81" s="185">
        <v>320.73</v>
      </c>
      <c r="X81" s="186">
        <f t="shared" si="56"/>
        <v>7415.369999999999</v>
      </c>
      <c r="Y81" s="219"/>
      <c r="Z81" s="185">
        <v>0</v>
      </c>
      <c r="AA81" s="185">
        <v>0</v>
      </c>
      <c r="AB81" s="185">
        <v>0</v>
      </c>
      <c r="AC81" s="185">
        <v>0</v>
      </c>
      <c r="AD81" s="185">
        <v>0</v>
      </c>
      <c r="AE81" s="185">
        <v>0</v>
      </c>
      <c r="AF81" s="185">
        <v>0</v>
      </c>
      <c r="AG81" s="185">
        <v>0</v>
      </c>
      <c r="AH81" s="185">
        <v>0</v>
      </c>
      <c r="AI81" s="185">
        <v>0</v>
      </c>
      <c r="AJ81" s="185">
        <v>0</v>
      </c>
      <c r="AK81" s="185">
        <v>0</v>
      </c>
      <c r="AL81" s="186">
        <f t="shared" si="57"/>
        <v>0</v>
      </c>
      <c r="AM81" s="221"/>
      <c r="AN81" s="187">
        <v>0</v>
      </c>
      <c r="AO81" s="187">
        <v>0</v>
      </c>
      <c r="AP81" s="187">
        <v>0</v>
      </c>
      <c r="AQ81" s="187">
        <v>0</v>
      </c>
      <c r="AR81" s="187">
        <v>0</v>
      </c>
      <c r="AS81" s="187">
        <v>0</v>
      </c>
      <c r="AT81" s="187">
        <v>0</v>
      </c>
      <c r="AU81" s="187">
        <v>0</v>
      </c>
      <c r="AV81" s="187">
        <v>0</v>
      </c>
      <c r="AW81" s="187">
        <v>0</v>
      </c>
      <c r="AX81" s="187">
        <v>0</v>
      </c>
      <c r="AY81" s="187">
        <v>0</v>
      </c>
      <c r="AZ81" s="186">
        <f t="shared" si="58"/>
        <v>0</v>
      </c>
      <c r="BA81" s="221"/>
      <c r="BB81" s="187">
        <v>0</v>
      </c>
      <c r="BC81" s="187">
        <v>0</v>
      </c>
      <c r="BD81" s="187">
        <v>0</v>
      </c>
      <c r="BE81" s="187">
        <v>0</v>
      </c>
      <c r="BF81" s="187">
        <v>0</v>
      </c>
      <c r="BG81" s="187">
        <v>0</v>
      </c>
      <c r="BH81" s="187">
        <v>0</v>
      </c>
      <c r="BI81" s="187">
        <v>0</v>
      </c>
      <c r="BJ81" s="187">
        <v>0</v>
      </c>
      <c r="BK81" s="187">
        <v>0</v>
      </c>
      <c r="BL81" s="187">
        <v>0</v>
      </c>
      <c r="BM81" s="187">
        <v>0</v>
      </c>
      <c r="BN81" s="186">
        <f t="shared" si="59"/>
        <v>0</v>
      </c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spans="1:80" ht="11.95" hidden="1" outlineLevel="2" thickBot="1" x14ac:dyDescent="0.3">
      <c r="A82" t="str">
        <f t="shared" ref="A82" si="76">IF(LEFT(G82,3)="Mul", "#hiderow", "#showrow")</f>
        <v>#hiderow</v>
      </c>
      <c r="E82" s="3"/>
      <c r="F82" s="3"/>
      <c r="G82" s="255" t="s">
        <v>6</v>
      </c>
      <c r="H82" s="3"/>
      <c r="I82" s="18"/>
      <c r="J82" s="18"/>
      <c r="K82" s="18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6">
        <f t="shared" si="56"/>
        <v>0</v>
      </c>
      <c r="Y82" s="219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6">
        <f t="shared" si="57"/>
        <v>0</v>
      </c>
      <c r="AM82" s="221"/>
      <c r="AN82" s="187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6">
        <f t="shared" si="58"/>
        <v>0</v>
      </c>
      <c r="BA82" s="221"/>
      <c r="BB82" s="187"/>
      <c r="BC82" s="187"/>
      <c r="BD82" s="187"/>
      <c r="BE82" s="187"/>
      <c r="BF82" s="187"/>
      <c r="BG82" s="187"/>
      <c r="BH82" s="187"/>
      <c r="BI82" s="187"/>
      <c r="BJ82" s="187"/>
      <c r="BK82" s="187"/>
      <c r="BL82" s="187"/>
      <c r="BM82" s="187"/>
      <c r="BN82" s="186">
        <f t="shared" si="59"/>
        <v>0</v>
      </c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 ht="11.95" outlineLevel="2" thickBot="1" x14ac:dyDescent="0.3">
      <c r="A83" t="str">
        <f t="shared" ref="A83:A85" si="77">IF(LEFT(G83,3)="Mul", "#hiderow", "#showrow")</f>
        <v>#showrow</v>
      </c>
      <c r="E83" s="3"/>
      <c r="F83" s="3"/>
      <c r="G83" s="255" t="s">
        <v>480</v>
      </c>
      <c r="H83" s="3"/>
      <c r="I83" s="18"/>
      <c r="J83" s="18"/>
      <c r="K83" s="18"/>
      <c r="L83" s="185"/>
      <c r="M83" s="185"/>
      <c r="N83" s="185"/>
      <c r="O83" s="185"/>
      <c r="P83" s="185"/>
      <c r="Q83" s="185"/>
      <c r="R83" s="185">
        <v>1375.99</v>
      </c>
      <c r="S83" s="185"/>
      <c r="T83" s="185"/>
      <c r="U83" s="185"/>
      <c r="V83" s="185"/>
      <c r="W83" s="185"/>
      <c r="X83" s="186">
        <f t="shared" ref="X83:X85" si="78">SUM(L83:W83)</f>
        <v>1375.99</v>
      </c>
      <c r="Y83" s="219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6">
        <f t="shared" ref="AL83:AL85" si="79">SUM(Z83:AK83)</f>
        <v>0</v>
      </c>
      <c r="AM83" s="221"/>
      <c r="AN83" s="187"/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6">
        <f t="shared" ref="AZ83:AZ85" si="80">SUM(AN83:AY83)</f>
        <v>0</v>
      </c>
      <c r="BA83" s="221"/>
      <c r="BB83" s="187"/>
      <c r="BC83" s="187"/>
      <c r="BD83" s="187"/>
      <c r="BE83" s="187"/>
      <c r="BF83" s="187"/>
      <c r="BG83" s="187"/>
      <c r="BH83" s="187"/>
      <c r="BI83" s="187"/>
      <c r="BJ83" s="187"/>
      <c r="BK83" s="187"/>
      <c r="BL83" s="187"/>
      <c r="BM83" s="187"/>
      <c r="BN83" s="186">
        <f t="shared" ref="BN83:BN85" si="81">SUM(BB83:BM83)</f>
        <v>0</v>
      </c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 spans="1:80" ht="11.95" outlineLevel="2" thickBot="1" x14ac:dyDescent="0.3">
      <c r="A84" t="str">
        <f t="shared" si="77"/>
        <v>#showrow</v>
      </c>
      <c r="E84" s="3"/>
      <c r="F84" s="3"/>
      <c r="G84" s="255" t="s">
        <v>481</v>
      </c>
      <c r="H84" s="3"/>
      <c r="I84" s="18"/>
      <c r="J84" s="18"/>
      <c r="K84" s="18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>
        <v>3684.86</v>
      </c>
      <c r="W84" s="185"/>
      <c r="X84" s="186">
        <f t="shared" si="78"/>
        <v>3684.86</v>
      </c>
      <c r="Y84" s="219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6">
        <f t="shared" si="79"/>
        <v>0</v>
      </c>
      <c r="AM84" s="221"/>
      <c r="AN84" s="187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187"/>
      <c r="AZ84" s="186">
        <f t="shared" si="80"/>
        <v>0</v>
      </c>
      <c r="BA84" s="221"/>
      <c r="BB84" s="187"/>
      <c r="BC84" s="187"/>
      <c r="BD84" s="187"/>
      <c r="BE84" s="187"/>
      <c r="BF84" s="187"/>
      <c r="BG84" s="187"/>
      <c r="BH84" s="187"/>
      <c r="BI84" s="187"/>
      <c r="BJ84" s="187"/>
      <c r="BK84" s="187"/>
      <c r="BL84" s="187"/>
      <c r="BM84" s="187"/>
      <c r="BN84" s="186">
        <f t="shared" si="81"/>
        <v>0</v>
      </c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 spans="1:80" ht="11.95" outlineLevel="2" thickBot="1" x14ac:dyDescent="0.3">
      <c r="A85" t="str">
        <f t="shared" si="77"/>
        <v>#showrow</v>
      </c>
      <c r="E85" s="3"/>
      <c r="F85" s="3"/>
      <c r="G85" s="255" t="s">
        <v>482</v>
      </c>
      <c r="H85" s="3"/>
      <c r="I85" s="18"/>
      <c r="J85" s="18"/>
      <c r="K85" s="18"/>
      <c r="L85" s="185"/>
      <c r="M85" s="185"/>
      <c r="N85" s="185"/>
      <c r="O85" s="185"/>
      <c r="P85" s="185"/>
      <c r="Q85" s="185">
        <v>170.46</v>
      </c>
      <c r="R85" s="185"/>
      <c r="S85" s="185"/>
      <c r="T85" s="185"/>
      <c r="U85" s="185"/>
      <c r="V85" s="185">
        <v>1863.33</v>
      </c>
      <c r="W85" s="185">
        <v>320.73</v>
      </c>
      <c r="X85" s="186">
        <f t="shared" si="78"/>
        <v>2354.52</v>
      </c>
      <c r="Y85" s="219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6">
        <f t="shared" si="79"/>
        <v>0</v>
      </c>
      <c r="AM85" s="221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6">
        <f t="shared" si="80"/>
        <v>0</v>
      </c>
      <c r="BA85" s="221"/>
      <c r="BB85" s="187"/>
      <c r="BC85" s="187"/>
      <c r="BD85" s="187"/>
      <c r="BE85" s="187"/>
      <c r="BF85" s="187"/>
      <c r="BG85" s="187"/>
      <c r="BH85" s="187"/>
      <c r="BI85" s="187"/>
      <c r="BJ85" s="187"/>
      <c r="BK85" s="187"/>
      <c r="BL85" s="187"/>
      <c r="BM85" s="187"/>
      <c r="BN85" s="186">
        <f t="shared" si="81"/>
        <v>0</v>
      </c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 spans="1:80" ht="11.95" outlineLevel="1" thickBot="1" x14ac:dyDescent="0.3">
      <c r="E86" s="3"/>
      <c r="F86" s="3"/>
      <c r="G86" s="256" t="s">
        <v>108</v>
      </c>
      <c r="H86" s="3"/>
      <c r="I86" s="18"/>
      <c r="J86" s="18"/>
      <c r="K86" s="18"/>
      <c r="L86" s="185">
        <v>8494.3700000000008</v>
      </c>
      <c r="M86" s="185">
        <v>13685.34</v>
      </c>
      <c r="N86" s="185">
        <v>8151.34</v>
      </c>
      <c r="O86" s="185">
        <v>7313.31</v>
      </c>
      <c r="P86" s="185">
        <v>6126.55</v>
      </c>
      <c r="Q86" s="185">
        <v>11108.11</v>
      </c>
      <c r="R86" s="185">
        <v>3476.23</v>
      </c>
      <c r="S86" s="185">
        <v>11055.85</v>
      </c>
      <c r="T86" s="185">
        <v>16013.43</v>
      </c>
      <c r="U86" s="185">
        <v>13540.02</v>
      </c>
      <c r="V86" s="185">
        <v>19748.11</v>
      </c>
      <c r="W86" s="185">
        <v>15506.78</v>
      </c>
      <c r="X86" s="186">
        <f t="shared" si="56"/>
        <v>134219.44</v>
      </c>
      <c r="Y86" s="219"/>
      <c r="Z86" s="185">
        <v>18667.43</v>
      </c>
      <c r="AA86" s="185">
        <v>10000</v>
      </c>
      <c r="AB86" s="185">
        <v>10000</v>
      </c>
      <c r="AC86" s="185">
        <v>10000</v>
      </c>
      <c r="AD86" s="185">
        <v>10000</v>
      </c>
      <c r="AE86" s="185">
        <v>10000</v>
      </c>
      <c r="AF86" s="185">
        <v>10000</v>
      </c>
      <c r="AG86" s="185">
        <v>10000</v>
      </c>
      <c r="AH86" s="185">
        <v>10000</v>
      </c>
      <c r="AI86" s="185">
        <v>10000</v>
      </c>
      <c r="AJ86" s="185">
        <v>10000</v>
      </c>
      <c r="AK86" s="185">
        <v>10000</v>
      </c>
      <c r="AL86" s="186">
        <f t="shared" si="57"/>
        <v>128667.43</v>
      </c>
      <c r="AM86" s="221"/>
      <c r="AN86" s="187">
        <v>10000</v>
      </c>
      <c r="AO86" s="187">
        <v>10000</v>
      </c>
      <c r="AP86" s="187">
        <v>10000</v>
      </c>
      <c r="AQ86" s="187">
        <v>10000</v>
      </c>
      <c r="AR86" s="187">
        <v>10000</v>
      </c>
      <c r="AS86" s="187">
        <v>10000</v>
      </c>
      <c r="AT86" s="187">
        <v>10000</v>
      </c>
      <c r="AU86" s="187">
        <v>10000</v>
      </c>
      <c r="AV86" s="187">
        <v>10000</v>
      </c>
      <c r="AW86" s="187">
        <v>10000</v>
      </c>
      <c r="AX86" s="187">
        <v>10000</v>
      </c>
      <c r="AY86" s="187">
        <v>10000</v>
      </c>
      <c r="AZ86" s="186">
        <f t="shared" si="58"/>
        <v>120000</v>
      </c>
      <c r="BA86" s="221"/>
      <c r="BB86" s="187">
        <v>10000</v>
      </c>
      <c r="BC86" s="187">
        <v>10000</v>
      </c>
      <c r="BD86" s="187">
        <v>10000</v>
      </c>
      <c r="BE86" s="187">
        <v>10000</v>
      </c>
      <c r="BF86" s="187">
        <v>10000</v>
      </c>
      <c r="BG86" s="187">
        <v>10000</v>
      </c>
      <c r="BH86" s="187">
        <v>10000</v>
      </c>
      <c r="BI86" s="187">
        <v>10000</v>
      </c>
      <c r="BJ86" s="187">
        <v>10000</v>
      </c>
      <c r="BK86" s="187">
        <v>10000</v>
      </c>
      <c r="BL86" s="187">
        <v>10000</v>
      </c>
      <c r="BM86" s="187">
        <v>10000</v>
      </c>
      <c r="BN86" s="186">
        <f t="shared" si="59"/>
        <v>120000</v>
      </c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 spans="1:80" ht="11.95" hidden="1" outlineLevel="2" thickBot="1" x14ac:dyDescent="0.3">
      <c r="A87" t="str">
        <f t="shared" ref="A87" si="82">IF(LEFT(G87,3)="Mul", "#hiderow", "#showrow")</f>
        <v>#hiderow</v>
      </c>
      <c r="E87" s="3"/>
      <c r="F87" s="3"/>
      <c r="G87" s="255" t="s">
        <v>6</v>
      </c>
      <c r="H87" s="3"/>
      <c r="I87" s="18"/>
      <c r="J87" s="18"/>
      <c r="K87" s="18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6">
        <f t="shared" si="56"/>
        <v>0</v>
      </c>
      <c r="Y87" s="219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6">
        <f t="shared" si="57"/>
        <v>0</v>
      </c>
      <c r="AM87" s="221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6">
        <f t="shared" si="58"/>
        <v>0</v>
      </c>
      <c r="BA87" s="221"/>
      <c r="BB87" s="187"/>
      <c r="BC87" s="187"/>
      <c r="BD87" s="187"/>
      <c r="BE87" s="187"/>
      <c r="BF87" s="187"/>
      <c r="BG87" s="187"/>
      <c r="BH87" s="187"/>
      <c r="BI87" s="187"/>
      <c r="BJ87" s="187"/>
      <c r="BK87" s="187"/>
      <c r="BL87" s="187"/>
      <c r="BM87" s="187"/>
      <c r="BN87" s="186">
        <f t="shared" si="59"/>
        <v>0</v>
      </c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spans="1:80" ht="11.95" outlineLevel="2" thickBot="1" x14ac:dyDescent="0.3">
      <c r="A88" t="str">
        <f t="shared" ref="A88:A94" si="83">IF(LEFT(G88,3)="Mul", "#hiderow", "#showrow")</f>
        <v>#showrow</v>
      </c>
      <c r="E88" s="3"/>
      <c r="F88" s="3"/>
      <c r="G88" s="255" t="s">
        <v>187</v>
      </c>
      <c r="H88" s="3"/>
      <c r="I88" s="18"/>
      <c r="J88" s="18"/>
      <c r="K88" s="18"/>
      <c r="L88" s="185">
        <v>3157.7</v>
      </c>
      <c r="M88" s="185">
        <v>2773.5</v>
      </c>
      <c r="N88" s="185">
        <v>3057.46</v>
      </c>
      <c r="O88" s="185">
        <v>646.79999999999995</v>
      </c>
      <c r="P88" s="185">
        <v>652.29999999999995</v>
      </c>
      <c r="Q88" s="185">
        <v>2379.5</v>
      </c>
      <c r="R88" s="185">
        <v>92</v>
      </c>
      <c r="S88" s="185">
        <v>690</v>
      </c>
      <c r="T88" s="185">
        <v>3538.57</v>
      </c>
      <c r="U88" s="185"/>
      <c r="V88" s="185">
        <v>835.84</v>
      </c>
      <c r="W88" s="185">
        <v>9187.77</v>
      </c>
      <c r="X88" s="186">
        <f t="shared" ref="X88:X94" si="84">SUM(L88:W88)</f>
        <v>27011.439999999999</v>
      </c>
      <c r="Y88" s="219"/>
      <c r="Z88" s="185"/>
      <c r="AA88" s="185">
        <v>10000</v>
      </c>
      <c r="AB88" s="185">
        <v>10000</v>
      </c>
      <c r="AC88" s="185">
        <v>10000</v>
      </c>
      <c r="AD88" s="185">
        <v>10000</v>
      </c>
      <c r="AE88" s="185">
        <v>10000</v>
      </c>
      <c r="AF88" s="185">
        <v>10000</v>
      </c>
      <c r="AG88" s="185">
        <v>10000</v>
      </c>
      <c r="AH88" s="185">
        <v>10000</v>
      </c>
      <c r="AI88" s="185">
        <v>10000</v>
      </c>
      <c r="AJ88" s="185">
        <v>10000</v>
      </c>
      <c r="AK88" s="185">
        <v>10000</v>
      </c>
      <c r="AL88" s="186">
        <f t="shared" ref="AL88:AL94" si="85">SUM(Z88:AK88)</f>
        <v>110000</v>
      </c>
      <c r="AM88" s="221"/>
      <c r="AN88" s="187">
        <v>10000</v>
      </c>
      <c r="AO88" s="187">
        <v>10000</v>
      </c>
      <c r="AP88" s="187">
        <v>10000</v>
      </c>
      <c r="AQ88" s="187">
        <v>10000</v>
      </c>
      <c r="AR88" s="187">
        <v>10000</v>
      </c>
      <c r="AS88" s="187">
        <v>10000</v>
      </c>
      <c r="AT88" s="187">
        <v>10000</v>
      </c>
      <c r="AU88" s="187">
        <v>10000</v>
      </c>
      <c r="AV88" s="187">
        <v>10000</v>
      </c>
      <c r="AW88" s="187">
        <v>10000</v>
      </c>
      <c r="AX88" s="187">
        <v>10000</v>
      </c>
      <c r="AY88" s="187">
        <v>10000</v>
      </c>
      <c r="AZ88" s="186">
        <f t="shared" ref="AZ88:AZ94" si="86">SUM(AN88:AY88)</f>
        <v>120000</v>
      </c>
      <c r="BA88" s="221"/>
      <c r="BB88" s="187">
        <v>10000</v>
      </c>
      <c r="BC88" s="187">
        <v>10000</v>
      </c>
      <c r="BD88" s="187">
        <v>10000</v>
      </c>
      <c r="BE88" s="187">
        <v>10000</v>
      </c>
      <c r="BF88" s="187">
        <v>10000</v>
      </c>
      <c r="BG88" s="187">
        <v>10000</v>
      </c>
      <c r="BH88" s="187">
        <v>10000</v>
      </c>
      <c r="BI88" s="187">
        <v>10000</v>
      </c>
      <c r="BJ88" s="187">
        <v>10000</v>
      </c>
      <c r="BK88" s="187">
        <v>10000</v>
      </c>
      <c r="BL88" s="187">
        <v>10000</v>
      </c>
      <c r="BM88" s="187">
        <v>10000</v>
      </c>
      <c r="BN88" s="186">
        <f t="shared" ref="BN88:BN94" si="87">SUM(BB88:BM88)</f>
        <v>120000</v>
      </c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0" ht="11.95" outlineLevel="2" thickBot="1" x14ac:dyDescent="0.3">
      <c r="A89" t="str">
        <f t="shared" si="83"/>
        <v>#showrow</v>
      </c>
      <c r="E89" s="3"/>
      <c r="F89" s="3"/>
      <c r="G89" s="255" t="s">
        <v>188</v>
      </c>
      <c r="H89" s="3"/>
      <c r="I89" s="18"/>
      <c r="J89" s="18"/>
      <c r="K89" s="18"/>
      <c r="L89" s="185">
        <v>1054.5</v>
      </c>
      <c r="M89" s="185">
        <v>1508.23</v>
      </c>
      <c r="N89" s="185">
        <v>395.26</v>
      </c>
      <c r="O89" s="185">
        <v>2084.17</v>
      </c>
      <c r="P89" s="185">
        <v>117.53</v>
      </c>
      <c r="Q89" s="185">
        <v>1014.65</v>
      </c>
      <c r="R89" s="185">
        <v>756.39</v>
      </c>
      <c r="S89" s="185">
        <v>936.59</v>
      </c>
      <c r="T89" s="185">
        <v>2378.58</v>
      </c>
      <c r="U89" s="185"/>
      <c r="V89" s="185">
        <v>1296.45</v>
      </c>
      <c r="W89" s="185">
        <v>157.81</v>
      </c>
      <c r="X89" s="186">
        <f t="shared" si="84"/>
        <v>11700.16</v>
      </c>
      <c r="Y89" s="219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6">
        <f t="shared" si="85"/>
        <v>0</v>
      </c>
      <c r="AM89" s="221"/>
      <c r="AN89" s="187"/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6">
        <f t="shared" si="86"/>
        <v>0</v>
      </c>
      <c r="BA89" s="221"/>
      <c r="BB89" s="187"/>
      <c r="BC89" s="187"/>
      <c r="BD89" s="187"/>
      <c r="BE89" s="187"/>
      <c r="BF89" s="187"/>
      <c r="BG89" s="187"/>
      <c r="BH89" s="187"/>
      <c r="BI89" s="187"/>
      <c r="BJ89" s="187"/>
      <c r="BK89" s="187"/>
      <c r="BL89" s="187"/>
      <c r="BM89" s="187"/>
      <c r="BN89" s="186">
        <f t="shared" si="87"/>
        <v>0</v>
      </c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 spans="1:80" ht="11.95" outlineLevel="2" thickBot="1" x14ac:dyDescent="0.3">
      <c r="A90" t="str">
        <f t="shared" si="83"/>
        <v>#showrow</v>
      </c>
      <c r="E90" s="3"/>
      <c r="F90" s="3"/>
      <c r="G90" s="255" t="s">
        <v>189</v>
      </c>
      <c r="H90" s="3"/>
      <c r="I90" s="18"/>
      <c r="J90" s="18"/>
      <c r="K90" s="18"/>
      <c r="L90" s="185"/>
      <c r="M90" s="185">
        <v>5007.9799999999996</v>
      </c>
      <c r="N90" s="185">
        <v>462.97</v>
      </c>
      <c r="O90" s="185">
        <v>653</v>
      </c>
      <c r="P90" s="185"/>
      <c r="Q90" s="185">
        <v>952.6</v>
      </c>
      <c r="R90" s="185">
        <v>282.56</v>
      </c>
      <c r="S90" s="185"/>
      <c r="T90" s="185">
        <v>3703.76</v>
      </c>
      <c r="U90" s="185">
        <v>4236.3500000000004</v>
      </c>
      <c r="V90" s="185">
        <v>7380.28</v>
      </c>
      <c r="W90" s="185">
        <v>2096.0700000000002</v>
      </c>
      <c r="X90" s="186">
        <f t="shared" si="84"/>
        <v>24775.57</v>
      </c>
      <c r="Y90" s="219"/>
      <c r="Z90" s="185">
        <v>13733.73</v>
      </c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6">
        <f t="shared" si="85"/>
        <v>13733.73</v>
      </c>
      <c r="AM90" s="221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6">
        <f t="shared" si="86"/>
        <v>0</v>
      </c>
      <c r="BA90" s="221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87"/>
      <c r="BN90" s="186">
        <f t="shared" si="87"/>
        <v>0</v>
      </c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 spans="1:80" ht="11.95" outlineLevel="2" thickBot="1" x14ac:dyDescent="0.3">
      <c r="A91" t="str">
        <f t="shared" si="83"/>
        <v>#showrow</v>
      </c>
      <c r="E91" s="3"/>
      <c r="F91" s="3"/>
      <c r="G91" s="255" t="s">
        <v>191</v>
      </c>
      <c r="H91" s="3"/>
      <c r="I91" s="18"/>
      <c r="J91" s="18"/>
      <c r="K91" s="18"/>
      <c r="L91" s="185">
        <v>4282.17</v>
      </c>
      <c r="M91" s="185">
        <v>4395.63</v>
      </c>
      <c r="N91" s="185">
        <v>3042.67</v>
      </c>
      <c r="O91" s="185">
        <v>4144.9799999999996</v>
      </c>
      <c r="P91" s="185">
        <v>5122.17</v>
      </c>
      <c r="Q91" s="185">
        <v>6015.36</v>
      </c>
      <c r="R91" s="185">
        <v>588.66</v>
      </c>
      <c r="S91" s="185">
        <v>7934.52</v>
      </c>
      <c r="T91" s="185">
        <v>6392.52</v>
      </c>
      <c r="U91" s="185">
        <v>8995.31</v>
      </c>
      <c r="V91" s="185">
        <v>9385.1</v>
      </c>
      <c r="W91" s="185">
        <v>4811.13</v>
      </c>
      <c r="X91" s="186">
        <f t="shared" si="84"/>
        <v>65110.22</v>
      </c>
      <c r="Y91" s="219"/>
      <c r="Z91" s="185">
        <v>4662.55</v>
      </c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6">
        <f t="shared" si="85"/>
        <v>4662.55</v>
      </c>
      <c r="AM91" s="221"/>
      <c r="AN91" s="187"/>
      <c r="AO91" s="187"/>
      <c r="AP91" s="187"/>
      <c r="AQ91" s="187"/>
      <c r="AR91" s="187"/>
      <c r="AS91" s="187"/>
      <c r="AT91" s="187"/>
      <c r="AU91" s="187"/>
      <c r="AV91" s="187"/>
      <c r="AW91" s="187"/>
      <c r="AX91" s="187"/>
      <c r="AY91" s="187"/>
      <c r="AZ91" s="186">
        <f t="shared" si="86"/>
        <v>0</v>
      </c>
      <c r="BA91" s="221"/>
      <c r="BB91" s="187"/>
      <c r="BC91" s="187"/>
      <c r="BD91" s="187"/>
      <c r="BE91" s="187"/>
      <c r="BF91" s="187"/>
      <c r="BG91" s="187"/>
      <c r="BH91" s="187"/>
      <c r="BI91" s="187"/>
      <c r="BJ91" s="187"/>
      <c r="BK91" s="187"/>
      <c r="BL91" s="187"/>
      <c r="BM91" s="187"/>
      <c r="BN91" s="186">
        <f t="shared" si="87"/>
        <v>0</v>
      </c>
      <c r="BP91"/>
      <c r="BQ91"/>
      <c r="BR91"/>
      <c r="BS91"/>
      <c r="BT91"/>
      <c r="BU91"/>
      <c r="BV91"/>
      <c r="BW91"/>
      <c r="BX91"/>
      <c r="BY91"/>
      <c r="BZ91"/>
      <c r="CA91"/>
      <c r="CB91"/>
    </row>
    <row r="92" spans="1:80" ht="11.95" outlineLevel="2" thickBot="1" x14ac:dyDescent="0.3">
      <c r="A92" t="str">
        <f t="shared" si="83"/>
        <v>#showrow</v>
      </c>
      <c r="E92" s="3"/>
      <c r="F92" s="3"/>
      <c r="G92" s="255" t="s">
        <v>192</v>
      </c>
      <c r="H92" s="3"/>
      <c r="I92" s="18"/>
      <c r="J92" s="18"/>
      <c r="K92" s="18"/>
      <c r="L92" s="185"/>
      <c r="M92" s="185"/>
      <c r="N92" s="185">
        <v>1192.98</v>
      </c>
      <c r="O92" s="185">
        <v>-215.64</v>
      </c>
      <c r="P92" s="185">
        <v>151.93</v>
      </c>
      <c r="Q92" s="185">
        <v>746</v>
      </c>
      <c r="R92" s="185">
        <v>1756.62</v>
      </c>
      <c r="S92" s="185">
        <v>1110.54</v>
      </c>
      <c r="T92" s="185"/>
      <c r="U92" s="185">
        <v>0.35</v>
      </c>
      <c r="V92" s="185">
        <v>367.09</v>
      </c>
      <c r="W92" s="185">
        <v>-746</v>
      </c>
      <c r="X92" s="186">
        <f t="shared" si="84"/>
        <v>4363.8700000000008</v>
      </c>
      <c r="Y92" s="219"/>
      <c r="Z92" s="185">
        <v>271.14999999999998</v>
      </c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6">
        <f t="shared" si="85"/>
        <v>271.14999999999998</v>
      </c>
      <c r="AM92" s="221"/>
      <c r="AN92" s="187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187"/>
      <c r="AZ92" s="186">
        <f t="shared" si="86"/>
        <v>0</v>
      </c>
      <c r="BA92" s="221"/>
      <c r="BB92" s="187"/>
      <c r="BC92" s="187"/>
      <c r="BD92" s="187"/>
      <c r="BE92" s="187"/>
      <c r="BF92" s="187"/>
      <c r="BG92" s="187"/>
      <c r="BH92" s="187"/>
      <c r="BI92" s="187"/>
      <c r="BJ92" s="187"/>
      <c r="BK92" s="187"/>
      <c r="BL92" s="187"/>
      <c r="BM92" s="187"/>
      <c r="BN92" s="186">
        <f t="shared" si="87"/>
        <v>0</v>
      </c>
      <c r="BP92"/>
      <c r="BQ92"/>
      <c r="BR92"/>
      <c r="BS92"/>
      <c r="BT92"/>
      <c r="BU92"/>
      <c r="BV92"/>
      <c r="BW92"/>
      <c r="BX92"/>
      <c r="BY92"/>
      <c r="BZ92"/>
      <c r="CA92"/>
      <c r="CB92"/>
    </row>
    <row r="93" spans="1:80" ht="11.95" outlineLevel="2" thickBot="1" x14ac:dyDescent="0.3">
      <c r="A93" t="str">
        <f t="shared" si="83"/>
        <v>#showrow</v>
      </c>
      <c r="E93" s="3"/>
      <c r="F93" s="3"/>
      <c r="G93" s="255" t="s">
        <v>193</v>
      </c>
      <c r="H93" s="3"/>
      <c r="I93" s="18"/>
      <c r="J93" s="18"/>
      <c r="K93" s="18"/>
      <c r="L93" s="185"/>
      <c r="M93" s="185"/>
      <c r="N93" s="185"/>
      <c r="O93" s="185"/>
      <c r="P93" s="185">
        <v>82.62</v>
      </c>
      <c r="Q93" s="185"/>
      <c r="R93" s="185"/>
      <c r="S93" s="185"/>
      <c r="T93" s="185"/>
      <c r="U93" s="185">
        <v>308.01</v>
      </c>
      <c r="V93" s="185">
        <v>483.35</v>
      </c>
      <c r="W93" s="185"/>
      <c r="X93" s="186">
        <f t="shared" si="84"/>
        <v>873.98</v>
      </c>
      <c r="Y93" s="219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6">
        <f t="shared" si="85"/>
        <v>0</v>
      </c>
      <c r="AM93" s="221"/>
      <c r="AN93" s="187"/>
      <c r="AO93" s="187"/>
      <c r="AP93" s="187"/>
      <c r="AQ93" s="187"/>
      <c r="AR93" s="187"/>
      <c r="AS93" s="187"/>
      <c r="AT93" s="187"/>
      <c r="AU93" s="187"/>
      <c r="AV93" s="187"/>
      <c r="AW93" s="187"/>
      <c r="AX93" s="187"/>
      <c r="AY93" s="187"/>
      <c r="AZ93" s="186">
        <f t="shared" si="86"/>
        <v>0</v>
      </c>
      <c r="BA93" s="221"/>
      <c r="BB93" s="187"/>
      <c r="BC93" s="187"/>
      <c r="BD93" s="187"/>
      <c r="BE93" s="187"/>
      <c r="BF93" s="187"/>
      <c r="BG93" s="187"/>
      <c r="BH93" s="187"/>
      <c r="BI93" s="187"/>
      <c r="BJ93" s="187"/>
      <c r="BK93" s="187"/>
      <c r="BL93" s="187"/>
      <c r="BM93" s="187"/>
      <c r="BN93" s="186">
        <f t="shared" si="87"/>
        <v>0</v>
      </c>
      <c r="BP93"/>
      <c r="BQ93"/>
      <c r="BR93"/>
      <c r="BS93"/>
      <c r="BT93"/>
      <c r="BU93"/>
      <c r="BV93"/>
      <c r="BW93"/>
      <c r="BX93"/>
      <c r="BY93"/>
      <c r="BZ93"/>
      <c r="CA93"/>
      <c r="CB93"/>
    </row>
    <row r="94" spans="1:80" ht="11.95" outlineLevel="2" thickBot="1" x14ac:dyDescent="0.3">
      <c r="A94" t="str">
        <f t="shared" si="83"/>
        <v>#showrow</v>
      </c>
      <c r="E94" s="3"/>
      <c r="F94" s="3"/>
      <c r="G94" s="255" t="s">
        <v>474</v>
      </c>
      <c r="H94" s="3"/>
      <c r="I94" s="18"/>
      <c r="J94" s="18"/>
      <c r="K94" s="18"/>
      <c r="L94" s="185"/>
      <c r="M94" s="185"/>
      <c r="N94" s="185"/>
      <c r="O94" s="185"/>
      <c r="P94" s="185"/>
      <c r="Q94" s="185"/>
      <c r="R94" s="185"/>
      <c r="S94" s="185">
        <v>384.2</v>
      </c>
      <c r="T94" s="185"/>
      <c r="U94" s="185"/>
      <c r="V94" s="185"/>
      <c r="W94" s="185"/>
      <c r="X94" s="186">
        <f t="shared" si="84"/>
        <v>384.2</v>
      </c>
      <c r="Y94" s="219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6">
        <f t="shared" si="85"/>
        <v>0</v>
      </c>
      <c r="AM94" s="221"/>
      <c r="AN94" s="187"/>
      <c r="AO94" s="187"/>
      <c r="AP94" s="187"/>
      <c r="AQ94" s="187"/>
      <c r="AR94" s="187"/>
      <c r="AS94" s="187"/>
      <c r="AT94" s="187"/>
      <c r="AU94" s="187"/>
      <c r="AV94" s="187"/>
      <c r="AW94" s="187"/>
      <c r="AX94" s="187"/>
      <c r="AY94" s="187"/>
      <c r="AZ94" s="186">
        <f t="shared" si="86"/>
        <v>0</v>
      </c>
      <c r="BA94" s="221"/>
      <c r="BB94" s="187"/>
      <c r="BC94" s="187"/>
      <c r="BD94" s="187"/>
      <c r="BE94" s="187"/>
      <c r="BF94" s="187"/>
      <c r="BG94" s="187"/>
      <c r="BH94" s="187"/>
      <c r="BI94" s="187"/>
      <c r="BJ94" s="187"/>
      <c r="BK94" s="187"/>
      <c r="BL94" s="187"/>
      <c r="BM94" s="187"/>
      <c r="BN94" s="186">
        <f t="shared" si="87"/>
        <v>0</v>
      </c>
      <c r="BP94"/>
      <c r="BQ94"/>
      <c r="BR94"/>
      <c r="BS94"/>
      <c r="BT94"/>
      <c r="BU94"/>
      <c r="BV94"/>
      <c r="BW94"/>
      <c r="BX94"/>
      <c r="BY94"/>
      <c r="BZ94"/>
      <c r="CA94"/>
      <c r="CB94"/>
    </row>
    <row r="95" spans="1:80" ht="11.95" outlineLevel="1" thickBot="1" x14ac:dyDescent="0.3">
      <c r="E95" s="3"/>
      <c r="F95" s="3"/>
      <c r="G95" s="256" t="s">
        <v>109</v>
      </c>
      <c r="H95" s="3"/>
      <c r="I95" s="18"/>
      <c r="J95" s="18"/>
      <c r="K95" s="18"/>
      <c r="L95" s="185">
        <v>3980.76</v>
      </c>
      <c r="M95" s="185">
        <v>10763.49</v>
      </c>
      <c r="N95" s="185">
        <v>3482.03</v>
      </c>
      <c r="O95" s="185">
        <v>4174.5</v>
      </c>
      <c r="P95" s="185">
        <v>3891.3</v>
      </c>
      <c r="Q95" s="185">
        <v>9768.4</v>
      </c>
      <c r="R95" s="185">
        <v>9794</v>
      </c>
      <c r="S95" s="185">
        <v>9280.3700000000008</v>
      </c>
      <c r="T95" s="185">
        <v>16161.56</v>
      </c>
      <c r="U95" s="185">
        <v>4192.21</v>
      </c>
      <c r="V95" s="185">
        <v>8183.98</v>
      </c>
      <c r="W95" s="185">
        <v>10223.68</v>
      </c>
      <c r="X95" s="186">
        <f t="shared" si="56"/>
        <v>93896.28</v>
      </c>
      <c r="Y95" s="219"/>
      <c r="Z95" s="185">
        <v>7008.36</v>
      </c>
      <c r="AA95" s="185">
        <v>8700</v>
      </c>
      <c r="AB95" s="185">
        <v>8700</v>
      </c>
      <c r="AC95" s="185">
        <v>8700</v>
      </c>
      <c r="AD95" s="185">
        <v>8700</v>
      </c>
      <c r="AE95" s="185">
        <v>8700</v>
      </c>
      <c r="AF95" s="185">
        <v>8700</v>
      </c>
      <c r="AG95" s="185">
        <v>8700</v>
      </c>
      <c r="AH95" s="185">
        <v>8700</v>
      </c>
      <c r="AI95" s="185">
        <v>8700</v>
      </c>
      <c r="AJ95" s="185">
        <v>8700</v>
      </c>
      <c r="AK95" s="185">
        <v>8700</v>
      </c>
      <c r="AL95" s="186">
        <f t="shared" si="57"/>
        <v>102708.36</v>
      </c>
      <c r="AM95" s="221"/>
      <c r="AN95" s="187">
        <v>8700</v>
      </c>
      <c r="AO95" s="187">
        <v>8700</v>
      </c>
      <c r="AP95" s="187">
        <v>8700</v>
      </c>
      <c r="AQ95" s="187">
        <v>8700</v>
      </c>
      <c r="AR95" s="187">
        <v>8700</v>
      </c>
      <c r="AS95" s="187">
        <v>8700</v>
      </c>
      <c r="AT95" s="187">
        <v>8700</v>
      </c>
      <c r="AU95" s="187">
        <v>8700</v>
      </c>
      <c r="AV95" s="187">
        <v>8700</v>
      </c>
      <c r="AW95" s="187">
        <v>8700</v>
      </c>
      <c r="AX95" s="187">
        <v>8700</v>
      </c>
      <c r="AY95" s="187">
        <v>8700</v>
      </c>
      <c r="AZ95" s="186">
        <f t="shared" si="58"/>
        <v>104400</v>
      </c>
      <c r="BA95" s="221"/>
      <c r="BB95" s="187">
        <v>8700</v>
      </c>
      <c r="BC95" s="187">
        <v>8700</v>
      </c>
      <c r="BD95" s="187">
        <v>8700</v>
      </c>
      <c r="BE95" s="187">
        <v>8700</v>
      </c>
      <c r="BF95" s="187">
        <v>8700</v>
      </c>
      <c r="BG95" s="187">
        <v>8700</v>
      </c>
      <c r="BH95" s="187">
        <v>8700</v>
      </c>
      <c r="BI95" s="187">
        <v>8700</v>
      </c>
      <c r="BJ95" s="187">
        <v>8700</v>
      </c>
      <c r="BK95" s="187">
        <v>8700</v>
      </c>
      <c r="BL95" s="187">
        <v>8700</v>
      </c>
      <c r="BM95" s="187">
        <v>8700</v>
      </c>
      <c r="BN95" s="186">
        <f t="shared" si="59"/>
        <v>104400</v>
      </c>
      <c r="BP95"/>
      <c r="BQ95"/>
      <c r="BR95"/>
      <c r="BS95"/>
      <c r="BT95"/>
      <c r="BU95"/>
      <c r="BV95"/>
      <c r="BW95"/>
      <c r="BX95"/>
      <c r="BY95"/>
      <c r="BZ95"/>
      <c r="CA95"/>
      <c r="CB95"/>
    </row>
    <row r="96" spans="1:80" ht="11.95" hidden="1" outlineLevel="2" thickBot="1" x14ac:dyDescent="0.3">
      <c r="A96" t="str">
        <f t="shared" ref="A96" si="88">IF(LEFT(G96,3)="Mul", "#hiderow", "#showrow")</f>
        <v>#hiderow</v>
      </c>
      <c r="E96" s="3"/>
      <c r="F96" s="3"/>
      <c r="G96" s="255" t="s">
        <v>6</v>
      </c>
      <c r="H96" s="3"/>
      <c r="I96" s="18"/>
      <c r="J96" s="18"/>
      <c r="K96" s="18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6">
        <f t="shared" si="56"/>
        <v>0</v>
      </c>
      <c r="Y96" s="219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6">
        <f t="shared" si="57"/>
        <v>0</v>
      </c>
      <c r="AM96" s="221"/>
      <c r="AN96" s="187"/>
      <c r="AO96" s="187"/>
      <c r="AP96" s="187"/>
      <c r="AQ96" s="187"/>
      <c r="AR96" s="187"/>
      <c r="AS96" s="187"/>
      <c r="AT96" s="187"/>
      <c r="AU96" s="187"/>
      <c r="AV96" s="187"/>
      <c r="AW96" s="187"/>
      <c r="AX96" s="187"/>
      <c r="AY96" s="187"/>
      <c r="AZ96" s="186">
        <f t="shared" si="58"/>
        <v>0</v>
      </c>
      <c r="BA96" s="221"/>
      <c r="BB96" s="187"/>
      <c r="BC96" s="187"/>
      <c r="BD96" s="187"/>
      <c r="BE96" s="187"/>
      <c r="BF96" s="187"/>
      <c r="BG96" s="187"/>
      <c r="BH96" s="187"/>
      <c r="BI96" s="187"/>
      <c r="BJ96" s="187"/>
      <c r="BK96" s="187"/>
      <c r="BL96" s="187"/>
      <c r="BM96" s="187"/>
      <c r="BN96" s="186">
        <f t="shared" si="59"/>
        <v>0</v>
      </c>
      <c r="BP96"/>
      <c r="BQ96"/>
      <c r="BR96"/>
      <c r="BS96"/>
      <c r="BT96"/>
      <c r="BU96"/>
      <c r="BV96"/>
      <c r="BW96"/>
      <c r="BX96"/>
      <c r="BY96"/>
      <c r="BZ96"/>
      <c r="CA96"/>
      <c r="CB96"/>
    </row>
    <row r="97" spans="1:80" ht="11.95" outlineLevel="2" thickBot="1" x14ac:dyDescent="0.3">
      <c r="A97" t="str">
        <f t="shared" ref="A97:A101" si="89">IF(LEFT(G97,3)="Mul", "#hiderow", "#showrow")</f>
        <v>#showrow</v>
      </c>
      <c r="E97" s="3"/>
      <c r="F97" s="3"/>
      <c r="G97" s="255" t="s">
        <v>152</v>
      </c>
      <c r="H97" s="3"/>
      <c r="I97" s="18"/>
      <c r="J97" s="18"/>
      <c r="K97" s="18"/>
      <c r="L97" s="185"/>
      <c r="M97" s="185"/>
      <c r="N97" s="185"/>
      <c r="O97" s="185"/>
      <c r="P97" s="185"/>
      <c r="Q97" s="185"/>
      <c r="R97" s="185">
        <v>2663.23</v>
      </c>
      <c r="S97" s="185">
        <v>1697.96</v>
      </c>
      <c r="T97" s="185"/>
      <c r="U97" s="185"/>
      <c r="V97" s="185"/>
      <c r="W97" s="185"/>
      <c r="X97" s="186">
        <f t="shared" ref="X97:X101" si="90">SUM(L97:W97)</f>
        <v>4361.1900000000005</v>
      </c>
      <c r="Y97" s="219"/>
      <c r="Z97" s="185"/>
      <c r="AA97" s="185">
        <v>500</v>
      </c>
      <c r="AB97" s="185">
        <v>500</v>
      </c>
      <c r="AC97" s="185">
        <v>500</v>
      </c>
      <c r="AD97" s="185">
        <v>500</v>
      </c>
      <c r="AE97" s="185">
        <v>500</v>
      </c>
      <c r="AF97" s="185">
        <v>500</v>
      </c>
      <c r="AG97" s="185">
        <v>500</v>
      </c>
      <c r="AH97" s="185">
        <v>500</v>
      </c>
      <c r="AI97" s="185">
        <v>500</v>
      </c>
      <c r="AJ97" s="185">
        <v>500</v>
      </c>
      <c r="AK97" s="185">
        <v>500</v>
      </c>
      <c r="AL97" s="186">
        <f t="shared" ref="AL97:AL101" si="91">SUM(Z97:AK97)</f>
        <v>5500</v>
      </c>
      <c r="AM97" s="221"/>
      <c r="AN97" s="187">
        <v>500</v>
      </c>
      <c r="AO97" s="187">
        <v>500</v>
      </c>
      <c r="AP97" s="187">
        <v>500</v>
      </c>
      <c r="AQ97" s="187">
        <v>500</v>
      </c>
      <c r="AR97" s="187">
        <v>500</v>
      </c>
      <c r="AS97" s="187">
        <v>500</v>
      </c>
      <c r="AT97" s="187">
        <v>500</v>
      </c>
      <c r="AU97" s="187">
        <v>500</v>
      </c>
      <c r="AV97" s="187">
        <v>500</v>
      </c>
      <c r="AW97" s="187">
        <v>500</v>
      </c>
      <c r="AX97" s="187">
        <v>500</v>
      </c>
      <c r="AY97" s="187">
        <v>500</v>
      </c>
      <c r="AZ97" s="186">
        <f t="shared" ref="AZ97:AZ101" si="92">SUM(AN97:AY97)</f>
        <v>6000</v>
      </c>
      <c r="BA97" s="221"/>
      <c r="BB97" s="187">
        <v>500</v>
      </c>
      <c r="BC97" s="187">
        <v>500</v>
      </c>
      <c r="BD97" s="187">
        <v>500</v>
      </c>
      <c r="BE97" s="187">
        <v>500</v>
      </c>
      <c r="BF97" s="187">
        <v>500</v>
      </c>
      <c r="BG97" s="187">
        <v>500</v>
      </c>
      <c r="BH97" s="187">
        <v>500</v>
      </c>
      <c r="BI97" s="187">
        <v>500</v>
      </c>
      <c r="BJ97" s="187">
        <v>500</v>
      </c>
      <c r="BK97" s="187">
        <v>500</v>
      </c>
      <c r="BL97" s="187">
        <v>500</v>
      </c>
      <c r="BM97" s="187">
        <v>500</v>
      </c>
      <c r="BN97" s="186">
        <f t="shared" ref="BN97:BN101" si="93">SUM(BB97:BM97)</f>
        <v>6000</v>
      </c>
      <c r="BP97"/>
      <c r="BQ97"/>
      <c r="BR97"/>
      <c r="BS97"/>
      <c r="BT97"/>
      <c r="BU97"/>
      <c r="BV97"/>
      <c r="BW97"/>
      <c r="BX97"/>
      <c r="BY97"/>
      <c r="BZ97"/>
      <c r="CA97"/>
      <c r="CB97"/>
    </row>
    <row r="98" spans="1:80" ht="11.95" outlineLevel="2" thickBot="1" x14ac:dyDescent="0.3">
      <c r="A98" t="str">
        <f t="shared" si="89"/>
        <v>#showrow</v>
      </c>
      <c r="E98" s="3"/>
      <c r="F98" s="3"/>
      <c r="G98" s="255" t="s">
        <v>154</v>
      </c>
      <c r="H98" s="3"/>
      <c r="I98" s="18"/>
      <c r="J98" s="18"/>
      <c r="K98" s="18"/>
      <c r="L98" s="185">
        <v>1820.69</v>
      </c>
      <c r="M98" s="185">
        <v>3705.63</v>
      </c>
      <c r="N98" s="185">
        <v>296.02</v>
      </c>
      <c r="O98" s="185">
        <v>1119.32</v>
      </c>
      <c r="P98" s="185"/>
      <c r="Q98" s="185">
        <v>978.86</v>
      </c>
      <c r="R98" s="185">
        <v>765</v>
      </c>
      <c r="S98" s="185">
        <v>1624.82</v>
      </c>
      <c r="T98" s="185">
        <v>2979.29</v>
      </c>
      <c r="U98" s="185">
        <v>2355.64</v>
      </c>
      <c r="V98" s="185">
        <v>2112.1999999999998</v>
      </c>
      <c r="W98" s="185">
        <v>4876.13</v>
      </c>
      <c r="X98" s="186">
        <f t="shared" si="90"/>
        <v>22633.600000000002</v>
      </c>
      <c r="Y98" s="219"/>
      <c r="Z98" s="185">
        <v>5059.67</v>
      </c>
      <c r="AA98" s="185">
        <v>1500</v>
      </c>
      <c r="AB98" s="185">
        <v>1500</v>
      </c>
      <c r="AC98" s="185">
        <v>1500</v>
      </c>
      <c r="AD98" s="185">
        <v>1500</v>
      </c>
      <c r="AE98" s="185">
        <v>1500</v>
      </c>
      <c r="AF98" s="185">
        <v>1500</v>
      </c>
      <c r="AG98" s="185">
        <v>1500</v>
      </c>
      <c r="AH98" s="185">
        <v>1500</v>
      </c>
      <c r="AI98" s="185">
        <v>1500</v>
      </c>
      <c r="AJ98" s="185">
        <v>1500</v>
      </c>
      <c r="AK98" s="185">
        <v>1500</v>
      </c>
      <c r="AL98" s="186">
        <f t="shared" si="91"/>
        <v>21559.67</v>
      </c>
      <c r="AM98" s="221"/>
      <c r="AN98" s="187">
        <v>1500</v>
      </c>
      <c r="AO98" s="187">
        <v>1500</v>
      </c>
      <c r="AP98" s="187">
        <v>1500</v>
      </c>
      <c r="AQ98" s="187">
        <v>1500</v>
      </c>
      <c r="AR98" s="187">
        <v>1500</v>
      </c>
      <c r="AS98" s="187">
        <v>1500</v>
      </c>
      <c r="AT98" s="187">
        <v>1500</v>
      </c>
      <c r="AU98" s="187">
        <v>1500</v>
      </c>
      <c r="AV98" s="187">
        <v>1500</v>
      </c>
      <c r="AW98" s="187">
        <v>1500</v>
      </c>
      <c r="AX98" s="187">
        <v>1500</v>
      </c>
      <c r="AY98" s="187">
        <v>1500</v>
      </c>
      <c r="AZ98" s="186">
        <f t="shared" si="92"/>
        <v>18000</v>
      </c>
      <c r="BA98" s="221"/>
      <c r="BB98" s="187">
        <v>1500</v>
      </c>
      <c r="BC98" s="187">
        <v>1500</v>
      </c>
      <c r="BD98" s="187">
        <v>1500</v>
      </c>
      <c r="BE98" s="187">
        <v>1500</v>
      </c>
      <c r="BF98" s="187">
        <v>1500</v>
      </c>
      <c r="BG98" s="187">
        <v>1500</v>
      </c>
      <c r="BH98" s="187">
        <v>1500</v>
      </c>
      <c r="BI98" s="187">
        <v>1500</v>
      </c>
      <c r="BJ98" s="187">
        <v>1500</v>
      </c>
      <c r="BK98" s="187">
        <v>1500</v>
      </c>
      <c r="BL98" s="187">
        <v>1500</v>
      </c>
      <c r="BM98" s="187">
        <v>1500</v>
      </c>
      <c r="BN98" s="186">
        <f t="shared" si="93"/>
        <v>18000</v>
      </c>
      <c r="BP98"/>
      <c r="BQ98"/>
      <c r="BR98"/>
      <c r="BS98"/>
      <c r="BT98"/>
      <c r="BU98"/>
      <c r="BV98"/>
      <c r="BW98"/>
      <c r="BX98"/>
      <c r="BY98"/>
      <c r="BZ98"/>
      <c r="CA98"/>
      <c r="CB98"/>
    </row>
    <row r="99" spans="1:80" ht="11.95" outlineLevel="2" thickBot="1" x14ac:dyDescent="0.3">
      <c r="A99" t="str">
        <f t="shared" si="89"/>
        <v>#showrow</v>
      </c>
      <c r="E99" s="3"/>
      <c r="F99" s="3"/>
      <c r="G99" s="255" t="s">
        <v>156</v>
      </c>
      <c r="H99" s="3"/>
      <c r="I99" s="18"/>
      <c r="J99" s="18"/>
      <c r="K99" s="18"/>
      <c r="L99" s="185"/>
      <c r="M99" s="185"/>
      <c r="N99" s="185"/>
      <c r="O99" s="185">
        <v>217.76</v>
      </c>
      <c r="P99" s="185"/>
      <c r="Q99" s="185">
        <v>3440</v>
      </c>
      <c r="R99" s="185">
        <v>5556.72</v>
      </c>
      <c r="S99" s="185">
        <v>51.64</v>
      </c>
      <c r="T99" s="185">
        <v>2968.45</v>
      </c>
      <c r="U99" s="185"/>
      <c r="V99" s="185"/>
      <c r="W99" s="185"/>
      <c r="X99" s="186">
        <f t="shared" si="90"/>
        <v>12234.57</v>
      </c>
      <c r="Y99" s="219"/>
      <c r="Z99" s="185"/>
      <c r="AA99" s="185">
        <v>1200</v>
      </c>
      <c r="AB99" s="185">
        <v>1200</v>
      </c>
      <c r="AC99" s="185">
        <v>1200</v>
      </c>
      <c r="AD99" s="185">
        <v>1200</v>
      </c>
      <c r="AE99" s="185">
        <v>1200</v>
      </c>
      <c r="AF99" s="185">
        <v>1200</v>
      </c>
      <c r="AG99" s="185">
        <v>1200</v>
      </c>
      <c r="AH99" s="185">
        <v>1200</v>
      </c>
      <c r="AI99" s="185">
        <v>1200</v>
      </c>
      <c r="AJ99" s="185">
        <v>1200</v>
      </c>
      <c r="AK99" s="185">
        <v>1200</v>
      </c>
      <c r="AL99" s="186">
        <f t="shared" si="91"/>
        <v>13200</v>
      </c>
      <c r="AM99" s="221"/>
      <c r="AN99" s="187">
        <v>1200</v>
      </c>
      <c r="AO99" s="187">
        <v>1200</v>
      </c>
      <c r="AP99" s="187">
        <v>1200</v>
      </c>
      <c r="AQ99" s="187">
        <v>1200</v>
      </c>
      <c r="AR99" s="187">
        <v>1200</v>
      </c>
      <c r="AS99" s="187">
        <v>1200</v>
      </c>
      <c r="AT99" s="187">
        <v>1200</v>
      </c>
      <c r="AU99" s="187">
        <v>1200</v>
      </c>
      <c r="AV99" s="187">
        <v>1200</v>
      </c>
      <c r="AW99" s="187">
        <v>1200</v>
      </c>
      <c r="AX99" s="187">
        <v>1200</v>
      </c>
      <c r="AY99" s="187">
        <v>1200</v>
      </c>
      <c r="AZ99" s="186">
        <f t="shared" si="92"/>
        <v>14400</v>
      </c>
      <c r="BA99" s="221"/>
      <c r="BB99" s="187">
        <v>1200</v>
      </c>
      <c r="BC99" s="187">
        <v>1200</v>
      </c>
      <c r="BD99" s="187">
        <v>1200</v>
      </c>
      <c r="BE99" s="187">
        <v>1200</v>
      </c>
      <c r="BF99" s="187">
        <v>1200</v>
      </c>
      <c r="BG99" s="187">
        <v>1200</v>
      </c>
      <c r="BH99" s="187">
        <v>1200</v>
      </c>
      <c r="BI99" s="187">
        <v>1200</v>
      </c>
      <c r="BJ99" s="187">
        <v>1200</v>
      </c>
      <c r="BK99" s="187">
        <v>1200</v>
      </c>
      <c r="BL99" s="187">
        <v>1200</v>
      </c>
      <c r="BM99" s="187">
        <v>1200</v>
      </c>
      <c r="BN99" s="186">
        <f t="shared" si="93"/>
        <v>14400</v>
      </c>
      <c r="BP99"/>
      <c r="BQ99"/>
      <c r="BR99"/>
      <c r="BS99"/>
      <c r="BT99"/>
      <c r="BU99"/>
      <c r="BV99"/>
      <c r="BW99"/>
      <c r="BX99"/>
      <c r="BY99"/>
      <c r="BZ99"/>
      <c r="CA99"/>
      <c r="CB99"/>
    </row>
    <row r="100" spans="1:80" ht="11.95" outlineLevel="2" thickBot="1" x14ac:dyDescent="0.3">
      <c r="A100" t="str">
        <f t="shared" si="89"/>
        <v>#showrow</v>
      </c>
      <c r="E100" s="3"/>
      <c r="F100" s="3"/>
      <c r="G100" s="255" t="s">
        <v>157</v>
      </c>
      <c r="H100" s="3"/>
      <c r="I100" s="18"/>
      <c r="J100" s="18"/>
      <c r="K100" s="18"/>
      <c r="L100" s="185"/>
      <c r="M100" s="185">
        <v>3354</v>
      </c>
      <c r="N100" s="185">
        <v>1677</v>
      </c>
      <c r="O100" s="185">
        <v>1677</v>
      </c>
      <c r="P100" s="185">
        <v>2894.8</v>
      </c>
      <c r="Q100" s="185">
        <v>1742.67</v>
      </c>
      <c r="R100" s="185"/>
      <c r="S100" s="185"/>
      <c r="T100" s="185">
        <v>2260.46</v>
      </c>
      <c r="U100" s="185">
        <v>1697.96</v>
      </c>
      <c r="V100" s="185">
        <v>1857.43</v>
      </c>
      <c r="W100" s="185">
        <v>3646.66</v>
      </c>
      <c r="X100" s="186">
        <f t="shared" si="90"/>
        <v>20807.98</v>
      </c>
      <c r="Y100" s="219"/>
      <c r="Z100" s="185">
        <v>1948.69</v>
      </c>
      <c r="AA100" s="185">
        <v>2000</v>
      </c>
      <c r="AB100" s="185">
        <v>2000</v>
      </c>
      <c r="AC100" s="185">
        <v>2000</v>
      </c>
      <c r="AD100" s="185">
        <v>2000</v>
      </c>
      <c r="AE100" s="185">
        <v>2000</v>
      </c>
      <c r="AF100" s="185">
        <v>2000</v>
      </c>
      <c r="AG100" s="185">
        <v>2000</v>
      </c>
      <c r="AH100" s="185">
        <v>2000</v>
      </c>
      <c r="AI100" s="185">
        <v>2000</v>
      </c>
      <c r="AJ100" s="185">
        <v>2000</v>
      </c>
      <c r="AK100" s="185">
        <v>2000</v>
      </c>
      <c r="AL100" s="186">
        <f t="shared" si="91"/>
        <v>23948.690000000002</v>
      </c>
      <c r="AM100" s="221"/>
      <c r="AN100" s="187">
        <v>2000</v>
      </c>
      <c r="AO100" s="187">
        <v>2000</v>
      </c>
      <c r="AP100" s="187">
        <v>2000</v>
      </c>
      <c r="AQ100" s="187">
        <v>2000</v>
      </c>
      <c r="AR100" s="187">
        <v>2000</v>
      </c>
      <c r="AS100" s="187">
        <v>2000</v>
      </c>
      <c r="AT100" s="187">
        <v>2000</v>
      </c>
      <c r="AU100" s="187">
        <v>2000</v>
      </c>
      <c r="AV100" s="187">
        <v>2000</v>
      </c>
      <c r="AW100" s="187">
        <v>2000</v>
      </c>
      <c r="AX100" s="187">
        <v>2000</v>
      </c>
      <c r="AY100" s="187">
        <v>2000</v>
      </c>
      <c r="AZ100" s="186">
        <f t="shared" si="92"/>
        <v>24000</v>
      </c>
      <c r="BA100" s="221"/>
      <c r="BB100" s="187">
        <v>2000</v>
      </c>
      <c r="BC100" s="187">
        <v>2000</v>
      </c>
      <c r="BD100" s="187">
        <v>2000</v>
      </c>
      <c r="BE100" s="187">
        <v>2000</v>
      </c>
      <c r="BF100" s="187">
        <v>2000</v>
      </c>
      <c r="BG100" s="187">
        <v>2000</v>
      </c>
      <c r="BH100" s="187">
        <v>2000</v>
      </c>
      <c r="BI100" s="187">
        <v>2000</v>
      </c>
      <c r="BJ100" s="187">
        <v>2000</v>
      </c>
      <c r="BK100" s="187">
        <v>2000</v>
      </c>
      <c r="BL100" s="187">
        <v>2000</v>
      </c>
      <c r="BM100" s="187">
        <v>2000</v>
      </c>
      <c r="BN100" s="186">
        <f t="shared" si="93"/>
        <v>24000</v>
      </c>
      <c r="BP100"/>
      <c r="BQ100"/>
      <c r="BR100"/>
      <c r="BS100"/>
      <c r="BT100"/>
      <c r="BU100"/>
      <c r="BV100"/>
      <c r="BW100"/>
      <c r="BX100"/>
      <c r="BY100"/>
      <c r="BZ100"/>
      <c r="CA100"/>
      <c r="CB100"/>
    </row>
    <row r="101" spans="1:80" ht="11.95" outlineLevel="2" thickBot="1" x14ac:dyDescent="0.3">
      <c r="A101" t="str">
        <f t="shared" si="89"/>
        <v>#showrow</v>
      </c>
      <c r="E101" s="3"/>
      <c r="F101" s="3"/>
      <c r="G101" s="255" t="s">
        <v>159</v>
      </c>
      <c r="H101" s="3"/>
      <c r="I101" s="18"/>
      <c r="J101" s="18"/>
      <c r="K101" s="18"/>
      <c r="L101" s="185">
        <v>2160.0700000000002</v>
      </c>
      <c r="M101" s="185">
        <v>3703.86</v>
      </c>
      <c r="N101" s="185">
        <v>1509.01</v>
      </c>
      <c r="O101" s="185">
        <v>1160.42</v>
      </c>
      <c r="P101" s="185">
        <v>996.5</v>
      </c>
      <c r="Q101" s="185">
        <v>3606.87</v>
      </c>
      <c r="R101" s="185">
        <v>809.05</v>
      </c>
      <c r="S101" s="185">
        <v>5905.95</v>
      </c>
      <c r="T101" s="185">
        <v>7953.36</v>
      </c>
      <c r="U101" s="185">
        <v>138.61000000000001</v>
      </c>
      <c r="V101" s="185">
        <v>4214.3500000000004</v>
      </c>
      <c r="W101" s="185">
        <v>1700.89</v>
      </c>
      <c r="X101" s="186">
        <f t="shared" si="90"/>
        <v>33858.94</v>
      </c>
      <c r="Y101" s="219"/>
      <c r="Z101" s="185"/>
      <c r="AA101" s="185">
        <v>3500</v>
      </c>
      <c r="AB101" s="185">
        <v>3500</v>
      </c>
      <c r="AC101" s="185">
        <v>3500</v>
      </c>
      <c r="AD101" s="185">
        <v>3500</v>
      </c>
      <c r="AE101" s="185">
        <v>3500</v>
      </c>
      <c r="AF101" s="185">
        <v>3500</v>
      </c>
      <c r="AG101" s="185">
        <v>3500</v>
      </c>
      <c r="AH101" s="185">
        <v>3500</v>
      </c>
      <c r="AI101" s="185">
        <v>3500</v>
      </c>
      <c r="AJ101" s="185">
        <v>3500</v>
      </c>
      <c r="AK101" s="185">
        <v>3500</v>
      </c>
      <c r="AL101" s="186">
        <f t="shared" si="91"/>
        <v>38500</v>
      </c>
      <c r="AM101" s="221"/>
      <c r="AN101" s="187">
        <v>3500</v>
      </c>
      <c r="AO101" s="187">
        <v>3500</v>
      </c>
      <c r="AP101" s="187">
        <v>3500</v>
      </c>
      <c r="AQ101" s="187">
        <v>3500</v>
      </c>
      <c r="AR101" s="187">
        <v>3500</v>
      </c>
      <c r="AS101" s="187">
        <v>3500</v>
      </c>
      <c r="AT101" s="187">
        <v>3500</v>
      </c>
      <c r="AU101" s="187">
        <v>3500</v>
      </c>
      <c r="AV101" s="187">
        <v>3500</v>
      </c>
      <c r="AW101" s="187">
        <v>3500</v>
      </c>
      <c r="AX101" s="187">
        <v>3500</v>
      </c>
      <c r="AY101" s="187">
        <v>3500</v>
      </c>
      <c r="AZ101" s="186">
        <f t="shared" si="92"/>
        <v>42000</v>
      </c>
      <c r="BA101" s="221"/>
      <c r="BB101" s="187">
        <v>3500</v>
      </c>
      <c r="BC101" s="187">
        <v>3500</v>
      </c>
      <c r="BD101" s="187">
        <v>3500</v>
      </c>
      <c r="BE101" s="187">
        <v>3500</v>
      </c>
      <c r="BF101" s="187">
        <v>3500</v>
      </c>
      <c r="BG101" s="187">
        <v>3500</v>
      </c>
      <c r="BH101" s="187">
        <v>3500</v>
      </c>
      <c r="BI101" s="187">
        <v>3500</v>
      </c>
      <c r="BJ101" s="187">
        <v>3500</v>
      </c>
      <c r="BK101" s="187">
        <v>3500</v>
      </c>
      <c r="BL101" s="187">
        <v>3500</v>
      </c>
      <c r="BM101" s="187">
        <v>3500</v>
      </c>
      <c r="BN101" s="186">
        <f t="shared" si="93"/>
        <v>42000</v>
      </c>
      <c r="BP101"/>
      <c r="BQ101"/>
      <c r="BR101"/>
      <c r="BS101"/>
      <c r="BT101"/>
      <c r="BU101"/>
      <c r="BV101"/>
      <c r="BW101"/>
      <c r="BX101"/>
      <c r="BY101"/>
      <c r="BZ101"/>
      <c r="CA101"/>
      <c r="CB101"/>
    </row>
    <row r="102" spans="1:80" ht="11.95" outlineLevel="1" thickBot="1" x14ac:dyDescent="0.3">
      <c r="E102" s="3"/>
      <c r="F102" s="3"/>
      <c r="G102" s="256" t="s">
        <v>110</v>
      </c>
      <c r="H102" s="3"/>
      <c r="I102" s="18"/>
      <c r="J102" s="18"/>
      <c r="K102" s="18"/>
      <c r="L102" s="185">
        <v>30541.99</v>
      </c>
      <c r="M102" s="185">
        <v>52689.19</v>
      </c>
      <c r="N102" s="185">
        <v>41325.879999999997</v>
      </c>
      <c r="O102" s="185">
        <v>36739.699999999997</v>
      </c>
      <c r="P102" s="185">
        <v>35460.42</v>
      </c>
      <c r="Q102" s="185">
        <v>39274.370000000003</v>
      </c>
      <c r="R102" s="185">
        <v>27704.62</v>
      </c>
      <c r="S102" s="185">
        <v>27377.02</v>
      </c>
      <c r="T102" s="185">
        <v>28785.46</v>
      </c>
      <c r="U102" s="185">
        <v>25046.79</v>
      </c>
      <c r="V102" s="185">
        <v>31999.31</v>
      </c>
      <c r="W102" s="185">
        <v>34334.61</v>
      </c>
      <c r="X102" s="186">
        <f t="shared" si="56"/>
        <v>411279.35999999999</v>
      </c>
      <c r="Y102" s="219"/>
      <c r="Z102" s="185">
        <v>17279.22</v>
      </c>
      <c r="AA102" s="185">
        <v>37203</v>
      </c>
      <c r="AB102" s="185">
        <v>37203</v>
      </c>
      <c r="AC102" s="185">
        <v>37203</v>
      </c>
      <c r="AD102" s="185">
        <v>37203</v>
      </c>
      <c r="AE102" s="185">
        <v>37203</v>
      </c>
      <c r="AF102" s="185">
        <v>37203</v>
      </c>
      <c r="AG102" s="185">
        <v>37203</v>
      </c>
      <c r="AH102" s="185">
        <v>37203</v>
      </c>
      <c r="AI102" s="185">
        <v>37203</v>
      </c>
      <c r="AJ102" s="185">
        <v>37203</v>
      </c>
      <c r="AK102" s="185">
        <v>37203</v>
      </c>
      <c r="AL102" s="186">
        <f t="shared" si="57"/>
        <v>426512.22</v>
      </c>
      <c r="AM102" s="221"/>
      <c r="AN102" s="187">
        <v>37203</v>
      </c>
      <c r="AO102" s="187">
        <v>37203</v>
      </c>
      <c r="AP102" s="187">
        <v>37203</v>
      </c>
      <c r="AQ102" s="187">
        <v>37203</v>
      </c>
      <c r="AR102" s="187">
        <v>37203</v>
      </c>
      <c r="AS102" s="187">
        <v>37203</v>
      </c>
      <c r="AT102" s="187">
        <v>37203</v>
      </c>
      <c r="AU102" s="187">
        <v>37203</v>
      </c>
      <c r="AV102" s="187">
        <v>37203</v>
      </c>
      <c r="AW102" s="187">
        <v>37203</v>
      </c>
      <c r="AX102" s="187">
        <v>37203</v>
      </c>
      <c r="AY102" s="187">
        <v>37203</v>
      </c>
      <c r="AZ102" s="186">
        <f t="shared" si="58"/>
        <v>446436</v>
      </c>
      <c r="BA102" s="221"/>
      <c r="BB102" s="187">
        <v>37203</v>
      </c>
      <c r="BC102" s="187">
        <v>37203</v>
      </c>
      <c r="BD102" s="187">
        <v>37203</v>
      </c>
      <c r="BE102" s="187">
        <v>37203</v>
      </c>
      <c r="BF102" s="187">
        <v>37203</v>
      </c>
      <c r="BG102" s="187">
        <v>37203</v>
      </c>
      <c r="BH102" s="187">
        <v>37203</v>
      </c>
      <c r="BI102" s="187">
        <v>37203</v>
      </c>
      <c r="BJ102" s="187">
        <v>37203</v>
      </c>
      <c r="BK102" s="187">
        <v>37203</v>
      </c>
      <c r="BL102" s="187">
        <v>37203</v>
      </c>
      <c r="BM102" s="187">
        <v>37203</v>
      </c>
      <c r="BN102" s="186">
        <f t="shared" si="59"/>
        <v>446436</v>
      </c>
      <c r="BP102"/>
      <c r="BQ102"/>
      <c r="BR102"/>
      <c r="BS102"/>
      <c r="BT102"/>
      <c r="BU102"/>
      <c r="BV102"/>
      <c r="BW102"/>
      <c r="BX102"/>
      <c r="BY102"/>
      <c r="BZ102"/>
      <c r="CA102"/>
      <c r="CB102"/>
    </row>
    <row r="103" spans="1:80" ht="11.95" hidden="1" outlineLevel="2" thickBot="1" x14ac:dyDescent="0.3">
      <c r="A103" t="str">
        <f t="shared" ref="A103" si="94">IF(LEFT(G103,3)="Mul", "#hiderow", "#showrow")</f>
        <v>#hiderow</v>
      </c>
      <c r="E103" s="3"/>
      <c r="F103" s="3"/>
      <c r="G103" s="255" t="s">
        <v>6</v>
      </c>
      <c r="H103" s="3"/>
      <c r="I103" s="18"/>
      <c r="J103" s="18"/>
      <c r="K103" s="18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6">
        <f t="shared" si="56"/>
        <v>0</v>
      </c>
      <c r="Y103" s="219"/>
      <c r="Z103" s="185"/>
      <c r="AA103" s="185"/>
      <c r="AB103" s="185"/>
      <c r="AC103" s="185"/>
      <c r="AD103" s="185"/>
      <c r="AE103" s="185"/>
      <c r="AF103" s="185"/>
      <c r="AG103" s="185"/>
      <c r="AH103" s="185"/>
      <c r="AI103" s="185"/>
      <c r="AJ103" s="185"/>
      <c r="AK103" s="185"/>
      <c r="AL103" s="186">
        <f t="shared" si="57"/>
        <v>0</v>
      </c>
      <c r="AM103" s="221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187"/>
      <c r="AZ103" s="186">
        <f t="shared" si="58"/>
        <v>0</v>
      </c>
      <c r="BA103" s="221"/>
      <c r="BB103" s="187"/>
      <c r="BC103" s="187"/>
      <c r="BD103" s="187"/>
      <c r="BE103" s="187"/>
      <c r="BF103" s="187"/>
      <c r="BG103" s="187"/>
      <c r="BH103" s="187"/>
      <c r="BI103" s="187"/>
      <c r="BJ103" s="187"/>
      <c r="BK103" s="187"/>
      <c r="BL103" s="187"/>
      <c r="BM103" s="187"/>
      <c r="BN103" s="186">
        <f t="shared" si="59"/>
        <v>0</v>
      </c>
      <c r="BP103"/>
      <c r="BQ103"/>
      <c r="BR103"/>
      <c r="BS103"/>
      <c r="BT103"/>
      <c r="BU103"/>
      <c r="BV103"/>
      <c r="BW103"/>
      <c r="BX103"/>
      <c r="BY103"/>
      <c r="BZ103"/>
      <c r="CA103"/>
      <c r="CB103"/>
    </row>
    <row r="104" spans="1:80" ht="11.95" outlineLevel="2" thickBot="1" x14ac:dyDescent="0.3">
      <c r="A104" t="str">
        <f t="shared" ref="A104:A108" si="95">IF(LEFT(G104,3)="Mul", "#hiderow", "#showrow")</f>
        <v>#showrow</v>
      </c>
      <c r="E104" s="3"/>
      <c r="F104" s="3"/>
      <c r="G104" s="255" t="s">
        <v>479</v>
      </c>
      <c r="H104" s="3"/>
      <c r="I104" s="18"/>
      <c r="J104" s="18"/>
      <c r="K104" s="18"/>
      <c r="L104" s="185"/>
      <c r="M104" s="185"/>
      <c r="N104" s="185"/>
      <c r="O104" s="185"/>
      <c r="P104" s="185"/>
      <c r="Q104" s="185"/>
      <c r="R104" s="185"/>
      <c r="S104" s="185">
        <v>63.47</v>
      </c>
      <c r="T104" s="185">
        <v>35.06</v>
      </c>
      <c r="U104" s="185"/>
      <c r="V104" s="185"/>
      <c r="W104" s="185"/>
      <c r="X104" s="186">
        <f t="shared" ref="X104:X108" si="96">SUM(L104:W104)</f>
        <v>98.53</v>
      </c>
      <c r="Y104" s="219"/>
      <c r="Z104" s="185"/>
      <c r="AA104" s="185">
        <v>100</v>
      </c>
      <c r="AB104" s="185">
        <v>100</v>
      </c>
      <c r="AC104" s="185">
        <v>100</v>
      </c>
      <c r="AD104" s="185">
        <v>100</v>
      </c>
      <c r="AE104" s="185">
        <v>100</v>
      </c>
      <c r="AF104" s="185">
        <v>100</v>
      </c>
      <c r="AG104" s="185">
        <v>100</v>
      </c>
      <c r="AH104" s="185">
        <v>100</v>
      </c>
      <c r="AI104" s="185">
        <v>100</v>
      </c>
      <c r="AJ104" s="185">
        <v>100</v>
      </c>
      <c r="AK104" s="185">
        <v>100</v>
      </c>
      <c r="AL104" s="186">
        <f t="shared" ref="AL104:AL108" si="97">SUM(Z104:AK104)</f>
        <v>1100</v>
      </c>
      <c r="AM104" s="221"/>
      <c r="AN104" s="187">
        <v>100</v>
      </c>
      <c r="AO104" s="187">
        <v>100</v>
      </c>
      <c r="AP104" s="187">
        <v>100</v>
      </c>
      <c r="AQ104" s="187">
        <v>100</v>
      </c>
      <c r="AR104" s="187">
        <v>100</v>
      </c>
      <c r="AS104" s="187">
        <v>100</v>
      </c>
      <c r="AT104" s="187">
        <v>100</v>
      </c>
      <c r="AU104" s="187">
        <v>100</v>
      </c>
      <c r="AV104" s="187">
        <v>100</v>
      </c>
      <c r="AW104" s="187">
        <v>100</v>
      </c>
      <c r="AX104" s="187">
        <v>100</v>
      </c>
      <c r="AY104" s="187">
        <v>100</v>
      </c>
      <c r="AZ104" s="186">
        <f t="shared" ref="AZ104:AZ108" si="98">SUM(AN104:AY104)</f>
        <v>1200</v>
      </c>
      <c r="BA104" s="221"/>
      <c r="BB104" s="187">
        <v>100</v>
      </c>
      <c r="BC104" s="187">
        <v>100</v>
      </c>
      <c r="BD104" s="187">
        <v>100</v>
      </c>
      <c r="BE104" s="187">
        <v>100</v>
      </c>
      <c r="BF104" s="187">
        <v>100</v>
      </c>
      <c r="BG104" s="187">
        <v>100</v>
      </c>
      <c r="BH104" s="187">
        <v>100</v>
      </c>
      <c r="BI104" s="187">
        <v>100</v>
      </c>
      <c r="BJ104" s="187">
        <v>100</v>
      </c>
      <c r="BK104" s="187">
        <v>100</v>
      </c>
      <c r="BL104" s="187">
        <v>100</v>
      </c>
      <c r="BM104" s="187">
        <v>100</v>
      </c>
      <c r="BN104" s="186">
        <f t="shared" ref="BN104:BN108" si="99">SUM(BB104:BM104)</f>
        <v>1200</v>
      </c>
      <c r="BP104"/>
      <c r="BQ104"/>
      <c r="BR104"/>
      <c r="BS104"/>
      <c r="BT104"/>
      <c r="BU104"/>
      <c r="BV104"/>
      <c r="BW104"/>
      <c r="BX104"/>
      <c r="BY104"/>
      <c r="BZ104"/>
      <c r="CA104"/>
      <c r="CB104"/>
    </row>
    <row r="105" spans="1:80" ht="11.95" outlineLevel="2" thickBot="1" x14ac:dyDescent="0.3">
      <c r="A105" t="str">
        <f t="shared" si="95"/>
        <v>#showrow</v>
      </c>
      <c r="E105" s="3"/>
      <c r="F105" s="3"/>
      <c r="G105" s="255" t="s">
        <v>142</v>
      </c>
      <c r="H105" s="3"/>
      <c r="I105" s="18"/>
      <c r="J105" s="18"/>
      <c r="K105" s="18"/>
      <c r="L105" s="185"/>
      <c r="M105" s="185"/>
      <c r="N105" s="185">
        <v>4048.09</v>
      </c>
      <c r="O105" s="185">
        <v>-4048.09</v>
      </c>
      <c r="P105" s="185"/>
      <c r="Q105" s="185">
        <v>4873.47</v>
      </c>
      <c r="R105" s="185"/>
      <c r="S105" s="185"/>
      <c r="T105" s="185">
        <v>952.99</v>
      </c>
      <c r="U105" s="185"/>
      <c r="V105" s="185">
        <v>373.58</v>
      </c>
      <c r="W105" s="185"/>
      <c r="X105" s="186">
        <f t="shared" si="96"/>
        <v>6200.04</v>
      </c>
      <c r="Y105" s="219"/>
      <c r="Z105" s="185"/>
      <c r="AA105" s="185">
        <v>600</v>
      </c>
      <c r="AB105" s="185">
        <v>600</v>
      </c>
      <c r="AC105" s="185">
        <v>600</v>
      </c>
      <c r="AD105" s="185">
        <v>600</v>
      </c>
      <c r="AE105" s="185">
        <v>600</v>
      </c>
      <c r="AF105" s="185">
        <v>600</v>
      </c>
      <c r="AG105" s="185">
        <v>600</v>
      </c>
      <c r="AH105" s="185">
        <v>600</v>
      </c>
      <c r="AI105" s="185">
        <v>600</v>
      </c>
      <c r="AJ105" s="185">
        <v>600</v>
      </c>
      <c r="AK105" s="185">
        <v>600</v>
      </c>
      <c r="AL105" s="186">
        <f t="shared" si="97"/>
        <v>6600</v>
      </c>
      <c r="AM105" s="221"/>
      <c r="AN105" s="187">
        <v>600</v>
      </c>
      <c r="AO105" s="187">
        <v>600</v>
      </c>
      <c r="AP105" s="187">
        <v>600</v>
      </c>
      <c r="AQ105" s="187">
        <v>600</v>
      </c>
      <c r="AR105" s="187">
        <v>600</v>
      </c>
      <c r="AS105" s="187">
        <v>600</v>
      </c>
      <c r="AT105" s="187">
        <v>600</v>
      </c>
      <c r="AU105" s="187">
        <v>600</v>
      </c>
      <c r="AV105" s="187">
        <v>600</v>
      </c>
      <c r="AW105" s="187">
        <v>600</v>
      </c>
      <c r="AX105" s="187">
        <v>600</v>
      </c>
      <c r="AY105" s="187">
        <v>600</v>
      </c>
      <c r="AZ105" s="186">
        <f t="shared" si="98"/>
        <v>7200</v>
      </c>
      <c r="BA105" s="221"/>
      <c r="BB105" s="187">
        <v>600</v>
      </c>
      <c r="BC105" s="187">
        <v>600</v>
      </c>
      <c r="BD105" s="187">
        <v>600</v>
      </c>
      <c r="BE105" s="187">
        <v>600</v>
      </c>
      <c r="BF105" s="187">
        <v>600</v>
      </c>
      <c r="BG105" s="187">
        <v>600</v>
      </c>
      <c r="BH105" s="187">
        <v>600</v>
      </c>
      <c r="BI105" s="187">
        <v>600</v>
      </c>
      <c r="BJ105" s="187">
        <v>600</v>
      </c>
      <c r="BK105" s="187">
        <v>600</v>
      </c>
      <c r="BL105" s="187">
        <v>600</v>
      </c>
      <c r="BM105" s="187">
        <v>600</v>
      </c>
      <c r="BN105" s="186">
        <f t="shared" si="99"/>
        <v>7200</v>
      </c>
      <c r="BP105"/>
      <c r="BQ105"/>
      <c r="BR105"/>
      <c r="BS105"/>
      <c r="BT105"/>
      <c r="BU105"/>
      <c r="BV105"/>
      <c r="BW105"/>
      <c r="BX105"/>
      <c r="BY105"/>
      <c r="BZ105"/>
      <c r="CA105"/>
      <c r="CB105"/>
    </row>
    <row r="106" spans="1:80" ht="11.95" outlineLevel="2" thickBot="1" x14ac:dyDescent="0.3">
      <c r="A106" t="str">
        <f t="shared" si="95"/>
        <v>#showrow</v>
      </c>
      <c r="E106" s="3"/>
      <c r="F106" s="3"/>
      <c r="G106" s="255" t="s">
        <v>144</v>
      </c>
      <c r="H106" s="3"/>
      <c r="I106" s="18"/>
      <c r="J106" s="18"/>
      <c r="K106" s="18"/>
      <c r="L106" s="185"/>
      <c r="M106" s="185">
        <v>22147.19</v>
      </c>
      <c r="N106" s="185">
        <v>6705.8</v>
      </c>
      <c r="O106" s="185">
        <v>10245.790000000001</v>
      </c>
      <c r="P106" s="185">
        <v>4918.43</v>
      </c>
      <c r="Q106" s="185">
        <v>3858.91</v>
      </c>
      <c r="R106" s="185">
        <v>4172.37</v>
      </c>
      <c r="S106" s="185">
        <v>3781.3</v>
      </c>
      <c r="T106" s="185">
        <v>4265.16</v>
      </c>
      <c r="U106" s="185">
        <v>2514.5300000000002</v>
      </c>
      <c r="V106" s="185">
        <v>3593.48</v>
      </c>
      <c r="W106" s="185">
        <v>7931.71</v>
      </c>
      <c r="X106" s="186">
        <f t="shared" si="96"/>
        <v>74134.67</v>
      </c>
      <c r="Y106" s="219"/>
      <c r="Z106" s="185"/>
      <c r="AA106" s="185">
        <v>8000</v>
      </c>
      <c r="AB106" s="185">
        <v>8000</v>
      </c>
      <c r="AC106" s="185">
        <v>8000</v>
      </c>
      <c r="AD106" s="185">
        <v>8000</v>
      </c>
      <c r="AE106" s="185">
        <v>8000</v>
      </c>
      <c r="AF106" s="185">
        <v>8000</v>
      </c>
      <c r="AG106" s="185">
        <v>8000</v>
      </c>
      <c r="AH106" s="185">
        <v>8000</v>
      </c>
      <c r="AI106" s="185">
        <v>8000</v>
      </c>
      <c r="AJ106" s="185">
        <v>8000</v>
      </c>
      <c r="AK106" s="185">
        <v>8000</v>
      </c>
      <c r="AL106" s="186">
        <f t="shared" si="97"/>
        <v>88000</v>
      </c>
      <c r="AM106" s="221"/>
      <c r="AN106" s="187">
        <v>8000</v>
      </c>
      <c r="AO106" s="187">
        <v>8000</v>
      </c>
      <c r="AP106" s="187">
        <v>8000</v>
      </c>
      <c r="AQ106" s="187">
        <v>8000</v>
      </c>
      <c r="AR106" s="187">
        <v>8000</v>
      </c>
      <c r="AS106" s="187">
        <v>8000</v>
      </c>
      <c r="AT106" s="187">
        <v>8000</v>
      </c>
      <c r="AU106" s="187">
        <v>8000</v>
      </c>
      <c r="AV106" s="187">
        <v>8000</v>
      </c>
      <c r="AW106" s="187">
        <v>8000</v>
      </c>
      <c r="AX106" s="187">
        <v>8000</v>
      </c>
      <c r="AY106" s="187">
        <v>8000</v>
      </c>
      <c r="AZ106" s="186">
        <f t="shared" si="98"/>
        <v>96000</v>
      </c>
      <c r="BA106" s="221"/>
      <c r="BB106" s="187">
        <v>8000</v>
      </c>
      <c r="BC106" s="187">
        <v>8000</v>
      </c>
      <c r="BD106" s="187">
        <v>8000</v>
      </c>
      <c r="BE106" s="187">
        <v>8000</v>
      </c>
      <c r="BF106" s="187">
        <v>8000</v>
      </c>
      <c r="BG106" s="187">
        <v>8000</v>
      </c>
      <c r="BH106" s="187">
        <v>8000</v>
      </c>
      <c r="BI106" s="187">
        <v>8000</v>
      </c>
      <c r="BJ106" s="187">
        <v>8000</v>
      </c>
      <c r="BK106" s="187">
        <v>8000</v>
      </c>
      <c r="BL106" s="187">
        <v>8000</v>
      </c>
      <c r="BM106" s="187">
        <v>8000</v>
      </c>
      <c r="BN106" s="186">
        <f t="shared" si="99"/>
        <v>96000</v>
      </c>
      <c r="BP106"/>
      <c r="BQ106"/>
      <c r="BR106"/>
      <c r="BS106"/>
      <c r="BT106"/>
      <c r="BU106"/>
      <c r="BV106"/>
      <c r="BW106"/>
      <c r="BX106"/>
      <c r="BY106"/>
      <c r="BZ106"/>
      <c r="CA106"/>
      <c r="CB106"/>
    </row>
    <row r="107" spans="1:80" ht="11.95" outlineLevel="2" thickBot="1" x14ac:dyDescent="0.3">
      <c r="A107" t="str">
        <f t="shared" si="95"/>
        <v>#showrow</v>
      </c>
      <c r="E107" s="3"/>
      <c r="F107" s="3"/>
      <c r="G107" s="255" t="s">
        <v>145</v>
      </c>
      <c r="H107" s="3"/>
      <c r="I107" s="18"/>
      <c r="J107" s="18"/>
      <c r="K107" s="18"/>
      <c r="L107" s="185">
        <v>29038.959999999999</v>
      </c>
      <c r="M107" s="185">
        <v>29038.97</v>
      </c>
      <c r="N107" s="185">
        <v>29038.959999999999</v>
      </c>
      <c r="O107" s="185">
        <v>29038.97</v>
      </c>
      <c r="P107" s="185">
        <v>29038.959999999999</v>
      </c>
      <c r="Q107" s="185">
        <v>29038.959999999999</v>
      </c>
      <c r="R107" s="185">
        <v>22029.22</v>
      </c>
      <c r="S107" s="185">
        <v>22029.22</v>
      </c>
      <c r="T107" s="185">
        <v>22029.22</v>
      </c>
      <c r="U107" s="185">
        <v>21029.23</v>
      </c>
      <c r="V107" s="185">
        <v>26529.22</v>
      </c>
      <c r="W107" s="185">
        <v>24779.22</v>
      </c>
      <c r="X107" s="186">
        <f t="shared" si="96"/>
        <v>312659.11</v>
      </c>
      <c r="Y107" s="219"/>
      <c r="Z107" s="185">
        <v>17279.22</v>
      </c>
      <c r="AA107" s="185">
        <v>27000</v>
      </c>
      <c r="AB107" s="185">
        <v>27000</v>
      </c>
      <c r="AC107" s="185">
        <v>27000</v>
      </c>
      <c r="AD107" s="185">
        <v>27000</v>
      </c>
      <c r="AE107" s="185">
        <v>27000</v>
      </c>
      <c r="AF107" s="185">
        <v>27000</v>
      </c>
      <c r="AG107" s="185">
        <v>27000</v>
      </c>
      <c r="AH107" s="185">
        <v>27000</v>
      </c>
      <c r="AI107" s="185">
        <v>27000</v>
      </c>
      <c r="AJ107" s="185">
        <v>27000</v>
      </c>
      <c r="AK107" s="185">
        <v>27000</v>
      </c>
      <c r="AL107" s="186">
        <f t="shared" si="97"/>
        <v>314279.21999999997</v>
      </c>
      <c r="AM107" s="221"/>
      <c r="AN107" s="187">
        <v>27000</v>
      </c>
      <c r="AO107" s="187">
        <v>27000</v>
      </c>
      <c r="AP107" s="187">
        <v>27000</v>
      </c>
      <c r="AQ107" s="187">
        <v>27000</v>
      </c>
      <c r="AR107" s="187">
        <v>27000</v>
      </c>
      <c r="AS107" s="187">
        <v>27000</v>
      </c>
      <c r="AT107" s="187">
        <v>27000</v>
      </c>
      <c r="AU107" s="187">
        <v>27000</v>
      </c>
      <c r="AV107" s="187">
        <v>27000</v>
      </c>
      <c r="AW107" s="187">
        <v>27000</v>
      </c>
      <c r="AX107" s="187">
        <v>27000</v>
      </c>
      <c r="AY107" s="187">
        <v>27000</v>
      </c>
      <c r="AZ107" s="186">
        <f t="shared" si="98"/>
        <v>324000</v>
      </c>
      <c r="BA107" s="221"/>
      <c r="BB107" s="187">
        <v>27000</v>
      </c>
      <c r="BC107" s="187">
        <v>27000</v>
      </c>
      <c r="BD107" s="187">
        <v>27000</v>
      </c>
      <c r="BE107" s="187">
        <v>27000</v>
      </c>
      <c r="BF107" s="187">
        <v>27000</v>
      </c>
      <c r="BG107" s="187">
        <v>27000</v>
      </c>
      <c r="BH107" s="187">
        <v>27000</v>
      </c>
      <c r="BI107" s="187">
        <v>27000</v>
      </c>
      <c r="BJ107" s="187">
        <v>27000</v>
      </c>
      <c r="BK107" s="187">
        <v>27000</v>
      </c>
      <c r="BL107" s="187">
        <v>27000</v>
      </c>
      <c r="BM107" s="187">
        <v>27000</v>
      </c>
      <c r="BN107" s="186">
        <f t="shared" si="99"/>
        <v>324000</v>
      </c>
      <c r="BP107"/>
      <c r="BQ107"/>
      <c r="BR107"/>
      <c r="BS107"/>
      <c r="BT107"/>
      <c r="BU107"/>
      <c r="BV107"/>
      <c r="BW107"/>
      <c r="BX107"/>
      <c r="BY107"/>
      <c r="BZ107"/>
      <c r="CA107"/>
      <c r="CB107"/>
    </row>
    <row r="108" spans="1:80" ht="11.95" outlineLevel="2" thickBot="1" x14ac:dyDescent="0.3">
      <c r="A108" t="str">
        <f t="shared" si="95"/>
        <v>#showrow</v>
      </c>
      <c r="E108" s="3"/>
      <c r="F108" s="3"/>
      <c r="G108" s="255" t="s">
        <v>146</v>
      </c>
      <c r="H108" s="3"/>
      <c r="I108" s="18"/>
      <c r="J108" s="18"/>
      <c r="K108" s="18"/>
      <c r="L108" s="185">
        <v>1503.03</v>
      </c>
      <c r="M108" s="185">
        <v>1503.03</v>
      </c>
      <c r="N108" s="185">
        <v>1533.03</v>
      </c>
      <c r="O108" s="185">
        <v>1503.03</v>
      </c>
      <c r="P108" s="185">
        <v>1503.03</v>
      </c>
      <c r="Q108" s="185">
        <v>1503.03</v>
      </c>
      <c r="R108" s="185">
        <v>1503.03</v>
      </c>
      <c r="S108" s="185">
        <v>1503.03</v>
      </c>
      <c r="T108" s="185">
        <v>1503.03</v>
      </c>
      <c r="U108" s="185">
        <v>1503.03</v>
      </c>
      <c r="V108" s="185">
        <v>1503.03</v>
      </c>
      <c r="W108" s="185">
        <v>1623.68</v>
      </c>
      <c r="X108" s="186">
        <f t="shared" si="96"/>
        <v>18187.010000000002</v>
      </c>
      <c r="Y108" s="219"/>
      <c r="Z108" s="185"/>
      <c r="AA108" s="185">
        <v>1503</v>
      </c>
      <c r="AB108" s="185">
        <v>1503</v>
      </c>
      <c r="AC108" s="185">
        <v>1503</v>
      </c>
      <c r="AD108" s="185">
        <v>1503</v>
      </c>
      <c r="AE108" s="185">
        <v>1503</v>
      </c>
      <c r="AF108" s="185">
        <v>1503</v>
      </c>
      <c r="AG108" s="185">
        <v>1503</v>
      </c>
      <c r="AH108" s="185">
        <v>1503</v>
      </c>
      <c r="AI108" s="185">
        <v>1503</v>
      </c>
      <c r="AJ108" s="185">
        <v>1503</v>
      </c>
      <c r="AK108" s="185">
        <v>1503</v>
      </c>
      <c r="AL108" s="186">
        <f t="shared" si="97"/>
        <v>16533</v>
      </c>
      <c r="AM108" s="221"/>
      <c r="AN108" s="187">
        <v>1503</v>
      </c>
      <c r="AO108" s="187">
        <v>1503</v>
      </c>
      <c r="AP108" s="187">
        <v>1503</v>
      </c>
      <c r="AQ108" s="187">
        <v>1503</v>
      </c>
      <c r="AR108" s="187">
        <v>1503</v>
      </c>
      <c r="AS108" s="187">
        <v>1503</v>
      </c>
      <c r="AT108" s="187">
        <v>1503</v>
      </c>
      <c r="AU108" s="187">
        <v>1503</v>
      </c>
      <c r="AV108" s="187">
        <v>1503</v>
      </c>
      <c r="AW108" s="187">
        <v>1503</v>
      </c>
      <c r="AX108" s="187">
        <v>1503</v>
      </c>
      <c r="AY108" s="187">
        <v>1503</v>
      </c>
      <c r="AZ108" s="186">
        <f t="shared" si="98"/>
        <v>18036</v>
      </c>
      <c r="BA108" s="221"/>
      <c r="BB108" s="187">
        <v>1503</v>
      </c>
      <c r="BC108" s="187">
        <v>1503</v>
      </c>
      <c r="BD108" s="187">
        <v>1503</v>
      </c>
      <c r="BE108" s="187">
        <v>1503</v>
      </c>
      <c r="BF108" s="187">
        <v>1503</v>
      </c>
      <c r="BG108" s="187">
        <v>1503</v>
      </c>
      <c r="BH108" s="187">
        <v>1503</v>
      </c>
      <c r="BI108" s="187">
        <v>1503</v>
      </c>
      <c r="BJ108" s="187">
        <v>1503</v>
      </c>
      <c r="BK108" s="187">
        <v>1503</v>
      </c>
      <c r="BL108" s="187">
        <v>1503</v>
      </c>
      <c r="BM108" s="187">
        <v>1503</v>
      </c>
      <c r="BN108" s="186">
        <f t="shared" si="99"/>
        <v>18036</v>
      </c>
      <c r="BP108"/>
      <c r="BQ108"/>
      <c r="BR108"/>
      <c r="BS108"/>
      <c r="BT108"/>
      <c r="BU108"/>
      <c r="BV108"/>
      <c r="BW108"/>
      <c r="BX108"/>
      <c r="BY108"/>
      <c r="BZ108"/>
      <c r="CA108"/>
      <c r="CB108"/>
    </row>
    <row r="109" spans="1:80" ht="11.95" outlineLevel="1" thickBot="1" x14ac:dyDescent="0.3">
      <c r="E109" s="3"/>
      <c r="F109" s="3"/>
      <c r="G109" s="256" t="s">
        <v>111</v>
      </c>
      <c r="H109" s="3"/>
      <c r="I109" s="18"/>
      <c r="J109" s="18"/>
      <c r="K109" s="18"/>
      <c r="L109" s="185">
        <v>6470.55</v>
      </c>
      <c r="M109" s="185">
        <v>5028.8900000000003</v>
      </c>
      <c r="N109" s="185">
        <v>32373.8</v>
      </c>
      <c r="O109" s="185">
        <v>7682.82</v>
      </c>
      <c r="P109" s="185">
        <v>8644.43</v>
      </c>
      <c r="Q109" s="185">
        <v>1857.85</v>
      </c>
      <c r="R109" s="185">
        <v>5322.73</v>
      </c>
      <c r="S109" s="185">
        <v>4262.93</v>
      </c>
      <c r="T109" s="185">
        <v>7129.97</v>
      </c>
      <c r="U109" s="185">
        <v>1198.31</v>
      </c>
      <c r="V109" s="185">
        <v>17487.330000000002</v>
      </c>
      <c r="W109" s="185">
        <v>9184.9</v>
      </c>
      <c r="X109" s="186">
        <f t="shared" si="56"/>
        <v>106644.51</v>
      </c>
      <c r="Y109" s="219"/>
      <c r="Z109" s="185">
        <v>9901.06</v>
      </c>
      <c r="AA109" s="185">
        <v>8000</v>
      </c>
      <c r="AB109" s="185">
        <v>8000</v>
      </c>
      <c r="AC109" s="185">
        <v>8000</v>
      </c>
      <c r="AD109" s="185">
        <v>8000</v>
      </c>
      <c r="AE109" s="185">
        <v>8000</v>
      </c>
      <c r="AF109" s="185">
        <v>8000</v>
      </c>
      <c r="AG109" s="185">
        <v>8000</v>
      </c>
      <c r="AH109" s="185">
        <v>8000</v>
      </c>
      <c r="AI109" s="185">
        <v>8000</v>
      </c>
      <c r="AJ109" s="185">
        <v>8000</v>
      </c>
      <c r="AK109" s="185">
        <v>8000</v>
      </c>
      <c r="AL109" s="186">
        <f t="shared" si="57"/>
        <v>97901.06</v>
      </c>
      <c r="AM109" s="221"/>
      <c r="AN109" s="187">
        <v>8000</v>
      </c>
      <c r="AO109" s="187">
        <v>8000</v>
      </c>
      <c r="AP109" s="187">
        <v>8000</v>
      </c>
      <c r="AQ109" s="187">
        <v>8000</v>
      </c>
      <c r="AR109" s="187">
        <v>8000</v>
      </c>
      <c r="AS109" s="187">
        <v>8000</v>
      </c>
      <c r="AT109" s="187">
        <v>8000</v>
      </c>
      <c r="AU109" s="187">
        <v>8000</v>
      </c>
      <c r="AV109" s="187">
        <v>8000</v>
      </c>
      <c r="AW109" s="187">
        <v>8000</v>
      </c>
      <c r="AX109" s="187">
        <v>8000</v>
      </c>
      <c r="AY109" s="187">
        <v>8000</v>
      </c>
      <c r="AZ109" s="186">
        <f t="shared" si="58"/>
        <v>96000</v>
      </c>
      <c r="BA109" s="221"/>
      <c r="BB109" s="187">
        <v>8000</v>
      </c>
      <c r="BC109" s="187">
        <v>8000</v>
      </c>
      <c r="BD109" s="187">
        <v>8000</v>
      </c>
      <c r="BE109" s="187">
        <v>8000</v>
      </c>
      <c r="BF109" s="187">
        <v>8000</v>
      </c>
      <c r="BG109" s="187">
        <v>8000</v>
      </c>
      <c r="BH109" s="187">
        <v>8000</v>
      </c>
      <c r="BI109" s="187">
        <v>8000</v>
      </c>
      <c r="BJ109" s="187">
        <v>8000</v>
      </c>
      <c r="BK109" s="187">
        <v>8000</v>
      </c>
      <c r="BL109" s="187">
        <v>8000</v>
      </c>
      <c r="BM109" s="187">
        <v>8000</v>
      </c>
      <c r="BN109" s="186">
        <f t="shared" si="59"/>
        <v>96000</v>
      </c>
      <c r="BP109"/>
      <c r="BQ109"/>
      <c r="BR109"/>
      <c r="BS109"/>
      <c r="BT109"/>
      <c r="BU109"/>
      <c r="BV109"/>
      <c r="BW109"/>
      <c r="BX109"/>
      <c r="BY109"/>
      <c r="BZ109"/>
      <c r="CA109"/>
      <c r="CB109"/>
    </row>
    <row r="110" spans="1:80" ht="11.95" hidden="1" outlineLevel="2" thickBot="1" x14ac:dyDescent="0.3">
      <c r="A110" t="str">
        <f t="shared" ref="A110" si="100">IF(LEFT(G110,3)="Mul", "#hiderow", "#showrow")</f>
        <v>#hiderow</v>
      </c>
      <c r="E110" s="3"/>
      <c r="F110" s="3"/>
      <c r="G110" s="255" t="s">
        <v>6</v>
      </c>
      <c r="H110" s="3"/>
      <c r="I110" s="18"/>
      <c r="J110" s="18"/>
      <c r="K110" s="18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6">
        <f t="shared" si="56"/>
        <v>0</v>
      </c>
      <c r="Y110" s="219"/>
      <c r="Z110" s="185"/>
      <c r="AA110" s="185"/>
      <c r="AB110" s="185"/>
      <c r="AC110" s="185"/>
      <c r="AD110" s="185"/>
      <c r="AE110" s="185"/>
      <c r="AF110" s="185"/>
      <c r="AG110" s="185"/>
      <c r="AH110" s="185"/>
      <c r="AI110" s="185"/>
      <c r="AJ110" s="185"/>
      <c r="AK110" s="185"/>
      <c r="AL110" s="186">
        <f t="shared" si="57"/>
        <v>0</v>
      </c>
      <c r="AM110" s="221"/>
      <c r="AN110" s="187"/>
      <c r="AO110" s="187"/>
      <c r="AP110" s="187"/>
      <c r="AQ110" s="187"/>
      <c r="AR110" s="187"/>
      <c r="AS110" s="187"/>
      <c r="AT110" s="187"/>
      <c r="AU110" s="187"/>
      <c r="AV110" s="187"/>
      <c r="AW110" s="187"/>
      <c r="AX110" s="187"/>
      <c r="AY110" s="187"/>
      <c r="AZ110" s="186">
        <f t="shared" si="58"/>
        <v>0</v>
      </c>
      <c r="BA110" s="221"/>
      <c r="BB110" s="187"/>
      <c r="BC110" s="187"/>
      <c r="BD110" s="187"/>
      <c r="BE110" s="187"/>
      <c r="BF110" s="187"/>
      <c r="BG110" s="187"/>
      <c r="BH110" s="187"/>
      <c r="BI110" s="187"/>
      <c r="BJ110" s="187"/>
      <c r="BK110" s="187"/>
      <c r="BL110" s="187"/>
      <c r="BM110" s="187"/>
      <c r="BN110" s="186">
        <f t="shared" si="59"/>
        <v>0</v>
      </c>
      <c r="BP110"/>
      <c r="BQ110"/>
      <c r="BR110"/>
      <c r="BS110"/>
      <c r="BT110"/>
      <c r="BU110"/>
      <c r="BV110"/>
      <c r="BW110"/>
      <c r="BX110"/>
      <c r="BY110"/>
      <c r="BZ110"/>
      <c r="CA110"/>
      <c r="CB110"/>
    </row>
    <row r="111" spans="1:80" ht="11.95" outlineLevel="2" thickBot="1" x14ac:dyDescent="0.3">
      <c r="A111" t="str">
        <f t="shared" ref="A111:A114" si="101">IF(LEFT(G111,3)="Mul", "#hiderow", "#showrow")</f>
        <v>#showrow</v>
      </c>
      <c r="E111" s="3"/>
      <c r="F111" s="3"/>
      <c r="G111" s="255" t="s">
        <v>483</v>
      </c>
      <c r="H111" s="3"/>
      <c r="I111" s="18"/>
      <c r="J111" s="18"/>
      <c r="K111" s="18"/>
      <c r="L111" s="185"/>
      <c r="M111" s="185"/>
      <c r="N111" s="185"/>
      <c r="O111" s="185"/>
      <c r="P111" s="185"/>
      <c r="Q111" s="185">
        <v>0.68</v>
      </c>
      <c r="R111" s="185"/>
      <c r="S111" s="185"/>
      <c r="T111" s="185"/>
      <c r="U111" s="185"/>
      <c r="V111" s="185"/>
      <c r="W111" s="185"/>
      <c r="X111" s="186">
        <f t="shared" ref="X111:X114" si="102">SUM(L111:W111)</f>
        <v>0.68</v>
      </c>
      <c r="Y111" s="219"/>
      <c r="Z111" s="185"/>
      <c r="AA111" s="185"/>
      <c r="AB111" s="185"/>
      <c r="AC111" s="185"/>
      <c r="AD111" s="185"/>
      <c r="AE111" s="185"/>
      <c r="AF111" s="185"/>
      <c r="AG111" s="185"/>
      <c r="AH111" s="185"/>
      <c r="AI111" s="185"/>
      <c r="AJ111" s="185"/>
      <c r="AK111" s="185"/>
      <c r="AL111" s="186">
        <f t="shared" ref="AL111:AL114" si="103">SUM(Z111:AK111)</f>
        <v>0</v>
      </c>
      <c r="AM111" s="221"/>
      <c r="AN111" s="187"/>
      <c r="AO111" s="187"/>
      <c r="AP111" s="187"/>
      <c r="AQ111" s="187"/>
      <c r="AR111" s="187"/>
      <c r="AS111" s="187"/>
      <c r="AT111" s="187"/>
      <c r="AU111" s="187"/>
      <c r="AV111" s="187"/>
      <c r="AW111" s="187"/>
      <c r="AX111" s="187"/>
      <c r="AY111" s="187"/>
      <c r="AZ111" s="186">
        <f t="shared" ref="AZ111:AZ114" si="104">SUM(AN111:AY111)</f>
        <v>0</v>
      </c>
      <c r="BA111" s="221"/>
      <c r="BB111" s="187"/>
      <c r="BC111" s="187"/>
      <c r="BD111" s="187"/>
      <c r="BE111" s="187"/>
      <c r="BF111" s="187"/>
      <c r="BG111" s="187"/>
      <c r="BH111" s="187"/>
      <c r="BI111" s="187"/>
      <c r="BJ111" s="187"/>
      <c r="BK111" s="187"/>
      <c r="BL111" s="187"/>
      <c r="BM111" s="187"/>
      <c r="BN111" s="186">
        <f t="shared" ref="BN111:BN114" si="105">SUM(BB111:BM111)</f>
        <v>0</v>
      </c>
      <c r="BP111"/>
      <c r="BQ111"/>
      <c r="BR111"/>
      <c r="BS111"/>
      <c r="BT111"/>
      <c r="BU111"/>
      <c r="BV111"/>
      <c r="BW111"/>
      <c r="BX111"/>
      <c r="BY111"/>
      <c r="BZ111"/>
      <c r="CA111"/>
      <c r="CB111"/>
    </row>
    <row r="112" spans="1:80" ht="11.95" outlineLevel="2" thickBot="1" x14ac:dyDescent="0.3">
      <c r="A112" t="str">
        <f t="shared" si="101"/>
        <v>#showrow</v>
      </c>
      <c r="E112" s="3"/>
      <c r="F112" s="3"/>
      <c r="G112" s="255" t="s">
        <v>160</v>
      </c>
      <c r="H112" s="3"/>
      <c r="I112" s="18"/>
      <c r="J112" s="18"/>
      <c r="K112" s="18"/>
      <c r="L112" s="185"/>
      <c r="M112" s="185"/>
      <c r="N112" s="185"/>
      <c r="O112" s="185">
        <v>500</v>
      </c>
      <c r="P112" s="185"/>
      <c r="Q112" s="185"/>
      <c r="R112" s="185">
        <v>2000</v>
      </c>
      <c r="S112" s="185"/>
      <c r="T112" s="185">
        <v>500</v>
      </c>
      <c r="U112" s="185"/>
      <c r="V112" s="185">
        <v>1000</v>
      </c>
      <c r="W112" s="185">
        <v>500</v>
      </c>
      <c r="X112" s="186">
        <f t="shared" si="102"/>
        <v>4500</v>
      </c>
      <c r="Y112" s="219"/>
      <c r="Z112" s="185"/>
      <c r="AA112" s="185"/>
      <c r="AB112" s="185"/>
      <c r="AC112" s="185"/>
      <c r="AD112" s="185"/>
      <c r="AE112" s="185"/>
      <c r="AF112" s="185"/>
      <c r="AG112" s="185"/>
      <c r="AH112" s="185"/>
      <c r="AI112" s="185"/>
      <c r="AJ112" s="185"/>
      <c r="AK112" s="185"/>
      <c r="AL112" s="186">
        <f t="shared" si="103"/>
        <v>0</v>
      </c>
      <c r="AM112" s="221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6">
        <f t="shared" si="104"/>
        <v>0</v>
      </c>
      <c r="BA112" s="221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6">
        <f t="shared" si="105"/>
        <v>0</v>
      </c>
      <c r="BP112"/>
      <c r="BQ112"/>
      <c r="BR112"/>
      <c r="BS112"/>
      <c r="BT112"/>
      <c r="BU112"/>
      <c r="BV112"/>
      <c r="BW112"/>
      <c r="BX112"/>
      <c r="BY112"/>
      <c r="BZ112"/>
      <c r="CA112"/>
      <c r="CB112"/>
    </row>
    <row r="113" spans="1:80" ht="11.95" outlineLevel="2" thickBot="1" x14ac:dyDescent="0.3">
      <c r="A113" t="str">
        <f t="shared" si="101"/>
        <v>#showrow</v>
      </c>
      <c r="E113" s="3"/>
      <c r="F113" s="3"/>
      <c r="G113" s="255" t="s">
        <v>161</v>
      </c>
      <c r="H113" s="3"/>
      <c r="I113" s="18"/>
      <c r="J113" s="18"/>
      <c r="K113" s="18"/>
      <c r="L113" s="185"/>
      <c r="M113" s="185"/>
      <c r="N113" s="185"/>
      <c r="O113" s="185">
        <v>7000</v>
      </c>
      <c r="P113" s="185"/>
      <c r="Q113" s="185">
        <v>1200</v>
      </c>
      <c r="R113" s="185"/>
      <c r="S113" s="185"/>
      <c r="T113" s="185"/>
      <c r="U113" s="185"/>
      <c r="V113" s="185"/>
      <c r="W113" s="185"/>
      <c r="X113" s="186">
        <f t="shared" si="102"/>
        <v>8200</v>
      </c>
      <c r="Y113" s="219"/>
      <c r="Z113" s="185"/>
      <c r="AA113" s="185"/>
      <c r="AB113" s="185"/>
      <c r="AC113" s="185"/>
      <c r="AD113" s="185"/>
      <c r="AE113" s="185"/>
      <c r="AF113" s="185"/>
      <c r="AG113" s="185"/>
      <c r="AH113" s="185"/>
      <c r="AI113" s="185"/>
      <c r="AJ113" s="185"/>
      <c r="AK113" s="185"/>
      <c r="AL113" s="186">
        <f t="shared" si="103"/>
        <v>0</v>
      </c>
      <c r="AM113" s="221"/>
      <c r="AN113" s="187"/>
      <c r="AO113" s="187"/>
      <c r="AP113" s="187"/>
      <c r="AQ113" s="187"/>
      <c r="AR113" s="187"/>
      <c r="AS113" s="187"/>
      <c r="AT113" s="187"/>
      <c r="AU113" s="187"/>
      <c r="AV113" s="187"/>
      <c r="AW113" s="187"/>
      <c r="AX113" s="187"/>
      <c r="AY113" s="187"/>
      <c r="AZ113" s="186">
        <f t="shared" si="104"/>
        <v>0</v>
      </c>
      <c r="BA113" s="221"/>
      <c r="BB113" s="187"/>
      <c r="BC113" s="187"/>
      <c r="BD113" s="187"/>
      <c r="BE113" s="187"/>
      <c r="BF113" s="187"/>
      <c r="BG113" s="187"/>
      <c r="BH113" s="187"/>
      <c r="BI113" s="187"/>
      <c r="BJ113" s="187"/>
      <c r="BK113" s="187"/>
      <c r="BL113" s="187"/>
      <c r="BM113" s="187"/>
      <c r="BN113" s="186">
        <f t="shared" si="105"/>
        <v>0</v>
      </c>
      <c r="BP113"/>
      <c r="BQ113"/>
      <c r="BR113"/>
      <c r="BS113"/>
      <c r="BT113"/>
      <c r="BU113"/>
      <c r="BV113"/>
      <c r="BW113"/>
      <c r="BX113"/>
      <c r="BY113"/>
      <c r="BZ113"/>
      <c r="CA113"/>
      <c r="CB113"/>
    </row>
    <row r="114" spans="1:80" ht="11.95" outlineLevel="2" thickBot="1" x14ac:dyDescent="0.3">
      <c r="A114" t="str">
        <f t="shared" si="101"/>
        <v>#showrow</v>
      </c>
      <c r="E114" s="3"/>
      <c r="F114" s="3"/>
      <c r="G114" s="255" t="s">
        <v>162</v>
      </c>
      <c r="H114" s="3"/>
      <c r="I114" s="18"/>
      <c r="J114" s="18"/>
      <c r="K114" s="18"/>
      <c r="L114" s="185">
        <v>6470.55</v>
      </c>
      <c r="M114" s="185">
        <v>5028.8900000000003</v>
      </c>
      <c r="N114" s="185">
        <v>32373.8</v>
      </c>
      <c r="O114" s="185">
        <v>182.82</v>
      </c>
      <c r="P114" s="185">
        <v>8644.43</v>
      </c>
      <c r="Q114" s="185">
        <v>657.17</v>
      </c>
      <c r="R114" s="185">
        <v>3322.73</v>
      </c>
      <c r="S114" s="185">
        <v>4262.93</v>
      </c>
      <c r="T114" s="185">
        <v>6629.97</v>
      </c>
      <c r="U114" s="185">
        <v>1198.31</v>
      </c>
      <c r="V114" s="185">
        <v>16487.330000000002</v>
      </c>
      <c r="W114" s="185">
        <v>8684.9</v>
      </c>
      <c r="X114" s="186">
        <f t="shared" si="102"/>
        <v>93943.829999999987</v>
      </c>
      <c r="Y114" s="219"/>
      <c r="Z114" s="185">
        <v>9901.06</v>
      </c>
      <c r="AA114" s="185">
        <v>8000</v>
      </c>
      <c r="AB114" s="185">
        <v>8000</v>
      </c>
      <c r="AC114" s="185">
        <v>8000</v>
      </c>
      <c r="AD114" s="185">
        <v>8000</v>
      </c>
      <c r="AE114" s="185">
        <v>8000</v>
      </c>
      <c r="AF114" s="185">
        <v>8000</v>
      </c>
      <c r="AG114" s="185">
        <v>8000</v>
      </c>
      <c r="AH114" s="185">
        <v>8000</v>
      </c>
      <c r="AI114" s="185">
        <v>8000</v>
      </c>
      <c r="AJ114" s="185">
        <v>8000</v>
      </c>
      <c r="AK114" s="185">
        <v>8000</v>
      </c>
      <c r="AL114" s="186">
        <f t="shared" si="103"/>
        <v>97901.06</v>
      </c>
      <c r="AM114" s="221"/>
      <c r="AN114" s="187">
        <v>8000</v>
      </c>
      <c r="AO114" s="187">
        <v>8000</v>
      </c>
      <c r="AP114" s="187">
        <v>8000</v>
      </c>
      <c r="AQ114" s="187">
        <v>8000</v>
      </c>
      <c r="AR114" s="187">
        <v>8000</v>
      </c>
      <c r="AS114" s="187">
        <v>8000</v>
      </c>
      <c r="AT114" s="187">
        <v>8000</v>
      </c>
      <c r="AU114" s="187">
        <v>8000</v>
      </c>
      <c r="AV114" s="187">
        <v>8000</v>
      </c>
      <c r="AW114" s="187">
        <v>8000</v>
      </c>
      <c r="AX114" s="187">
        <v>8000</v>
      </c>
      <c r="AY114" s="187">
        <v>8000</v>
      </c>
      <c r="AZ114" s="186">
        <f t="shared" si="104"/>
        <v>96000</v>
      </c>
      <c r="BA114" s="221"/>
      <c r="BB114" s="187">
        <v>8000</v>
      </c>
      <c r="BC114" s="187">
        <v>8000</v>
      </c>
      <c r="BD114" s="187">
        <v>8000</v>
      </c>
      <c r="BE114" s="187">
        <v>8000</v>
      </c>
      <c r="BF114" s="187">
        <v>8000</v>
      </c>
      <c r="BG114" s="187">
        <v>8000</v>
      </c>
      <c r="BH114" s="187">
        <v>8000</v>
      </c>
      <c r="BI114" s="187">
        <v>8000</v>
      </c>
      <c r="BJ114" s="187">
        <v>8000</v>
      </c>
      <c r="BK114" s="187">
        <v>8000</v>
      </c>
      <c r="BL114" s="187">
        <v>8000</v>
      </c>
      <c r="BM114" s="187">
        <v>8000</v>
      </c>
      <c r="BN114" s="186">
        <f t="shared" si="105"/>
        <v>96000</v>
      </c>
      <c r="BP114"/>
      <c r="BQ114"/>
      <c r="BR114"/>
      <c r="BS114"/>
      <c r="BT114"/>
      <c r="BU114"/>
      <c r="BV114"/>
      <c r="BW114"/>
      <c r="BX114"/>
      <c r="BY114"/>
      <c r="BZ114"/>
      <c r="CA114"/>
      <c r="CB114"/>
    </row>
    <row r="115" spans="1:80" ht="11.95" outlineLevel="1" thickBot="1" x14ac:dyDescent="0.3">
      <c r="E115" s="3"/>
      <c r="F115" s="3"/>
      <c r="G115" s="256" t="s">
        <v>112</v>
      </c>
      <c r="H115" s="3"/>
      <c r="I115" s="18"/>
      <c r="J115" s="18"/>
      <c r="K115" s="18"/>
      <c r="L115" s="185">
        <v>0</v>
      </c>
      <c r="M115" s="185">
        <v>0</v>
      </c>
      <c r="N115" s="185">
        <v>3098.5</v>
      </c>
      <c r="O115" s="185">
        <v>-1425.34</v>
      </c>
      <c r="P115" s="185">
        <v>0</v>
      </c>
      <c r="Q115" s="185">
        <v>0</v>
      </c>
      <c r="R115" s="185">
        <v>0</v>
      </c>
      <c r="S115" s="185">
        <v>0</v>
      </c>
      <c r="T115" s="185">
        <v>7106.68</v>
      </c>
      <c r="U115" s="185">
        <v>0</v>
      </c>
      <c r="V115" s="185">
        <v>3513.89</v>
      </c>
      <c r="W115" s="185">
        <v>5006.41</v>
      </c>
      <c r="X115" s="186">
        <f t="shared" si="56"/>
        <v>17300.14</v>
      </c>
      <c r="Y115" s="219"/>
      <c r="Z115" s="185">
        <v>1340.94</v>
      </c>
      <c r="AA115" s="185">
        <v>0</v>
      </c>
      <c r="AB115" s="185">
        <v>0</v>
      </c>
      <c r="AC115" s="185">
        <v>0</v>
      </c>
      <c r="AD115" s="185">
        <v>0</v>
      </c>
      <c r="AE115" s="185">
        <v>0</v>
      </c>
      <c r="AF115" s="185">
        <v>0</v>
      </c>
      <c r="AG115" s="185">
        <v>0</v>
      </c>
      <c r="AH115" s="185">
        <v>0</v>
      </c>
      <c r="AI115" s="185">
        <v>0</v>
      </c>
      <c r="AJ115" s="185">
        <v>0</v>
      </c>
      <c r="AK115" s="185">
        <v>0</v>
      </c>
      <c r="AL115" s="186">
        <f t="shared" si="57"/>
        <v>1340.94</v>
      </c>
      <c r="AM115" s="221"/>
      <c r="AN115" s="187">
        <v>0</v>
      </c>
      <c r="AO115" s="187">
        <v>0</v>
      </c>
      <c r="AP115" s="187">
        <v>0</v>
      </c>
      <c r="AQ115" s="187">
        <v>0</v>
      </c>
      <c r="AR115" s="187">
        <v>0</v>
      </c>
      <c r="AS115" s="187">
        <v>0</v>
      </c>
      <c r="AT115" s="187">
        <v>0</v>
      </c>
      <c r="AU115" s="187">
        <v>0</v>
      </c>
      <c r="AV115" s="187">
        <v>0</v>
      </c>
      <c r="AW115" s="187">
        <v>0</v>
      </c>
      <c r="AX115" s="187">
        <v>0</v>
      </c>
      <c r="AY115" s="187">
        <v>0</v>
      </c>
      <c r="AZ115" s="186">
        <f t="shared" si="58"/>
        <v>0</v>
      </c>
      <c r="BA115" s="221"/>
      <c r="BB115" s="187">
        <v>0</v>
      </c>
      <c r="BC115" s="187">
        <v>0</v>
      </c>
      <c r="BD115" s="187">
        <v>0</v>
      </c>
      <c r="BE115" s="187">
        <v>0</v>
      </c>
      <c r="BF115" s="187">
        <v>0</v>
      </c>
      <c r="BG115" s="187">
        <v>0</v>
      </c>
      <c r="BH115" s="187">
        <v>0</v>
      </c>
      <c r="BI115" s="187">
        <v>0</v>
      </c>
      <c r="BJ115" s="187">
        <v>0</v>
      </c>
      <c r="BK115" s="187">
        <v>0</v>
      </c>
      <c r="BL115" s="187">
        <v>0</v>
      </c>
      <c r="BM115" s="187">
        <v>0</v>
      </c>
      <c r="BN115" s="186">
        <f t="shared" si="59"/>
        <v>0</v>
      </c>
      <c r="BP115"/>
      <c r="BQ115"/>
      <c r="BR115"/>
      <c r="BS115"/>
      <c r="BT115"/>
      <c r="BU115"/>
      <c r="BV115"/>
      <c r="BW115"/>
      <c r="BX115"/>
      <c r="BY115"/>
      <c r="BZ115"/>
      <c r="CA115"/>
      <c r="CB115"/>
    </row>
    <row r="116" spans="1:80" ht="11.95" hidden="1" outlineLevel="2" thickBot="1" x14ac:dyDescent="0.3">
      <c r="A116" t="str">
        <f t="shared" ref="A116" si="106">IF(LEFT(G116,3)="Mul", "#hiderow", "#showrow")</f>
        <v>#hiderow</v>
      </c>
      <c r="E116" s="3"/>
      <c r="F116" s="3"/>
      <c r="G116" s="255" t="s">
        <v>6</v>
      </c>
      <c r="H116" s="3"/>
      <c r="I116" s="18"/>
      <c r="J116" s="18"/>
      <c r="K116" s="18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6">
        <f t="shared" si="56"/>
        <v>0</v>
      </c>
      <c r="Y116" s="219"/>
      <c r="Z116" s="185"/>
      <c r="AA116" s="185"/>
      <c r="AB116" s="185"/>
      <c r="AC116" s="185"/>
      <c r="AD116" s="185"/>
      <c r="AE116" s="185"/>
      <c r="AF116" s="185"/>
      <c r="AG116" s="185"/>
      <c r="AH116" s="185"/>
      <c r="AI116" s="185"/>
      <c r="AJ116" s="185"/>
      <c r="AK116" s="185"/>
      <c r="AL116" s="186">
        <f t="shared" si="57"/>
        <v>0</v>
      </c>
      <c r="AM116" s="221"/>
      <c r="AN116" s="187"/>
      <c r="AO116" s="187"/>
      <c r="AP116" s="187"/>
      <c r="AQ116" s="187"/>
      <c r="AR116" s="187"/>
      <c r="AS116" s="187"/>
      <c r="AT116" s="187"/>
      <c r="AU116" s="187"/>
      <c r="AV116" s="187"/>
      <c r="AW116" s="187"/>
      <c r="AX116" s="187"/>
      <c r="AY116" s="187"/>
      <c r="AZ116" s="186">
        <f t="shared" si="58"/>
        <v>0</v>
      </c>
      <c r="BA116" s="221"/>
      <c r="BB116" s="187"/>
      <c r="BC116" s="187"/>
      <c r="BD116" s="187"/>
      <c r="BE116" s="187"/>
      <c r="BF116" s="187"/>
      <c r="BG116" s="187"/>
      <c r="BH116" s="187"/>
      <c r="BI116" s="187"/>
      <c r="BJ116" s="187"/>
      <c r="BK116" s="187"/>
      <c r="BL116" s="187"/>
      <c r="BM116" s="187"/>
      <c r="BN116" s="186">
        <f t="shared" si="59"/>
        <v>0</v>
      </c>
      <c r="BP116"/>
      <c r="BQ116"/>
      <c r="BR116"/>
      <c r="BS116"/>
      <c r="BT116"/>
      <c r="BU116"/>
      <c r="BV116"/>
      <c r="BW116"/>
      <c r="BX116"/>
      <c r="BY116"/>
      <c r="BZ116"/>
      <c r="CA116"/>
      <c r="CB116"/>
    </row>
    <row r="117" spans="1:80" ht="11.95" outlineLevel="2" thickBot="1" x14ac:dyDescent="0.3">
      <c r="A117" t="str">
        <f t="shared" ref="A117:A119" si="107">IF(LEFT(G117,3)="Mul", "#hiderow", "#showrow")</f>
        <v>#showrow</v>
      </c>
      <c r="E117" s="3"/>
      <c r="F117" s="3"/>
      <c r="G117" s="255" t="s">
        <v>477</v>
      </c>
      <c r="H117" s="3"/>
      <c r="I117" s="18"/>
      <c r="J117" s="18"/>
      <c r="K117" s="18"/>
      <c r="L117" s="185"/>
      <c r="M117" s="185"/>
      <c r="N117" s="185">
        <v>3098.5</v>
      </c>
      <c r="O117" s="185"/>
      <c r="P117" s="185"/>
      <c r="Q117" s="185"/>
      <c r="R117" s="185"/>
      <c r="S117" s="185"/>
      <c r="T117" s="185">
        <v>-13250.94</v>
      </c>
      <c r="U117" s="185"/>
      <c r="V117" s="185"/>
      <c r="W117" s="185"/>
      <c r="X117" s="186">
        <f t="shared" ref="X117:X119" si="108">SUM(L117:W117)</f>
        <v>-10152.44</v>
      </c>
      <c r="Y117" s="219"/>
      <c r="Z117" s="185"/>
      <c r="AA117" s="185"/>
      <c r="AB117" s="185"/>
      <c r="AC117" s="185"/>
      <c r="AD117" s="185"/>
      <c r="AE117" s="185"/>
      <c r="AF117" s="185"/>
      <c r="AG117" s="185"/>
      <c r="AH117" s="185"/>
      <c r="AI117" s="185"/>
      <c r="AJ117" s="185"/>
      <c r="AK117" s="185"/>
      <c r="AL117" s="186">
        <f t="shared" ref="AL117:AL119" si="109">SUM(Z117:AK117)</f>
        <v>0</v>
      </c>
      <c r="AM117" s="221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6">
        <f t="shared" ref="AZ117:AZ119" si="110">SUM(AN117:AY117)</f>
        <v>0</v>
      </c>
      <c r="BA117" s="221"/>
      <c r="BB117" s="187"/>
      <c r="BC117" s="187"/>
      <c r="BD117" s="187"/>
      <c r="BE117" s="187"/>
      <c r="BF117" s="187"/>
      <c r="BG117" s="187"/>
      <c r="BH117" s="187"/>
      <c r="BI117" s="187"/>
      <c r="BJ117" s="187"/>
      <c r="BK117" s="187"/>
      <c r="BL117" s="187"/>
      <c r="BM117" s="187"/>
      <c r="BN117" s="186">
        <f t="shared" ref="BN117:BN119" si="111">SUM(BB117:BM117)</f>
        <v>0</v>
      </c>
      <c r="BP117"/>
      <c r="BQ117"/>
      <c r="BR117"/>
      <c r="BS117"/>
      <c r="BT117"/>
      <c r="BU117"/>
      <c r="BV117"/>
      <c r="BW117"/>
      <c r="BX117"/>
      <c r="BY117"/>
      <c r="BZ117"/>
      <c r="CA117"/>
      <c r="CB117"/>
    </row>
    <row r="118" spans="1:80" ht="11.95" outlineLevel="2" thickBot="1" x14ac:dyDescent="0.3">
      <c r="A118" t="str">
        <f t="shared" si="107"/>
        <v>#showrow</v>
      </c>
      <c r="E118" s="3"/>
      <c r="F118" s="3"/>
      <c r="G118" s="255" t="s">
        <v>141</v>
      </c>
      <c r="H118" s="3"/>
      <c r="I118" s="18"/>
      <c r="J118" s="18"/>
      <c r="K118" s="18"/>
      <c r="L118" s="185"/>
      <c r="M118" s="185"/>
      <c r="N118" s="185"/>
      <c r="O118" s="185"/>
      <c r="P118" s="185"/>
      <c r="Q118" s="185"/>
      <c r="R118" s="185"/>
      <c r="S118" s="185"/>
      <c r="T118" s="185">
        <v>20357.62</v>
      </c>
      <c r="U118" s="185"/>
      <c r="V118" s="185">
        <v>3513.89</v>
      </c>
      <c r="W118" s="185">
        <v>5006.41</v>
      </c>
      <c r="X118" s="186">
        <f t="shared" si="108"/>
        <v>28877.919999999998</v>
      </c>
      <c r="Y118" s="219"/>
      <c r="Z118" s="185">
        <v>1340.94</v>
      </c>
      <c r="AA118" s="185"/>
      <c r="AB118" s="185"/>
      <c r="AC118" s="185"/>
      <c r="AD118" s="185"/>
      <c r="AE118" s="185"/>
      <c r="AF118" s="185"/>
      <c r="AG118" s="185"/>
      <c r="AH118" s="185"/>
      <c r="AI118" s="185"/>
      <c r="AJ118" s="185"/>
      <c r="AK118" s="185"/>
      <c r="AL118" s="186">
        <f t="shared" si="109"/>
        <v>1340.94</v>
      </c>
      <c r="AM118" s="221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186">
        <f t="shared" si="110"/>
        <v>0</v>
      </c>
      <c r="BA118" s="221"/>
      <c r="BB118" s="187"/>
      <c r="BC118" s="187"/>
      <c r="BD118" s="187"/>
      <c r="BE118" s="187"/>
      <c r="BF118" s="187"/>
      <c r="BG118" s="187"/>
      <c r="BH118" s="187"/>
      <c r="BI118" s="187"/>
      <c r="BJ118" s="187"/>
      <c r="BK118" s="187"/>
      <c r="BL118" s="187"/>
      <c r="BM118" s="187"/>
      <c r="BN118" s="186">
        <f t="shared" si="111"/>
        <v>0</v>
      </c>
      <c r="BP118"/>
      <c r="BQ118"/>
      <c r="BR118"/>
      <c r="BS118"/>
      <c r="BT118"/>
      <c r="BU118"/>
      <c r="BV118"/>
      <c r="BW118"/>
      <c r="BX118"/>
      <c r="BY118"/>
      <c r="BZ118"/>
      <c r="CA118"/>
      <c r="CB118"/>
    </row>
    <row r="119" spans="1:80" ht="11.95" outlineLevel="2" thickBot="1" x14ac:dyDescent="0.3">
      <c r="A119" t="str">
        <f t="shared" si="107"/>
        <v>#showrow</v>
      </c>
      <c r="E119" s="3"/>
      <c r="F119" s="3"/>
      <c r="G119" s="255" t="s">
        <v>478</v>
      </c>
      <c r="H119" s="3"/>
      <c r="I119" s="18"/>
      <c r="J119" s="18"/>
      <c r="K119" s="18"/>
      <c r="L119" s="185"/>
      <c r="M119" s="185"/>
      <c r="N119" s="185"/>
      <c r="O119" s="185">
        <v>-1425.34</v>
      </c>
      <c r="P119" s="185"/>
      <c r="Q119" s="185"/>
      <c r="R119" s="185"/>
      <c r="S119" s="185"/>
      <c r="T119" s="185"/>
      <c r="U119" s="185"/>
      <c r="V119" s="185"/>
      <c r="W119" s="185"/>
      <c r="X119" s="186">
        <f t="shared" si="108"/>
        <v>-1425.34</v>
      </c>
      <c r="Y119" s="219"/>
      <c r="Z119" s="185"/>
      <c r="AA119" s="185"/>
      <c r="AB119" s="185"/>
      <c r="AC119" s="185"/>
      <c r="AD119" s="185"/>
      <c r="AE119" s="185"/>
      <c r="AF119" s="185"/>
      <c r="AG119" s="185"/>
      <c r="AH119" s="185"/>
      <c r="AI119" s="185"/>
      <c r="AJ119" s="185"/>
      <c r="AK119" s="185"/>
      <c r="AL119" s="186">
        <f t="shared" si="109"/>
        <v>0</v>
      </c>
      <c r="AM119" s="221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6">
        <f t="shared" si="110"/>
        <v>0</v>
      </c>
      <c r="BA119" s="221"/>
      <c r="BB119" s="187"/>
      <c r="BC119" s="187"/>
      <c r="BD119" s="187"/>
      <c r="BE119" s="187"/>
      <c r="BF119" s="187"/>
      <c r="BG119" s="187"/>
      <c r="BH119" s="187"/>
      <c r="BI119" s="187"/>
      <c r="BJ119" s="187"/>
      <c r="BK119" s="187"/>
      <c r="BL119" s="187"/>
      <c r="BM119" s="187"/>
      <c r="BN119" s="186">
        <f t="shared" si="111"/>
        <v>0</v>
      </c>
      <c r="BP119"/>
      <c r="BQ119"/>
      <c r="BR119"/>
      <c r="BS119"/>
      <c r="BT119"/>
      <c r="BU119"/>
      <c r="BV119"/>
      <c r="BW119"/>
      <c r="BX119"/>
      <c r="BY119"/>
      <c r="BZ119"/>
      <c r="CA119"/>
      <c r="CB119"/>
    </row>
    <row r="120" spans="1:80" ht="11.95" outlineLevel="1" thickBot="1" x14ac:dyDescent="0.3">
      <c r="E120" s="3"/>
      <c r="F120" s="3"/>
      <c r="G120" s="256" t="s">
        <v>113</v>
      </c>
      <c r="H120" s="3"/>
      <c r="I120" s="18"/>
      <c r="J120" s="18"/>
      <c r="K120" s="18"/>
      <c r="L120" s="185">
        <v>0</v>
      </c>
      <c r="M120" s="185">
        <v>0</v>
      </c>
      <c r="N120" s="185">
        <v>49.75</v>
      </c>
      <c r="O120" s="185">
        <v>656.25</v>
      </c>
      <c r="P120" s="185">
        <v>6025</v>
      </c>
      <c r="Q120" s="185">
        <v>0</v>
      </c>
      <c r="R120" s="185">
        <v>0</v>
      </c>
      <c r="S120" s="185">
        <v>8673.26</v>
      </c>
      <c r="T120" s="185">
        <v>18090</v>
      </c>
      <c r="U120" s="185">
        <v>0</v>
      </c>
      <c r="V120" s="185">
        <v>0</v>
      </c>
      <c r="W120" s="185">
        <v>0</v>
      </c>
      <c r="X120" s="186">
        <f t="shared" si="56"/>
        <v>33494.26</v>
      </c>
      <c r="Y120" s="219"/>
      <c r="Z120" s="185">
        <v>3189.06</v>
      </c>
      <c r="AA120" s="185">
        <v>0</v>
      </c>
      <c r="AB120" s="185">
        <v>0</v>
      </c>
      <c r="AC120" s="185">
        <v>0</v>
      </c>
      <c r="AD120" s="185">
        <v>0</v>
      </c>
      <c r="AE120" s="185">
        <v>0</v>
      </c>
      <c r="AF120" s="185">
        <v>0</v>
      </c>
      <c r="AG120" s="185">
        <v>0</v>
      </c>
      <c r="AH120" s="185">
        <v>0</v>
      </c>
      <c r="AI120" s="185">
        <v>0</v>
      </c>
      <c r="AJ120" s="185">
        <v>0</v>
      </c>
      <c r="AK120" s="185">
        <v>0</v>
      </c>
      <c r="AL120" s="186">
        <f t="shared" si="57"/>
        <v>3189.06</v>
      </c>
      <c r="AM120" s="221"/>
      <c r="AN120" s="187">
        <v>0</v>
      </c>
      <c r="AO120" s="187">
        <v>0</v>
      </c>
      <c r="AP120" s="187">
        <v>0</v>
      </c>
      <c r="AQ120" s="187">
        <v>0</v>
      </c>
      <c r="AR120" s="187">
        <v>0</v>
      </c>
      <c r="AS120" s="187">
        <v>0</v>
      </c>
      <c r="AT120" s="187">
        <v>0</v>
      </c>
      <c r="AU120" s="187">
        <v>0</v>
      </c>
      <c r="AV120" s="187">
        <v>0</v>
      </c>
      <c r="AW120" s="187">
        <v>0</v>
      </c>
      <c r="AX120" s="187">
        <v>0</v>
      </c>
      <c r="AY120" s="187">
        <v>0</v>
      </c>
      <c r="AZ120" s="186">
        <f t="shared" si="58"/>
        <v>0</v>
      </c>
      <c r="BA120" s="221"/>
      <c r="BB120" s="187">
        <v>0</v>
      </c>
      <c r="BC120" s="187">
        <v>0</v>
      </c>
      <c r="BD120" s="187">
        <v>0</v>
      </c>
      <c r="BE120" s="187">
        <v>0</v>
      </c>
      <c r="BF120" s="187">
        <v>0</v>
      </c>
      <c r="BG120" s="187">
        <v>0</v>
      </c>
      <c r="BH120" s="187">
        <v>0</v>
      </c>
      <c r="BI120" s="187">
        <v>0</v>
      </c>
      <c r="BJ120" s="187">
        <v>0</v>
      </c>
      <c r="BK120" s="187">
        <v>0</v>
      </c>
      <c r="BL120" s="187">
        <v>0</v>
      </c>
      <c r="BM120" s="187">
        <v>0</v>
      </c>
      <c r="BN120" s="186">
        <f t="shared" si="59"/>
        <v>0</v>
      </c>
      <c r="BP120"/>
      <c r="BQ120"/>
      <c r="BR120"/>
      <c r="BS120"/>
      <c r="BT120"/>
      <c r="BU120"/>
      <c r="BV120"/>
      <c r="BW120"/>
      <c r="BX120"/>
      <c r="BY120"/>
      <c r="BZ120"/>
      <c r="CA120"/>
      <c r="CB120"/>
    </row>
    <row r="121" spans="1:80" ht="11.95" hidden="1" outlineLevel="2" thickBot="1" x14ac:dyDescent="0.3">
      <c r="A121" t="str">
        <f t="shared" ref="A121" si="112">IF(LEFT(G121,3)="Mul", "#hiderow", "#showrow")</f>
        <v>#hiderow</v>
      </c>
      <c r="E121" s="3"/>
      <c r="F121" s="3"/>
      <c r="G121" s="255" t="s">
        <v>6</v>
      </c>
      <c r="H121" s="3"/>
      <c r="I121" s="18"/>
      <c r="J121" s="18"/>
      <c r="K121" s="18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6">
        <f t="shared" si="56"/>
        <v>0</v>
      </c>
      <c r="Y121" s="219"/>
      <c r="Z121" s="185"/>
      <c r="AA121" s="185"/>
      <c r="AB121" s="185"/>
      <c r="AC121" s="185"/>
      <c r="AD121" s="185"/>
      <c r="AE121" s="185"/>
      <c r="AF121" s="185"/>
      <c r="AG121" s="185"/>
      <c r="AH121" s="185"/>
      <c r="AI121" s="185"/>
      <c r="AJ121" s="185"/>
      <c r="AK121" s="185"/>
      <c r="AL121" s="186">
        <f t="shared" si="57"/>
        <v>0</v>
      </c>
      <c r="AM121" s="221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186">
        <f t="shared" si="58"/>
        <v>0</v>
      </c>
      <c r="BA121" s="221"/>
      <c r="BB121" s="187"/>
      <c r="BC121" s="187"/>
      <c r="BD121" s="187"/>
      <c r="BE121" s="187"/>
      <c r="BF121" s="187"/>
      <c r="BG121" s="187"/>
      <c r="BH121" s="187"/>
      <c r="BI121" s="187"/>
      <c r="BJ121" s="187"/>
      <c r="BK121" s="187"/>
      <c r="BL121" s="187"/>
      <c r="BM121" s="187"/>
      <c r="BN121" s="186">
        <f t="shared" si="59"/>
        <v>0</v>
      </c>
      <c r="BP121"/>
      <c r="BQ121"/>
      <c r="BR121"/>
      <c r="BS121"/>
      <c r="BT121"/>
      <c r="BU121"/>
      <c r="BV121"/>
      <c r="BW121"/>
      <c r="BX121"/>
      <c r="BY121"/>
      <c r="BZ121"/>
      <c r="CA121"/>
      <c r="CB121"/>
    </row>
    <row r="122" spans="1:80" ht="11.95" outlineLevel="2" thickBot="1" x14ac:dyDescent="0.3">
      <c r="A122" t="str">
        <f t="shared" ref="A122" si="113">IF(LEFT(G122,3)="Mul", "#hiderow", "#showrow")</f>
        <v>#showrow</v>
      </c>
      <c r="E122" s="3"/>
      <c r="F122" s="3"/>
      <c r="G122" s="255" t="s">
        <v>180</v>
      </c>
      <c r="H122" s="3"/>
      <c r="I122" s="18"/>
      <c r="J122" s="18"/>
      <c r="K122" s="18"/>
      <c r="L122" s="185"/>
      <c r="M122" s="185"/>
      <c r="N122" s="185">
        <v>49.75</v>
      </c>
      <c r="O122" s="185">
        <v>656.25</v>
      </c>
      <c r="P122" s="185">
        <v>6025</v>
      </c>
      <c r="Q122" s="185"/>
      <c r="R122" s="185"/>
      <c r="S122" s="185">
        <v>8673.26</v>
      </c>
      <c r="T122" s="185">
        <v>18090</v>
      </c>
      <c r="U122" s="185"/>
      <c r="V122" s="185"/>
      <c r="W122" s="185"/>
      <c r="X122" s="186">
        <f t="shared" ref="X122" si="114">SUM(L122:W122)</f>
        <v>33494.26</v>
      </c>
      <c r="Y122" s="219"/>
      <c r="Z122" s="185">
        <v>3189.06</v>
      </c>
      <c r="AA122" s="185"/>
      <c r="AB122" s="185"/>
      <c r="AC122" s="185"/>
      <c r="AD122" s="185"/>
      <c r="AE122" s="185"/>
      <c r="AF122" s="185"/>
      <c r="AG122" s="185"/>
      <c r="AH122" s="185"/>
      <c r="AI122" s="185"/>
      <c r="AJ122" s="185"/>
      <c r="AK122" s="185"/>
      <c r="AL122" s="186">
        <f t="shared" ref="AL122" si="115">SUM(Z122:AK122)</f>
        <v>3189.06</v>
      </c>
      <c r="AM122" s="221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6">
        <f t="shared" ref="AZ122" si="116">SUM(AN122:AY122)</f>
        <v>0</v>
      </c>
      <c r="BA122" s="221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87"/>
      <c r="BN122" s="186">
        <f t="shared" ref="BN122" si="117">SUM(BB122:BM122)</f>
        <v>0</v>
      </c>
      <c r="BP122"/>
      <c r="BQ122"/>
      <c r="BR122"/>
      <c r="BS122"/>
      <c r="BT122"/>
      <c r="BU122"/>
      <c r="BV122"/>
      <c r="BW122"/>
      <c r="BX122"/>
      <c r="BY122"/>
      <c r="BZ122"/>
      <c r="CA122"/>
      <c r="CB122"/>
    </row>
    <row r="123" spans="1:80" ht="11.95" outlineLevel="1" collapsed="1" thickBot="1" x14ac:dyDescent="0.3">
      <c r="E123" s="3"/>
      <c r="F123" s="3"/>
      <c r="G123" s="256" t="s">
        <v>114</v>
      </c>
      <c r="H123" s="3"/>
      <c r="I123" s="18"/>
      <c r="J123" s="18"/>
      <c r="K123" s="18"/>
      <c r="L123" s="185">
        <v>0</v>
      </c>
      <c r="M123" s="185">
        <v>0</v>
      </c>
      <c r="N123" s="185">
        <v>0</v>
      </c>
      <c r="O123" s="185">
        <v>0</v>
      </c>
      <c r="P123" s="185">
        <v>0</v>
      </c>
      <c r="Q123" s="185">
        <v>0</v>
      </c>
      <c r="R123" s="185">
        <v>0</v>
      </c>
      <c r="S123" s="185">
        <v>0</v>
      </c>
      <c r="T123" s="185">
        <v>0</v>
      </c>
      <c r="U123" s="185">
        <v>0</v>
      </c>
      <c r="V123" s="185">
        <v>0</v>
      </c>
      <c r="W123" s="185">
        <v>0</v>
      </c>
      <c r="X123" s="186">
        <f t="shared" si="56"/>
        <v>0</v>
      </c>
      <c r="Y123" s="219"/>
      <c r="Z123" s="185">
        <v>0</v>
      </c>
      <c r="AA123" s="185">
        <v>0</v>
      </c>
      <c r="AB123" s="185">
        <v>0</v>
      </c>
      <c r="AC123" s="185">
        <v>0</v>
      </c>
      <c r="AD123" s="185">
        <v>0</v>
      </c>
      <c r="AE123" s="185">
        <v>0</v>
      </c>
      <c r="AF123" s="185">
        <v>0</v>
      </c>
      <c r="AG123" s="185">
        <v>0</v>
      </c>
      <c r="AH123" s="185">
        <v>0</v>
      </c>
      <c r="AI123" s="185">
        <v>0</v>
      </c>
      <c r="AJ123" s="185">
        <v>0</v>
      </c>
      <c r="AK123" s="185">
        <v>0</v>
      </c>
      <c r="AL123" s="186">
        <f t="shared" si="57"/>
        <v>0</v>
      </c>
      <c r="AM123" s="221"/>
      <c r="AN123" s="187">
        <v>0</v>
      </c>
      <c r="AO123" s="187">
        <v>0</v>
      </c>
      <c r="AP123" s="187">
        <v>0</v>
      </c>
      <c r="AQ123" s="187">
        <v>0</v>
      </c>
      <c r="AR123" s="187">
        <v>0</v>
      </c>
      <c r="AS123" s="187">
        <v>0</v>
      </c>
      <c r="AT123" s="187">
        <v>0</v>
      </c>
      <c r="AU123" s="187">
        <v>0</v>
      </c>
      <c r="AV123" s="187">
        <v>0</v>
      </c>
      <c r="AW123" s="187">
        <v>0</v>
      </c>
      <c r="AX123" s="187">
        <v>0</v>
      </c>
      <c r="AY123" s="187">
        <v>0</v>
      </c>
      <c r="AZ123" s="186">
        <f t="shared" si="58"/>
        <v>0</v>
      </c>
      <c r="BA123" s="221"/>
      <c r="BB123" s="187">
        <v>0</v>
      </c>
      <c r="BC123" s="187">
        <v>0</v>
      </c>
      <c r="BD123" s="187">
        <v>0</v>
      </c>
      <c r="BE123" s="187">
        <v>0</v>
      </c>
      <c r="BF123" s="187">
        <v>0</v>
      </c>
      <c r="BG123" s="187">
        <v>0</v>
      </c>
      <c r="BH123" s="187">
        <v>0</v>
      </c>
      <c r="BI123" s="187">
        <v>0</v>
      </c>
      <c r="BJ123" s="187">
        <v>0</v>
      </c>
      <c r="BK123" s="187">
        <v>0</v>
      </c>
      <c r="BL123" s="187">
        <v>0</v>
      </c>
      <c r="BM123" s="187">
        <v>0</v>
      </c>
      <c r="BN123" s="186">
        <f t="shared" si="59"/>
        <v>0</v>
      </c>
      <c r="BP123"/>
      <c r="BQ123"/>
      <c r="BR123"/>
      <c r="BS123"/>
      <c r="BT123"/>
      <c r="BU123"/>
      <c r="BV123"/>
      <c r="BW123"/>
      <c r="BX123"/>
      <c r="BY123"/>
      <c r="BZ123"/>
      <c r="CA123"/>
      <c r="CB123"/>
    </row>
    <row r="124" spans="1:80" ht="11.95" hidden="1" outlineLevel="2" thickBot="1" x14ac:dyDescent="0.3">
      <c r="A124" t="str">
        <f t="shared" ref="A124" si="118">IF(LEFT(G124,3)="Mul", "#hiderow", "#showrow")</f>
        <v>#hiderow</v>
      </c>
      <c r="E124" s="3"/>
      <c r="F124" s="3"/>
      <c r="G124" s="255" t="s">
        <v>6</v>
      </c>
      <c r="H124" s="3"/>
      <c r="I124" s="18"/>
      <c r="J124" s="18"/>
      <c r="K124" s="18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6">
        <f t="shared" si="56"/>
        <v>0</v>
      </c>
      <c r="Y124" s="219"/>
      <c r="Z124" s="185"/>
      <c r="AA124" s="185"/>
      <c r="AB124" s="185"/>
      <c r="AC124" s="185"/>
      <c r="AD124" s="185"/>
      <c r="AE124" s="185"/>
      <c r="AF124" s="185"/>
      <c r="AG124" s="185"/>
      <c r="AH124" s="185"/>
      <c r="AI124" s="185"/>
      <c r="AJ124" s="185"/>
      <c r="AK124" s="185"/>
      <c r="AL124" s="186">
        <f t="shared" si="57"/>
        <v>0</v>
      </c>
      <c r="AM124" s="221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6">
        <f t="shared" si="58"/>
        <v>0</v>
      </c>
      <c r="BA124" s="221"/>
      <c r="BB124" s="187"/>
      <c r="BC124" s="187"/>
      <c r="BD124" s="187"/>
      <c r="BE124" s="187"/>
      <c r="BF124" s="187"/>
      <c r="BG124" s="187"/>
      <c r="BH124" s="187"/>
      <c r="BI124" s="187"/>
      <c r="BJ124" s="187"/>
      <c r="BK124" s="187"/>
      <c r="BL124" s="187"/>
      <c r="BM124" s="187"/>
      <c r="BN124" s="186">
        <f t="shared" si="59"/>
        <v>0</v>
      </c>
      <c r="BP124"/>
      <c r="BQ124"/>
      <c r="BR124"/>
      <c r="BS124"/>
      <c r="BT124"/>
      <c r="BU124"/>
      <c r="BV124"/>
      <c r="BW124"/>
      <c r="BX124"/>
      <c r="BY124"/>
      <c r="BZ124"/>
      <c r="CA124"/>
      <c r="CB124"/>
    </row>
    <row r="125" spans="1:80" ht="11.95" x14ac:dyDescent="0.25">
      <c r="C125" s="19" t="str">
        <f>"Total "&amp;C54</f>
        <v>Total Operating Expenses</v>
      </c>
      <c r="D125" s="19"/>
      <c r="E125" s="19"/>
      <c r="F125" s="19"/>
      <c r="G125" s="19"/>
      <c r="H125" s="188"/>
      <c r="I125" s="188"/>
      <c r="J125" s="188"/>
      <c r="K125" s="188">
        <v>-1</v>
      </c>
      <c r="L125" s="188">
        <f t="shared" ref="L125:X125" si="119">SUMIF($G$5:$G$1080,"Operating Expenses",L5:L1080)</f>
        <v>-8173.07</v>
      </c>
      <c r="M125" s="188">
        <f t="shared" si="119"/>
        <v>-5002.57</v>
      </c>
      <c r="N125" s="188">
        <f t="shared" si="119"/>
        <v>13175.64</v>
      </c>
      <c r="O125" s="188">
        <f t="shared" si="119"/>
        <v>0</v>
      </c>
      <c r="P125" s="188">
        <f t="shared" si="119"/>
        <v>147.69999999999999</v>
      </c>
      <c r="Q125" s="188">
        <f t="shared" si="119"/>
        <v>0</v>
      </c>
      <c r="R125" s="188">
        <f t="shared" si="119"/>
        <v>0</v>
      </c>
      <c r="S125" s="188">
        <f t="shared" si="119"/>
        <v>0</v>
      </c>
      <c r="T125" s="188">
        <f t="shared" si="119"/>
        <v>0</v>
      </c>
      <c r="U125" s="188">
        <f t="shared" si="119"/>
        <v>0</v>
      </c>
      <c r="V125" s="188">
        <f t="shared" si="119"/>
        <v>0</v>
      </c>
      <c r="W125" s="188">
        <f t="shared" si="119"/>
        <v>-147.69999999999999</v>
      </c>
      <c r="X125" s="189">
        <f t="shared" si="119"/>
        <v>0</v>
      </c>
      <c r="Z125" s="188">
        <f t="shared" ref="Z125:AL125" si="120">SUMIF($G$5:$G$1080,"Operating Expenses",Z5:Z1080)</f>
        <v>0</v>
      </c>
      <c r="AA125" s="188">
        <f t="shared" si="120"/>
        <v>1.5E-10</v>
      </c>
      <c r="AB125" s="188">
        <f t="shared" si="120"/>
        <v>5.4999999999999996E-10</v>
      </c>
      <c r="AC125" s="188">
        <f t="shared" si="120"/>
        <v>1.5E-10</v>
      </c>
      <c r="AD125" s="188">
        <f t="shared" si="120"/>
        <v>1.5E-10</v>
      </c>
      <c r="AE125" s="188">
        <f t="shared" si="120"/>
        <v>5.4999999999999996E-10</v>
      </c>
      <c r="AF125" s="188">
        <f t="shared" si="120"/>
        <v>-7.7000000000000003E-10</v>
      </c>
      <c r="AG125" s="188">
        <f t="shared" si="120"/>
        <v>-7.7000000000000003E-10</v>
      </c>
      <c r="AH125" s="188">
        <f t="shared" si="120"/>
        <v>3.3E-10</v>
      </c>
      <c r="AI125" s="188">
        <f t="shared" si="120"/>
        <v>-7.7000000000000003E-10</v>
      </c>
      <c r="AJ125" s="188">
        <f t="shared" si="120"/>
        <v>-7.7000000000000003E-10</v>
      </c>
      <c r="AK125" s="188">
        <f t="shared" si="120"/>
        <v>3E-10</v>
      </c>
      <c r="AL125" s="189">
        <f t="shared" si="120"/>
        <v>-9.0000000000000041E-10</v>
      </c>
      <c r="AN125" s="188">
        <f t="shared" ref="AN125:AZ125" si="121">SUMIF($G$5:$G$1080,"Operating Expenses",AN5:AN1080)</f>
        <v>1.5E-10</v>
      </c>
      <c r="AO125" s="188">
        <f t="shared" si="121"/>
        <v>1.5E-10</v>
      </c>
      <c r="AP125" s="188">
        <f t="shared" si="121"/>
        <v>5.4999999999999996E-10</v>
      </c>
      <c r="AQ125" s="188">
        <f t="shared" si="121"/>
        <v>1.5E-10</v>
      </c>
      <c r="AR125" s="188">
        <f t="shared" si="121"/>
        <v>1.5E-10</v>
      </c>
      <c r="AS125" s="188">
        <f t="shared" si="121"/>
        <v>5.4999999999999996E-10</v>
      </c>
      <c r="AT125" s="188">
        <f t="shared" si="121"/>
        <v>-7.7000000000000003E-10</v>
      </c>
      <c r="AU125" s="188">
        <f t="shared" si="121"/>
        <v>-7.7000000000000003E-10</v>
      </c>
      <c r="AV125" s="188">
        <f t="shared" si="121"/>
        <v>3.3E-10</v>
      </c>
      <c r="AW125" s="188">
        <f t="shared" si="121"/>
        <v>-7.7000000000000003E-10</v>
      </c>
      <c r="AX125" s="188">
        <f t="shared" si="121"/>
        <v>-7.7000000000000003E-10</v>
      </c>
      <c r="AY125" s="188">
        <f t="shared" si="121"/>
        <v>3E-10</v>
      </c>
      <c r="AZ125" s="189">
        <f t="shared" si="121"/>
        <v>-7.5000000000000031E-10</v>
      </c>
      <c r="BB125" s="188">
        <f t="shared" ref="BB125:BN125" si="122">SUMIF($G$5:$G$1080,"Operating Expenses",BB5:BB1080)</f>
        <v>1.5E-10</v>
      </c>
      <c r="BC125" s="188">
        <f t="shared" si="122"/>
        <v>1.5E-10</v>
      </c>
      <c r="BD125" s="188">
        <f t="shared" si="122"/>
        <v>5.4999999999999996E-10</v>
      </c>
      <c r="BE125" s="188">
        <f t="shared" si="122"/>
        <v>1.5E-10</v>
      </c>
      <c r="BF125" s="188">
        <f t="shared" si="122"/>
        <v>1.5E-10</v>
      </c>
      <c r="BG125" s="188">
        <f t="shared" si="122"/>
        <v>5.4999999999999996E-10</v>
      </c>
      <c r="BH125" s="188">
        <f t="shared" si="122"/>
        <v>-7.7000000000000003E-10</v>
      </c>
      <c r="BI125" s="188">
        <f t="shared" si="122"/>
        <v>-7.7000000000000003E-10</v>
      </c>
      <c r="BJ125" s="188">
        <f t="shared" si="122"/>
        <v>3.3E-10</v>
      </c>
      <c r="BK125" s="188">
        <f t="shared" si="122"/>
        <v>-7.7000000000000003E-10</v>
      </c>
      <c r="BL125" s="188">
        <f t="shared" si="122"/>
        <v>-7.7000000000000003E-10</v>
      </c>
      <c r="BM125" s="188">
        <f t="shared" si="122"/>
        <v>3E-10</v>
      </c>
      <c r="BN125" s="189">
        <f t="shared" si="122"/>
        <v>-7.5000000000000031E-10</v>
      </c>
      <c r="BP125" s="204">
        <f t="shared" ref="BP125:CB125" si="123">SUMIF($G$5:$G$1080,"[+] Operating Expenses",BP5:BP1080)</f>
        <v>0</v>
      </c>
      <c r="BQ125" s="204">
        <f t="shared" si="123"/>
        <v>0</v>
      </c>
      <c r="BR125" s="204">
        <f t="shared" si="123"/>
        <v>0</v>
      </c>
      <c r="BS125" s="204">
        <f t="shared" si="123"/>
        <v>0</v>
      </c>
      <c r="BT125" s="204">
        <f t="shared" si="123"/>
        <v>0</v>
      </c>
      <c r="BU125" s="204">
        <f t="shared" si="123"/>
        <v>0</v>
      </c>
      <c r="BV125" s="204">
        <f t="shared" si="123"/>
        <v>0</v>
      </c>
      <c r="BW125" s="204">
        <f t="shared" si="123"/>
        <v>0</v>
      </c>
      <c r="BX125" s="204">
        <f t="shared" si="123"/>
        <v>0</v>
      </c>
      <c r="BY125" s="204">
        <f t="shared" si="123"/>
        <v>0</v>
      </c>
      <c r="BZ125" s="204">
        <f t="shared" si="123"/>
        <v>0</v>
      </c>
      <c r="CA125" s="204">
        <f t="shared" si="123"/>
        <v>0</v>
      </c>
      <c r="CB125" s="204">
        <f t="shared" si="123"/>
        <v>0</v>
      </c>
    </row>
    <row r="127" spans="1:80" ht="12.45" thickBot="1" x14ac:dyDescent="0.3">
      <c r="C127" s="4" t="s">
        <v>18</v>
      </c>
      <c r="D127" s="4"/>
      <c r="E127" s="4"/>
      <c r="F127" s="4"/>
      <c r="G127" s="4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P127" s="133"/>
      <c r="BQ127" s="133"/>
      <c r="BR127" s="133"/>
      <c r="BS127" s="133"/>
      <c r="BT127" s="133"/>
      <c r="BU127" s="133"/>
      <c r="BV127" s="133"/>
      <c r="BW127" s="133"/>
      <c r="BX127" s="133"/>
      <c r="BY127" s="133"/>
      <c r="BZ127" s="133"/>
      <c r="CA127" s="133"/>
      <c r="CB127" s="133"/>
    </row>
    <row r="128" spans="1:80" ht="11.95" hidden="1" thickBot="1" x14ac:dyDescent="0.3">
      <c r="A128" t="s">
        <v>1</v>
      </c>
      <c r="E128" s="3"/>
      <c r="F128" s="3"/>
      <c r="G128" s="3"/>
      <c r="H128" s="3"/>
      <c r="I128" s="18"/>
      <c r="J128" s="18"/>
      <c r="K128" s="18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6">
        <f>SUM(L128:W128)</f>
        <v>0</v>
      </c>
      <c r="Y128" s="219"/>
      <c r="Z128" s="185"/>
      <c r="AA128" s="185"/>
      <c r="AB128" s="185"/>
      <c r="AC128" s="185"/>
      <c r="AD128" s="185"/>
      <c r="AE128" s="185"/>
      <c r="AF128" s="185"/>
      <c r="AG128" s="185"/>
      <c r="AH128" s="185"/>
      <c r="AI128" s="185"/>
      <c r="AJ128" s="185"/>
      <c r="AK128" s="185"/>
      <c r="AL128" s="186">
        <f>SUM(Z128:AK128)</f>
        <v>0</v>
      </c>
      <c r="AM128" s="221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186">
        <f>SUM(AN128:AY128)</f>
        <v>0</v>
      </c>
      <c r="BA128" s="221"/>
      <c r="BB128" s="187"/>
      <c r="BC128" s="187"/>
      <c r="BD128" s="187"/>
      <c r="BE128" s="187"/>
      <c r="BF128" s="187"/>
      <c r="BG128" s="187"/>
      <c r="BH128" s="187"/>
      <c r="BI128" s="187"/>
      <c r="BJ128" s="187"/>
      <c r="BK128" s="187"/>
      <c r="BL128" s="187"/>
      <c r="BM128" s="187"/>
      <c r="BN128" s="186">
        <f>SUM(BB128:BM128)</f>
        <v>0</v>
      </c>
      <c r="BP128"/>
      <c r="BQ128"/>
      <c r="BR128"/>
      <c r="BS128"/>
      <c r="BT128"/>
      <c r="BU128"/>
      <c r="BV128"/>
      <c r="BW128"/>
      <c r="BX128"/>
      <c r="BY128"/>
      <c r="BZ128"/>
      <c r="CA128"/>
      <c r="CB128">
        <f>SUM(BP128:CA128)</f>
        <v>0</v>
      </c>
    </row>
    <row r="129" spans="1:80" ht="11.95" thickBot="1" x14ac:dyDescent="0.3">
      <c r="E129" s="3"/>
      <c r="F129" s="3"/>
      <c r="G129" s="253" t="s">
        <v>18</v>
      </c>
      <c r="H129" s="3"/>
      <c r="I129" s="18"/>
      <c r="J129" s="18"/>
      <c r="K129" s="18"/>
      <c r="L129" s="185">
        <v>0</v>
      </c>
      <c r="M129" s="185">
        <v>0</v>
      </c>
      <c r="N129" s="185">
        <v>0</v>
      </c>
      <c r="O129" s="185">
        <v>0</v>
      </c>
      <c r="P129" s="185">
        <v>0</v>
      </c>
      <c r="Q129" s="185">
        <v>0</v>
      </c>
      <c r="R129" s="185">
        <v>0</v>
      </c>
      <c r="S129" s="185">
        <v>0</v>
      </c>
      <c r="T129" s="185">
        <v>0</v>
      </c>
      <c r="U129" s="185">
        <v>0</v>
      </c>
      <c r="V129" s="185">
        <v>0</v>
      </c>
      <c r="W129" s="185">
        <v>163.76</v>
      </c>
      <c r="X129" s="186">
        <f t="shared" ref="X129:X133" si="124">SUM(L129:W129)</f>
        <v>163.76</v>
      </c>
      <c r="Y129" s="220"/>
      <c r="Z129" s="185">
        <v>0</v>
      </c>
      <c r="AA129" s="185">
        <v>0</v>
      </c>
      <c r="AB129" s="185">
        <v>0</v>
      </c>
      <c r="AC129" s="185">
        <v>0</v>
      </c>
      <c r="AD129" s="185">
        <v>0</v>
      </c>
      <c r="AE129" s="185">
        <v>0</v>
      </c>
      <c r="AF129" s="185">
        <v>0</v>
      </c>
      <c r="AG129" s="185">
        <v>0</v>
      </c>
      <c r="AH129" s="185">
        <v>0</v>
      </c>
      <c r="AI129" s="185">
        <v>0</v>
      </c>
      <c r="AJ129" s="185">
        <v>0</v>
      </c>
      <c r="AK129" s="185">
        <v>0</v>
      </c>
      <c r="AL129" s="186">
        <f t="shared" ref="AL129:AL133" si="125">SUM(Z129:AK129)</f>
        <v>0</v>
      </c>
      <c r="AM129" s="221"/>
      <c r="AN129" s="187">
        <v>0</v>
      </c>
      <c r="AO129" s="187">
        <v>0</v>
      </c>
      <c r="AP129" s="187">
        <v>0</v>
      </c>
      <c r="AQ129" s="187">
        <v>0</v>
      </c>
      <c r="AR129" s="187">
        <v>0</v>
      </c>
      <c r="AS129" s="187">
        <v>0</v>
      </c>
      <c r="AT129" s="187">
        <v>0</v>
      </c>
      <c r="AU129" s="187">
        <v>0</v>
      </c>
      <c r="AV129" s="187">
        <v>0</v>
      </c>
      <c r="AW129" s="187">
        <v>0</v>
      </c>
      <c r="AX129" s="187">
        <v>0</v>
      </c>
      <c r="AY129" s="187">
        <v>0</v>
      </c>
      <c r="AZ129" s="186">
        <f t="shared" ref="AZ129:AZ133" si="126">SUM(AN129:AY129)</f>
        <v>0</v>
      </c>
      <c r="BA129" s="221"/>
      <c r="BB129" s="187">
        <v>0</v>
      </c>
      <c r="BC129" s="187">
        <v>0</v>
      </c>
      <c r="BD129" s="187">
        <v>0</v>
      </c>
      <c r="BE129" s="187">
        <v>0</v>
      </c>
      <c r="BF129" s="187">
        <v>0</v>
      </c>
      <c r="BG129" s="187">
        <v>0</v>
      </c>
      <c r="BH129" s="187">
        <v>0</v>
      </c>
      <c r="BI129" s="187">
        <v>0</v>
      </c>
      <c r="BJ129" s="187">
        <v>0</v>
      </c>
      <c r="BK129" s="187">
        <v>0</v>
      </c>
      <c r="BL129" s="187">
        <v>0</v>
      </c>
      <c r="BM129" s="187">
        <v>0</v>
      </c>
      <c r="BN129" s="186">
        <f t="shared" ref="BN129:BN133" si="127">SUM(BB129:BM129)</f>
        <v>0</v>
      </c>
      <c r="BP129"/>
      <c r="BQ129"/>
      <c r="BR129"/>
      <c r="BS129"/>
      <c r="BT129"/>
      <c r="BU129"/>
      <c r="BV129"/>
      <c r="BW129"/>
      <c r="BX129"/>
      <c r="BY129"/>
      <c r="BZ129"/>
      <c r="CA129"/>
      <c r="CB129"/>
    </row>
    <row r="130" spans="1:80" ht="11.95" outlineLevel="1" collapsed="1" thickBot="1" x14ac:dyDescent="0.3">
      <c r="E130" s="3"/>
      <c r="F130" s="3"/>
      <c r="G130" s="256" t="s">
        <v>115</v>
      </c>
      <c r="H130" s="3"/>
      <c r="I130" s="18"/>
      <c r="J130" s="18"/>
      <c r="K130" s="18"/>
      <c r="L130" s="185">
        <v>0</v>
      </c>
      <c r="M130" s="185">
        <v>0</v>
      </c>
      <c r="N130" s="185">
        <v>0</v>
      </c>
      <c r="O130" s="185">
        <v>0</v>
      </c>
      <c r="P130" s="185">
        <v>0</v>
      </c>
      <c r="Q130" s="185">
        <v>0</v>
      </c>
      <c r="R130" s="185">
        <v>0</v>
      </c>
      <c r="S130" s="185">
        <v>0</v>
      </c>
      <c r="T130" s="185">
        <v>0</v>
      </c>
      <c r="U130" s="185">
        <v>0</v>
      </c>
      <c r="V130" s="185">
        <v>0</v>
      </c>
      <c r="W130" s="185">
        <v>0</v>
      </c>
      <c r="X130" s="186">
        <f t="shared" si="124"/>
        <v>0</v>
      </c>
      <c r="Y130" s="220"/>
      <c r="Z130" s="185">
        <v>0</v>
      </c>
      <c r="AA130" s="185">
        <v>0</v>
      </c>
      <c r="AB130" s="185">
        <v>0</v>
      </c>
      <c r="AC130" s="185">
        <v>0</v>
      </c>
      <c r="AD130" s="185">
        <v>0</v>
      </c>
      <c r="AE130" s="185">
        <v>0</v>
      </c>
      <c r="AF130" s="185">
        <v>0</v>
      </c>
      <c r="AG130" s="185">
        <v>0</v>
      </c>
      <c r="AH130" s="185">
        <v>0</v>
      </c>
      <c r="AI130" s="185">
        <v>0</v>
      </c>
      <c r="AJ130" s="185">
        <v>0</v>
      </c>
      <c r="AK130" s="185">
        <v>0</v>
      </c>
      <c r="AL130" s="186">
        <f t="shared" si="125"/>
        <v>0</v>
      </c>
      <c r="AM130" s="221"/>
      <c r="AN130" s="187">
        <v>0</v>
      </c>
      <c r="AO130" s="187">
        <v>0</v>
      </c>
      <c r="AP130" s="187">
        <v>0</v>
      </c>
      <c r="AQ130" s="187">
        <v>0</v>
      </c>
      <c r="AR130" s="187">
        <v>0</v>
      </c>
      <c r="AS130" s="187">
        <v>0</v>
      </c>
      <c r="AT130" s="187">
        <v>0</v>
      </c>
      <c r="AU130" s="187">
        <v>0</v>
      </c>
      <c r="AV130" s="187">
        <v>0</v>
      </c>
      <c r="AW130" s="187">
        <v>0</v>
      </c>
      <c r="AX130" s="187">
        <v>0</v>
      </c>
      <c r="AY130" s="187">
        <v>0</v>
      </c>
      <c r="AZ130" s="186">
        <f t="shared" si="126"/>
        <v>0</v>
      </c>
      <c r="BA130" s="221"/>
      <c r="BB130" s="187">
        <v>0</v>
      </c>
      <c r="BC130" s="187">
        <v>0</v>
      </c>
      <c r="BD130" s="187">
        <v>0</v>
      </c>
      <c r="BE130" s="187">
        <v>0</v>
      </c>
      <c r="BF130" s="187">
        <v>0</v>
      </c>
      <c r="BG130" s="187">
        <v>0</v>
      </c>
      <c r="BH130" s="187">
        <v>0</v>
      </c>
      <c r="BI130" s="187">
        <v>0</v>
      </c>
      <c r="BJ130" s="187">
        <v>0</v>
      </c>
      <c r="BK130" s="187">
        <v>0</v>
      </c>
      <c r="BL130" s="187">
        <v>0</v>
      </c>
      <c r="BM130" s="187">
        <v>0</v>
      </c>
      <c r="BN130" s="186">
        <f t="shared" si="127"/>
        <v>0</v>
      </c>
      <c r="BP130"/>
      <c r="BQ130"/>
      <c r="BR130"/>
      <c r="BS130"/>
      <c r="BT130"/>
      <c r="BU130"/>
      <c r="BV130"/>
      <c r="BW130"/>
      <c r="BX130"/>
      <c r="BY130"/>
      <c r="BZ130"/>
      <c r="CA130"/>
      <c r="CB130"/>
    </row>
    <row r="131" spans="1:80" ht="11.95" hidden="1" outlineLevel="2" thickBot="1" x14ac:dyDescent="0.3">
      <c r="A131" t="str">
        <f>IF(LEFT(G131,3)="Mul", "#hiderow", "#showrow")</f>
        <v>#hiderow</v>
      </c>
      <c r="E131" s="3"/>
      <c r="F131" s="3"/>
      <c r="G131" s="255" t="s">
        <v>6</v>
      </c>
      <c r="H131" s="3"/>
      <c r="I131" s="18"/>
      <c r="J131" s="18"/>
      <c r="K131" s="18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6">
        <f t="shared" si="124"/>
        <v>0</v>
      </c>
      <c r="Y131" s="220"/>
      <c r="Z131" s="185"/>
      <c r="AA131" s="185"/>
      <c r="AB131" s="185"/>
      <c r="AC131" s="185"/>
      <c r="AD131" s="185"/>
      <c r="AE131" s="185"/>
      <c r="AF131" s="185"/>
      <c r="AG131" s="185"/>
      <c r="AH131" s="185"/>
      <c r="AI131" s="185"/>
      <c r="AJ131" s="185"/>
      <c r="AK131" s="185"/>
      <c r="AL131" s="186">
        <f t="shared" si="125"/>
        <v>0</v>
      </c>
      <c r="AM131" s="221"/>
      <c r="AN131" s="187"/>
      <c r="AO131" s="187"/>
      <c r="AP131" s="187"/>
      <c r="AQ131" s="187"/>
      <c r="AR131" s="187"/>
      <c r="AS131" s="187"/>
      <c r="AT131" s="187"/>
      <c r="AU131" s="187"/>
      <c r="AV131" s="187"/>
      <c r="AW131" s="187"/>
      <c r="AX131" s="187"/>
      <c r="AY131" s="187"/>
      <c r="AZ131" s="186">
        <f t="shared" si="126"/>
        <v>0</v>
      </c>
      <c r="BA131" s="221"/>
      <c r="BB131" s="187"/>
      <c r="BC131" s="187"/>
      <c r="BD131" s="187"/>
      <c r="BE131" s="187"/>
      <c r="BF131" s="187"/>
      <c r="BG131" s="187"/>
      <c r="BH131" s="187"/>
      <c r="BI131" s="187"/>
      <c r="BJ131" s="187"/>
      <c r="BK131" s="187"/>
      <c r="BL131" s="187"/>
      <c r="BM131" s="187"/>
      <c r="BN131" s="186">
        <f t="shared" si="127"/>
        <v>0</v>
      </c>
      <c r="BP131"/>
      <c r="BQ131"/>
      <c r="BR131"/>
      <c r="BS131"/>
      <c r="BT131"/>
      <c r="BU131"/>
      <c r="BV131"/>
      <c r="BW131"/>
      <c r="BX131"/>
      <c r="BY131"/>
      <c r="BZ131"/>
      <c r="CA131"/>
      <c r="CB131"/>
    </row>
    <row r="132" spans="1:80" ht="11.95" outlineLevel="1" thickBot="1" x14ac:dyDescent="0.3">
      <c r="E132" s="3"/>
      <c r="F132" s="3"/>
      <c r="G132" s="256" t="s">
        <v>116</v>
      </c>
      <c r="H132" s="3"/>
      <c r="I132" s="18"/>
      <c r="J132" s="18"/>
      <c r="K132" s="18"/>
      <c r="L132" s="185">
        <v>0</v>
      </c>
      <c r="M132" s="185">
        <v>0</v>
      </c>
      <c r="N132" s="185">
        <v>0</v>
      </c>
      <c r="O132" s="185">
        <v>0</v>
      </c>
      <c r="P132" s="185">
        <v>0</v>
      </c>
      <c r="Q132" s="185">
        <v>0</v>
      </c>
      <c r="R132" s="185">
        <v>0</v>
      </c>
      <c r="S132" s="185">
        <v>0</v>
      </c>
      <c r="T132" s="185">
        <v>0</v>
      </c>
      <c r="U132" s="185">
        <v>0</v>
      </c>
      <c r="V132" s="185">
        <v>0</v>
      </c>
      <c r="W132" s="185">
        <v>163.76</v>
      </c>
      <c r="X132" s="186">
        <f t="shared" si="124"/>
        <v>163.76</v>
      </c>
      <c r="Y132" s="220"/>
      <c r="Z132" s="185">
        <v>0</v>
      </c>
      <c r="AA132" s="185">
        <v>0</v>
      </c>
      <c r="AB132" s="185">
        <v>0</v>
      </c>
      <c r="AC132" s="185">
        <v>0</v>
      </c>
      <c r="AD132" s="185">
        <v>0</v>
      </c>
      <c r="AE132" s="185">
        <v>0</v>
      </c>
      <c r="AF132" s="185">
        <v>0</v>
      </c>
      <c r="AG132" s="185">
        <v>0</v>
      </c>
      <c r="AH132" s="185">
        <v>0</v>
      </c>
      <c r="AI132" s="185">
        <v>0</v>
      </c>
      <c r="AJ132" s="185">
        <v>0</v>
      </c>
      <c r="AK132" s="185">
        <v>0</v>
      </c>
      <c r="AL132" s="186">
        <f t="shared" si="125"/>
        <v>0</v>
      </c>
      <c r="AM132" s="221"/>
      <c r="AN132" s="187">
        <v>0</v>
      </c>
      <c r="AO132" s="187">
        <v>0</v>
      </c>
      <c r="AP132" s="187">
        <v>0</v>
      </c>
      <c r="AQ132" s="187">
        <v>0</v>
      </c>
      <c r="AR132" s="187">
        <v>0</v>
      </c>
      <c r="AS132" s="187">
        <v>0</v>
      </c>
      <c r="AT132" s="187">
        <v>0</v>
      </c>
      <c r="AU132" s="187">
        <v>0</v>
      </c>
      <c r="AV132" s="187">
        <v>0</v>
      </c>
      <c r="AW132" s="187">
        <v>0</v>
      </c>
      <c r="AX132" s="187">
        <v>0</v>
      </c>
      <c r="AY132" s="187">
        <v>0</v>
      </c>
      <c r="AZ132" s="186">
        <f t="shared" si="126"/>
        <v>0</v>
      </c>
      <c r="BA132" s="221"/>
      <c r="BB132" s="187">
        <v>0</v>
      </c>
      <c r="BC132" s="187">
        <v>0</v>
      </c>
      <c r="BD132" s="187">
        <v>0</v>
      </c>
      <c r="BE132" s="187">
        <v>0</v>
      </c>
      <c r="BF132" s="187">
        <v>0</v>
      </c>
      <c r="BG132" s="187">
        <v>0</v>
      </c>
      <c r="BH132" s="187">
        <v>0</v>
      </c>
      <c r="BI132" s="187">
        <v>0</v>
      </c>
      <c r="BJ132" s="187">
        <v>0</v>
      </c>
      <c r="BK132" s="187">
        <v>0</v>
      </c>
      <c r="BL132" s="187">
        <v>0</v>
      </c>
      <c r="BM132" s="187">
        <v>0</v>
      </c>
      <c r="BN132" s="186">
        <f t="shared" si="127"/>
        <v>0</v>
      </c>
      <c r="BP132"/>
      <c r="BQ132"/>
      <c r="BR132"/>
      <c r="BS132"/>
      <c r="BT132"/>
      <c r="BU132"/>
      <c r="BV132"/>
      <c r="BW132"/>
      <c r="BX132"/>
      <c r="BY132"/>
      <c r="BZ132"/>
      <c r="CA132"/>
      <c r="CB132"/>
    </row>
    <row r="133" spans="1:80" ht="11.95" hidden="1" outlineLevel="2" thickBot="1" x14ac:dyDescent="0.3">
      <c r="A133" t="str">
        <f>IF(LEFT(G133,3)="Mul", "#hiderow", "#showrow")</f>
        <v>#hiderow</v>
      </c>
      <c r="E133" s="3"/>
      <c r="F133" s="3"/>
      <c r="G133" s="255" t="s">
        <v>6</v>
      </c>
      <c r="H133" s="3"/>
      <c r="I133" s="18"/>
      <c r="J133" s="18"/>
      <c r="K133" s="18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6">
        <f t="shared" si="124"/>
        <v>0</v>
      </c>
      <c r="Y133" s="220"/>
      <c r="Z133" s="185"/>
      <c r="AA133" s="185"/>
      <c r="AB133" s="185"/>
      <c r="AC133" s="185"/>
      <c r="AD133" s="185"/>
      <c r="AE133" s="185"/>
      <c r="AF133" s="185"/>
      <c r="AG133" s="185"/>
      <c r="AH133" s="185"/>
      <c r="AI133" s="185"/>
      <c r="AJ133" s="185"/>
      <c r="AK133" s="185"/>
      <c r="AL133" s="186">
        <f t="shared" si="125"/>
        <v>0</v>
      </c>
      <c r="AM133" s="221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AX133" s="187"/>
      <c r="AY133" s="187"/>
      <c r="AZ133" s="186">
        <f t="shared" si="126"/>
        <v>0</v>
      </c>
      <c r="BA133" s="221"/>
      <c r="BB133" s="187"/>
      <c r="BC133" s="187"/>
      <c r="BD133" s="187"/>
      <c r="BE133" s="187"/>
      <c r="BF133" s="187"/>
      <c r="BG133" s="187"/>
      <c r="BH133" s="187"/>
      <c r="BI133" s="187"/>
      <c r="BJ133" s="187"/>
      <c r="BK133" s="187"/>
      <c r="BL133" s="187"/>
      <c r="BM133" s="187"/>
      <c r="BN133" s="186">
        <f t="shared" si="127"/>
        <v>0</v>
      </c>
      <c r="BP133"/>
      <c r="BQ133"/>
      <c r="BR133"/>
      <c r="BS133"/>
      <c r="BT133"/>
      <c r="BU133"/>
      <c r="BV133"/>
      <c r="BW133"/>
      <c r="BX133"/>
      <c r="BY133"/>
      <c r="BZ133"/>
      <c r="CA133"/>
      <c r="CB133"/>
    </row>
    <row r="134" spans="1:80" ht="11.95" outlineLevel="2" thickBot="1" x14ac:dyDescent="0.3">
      <c r="A134" t="str">
        <f>IF(LEFT(G134,3)="Mul", "#hiderow", "#showrow")</f>
        <v>#showrow</v>
      </c>
      <c r="E134" s="3"/>
      <c r="F134" s="3"/>
      <c r="G134" s="255" t="s">
        <v>484</v>
      </c>
      <c r="H134" s="3"/>
      <c r="I134" s="18"/>
      <c r="J134" s="18"/>
      <c r="K134" s="18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>
        <v>163.76</v>
      </c>
      <c r="X134" s="186">
        <f t="shared" ref="X134" si="128">SUM(L134:W134)</f>
        <v>163.76</v>
      </c>
      <c r="Y134" s="220"/>
      <c r="Z134" s="185"/>
      <c r="AA134" s="185"/>
      <c r="AB134" s="185"/>
      <c r="AC134" s="185"/>
      <c r="AD134" s="185"/>
      <c r="AE134" s="185"/>
      <c r="AF134" s="185"/>
      <c r="AG134" s="185"/>
      <c r="AH134" s="185"/>
      <c r="AI134" s="185"/>
      <c r="AJ134" s="185"/>
      <c r="AK134" s="185"/>
      <c r="AL134" s="186">
        <f t="shared" ref="AL134" si="129">SUM(Z134:AK134)</f>
        <v>0</v>
      </c>
      <c r="AM134" s="221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186">
        <f t="shared" ref="AZ134" si="130">SUM(AN134:AY134)</f>
        <v>0</v>
      </c>
      <c r="BA134" s="221"/>
      <c r="BB134" s="187"/>
      <c r="BC134" s="187"/>
      <c r="BD134" s="187"/>
      <c r="BE134" s="187"/>
      <c r="BF134" s="187"/>
      <c r="BG134" s="187"/>
      <c r="BH134" s="187"/>
      <c r="BI134" s="187"/>
      <c r="BJ134" s="187"/>
      <c r="BK134" s="187"/>
      <c r="BL134" s="187"/>
      <c r="BM134" s="187"/>
      <c r="BN134" s="186">
        <f t="shared" ref="BN134" si="131">SUM(BB134:BM134)</f>
        <v>0</v>
      </c>
      <c r="BP134"/>
      <c r="BQ134"/>
      <c r="BR134"/>
      <c r="BS134"/>
      <c r="BT134"/>
      <c r="BU134"/>
      <c r="BV134"/>
      <c r="BW134"/>
      <c r="BX134"/>
      <c r="BY134"/>
      <c r="BZ134"/>
      <c r="CA134"/>
      <c r="CB134"/>
    </row>
    <row r="135" spans="1:80" ht="11.95" x14ac:dyDescent="0.25">
      <c r="C135" s="19" t="str">
        <f>"Total "&amp;C127</f>
        <v>Total Other Income/Expense</v>
      </c>
      <c r="D135" s="19"/>
      <c r="E135" s="19"/>
      <c r="F135" s="19"/>
      <c r="G135" s="19"/>
      <c r="H135" s="188"/>
      <c r="I135" s="188"/>
      <c r="J135" s="188"/>
      <c r="K135" s="188">
        <v>-1</v>
      </c>
      <c r="L135" s="188">
        <f t="shared" ref="L135:X135" si="132">SUMIF($G$5:$G$1080,"Other Income/Expense",L5:L1080)</f>
        <v>0</v>
      </c>
      <c r="M135" s="188">
        <f t="shared" si="132"/>
        <v>0</v>
      </c>
      <c r="N135" s="188">
        <f t="shared" si="132"/>
        <v>0</v>
      </c>
      <c r="O135" s="188">
        <f t="shared" si="132"/>
        <v>0</v>
      </c>
      <c r="P135" s="188">
        <f t="shared" si="132"/>
        <v>0</v>
      </c>
      <c r="Q135" s="188">
        <f t="shared" si="132"/>
        <v>0</v>
      </c>
      <c r="R135" s="188">
        <f t="shared" si="132"/>
        <v>0</v>
      </c>
      <c r="S135" s="188">
        <f t="shared" si="132"/>
        <v>0</v>
      </c>
      <c r="T135" s="188">
        <f t="shared" si="132"/>
        <v>0</v>
      </c>
      <c r="U135" s="188">
        <f t="shared" si="132"/>
        <v>0</v>
      </c>
      <c r="V135" s="188">
        <f t="shared" si="132"/>
        <v>0</v>
      </c>
      <c r="W135" s="188">
        <f t="shared" si="132"/>
        <v>163.76</v>
      </c>
      <c r="X135" s="189">
        <f t="shared" si="132"/>
        <v>163.76</v>
      </c>
      <c r="Z135" s="188">
        <f t="shared" ref="Z135:AL135" si="133">SUMIF($G$5:$G$1080,"Other Income/Expense",Z5:Z1080)</f>
        <v>0</v>
      </c>
      <c r="AA135" s="188">
        <f t="shared" si="133"/>
        <v>0</v>
      </c>
      <c r="AB135" s="188">
        <f t="shared" si="133"/>
        <v>0</v>
      </c>
      <c r="AC135" s="188">
        <f t="shared" si="133"/>
        <v>0</v>
      </c>
      <c r="AD135" s="188">
        <f t="shared" si="133"/>
        <v>0</v>
      </c>
      <c r="AE135" s="188">
        <f t="shared" si="133"/>
        <v>0</v>
      </c>
      <c r="AF135" s="188">
        <f t="shared" si="133"/>
        <v>0</v>
      </c>
      <c r="AG135" s="188">
        <f t="shared" si="133"/>
        <v>0</v>
      </c>
      <c r="AH135" s="188">
        <f t="shared" si="133"/>
        <v>0</v>
      </c>
      <c r="AI135" s="188">
        <f t="shared" si="133"/>
        <v>0</v>
      </c>
      <c r="AJ135" s="188">
        <f t="shared" si="133"/>
        <v>0</v>
      </c>
      <c r="AK135" s="188">
        <f t="shared" si="133"/>
        <v>0</v>
      </c>
      <c r="AL135" s="189">
        <f t="shared" si="133"/>
        <v>0</v>
      </c>
      <c r="AN135" s="188">
        <f t="shared" ref="AN135:AZ135" si="134">SUMIF($G$5:$G$1080,"Other Income/Expense",AN5:AN1080)</f>
        <v>0</v>
      </c>
      <c r="AO135" s="188">
        <f t="shared" si="134"/>
        <v>0</v>
      </c>
      <c r="AP135" s="188">
        <f t="shared" si="134"/>
        <v>0</v>
      </c>
      <c r="AQ135" s="188">
        <f t="shared" si="134"/>
        <v>0</v>
      </c>
      <c r="AR135" s="188">
        <f t="shared" si="134"/>
        <v>0</v>
      </c>
      <c r="AS135" s="188">
        <f t="shared" si="134"/>
        <v>0</v>
      </c>
      <c r="AT135" s="188">
        <f t="shared" si="134"/>
        <v>0</v>
      </c>
      <c r="AU135" s="188">
        <f t="shared" si="134"/>
        <v>0</v>
      </c>
      <c r="AV135" s="188">
        <f t="shared" si="134"/>
        <v>0</v>
      </c>
      <c r="AW135" s="188">
        <f t="shared" si="134"/>
        <v>0</v>
      </c>
      <c r="AX135" s="188">
        <f t="shared" si="134"/>
        <v>0</v>
      </c>
      <c r="AY135" s="188">
        <f t="shared" si="134"/>
        <v>0</v>
      </c>
      <c r="AZ135" s="189">
        <f t="shared" si="134"/>
        <v>0</v>
      </c>
      <c r="BB135" s="188">
        <f t="shared" ref="BB135:BN135" si="135">SUMIF($G$5:$G$1080,"Other Income/Expense",BB5:BB1080)</f>
        <v>0</v>
      </c>
      <c r="BC135" s="188">
        <f t="shared" si="135"/>
        <v>0</v>
      </c>
      <c r="BD135" s="188">
        <f t="shared" si="135"/>
        <v>0</v>
      </c>
      <c r="BE135" s="188">
        <f t="shared" si="135"/>
        <v>0</v>
      </c>
      <c r="BF135" s="188">
        <f t="shared" si="135"/>
        <v>0</v>
      </c>
      <c r="BG135" s="188">
        <f t="shared" si="135"/>
        <v>0</v>
      </c>
      <c r="BH135" s="188">
        <f t="shared" si="135"/>
        <v>0</v>
      </c>
      <c r="BI135" s="188">
        <f t="shared" si="135"/>
        <v>0</v>
      </c>
      <c r="BJ135" s="188">
        <f t="shared" si="135"/>
        <v>0</v>
      </c>
      <c r="BK135" s="188">
        <f t="shared" si="135"/>
        <v>0</v>
      </c>
      <c r="BL135" s="188">
        <f t="shared" si="135"/>
        <v>0</v>
      </c>
      <c r="BM135" s="188">
        <f t="shared" si="135"/>
        <v>0</v>
      </c>
      <c r="BN135" s="189">
        <f t="shared" si="135"/>
        <v>0</v>
      </c>
      <c r="BP135" s="203">
        <f t="shared" ref="BP135:CB135" si="136">SUMIF($G$5:$G$1080,"[+] Other Income/Expense",BP5:BP1080)</f>
        <v>0</v>
      </c>
      <c r="BQ135" s="203">
        <f t="shared" si="136"/>
        <v>0</v>
      </c>
      <c r="BR135" s="203">
        <f t="shared" si="136"/>
        <v>0</v>
      </c>
      <c r="BS135" s="203">
        <f t="shared" si="136"/>
        <v>0</v>
      </c>
      <c r="BT135" s="203">
        <f t="shared" si="136"/>
        <v>0</v>
      </c>
      <c r="BU135" s="203">
        <f t="shared" si="136"/>
        <v>0</v>
      </c>
      <c r="BV135" s="203">
        <f t="shared" si="136"/>
        <v>0</v>
      </c>
      <c r="BW135" s="203">
        <f t="shared" si="136"/>
        <v>0</v>
      </c>
      <c r="BX135" s="203">
        <f t="shared" si="136"/>
        <v>0</v>
      </c>
      <c r="BY135" s="203">
        <f t="shared" si="136"/>
        <v>0</v>
      </c>
      <c r="BZ135" s="203">
        <f t="shared" si="136"/>
        <v>0</v>
      </c>
      <c r="CA135" s="203">
        <f t="shared" si="136"/>
        <v>0</v>
      </c>
      <c r="CB135" s="204">
        <f t="shared" si="136"/>
        <v>0</v>
      </c>
    </row>
    <row r="137" spans="1:80" ht="12.45" thickBot="1" x14ac:dyDescent="0.3">
      <c r="C137" s="4" t="s">
        <v>19</v>
      </c>
      <c r="D137" s="4"/>
      <c r="E137" s="4"/>
      <c r="F137" s="4"/>
      <c r="G137" s="4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P137" s="133"/>
      <c r="BQ137" s="133"/>
      <c r="BR137" s="133"/>
      <c r="BS137" s="133"/>
      <c r="BT137" s="133"/>
      <c r="BU137" s="133"/>
      <c r="BV137" s="133"/>
      <c r="BW137" s="133"/>
      <c r="BX137" s="133"/>
      <c r="BY137" s="133"/>
      <c r="BZ137" s="133"/>
      <c r="CA137" s="133"/>
      <c r="CB137" s="133"/>
    </row>
    <row r="138" spans="1:80" ht="11.95" hidden="1" thickBot="1" x14ac:dyDescent="0.3">
      <c r="A138" t="s">
        <v>1</v>
      </c>
      <c r="E138" s="3"/>
      <c r="F138" s="3"/>
      <c r="G138" s="3" t="s">
        <v>19</v>
      </c>
      <c r="H138" s="18"/>
      <c r="I138" s="18"/>
      <c r="J138" s="18"/>
      <c r="K138" s="185"/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f>SUM(L138:W138)</f>
        <v>0</v>
      </c>
      <c r="Z138" s="185">
        <v>0</v>
      </c>
      <c r="AA138" s="185">
        <v>0</v>
      </c>
      <c r="AB138" s="185">
        <v>0</v>
      </c>
      <c r="AC138" s="185">
        <v>0</v>
      </c>
      <c r="AD138" s="185">
        <v>0</v>
      </c>
      <c r="AE138" s="185">
        <v>0</v>
      </c>
      <c r="AF138" s="185">
        <v>0</v>
      </c>
      <c r="AG138" s="185">
        <v>0</v>
      </c>
      <c r="AH138" s="185">
        <v>0</v>
      </c>
      <c r="AI138" s="185">
        <v>0</v>
      </c>
      <c r="AJ138" s="185">
        <v>0</v>
      </c>
      <c r="AK138" s="185">
        <v>0</v>
      </c>
      <c r="AL138" s="186">
        <f>SUM(Z138:AK138)</f>
        <v>0</v>
      </c>
      <c r="AN138" s="187">
        <v>0</v>
      </c>
      <c r="AO138" s="187">
        <v>0</v>
      </c>
      <c r="AP138" s="187">
        <v>0</v>
      </c>
      <c r="AQ138" s="187">
        <v>0</v>
      </c>
      <c r="AR138" s="187">
        <v>0</v>
      </c>
      <c r="AS138" s="187">
        <v>0</v>
      </c>
      <c r="AT138" s="187">
        <v>0</v>
      </c>
      <c r="AU138" s="187">
        <v>0</v>
      </c>
      <c r="AV138" s="187">
        <v>0</v>
      </c>
      <c r="AW138" s="187">
        <v>0</v>
      </c>
      <c r="AX138" s="187">
        <v>0</v>
      </c>
      <c r="AY138" s="187">
        <v>0</v>
      </c>
      <c r="AZ138" s="186">
        <f>SUM(AN138:AY138)</f>
        <v>0</v>
      </c>
      <c r="BB138" s="187">
        <v>0</v>
      </c>
      <c r="BC138" s="187">
        <v>0</v>
      </c>
      <c r="BD138" s="187">
        <v>0</v>
      </c>
      <c r="BE138" s="187">
        <v>0</v>
      </c>
      <c r="BF138" s="187">
        <v>0</v>
      </c>
      <c r="BG138" s="187">
        <v>0</v>
      </c>
      <c r="BH138" s="187">
        <v>0</v>
      </c>
      <c r="BI138" s="187">
        <v>0</v>
      </c>
      <c r="BJ138" s="187">
        <v>0</v>
      </c>
      <c r="BK138" s="187">
        <v>0</v>
      </c>
      <c r="BL138" s="187">
        <v>0</v>
      </c>
      <c r="BM138" s="187">
        <v>0</v>
      </c>
      <c r="BN138" s="186">
        <f>SUM(BB138:BM138)</f>
        <v>0</v>
      </c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1">
        <f>SUM(BP138:CA138)</f>
        <v>0</v>
      </c>
    </row>
    <row r="139" spans="1:80" ht="11.95" hidden="1" thickBot="1" x14ac:dyDescent="0.3">
      <c r="A139" t="str">
        <f>IF(LEFT(G139,3)="Mul", "#hiderow", "#showrow")</f>
        <v>#hiderow</v>
      </c>
      <c r="E139" s="3"/>
      <c r="F139" s="3"/>
      <c r="G139" s="3" t="s">
        <v>6</v>
      </c>
      <c r="H139" s="18"/>
      <c r="I139" s="18"/>
      <c r="J139" s="18"/>
      <c r="K139" s="185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>
        <f>SUM(L139:W139)</f>
        <v>0</v>
      </c>
      <c r="Z139" s="185"/>
      <c r="AA139" s="185"/>
      <c r="AB139" s="185"/>
      <c r="AC139" s="185"/>
      <c r="AD139" s="185"/>
      <c r="AE139" s="185"/>
      <c r="AF139" s="185"/>
      <c r="AG139" s="185"/>
      <c r="AH139" s="185"/>
      <c r="AI139" s="185"/>
      <c r="AJ139" s="185"/>
      <c r="AK139" s="185"/>
      <c r="AL139" s="186">
        <f>SUM(Z139:AK139)</f>
        <v>0</v>
      </c>
      <c r="AN139" s="187"/>
      <c r="AO139" s="187"/>
      <c r="AP139" s="187"/>
      <c r="AQ139" s="187"/>
      <c r="AR139" s="187"/>
      <c r="AS139" s="187"/>
      <c r="AT139" s="187"/>
      <c r="AU139" s="187"/>
      <c r="AV139" s="187"/>
      <c r="AW139" s="187"/>
      <c r="AX139" s="187"/>
      <c r="AY139" s="187"/>
      <c r="AZ139" s="186">
        <f>SUM(AN139:AY139)</f>
        <v>0</v>
      </c>
      <c r="BB139" s="187"/>
      <c r="BC139" s="187"/>
      <c r="BD139" s="187"/>
      <c r="BE139" s="187"/>
      <c r="BF139" s="187"/>
      <c r="BG139" s="187"/>
      <c r="BH139" s="187"/>
      <c r="BI139" s="187"/>
      <c r="BJ139" s="187"/>
      <c r="BK139" s="187"/>
      <c r="BL139" s="187"/>
      <c r="BM139" s="187"/>
      <c r="BN139" s="186">
        <f>SUM(BB139:BM139)</f>
        <v>0</v>
      </c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1"/>
    </row>
    <row r="140" spans="1:80" ht="11.95" x14ac:dyDescent="0.25">
      <c r="C140" s="19" t="str">
        <f>"Total "&amp;C137</f>
        <v>Total Income Tax Expense/Benefit</v>
      </c>
      <c r="D140" s="19"/>
      <c r="E140" s="19"/>
      <c r="F140" s="19"/>
      <c r="G140" s="19"/>
      <c r="H140" s="188"/>
      <c r="I140" s="188"/>
      <c r="J140" s="188"/>
      <c r="K140" s="188">
        <v>-1</v>
      </c>
      <c r="L140" s="188">
        <f t="shared" ref="L140:X140" si="137">SUMIFS(L138:L139,$H138:$H139,"&lt;&gt;"&amp;$H$18,$D138:$D139,"&lt;&gt;*[-]*",$E138:$E139,"&lt;&gt;*[-]*",$F138:$F139,"&lt;&gt;*[-]*",$G138:$G139,"Income Tax Expense/Benefit")</f>
        <v>0</v>
      </c>
      <c r="M140" s="188">
        <f t="shared" si="137"/>
        <v>0</v>
      </c>
      <c r="N140" s="188">
        <f t="shared" si="137"/>
        <v>0</v>
      </c>
      <c r="O140" s="188">
        <f t="shared" si="137"/>
        <v>0</v>
      </c>
      <c r="P140" s="188">
        <f t="shared" si="137"/>
        <v>0</v>
      </c>
      <c r="Q140" s="188">
        <f t="shared" si="137"/>
        <v>0</v>
      </c>
      <c r="R140" s="188">
        <f t="shared" si="137"/>
        <v>0</v>
      </c>
      <c r="S140" s="188">
        <f t="shared" si="137"/>
        <v>0</v>
      </c>
      <c r="T140" s="188">
        <f t="shared" si="137"/>
        <v>0</v>
      </c>
      <c r="U140" s="188">
        <f t="shared" si="137"/>
        <v>0</v>
      </c>
      <c r="V140" s="188">
        <f t="shared" si="137"/>
        <v>0</v>
      </c>
      <c r="W140" s="188">
        <f t="shared" si="137"/>
        <v>0</v>
      </c>
      <c r="X140" s="189">
        <f t="shared" si="137"/>
        <v>0</v>
      </c>
      <c r="Z140" s="188">
        <f t="shared" ref="Z140:AL140" si="138">SUMIFS(Z138:Z139,$H138:$H139,"&lt;&gt;"&amp;$H$18,$D138:$D139,"&lt;&gt;*[-]*",$E138:$E139,"&lt;&gt;*[-]*",$F138:$F139,"&lt;&gt;*[-]*",$G138:$G139,"Income Tax Expense/Benefit")</f>
        <v>0</v>
      </c>
      <c r="AA140" s="188">
        <f t="shared" si="138"/>
        <v>0</v>
      </c>
      <c r="AB140" s="188">
        <f t="shared" si="138"/>
        <v>0</v>
      </c>
      <c r="AC140" s="188">
        <f t="shared" si="138"/>
        <v>0</v>
      </c>
      <c r="AD140" s="188">
        <f t="shared" si="138"/>
        <v>0</v>
      </c>
      <c r="AE140" s="188">
        <f t="shared" si="138"/>
        <v>0</v>
      </c>
      <c r="AF140" s="188">
        <f t="shared" si="138"/>
        <v>0</v>
      </c>
      <c r="AG140" s="188">
        <f t="shared" si="138"/>
        <v>0</v>
      </c>
      <c r="AH140" s="188">
        <f t="shared" si="138"/>
        <v>0</v>
      </c>
      <c r="AI140" s="188">
        <f t="shared" si="138"/>
        <v>0</v>
      </c>
      <c r="AJ140" s="188">
        <f t="shared" si="138"/>
        <v>0</v>
      </c>
      <c r="AK140" s="188">
        <f t="shared" si="138"/>
        <v>0</v>
      </c>
      <c r="AL140" s="189">
        <f t="shared" si="138"/>
        <v>0</v>
      </c>
      <c r="AN140" s="188">
        <f t="shared" ref="AN140:AZ140" si="139">SUMIFS(AN138:AN139,$H138:$H139,"&lt;&gt;"&amp;$H$18,$D138:$D139,"&lt;&gt;*[-]*",$E138:$E139,"&lt;&gt;*[-]*",$F138:$F139,"&lt;&gt;*[-]*",$G138:$G139,"Income Tax Expense/Benefit")</f>
        <v>0</v>
      </c>
      <c r="AO140" s="188">
        <f t="shared" si="139"/>
        <v>0</v>
      </c>
      <c r="AP140" s="188">
        <f t="shared" si="139"/>
        <v>0</v>
      </c>
      <c r="AQ140" s="188">
        <f t="shared" si="139"/>
        <v>0</v>
      </c>
      <c r="AR140" s="188">
        <f t="shared" si="139"/>
        <v>0</v>
      </c>
      <c r="AS140" s="188">
        <f t="shared" si="139"/>
        <v>0</v>
      </c>
      <c r="AT140" s="188">
        <f t="shared" si="139"/>
        <v>0</v>
      </c>
      <c r="AU140" s="188">
        <f t="shared" si="139"/>
        <v>0</v>
      </c>
      <c r="AV140" s="188">
        <f t="shared" si="139"/>
        <v>0</v>
      </c>
      <c r="AW140" s="188">
        <f t="shared" si="139"/>
        <v>0</v>
      </c>
      <c r="AX140" s="188">
        <f t="shared" si="139"/>
        <v>0</v>
      </c>
      <c r="AY140" s="188">
        <f t="shared" si="139"/>
        <v>0</v>
      </c>
      <c r="AZ140" s="189">
        <f t="shared" si="139"/>
        <v>0</v>
      </c>
      <c r="BB140" s="188">
        <f t="shared" ref="BB140:BN140" si="140">SUMIFS(BB138:BB139,$H138:$H139,"&lt;&gt;"&amp;$H$18,$D138:$D139,"&lt;&gt;*[-]*",$E138:$E139,"&lt;&gt;*[-]*",$F138:$F139,"&lt;&gt;*[-]*",$G138:$G139,"Income Tax Expense/Benefit")</f>
        <v>0</v>
      </c>
      <c r="BC140" s="188">
        <f t="shared" si="140"/>
        <v>0</v>
      </c>
      <c r="BD140" s="188">
        <f t="shared" si="140"/>
        <v>0</v>
      </c>
      <c r="BE140" s="188">
        <f t="shared" si="140"/>
        <v>0</v>
      </c>
      <c r="BF140" s="188">
        <f t="shared" si="140"/>
        <v>0</v>
      </c>
      <c r="BG140" s="188">
        <f t="shared" si="140"/>
        <v>0</v>
      </c>
      <c r="BH140" s="188">
        <f t="shared" si="140"/>
        <v>0</v>
      </c>
      <c r="BI140" s="188">
        <f t="shared" si="140"/>
        <v>0</v>
      </c>
      <c r="BJ140" s="188">
        <f t="shared" si="140"/>
        <v>0</v>
      </c>
      <c r="BK140" s="188">
        <f t="shared" si="140"/>
        <v>0</v>
      </c>
      <c r="BL140" s="188">
        <f t="shared" si="140"/>
        <v>0</v>
      </c>
      <c r="BM140" s="188">
        <f t="shared" si="140"/>
        <v>0</v>
      </c>
      <c r="BN140" s="189">
        <f t="shared" si="140"/>
        <v>0</v>
      </c>
      <c r="BP140" s="203">
        <f t="shared" ref="BP140:CB140" si="141">SUMIFS(BP138:BP139,$H138:$H139,"&lt;&gt;"&amp;$H$18,$D138:$D139,"&lt;&gt;*[-]*",$E138:$E139,"&lt;&gt;*[-]*",$F138:$F139,"&lt;&gt;*[-]*",$G138:$G139,"&lt;&gt;*[-]*")</f>
        <v>0</v>
      </c>
      <c r="BQ140" s="203">
        <f t="shared" si="141"/>
        <v>0</v>
      </c>
      <c r="BR140" s="203">
        <f t="shared" si="141"/>
        <v>0</v>
      </c>
      <c r="BS140" s="203">
        <f t="shared" si="141"/>
        <v>0</v>
      </c>
      <c r="BT140" s="203">
        <f t="shared" si="141"/>
        <v>0</v>
      </c>
      <c r="BU140" s="203">
        <f t="shared" si="141"/>
        <v>0</v>
      </c>
      <c r="BV140" s="203">
        <f t="shared" si="141"/>
        <v>0</v>
      </c>
      <c r="BW140" s="203">
        <f t="shared" si="141"/>
        <v>0</v>
      </c>
      <c r="BX140" s="203">
        <f t="shared" si="141"/>
        <v>0</v>
      </c>
      <c r="BY140" s="203">
        <f t="shared" si="141"/>
        <v>0</v>
      </c>
      <c r="BZ140" s="203">
        <f t="shared" si="141"/>
        <v>0</v>
      </c>
      <c r="CA140" s="203">
        <f t="shared" si="141"/>
        <v>0</v>
      </c>
      <c r="CB140" s="204">
        <f t="shared" si="141"/>
        <v>0</v>
      </c>
    </row>
    <row r="142" spans="1:80" ht="12.45" thickBot="1" x14ac:dyDescent="0.3">
      <c r="C142" s="4" t="s">
        <v>28</v>
      </c>
      <c r="D142" s="4"/>
      <c r="E142" s="4"/>
      <c r="F142" s="4"/>
      <c r="G142" s="4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P142" s="133"/>
      <c r="BQ142" s="133"/>
      <c r="BR142" s="133"/>
      <c r="BS142" s="133"/>
      <c r="BT142" s="133"/>
      <c r="BU142" s="133"/>
      <c r="BV142" s="133"/>
      <c r="BW142" s="133"/>
      <c r="BX142" s="133"/>
      <c r="BY142" s="133"/>
      <c r="BZ142" s="133"/>
      <c r="CA142" s="133"/>
      <c r="CB142" s="133"/>
    </row>
    <row r="143" spans="1:80" ht="11.95" hidden="1" thickBot="1" x14ac:dyDescent="0.3">
      <c r="A143" t="s">
        <v>1</v>
      </c>
      <c r="E143" s="3"/>
      <c r="F143" s="3"/>
      <c r="G143" s="3" t="s">
        <v>28</v>
      </c>
      <c r="H143" s="18"/>
      <c r="I143" s="18"/>
      <c r="J143" s="18"/>
      <c r="K143" s="185"/>
      <c r="L143" s="78">
        <v>27562.59</v>
      </c>
      <c r="M143" s="78">
        <v>27742.09</v>
      </c>
      <c r="N143" s="78">
        <v>29138.37</v>
      </c>
      <c r="O143" s="78">
        <v>29015.67</v>
      </c>
      <c r="P143" s="78">
        <v>29029.759999999998</v>
      </c>
      <c r="Q143" s="78">
        <v>30763.3</v>
      </c>
      <c r="R143" s="78">
        <v>29089.71</v>
      </c>
      <c r="S143" s="78">
        <v>29280.22</v>
      </c>
      <c r="T143" s="78">
        <v>31387.64</v>
      </c>
      <c r="U143" s="78">
        <v>29489.37</v>
      </c>
      <c r="V143" s="78">
        <v>42095.72</v>
      </c>
      <c r="W143" s="78">
        <v>39236.21</v>
      </c>
      <c r="X143" s="78">
        <f>SUM(L143:W143)</f>
        <v>373830.64999999997</v>
      </c>
      <c r="Z143" s="185">
        <v>37664.959999999999</v>
      </c>
      <c r="AA143" s="185">
        <v>0</v>
      </c>
      <c r="AB143" s="185">
        <v>0</v>
      </c>
      <c r="AC143" s="185">
        <v>0</v>
      </c>
      <c r="AD143" s="185">
        <v>0</v>
      </c>
      <c r="AE143" s="185">
        <v>0</v>
      </c>
      <c r="AF143" s="185">
        <v>0</v>
      </c>
      <c r="AG143" s="185">
        <v>0</v>
      </c>
      <c r="AH143" s="185">
        <v>0</v>
      </c>
      <c r="AI143" s="185">
        <v>0</v>
      </c>
      <c r="AJ143" s="185">
        <v>0</v>
      </c>
      <c r="AK143" s="185">
        <v>0</v>
      </c>
      <c r="AL143" s="186">
        <f>SUM(Z143:AK143)</f>
        <v>37664.959999999999</v>
      </c>
      <c r="AN143" s="187">
        <v>0</v>
      </c>
      <c r="AO143" s="187">
        <v>0</v>
      </c>
      <c r="AP143" s="187">
        <v>0</v>
      </c>
      <c r="AQ143" s="187">
        <v>0</v>
      </c>
      <c r="AR143" s="187">
        <v>0</v>
      </c>
      <c r="AS143" s="187">
        <v>0</v>
      </c>
      <c r="AT143" s="187">
        <v>0</v>
      </c>
      <c r="AU143" s="187">
        <v>0</v>
      </c>
      <c r="AV143" s="187">
        <v>0</v>
      </c>
      <c r="AW143" s="187">
        <v>0</v>
      </c>
      <c r="AX143" s="187">
        <v>0</v>
      </c>
      <c r="AY143" s="187">
        <v>0</v>
      </c>
      <c r="AZ143" s="186">
        <f>SUM(AN143:AY143)</f>
        <v>0</v>
      </c>
      <c r="BB143" s="187">
        <v>0</v>
      </c>
      <c r="BC143" s="187">
        <v>0</v>
      </c>
      <c r="BD143" s="187">
        <v>0</v>
      </c>
      <c r="BE143" s="187">
        <v>0</v>
      </c>
      <c r="BF143" s="187">
        <v>0</v>
      </c>
      <c r="BG143" s="187">
        <v>0</v>
      </c>
      <c r="BH143" s="187">
        <v>0</v>
      </c>
      <c r="BI143" s="187">
        <v>0</v>
      </c>
      <c r="BJ143" s="187">
        <v>0</v>
      </c>
      <c r="BK143" s="187">
        <v>0</v>
      </c>
      <c r="BL143" s="187">
        <v>0</v>
      </c>
      <c r="BM143" s="187">
        <v>0</v>
      </c>
      <c r="BN143" s="186">
        <f>SUM(BB143:BM143)</f>
        <v>0</v>
      </c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1">
        <f>SUM(BP143:CA143)</f>
        <v>0</v>
      </c>
    </row>
    <row r="144" spans="1:80" ht="11.95" hidden="1" thickBot="1" x14ac:dyDescent="0.3">
      <c r="A144" t="str">
        <f t="shared" ref="A144" si="142">IF(LEFT(G144,3)="Mul", "#hiderow", "#showrow")</f>
        <v>#hiderow</v>
      </c>
      <c r="E144" s="3"/>
      <c r="F144" s="3"/>
      <c r="G144" s="3" t="s">
        <v>6</v>
      </c>
      <c r="H144" s="18"/>
      <c r="I144" s="18"/>
      <c r="J144" s="18"/>
      <c r="K144" s="185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>
        <f>SUM(L144:W144)</f>
        <v>0</v>
      </c>
      <c r="Z144" s="185"/>
      <c r="AA144" s="185"/>
      <c r="AB144" s="185"/>
      <c r="AC144" s="185"/>
      <c r="AD144" s="185"/>
      <c r="AE144" s="185"/>
      <c r="AF144" s="185"/>
      <c r="AG144" s="185"/>
      <c r="AH144" s="185"/>
      <c r="AI144" s="185"/>
      <c r="AJ144" s="185"/>
      <c r="AK144" s="185"/>
      <c r="AL144" s="186"/>
      <c r="AN144" s="187"/>
      <c r="AO144" s="187"/>
      <c r="AP144" s="187"/>
      <c r="AQ144" s="187"/>
      <c r="AR144" s="187"/>
      <c r="AS144" s="187"/>
      <c r="AT144" s="187"/>
      <c r="AU144" s="187"/>
      <c r="AV144" s="187"/>
      <c r="AW144" s="187"/>
      <c r="AX144" s="187"/>
      <c r="AY144" s="187"/>
      <c r="AZ144" s="186"/>
      <c r="BB144" s="187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187"/>
      <c r="BM144" s="187"/>
      <c r="BN144" s="186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1"/>
    </row>
    <row r="145" spans="1:80" ht="11.95" thickBot="1" x14ac:dyDescent="0.3">
      <c r="A145" t="str">
        <f t="shared" ref="A145:A151" si="143">IF(LEFT(G145,3)="Mul", "#hiderow", "#showrow")</f>
        <v>#showrow</v>
      </c>
      <c r="E145" s="3"/>
      <c r="F145" s="3"/>
      <c r="G145" s="3" t="s">
        <v>475</v>
      </c>
      <c r="H145" s="18"/>
      <c r="I145" s="18"/>
      <c r="J145" s="18"/>
      <c r="K145" s="185"/>
      <c r="L145" s="78"/>
      <c r="M145" s="78">
        <v>24.23</v>
      </c>
      <c r="N145" s="78">
        <v>30.29</v>
      </c>
      <c r="O145" s="78">
        <v>24.23</v>
      </c>
      <c r="P145" s="78">
        <v>24.23</v>
      </c>
      <c r="Q145" s="78">
        <v>30.29</v>
      </c>
      <c r="R145" s="78">
        <v>24.23</v>
      </c>
      <c r="S145" s="78">
        <v>24.23</v>
      </c>
      <c r="T145" s="78">
        <v>30.29</v>
      </c>
      <c r="U145" s="78">
        <v>24.23</v>
      </c>
      <c r="V145" s="78">
        <v>24.23</v>
      </c>
      <c r="W145" s="78">
        <v>30.29</v>
      </c>
      <c r="X145" s="78">
        <f t="shared" ref="X145:X151" si="144">SUM(L145:W145)</f>
        <v>290.77</v>
      </c>
      <c r="Z145" s="185">
        <v>24.23</v>
      </c>
      <c r="AA145" s="185"/>
      <c r="AB145" s="185"/>
      <c r="AC145" s="185"/>
      <c r="AD145" s="185"/>
      <c r="AE145" s="185"/>
      <c r="AF145" s="185"/>
      <c r="AG145" s="185"/>
      <c r="AH145" s="185"/>
      <c r="AI145" s="185"/>
      <c r="AJ145" s="185"/>
      <c r="AK145" s="185"/>
      <c r="AL145" s="186"/>
      <c r="AN145" s="187"/>
      <c r="AO145" s="187"/>
      <c r="AP145" s="187"/>
      <c r="AQ145" s="187"/>
      <c r="AR145" s="187"/>
      <c r="AS145" s="187"/>
      <c r="AT145" s="187"/>
      <c r="AU145" s="187"/>
      <c r="AV145" s="187"/>
      <c r="AW145" s="187"/>
      <c r="AX145" s="187"/>
      <c r="AY145" s="187"/>
      <c r="AZ145" s="186"/>
      <c r="BB145" s="187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187"/>
      <c r="BM145" s="187"/>
      <c r="BN145" s="186"/>
      <c r="BP145" s="202"/>
      <c r="BQ145" s="202"/>
      <c r="BR145" s="202"/>
      <c r="BS145" s="202"/>
      <c r="BT145" s="202"/>
      <c r="BU145" s="202"/>
      <c r="BV145" s="202"/>
      <c r="BW145" s="202"/>
      <c r="BX145" s="202"/>
      <c r="BY145" s="202"/>
      <c r="BZ145" s="202"/>
      <c r="CA145" s="202"/>
      <c r="CB145" s="201"/>
    </row>
    <row r="146" spans="1:80" ht="11.95" thickBot="1" x14ac:dyDescent="0.3">
      <c r="A146" t="str">
        <f t="shared" si="143"/>
        <v>#showrow</v>
      </c>
      <c r="E146" s="3"/>
      <c r="F146" s="3"/>
      <c r="G146" s="3" t="s">
        <v>175</v>
      </c>
      <c r="H146" s="18"/>
      <c r="I146" s="18"/>
      <c r="J146" s="18"/>
      <c r="K146" s="185"/>
      <c r="L146" s="78">
        <v>1794.59</v>
      </c>
      <c r="M146" s="78">
        <v>1794.59</v>
      </c>
      <c r="N146" s="78">
        <v>2243.2199999999998</v>
      </c>
      <c r="O146" s="78">
        <v>1794.58</v>
      </c>
      <c r="P146" s="78">
        <v>1794.59</v>
      </c>
      <c r="Q146" s="78">
        <v>2243.25</v>
      </c>
      <c r="R146" s="78">
        <v>1842.43</v>
      </c>
      <c r="S146" s="78">
        <v>1929.95</v>
      </c>
      <c r="T146" s="78">
        <v>2412.46</v>
      </c>
      <c r="U146" s="78">
        <v>1929.93</v>
      </c>
      <c r="V146" s="78">
        <v>7825.86</v>
      </c>
      <c r="W146" s="78">
        <v>3098.13</v>
      </c>
      <c r="X146" s="78">
        <f t="shared" si="144"/>
        <v>30703.58</v>
      </c>
      <c r="Z146" s="185">
        <v>2478.5300000000002</v>
      </c>
      <c r="AA146" s="185"/>
      <c r="AB146" s="185"/>
      <c r="AC146" s="185"/>
      <c r="AD146" s="185"/>
      <c r="AE146" s="185"/>
      <c r="AF146" s="185"/>
      <c r="AG146" s="185"/>
      <c r="AH146" s="185"/>
      <c r="AI146" s="185"/>
      <c r="AJ146" s="185"/>
      <c r="AK146" s="185"/>
      <c r="AL146" s="186"/>
      <c r="AN146" s="187"/>
      <c r="AO146" s="187"/>
      <c r="AP146" s="187"/>
      <c r="AQ146" s="187"/>
      <c r="AR146" s="187"/>
      <c r="AS146" s="187"/>
      <c r="AT146" s="187"/>
      <c r="AU146" s="187"/>
      <c r="AV146" s="187"/>
      <c r="AW146" s="187"/>
      <c r="AX146" s="187"/>
      <c r="AY146" s="187"/>
      <c r="AZ146" s="186"/>
      <c r="BB146" s="187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187"/>
      <c r="BM146" s="187"/>
      <c r="BN146" s="186"/>
      <c r="BP146" s="202"/>
      <c r="BQ146" s="202"/>
      <c r="BR146" s="202"/>
      <c r="BS146" s="202"/>
      <c r="BT146" s="202"/>
      <c r="BU146" s="202"/>
      <c r="BV146" s="202"/>
      <c r="BW146" s="202"/>
      <c r="BX146" s="202"/>
      <c r="BY146" s="202"/>
      <c r="BZ146" s="202"/>
      <c r="CA146" s="202"/>
      <c r="CB146" s="201"/>
    </row>
    <row r="147" spans="1:80" ht="11.95" thickBot="1" x14ac:dyDescent="0.3">
      <c r="A147" t="str">
        <f t="shared" si="143"/>
        <v>#showrow</v>
      </c>
      <c r="E147" s="3"/>
      <c r="F147" s="3"/>
      <c r="G147" s="3" t="s">
        <v>176</v>
      </c>
      <c r="H147" s="18"/>
      <c r="I147" s="18"/>
      <c r="J147" s="18"/>
      <c r="K147" s="185"/>
      <c r="L147" s="78">
        <v>337.11</v>
      </c>
      <c r="M147" s="78">
        <v>337.09</v>
      </c>
      <c r="N147" s="78">
        <v>421.4</v>
      </c>
      <c r="O147" s="78">
        <v>1260.3900000000001</v>
      </c>
      <c r="P147" s="78">
        <v>1296.8800000000001</v>
      </c>
      <c r="Q147" s="78">
        <v>1621.14</v>
      </c>
      <c r="R147" s="78">
        <v>1296.8800000000001</v>
      </c>
      <c r="S147" s="78">
        <v>1296.9100000000001</v>
      </c>
      <c r="T147" s="78">
        <v>1621.15</v>
      </c>
      <c r="U147" s="78">
        <v>1389.91</v>
      </c>
      <c r="V147" s="78">
        <v>1673.11</v>
      </c>
      <c r="W147" s="78">
        <v>2027.69</v>
      </c>
      <c r="X147" s="78">
        <f t="shared" si="144"/>
        <v>14579.660000000002</v>
      </c>
      <c r="Z147" s="185">
        <v>1532.05</v>
      </c>
      <c r="AA147" s="185"/>
      <c r="AB147" s="185"/>
      <c r="AC147" s="185"/>
      <c r="AD147" s="185"/>
      <c r="AE147" s="185"/>
      <c r="AF147" s="185"/>
      <c r="AG147" s="185"/>
      <c r="AH147" s="185"/>
      <c r="AI147" s="185"/>
      <c r="AJ147" s="185"/>
      <c r="AK147" s="185"/>
      <c r="AL147" s="186"/>
      <c r="AN147" s="187"/>
      <c r="AO147" s="187"/>
      <c r="AP147" s="187"/>
      <c r="AQ147" s="187"/>
      <c r="AR147" s="187"/>
      <c r="AS147" s="187"/>
      <c r="AT147" s="187"/>
      <c r="AU147" s="187"/>
      <c r="AV147" s="187"/>
      <c r="AW147" s="187"/>
      <c r="AX147" s="187"/>
      <c r="AY147" s="187"/>
      <c r="AZ147" s="186"/>
      <c r="BB147" s="187"/>
      <c r="BC147" s="187"/>
      <c r="BD147" s="187"/>
      <c r="BE147" s="187"/>
      <c r="BF147" s="187"/>
      <c r="BG147" s="187"/>
      <c r="BH147" s="187"/>
      <c r="BI147" s="187"/>
      <c r="BJ147" s="187"/>
      <c r="BK147" s="187"/>
      <c r="BL147" s="187"/>
      <c r="BM147" s="187"/>
      <c r="BN147" s="186"/>
      <c r="BP147" s="202"/>
      <c r="BQ147" s="202"/>
      <c r="BR147" s="202"/>
      <c r="BS147" s="202"/>
      <c r="BT147" s="202"/>
      <c r="BU147" s="202"/>
      <c r="BV147" s="202"/>
      <c r="BW147" s="202"/>
      <c r="BX147" s="202"/>
      <c r="BY147" s="202"/>
      <c r="BZ147" s="202"/>
      <c r="CA147" s="202"/>
      <c r="CB147" s="201"/>
    </row>
    <row r="148" spans="1:80" ht="11.95" thickBot="1" x14ac:dyDescent="0.3">
      <c r="A148" t="str">
        <f t="shared" si="143"/>
        <v>#showrow</v>
      </c>
      <c r="E148" s="3"/>
      <c r="F148" s="3"/>
      <c r="G148" s="3" t="s">
        <v>177</v>
      </c>
      <c r="H148" s="18"/>
      <c r="I148" s="18"/>
      <c r="J148" s="18"/>
      <c r="K148" s="185"/>
      <c r="L148" s="78">
        <v>642.75</v>
      </c>
      <c r="M148" s="78">
        <v>642.77</v>
      </c>
      <c r="N148" s="78">
        <v>803.48</v>
      </c>
      <c r="O148" s="78">
        <v>887.02</v>
      </c>
      <c r="P148" s="78">
        <v>864.58</v>
      </c>
      <c r="Q148" s="78">
        <v>1096.03</v>
      </c>
      <c r="R148" s="78">
        <v>876.77</v>
      </c>
      <c r="S148" s="78">
        <v>876.83</v>
      </c>
      <c r="T148" s="78">
        <v>1095.95</v>
      </c>
      <c r="U148" s="78">
        <v>876.79</v>
      </c>
      <c r="V148" s="78">
        <v>1781.13</v>
      </c>
      <c r="W148" s="78">
        <v>2799.72</v>
      </c>
      <c r="X148" s="78">
        <f t="shared" si="144"/>
        <v>13243.819999999998</v>
      </c>
      <c r="Z148" s="185">
        <v>2328.5</v>
      </c>
      <c r="AA148" s="185"/>
      <c r="AB148" s="185"/>
      <c r="AC148" s="185"/>
      <c r="AD148" s="185"/>
      <c r="AE148" s="185"/>
      <c r="AF148" s="185"/>
      <c r="AG148" s="185"/>
      <c r="AH148" s="185"/>
      <c r="AI148" s="185"/>
      <c r="AJ148" s="185"/>
      <c r="AK148" s="185"/>
      <c r="AL148" s="186"/>
      <c r="AN148" s="187"/>
      <c r="AO148" s="187"/>
      <c r="AP148" s="187"/>
      <c r="AQ148" s="187"/>
      <c r="AR148" s="187"/>
      <c r="AS148" s="187"/>
      <c r="AT148" s="187"/>
      <c r="AU148" s="187"/>
      <c r="AV148" s="187"/>
      <c r="AW148" s="187"/>
      <c r="AX148" s="187"/>
      <c r="AY148" s="187"/>
      <c r="AZ148" s="186"/>
      <c r="BB148" s="187"/>
      <c r="BC148" s="187"/>
      <c r="BD148" s="187"/>
      <c r="BE148" s="187"/>
      <c r="BF148" s="187"/>
      <c r="BG148" s="187"/>
      <c r="BH148" s="187"/>
      <c r="BI148" s="187"/>
      <c r="BJ148" s="187"/>
      <c r="BK148" s="187"/>
      <c r="BL148" s="187"/>
      <c r="BM148" s="187"/>
      <c r="BN148" s="186"/>
      <c r="BP148" s="202"/>
      <c r="BQ148" s="202"/>
      <c r="BR148" s="202"/>
      <c r="BS148" s="202"/>
      <c r="BT148" s="202"/>
      <c r="BU148" s="202"/>
      <c r="BV148" s="202"/>
      <c r="BW148" s="202"/>
      <c r="BX148" s="202"/>
      <c r="BY148" s="202"/>
      <c r="BZ148" s="202"/>
      <c r="CA148" s="202"/>
      <c r="CB148" s="201"/>
    </row>
    <row r="149" spans="1:80" ht="11.95" thickBot="1" x14ac:dyDescent="0.3">
      <c r="A149" t="str">
        <f t="shared" si="143"/>
        <v>#showrow</v>
      </c>
      <c r="E149" s="3"/>
      <c r="F149" s="3"/>
      <c r="G149" s="3" t="s">
        <v>178</v>
      </c>
      <c r="H149" s="18"/>
      <c r="I149" s="18"/>
      <c r="J149" s="18"/>
      <c r="K149" s="185"/>
      <c r="L149" s="78">
        <v>1012.84</v>
      </c>
      <c r="M149" s="78">
        <v>1012.84</v>
      </c>
      <c r="N149" s="78">
        <v>1012.84</v>
      </c>
      <c r="O149" s="78">
        <v>1012.84</v>
      </c>
      <c r="P149" s="78">
        <v>1012.84</v>
      </c>
      <c r="Q149" s="78">
        <v>1012.84</v>
      </c>
      <c r="R149" s="78">
        <v>1012.84</v>
      </c>
      <c r="S149" s="78">
        <v>1012.84</v>
      </c>
      <c r="T149" s="78">
        <v>1339.56</v>
      </c>
      <c r="U149" s="78">
        <v>1012.84</v>
      </c>
      <c r="V149" s="78">
        <v>1012.84</v>
      </c>
      <c r="W149" s="78">
        <v>1012.84</v>
      </c>
      <c r="X149" s="78">
        <f t="shared" si="144"/>
        <v>12480.800000000001</v>
      </c>
      <c r="Z149" s="185">
        <v>1012.84</v>
      </c>
      <c r="AA149" s="185"/>
      <c r="AB149" s="185"/>
      <c r="AC149" s="185"/>
      <c r="AD149" s="185"/>
      <c r="AE149" s="185"/>
      <c r="AF149" s="185"/>
      <c r="AG149" s="185"/>
      <c r="AH149" s="185"/>
      <c r="AI149" s="185"/>
      <c r="AJ149" s="185"/>
      <c r="AK149" s="185"/>
      <c r="AL149" s="186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  <c r="AX149" s="187"/>
      <c r="AY149" s="187"/>
      <c r="AZ149" s="186"/>
      <c r="BB149" s="187"/>
      <c r="BC149" s="187"/>
      <c r="BD149" s="187"/>
      <c r="BE149" s="187"/>
      <c r="BF149" s="187"/>
      <c r="BG149" s="187"/>
      <c r="BH149" s="187"/>
      <c r="BI149" s="187"/>
      <c r="BJ149" s="187"/>
      <c r="BK149" s="187"/>
      <c r="BL149" s="187"/>
      <c r="BM149" s="187"/>
      <c r="BN149" s="186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1"/>
    </row>
    <row r="150" spans="1:80" ht="11.95" thickBot="1" x14ac:dyDescent="0.3">
      <c r="A150" t="str">
        <f t="shared" si="143"/>
        <v>#showrow</v>
      </c>
      <c r="E150" s="3"/>
      <c r="F150" s="3"/>
      <c r="G150" s="3" t="s">
        <v>179</v>
      </c>
      <c r="H150" s="18"/>
      <c r="I150" s="18"/>
      <c r="J150" s="18"/>
      <c r="K150" s="185"/>
      <c r="L150" s="78">
        <v>2630.9</v>
      </c>
      <c r="M150" s="78">
        <v>2786.17</v>
      </c>
      <c r="N150" s="78">
        <v>3482.74</v>
      </c>
      <c r="O150" s="78">
        <v>2892.21</v>
      </c>
      <c r="P150" s="78">
        <v>2892.24</v>
      </c>
      <c r="Q150" s="78">
        <v>3615.35</v>
      </c>
      <c r="R150" s="78">
        <v>2892.16</v>
      </c>
      <c r="S150" s="78">
        <v>2995.06</v>
      </c>
      <c r="T150" s="78">
        <v>3743.83</v>
      </c>
      <c r="U150" s="78">
        <v>3111.27</v>
      </c>
      <c r="V150" s="78">
        <v>8634.15</v>
      </c>
      <c r="W150" s="78">
        <v>9123.14</v>
      </c>
      <c r="X150" s="78">
        <f t="shared" si="144"/>
        <v>48799.22</v>
      </c>
      <c r="Z150" s="185">
        <v>9144.41</v>
      </c>
      <c r="AA150" s="185"/>
      <c r="AB150" s="185"/>
      <c r="AC150" s="185"/>
      <c r="AD150" s="185"/>
      <c r="AE150" s="185"/>
      <c r="AF150" s="185"/>
      <c r="AG150" s="185"/>
      <c r="AH150" s="185"/>
      <c r="AI150" s="185"/>
      <c r="AJ150" s="185"/>
      <c r="AK150" s="185"/>
      <c r="AL150" s="186"/>
      <c r="AN150" s="187"/>
      <c r="AO150" s="187"/>
      <c r="AP150" s="187"/>
      <c r="AQ150" s="187"/>
      <c r="AR150" s="187"/>
      <c r="AS150" s="187"/>
      <c r="AT150" s="187"/>
      <c r="AU150" s="187"/>
      <c r="AV150" s="187"/>
      <c r="AW150" s="187"/>
      <c r="AX150" s="187"/>
      <c r="AY150" s="187"/>
      <c r="AZ150" s="186"/>
      <c r="BB150" s="187"/>
      <c r="BC150" s="187"/>
      <c r="BD150" s="187"/>
      <c r="BE150" s="187"/>
      <c r="BF150" s="187"/>
      <c r="BG150" s="187"/>
      <c r="BH150" s="187"/>
      <c r="BI150" s="187"/>
      <c r="BJ150" s="187"/>
      <c r="BK150" s="187"/>
      <c r="BL150" s="187"/>
      <c r="BM150" s="187"/>
      <c r="BN150" s="186"/>
      <c r="BP150" s="202"/>
      <c r="BQ150" s="202"/>
      <c r="BR150" s="202"/>
      <c r="BS150" s="202"/>
      <c r="BT150" s="202"/>
      <c r="BU150" s="202"/>
      <c r="BV150" s="202"/>
      <c r="BW150" s="202"/>
      <c r="BX150" s="202"/>
      <c r="BY150" s="202"/>
      <c r="BZ150" s="202"/>
      <c r="CA150" s="202"/>
      <c r="CB150" s="201"/>
    </row>
    <row r="151" spans="1:80" ht="11.95" thickBot="1" x14ac:dyDescent="0.3">
      <c r="A151" t="str">
        <f t="shared" si="143"/>
        <v>#showrow</v>
      </c>
      <c r="E151" s="3"/>
      <c r="F151" s="3"/>
      <c r="G151" s="3" t="s">
        <v>476</v>
      </c>
      <c r="H151" s="18"/>
      <c r="I151" s="18"/>
      <c r="J151" s="18"/>
      <c r="K151" s="185"/>
      <c r="L151" s="78">
        <v>21144.400000000001</v>
      </c>
      <c r="M151" s="78">
        <v>21144.400000000001</v>
      </c>
      <c r="N151" s="78">
        <v>21144.400000000001</v>
      </c>
      <c r="O151" s="78">
        <v>21144.400000000001</v>
      </c>
      <c r="P151" s="78">
        <v>21144.400000000001</v>
      </c>
      <c r="Q151" s="78">
        <v>21144.400000000001</v>
      </c>
      <c r="R151" s="78">
        <v>21144.400000000001</v>
      </c>
      <c r="S151" s="78">
        <v>21144.400000000001</v>
      </c>
      <c r="T151" s="78">
        <v>21144.400000000001</v>
      </c>
      <c r="U151" s="78">
        <v>21144.400000000001</v>
      </c>
      <c r="V151" s="78">
        <v>21144.400000000001</v>
      </c>
      <c r="W151" s="78">
        <v>21144.400000000001</v>
      </c>
      <c r="X151" s="78">
        <f t="shared" si="144"/>
        <v>253732.79999999996</v>
      </c>
      <c r="Z151" s="185">
        <v>21144.400000000001</v>
      </c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6"/>
      <c r="AN151" s="187"/>
      <c r="AO151" s="187"/>
      <c r="AP151" s="187"/>
      <c r="AQ151" s="187"/>
      <c r="AR151" s="187"/>
      <c r="AS151" s="187"/>
      <c r="AT151" s="187"/>
      <c r="AU151" s="187"/>
      <c r="AV151" s="187"/>
      <c r="AW151" s="187"/>
      <c r="AX151" s="187"/>
      <c r="AY151" s="187"/>
      <c r="AZ151" s="186"/>
      <c r="BB151" s="187"/>
      <c r="BC151" s="187"/>
      <c r="BD151" s="187"/>
      <c r="BE151" s="187"/>
      <c r="BF151" s="187"/>
      <c r="BG151" s="187"/>
      <c r="BH151" s="187"/>
      <c r="BI151" s="187"/>
      <c r="BJ151" s="187"/>
      <c r="BK151" s="187"/>
      <c r="BL151" s="187"/>
      <c r="BM151" s="187"/>
      <c r="BN151" s="186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1"/>
    </row>
    <row r="152" spans="1:80" ht="11.95" x14ac:dyDescent="0.25">
      <c r="C152" s="19" t="str">
        <f>"Total "&amp;C142</f>
        <v>Total Depreciation &amp; Amortization</v>
      </c>
      <c r="D152" s="19"/>
      <c r="E152" s="19"/>
      <c r="F152" s="19"/>
      <c r="G152" s="19"/>
      <c r="H152" s="188"/>
      <c r="I152" s="188"/>
      <c r="J152" s="188"/>
      <c r="K152" s="188">
        <v>-1</v>
      </c>
      <c r="L152" s="188">
        <f t="shared" ref="L152:X152" si="145">SUMIFS(L143:L144,$H143:$H144,"&lt;&gt;"&amp;$H$18,$D143:$D144,"&lt;&gt;*[-]*",$E143:$E144,"&lt;&gt;*[-]*",$F143:$F144,"&lt;&gt;*[-]*",$G143:$G144,"Depreciation &amp; Amortization")</f>
        <v>27562.59</v>
      </c>
      <c r="M152" s="188">
        <f t="shared" si="145"/>
        <v>27742.09</v>
      </c>
      <c r="N152" s="188">
        <f t="shared" si="145"/>
        <v>29138.37</v>
      </c>
      <c r="O152" s="188">
        <f t="shared" si="145"/>
        <v>29015.67</v>
      </c>
      <c r="P152" s="188">
        <f t="shared" si="145"/>
        <v>29029.759999999998</v>
      </c>
      <c r="Q152" s="188">
        <f t="shared" si="145"/>
        <v>30763.3</v>
      </c>
      <c r="R152" s="188">
        <f t="shared" si="145"/>
        <v>29089.71</v>
      </c>
      <c r="S152" s="188">
        <f t="shared" si="145"/>
        <v>29280.22</v>
      </c>
      <c r="T152" s="188">
        <f t="shared" si="145"/>
        <v>31387.64</v>
      </c>
      <c r="U152" s="188">
        <f t="shared" si="145"/>
        <v>29489.37</v>
      </c>
      <c r="V152" s="188">
        <f t="shared" si="145"/>
        <v>42095.72</v>
      </c>
      <c r="W152" s="188">
        <f t="shared" si="145"/>
        <v>39236.21</v>
      </c>
      <c r="X152" s="189">
        <f t="shared" si="145"/>
        <v>373830.64999999997</v>
      </c>
      <c r="Z152" s="188">
        <f t="shared" ref="Z152:AL152" si="146">SUMIFS(Z143:Z144,$H143:$H144,"&lt;&gt;"&amp;$H$18,$D143:$D144,"&lt;&gt;*[-]*",$E143:$E144,"&lt;&gt;*[-]*",$F143:$F144,"&lt;&gt;*[-]*",$G143:$G144,"Depreciation &amp; Amortization")</f>
        <v>37664.959999999999</v>
      </c>
      <c r="AA152" s="188">
        <f t="shared" si="146"/>
        <v>0</v>
      </c>
      <c r="AB152" s="188">
        <f t="shared" si="146"/>
        <v>0</v>
      </c>
      <c r="AC152" s="188">
        <f t="shared" si="146"/>
        <v>0</v>
      </c>
      <c r="AD152" s="188">
        <f t="shared" si="146"/>
        <v>0</v>
      </c>
      <c r="AE152" s="188">
        <f t="shared" si="146"/>
        <v>0</v>
      </c>
      <c r="AF152" s="188">
        <f t="shared" si="146"/>
        <v>0</v>
      </c>
      <c r="AG152" s="188">
        <f t="shared" si="146"/>
        <v>0</v>
      </c>
      <c r="AH152" s="188">
        <f t="shared" si="146"/>
        <v>0</v>
      </c>
      <c r="AI152" s="188">
        <f t="shared" si="146"/>
        <v>0</v>
      </c>
      <c r="AJ152" s="188">
        <f t="shared" si="146"/>
        <v>0</v>
      </c>
      <c r="AK152" s="188">
        <f t="shared" si="146"/>
        <v>0</v>
      </c>
      <c r="AL152" s="189">
        <f t="shared" si="146"/>
        <v>37664.959999999999</v>
      </c>
      <c r="AN152" s="188">
        <f t="shared" ref="AN152:AZ152" si="147">SUMIFS(AN143:AN144,$H143:$H144,"&lt;&gt;"&amp;$H$18,$D143:$D144,"&lt;&gt;*[-]*",$E143:$E144,"&lt;&gt;*[-]*",$F143:$F144,"&lt;&gt;*[-]*",$G143:$G144,"Depreciation &amp; Amortization")</f>
        <v>0</v>
      </c>
      <c r="AO152" s="188">
        <f t="shared" si="147"/>
        <v>0</v>
      </c>
      <c r="AP152" s="188">
        <f t="shared" si="147"/>
        <v>0</v>
      </c>
      <c r="AQ152" s="188">
        <f t="shared" si="147"/>
        <v>0</v>
      </c>
      <c r="AR152" s="188">
        <f t="shared" si="147"/>
        <v>0</v>
      </c>
      <c r="AS152" s="188">
        <f t="shared" si="147"/>
        <v>0</v>
      </c>
      <c r="AT152" s="188">
        <f t="shared" si="147"/>
        <v>0</v>
      </c>
      <c r="AU152" s="188">
        <f t="shared" si="147"/>
        <v>0</v>
      </c>
      <c r="AV152" s="188">
        <f t="shared" si="147"/>
        <v>0</v>
      </c>
      <c r="AW152" s="188">
        <f t="shared" si="147"/>
        <v>0</v>
      </c>
      <c r="AX152" s="188">
        <f t="shared" si="147"/>
        <v>0</v>
      </c>
      <c r="AY152" s="188">
        <f t="shared" si="147"/>
        <v>0</v>
      </c>
      <c r="AZ152" s="189">
        <f t="shared" si="147"/>
        <v>0</v>
      </c>
      <c r="BB152" s="188">
        <f t="shared" ref="BB152:BN152" si="148">SUMIFS(BB143:BB144,$H143:$H144,"&lt;&gt;"&amp;$H$18,$D143:$D144,"&lt;&gt;*[-]*",$E143:$E144,"&lt;&gt;*[-]*",$F143:$F144,"&lt;&gt;*[-]*",$G143:$G144,"Depreciation &amp; Amortization")</f>
        <v>0</v>
      </c>
      <c r="BC152" s="188">
        <f t="shared" si="148"/>
        <v>0</v>
      </c>
      <c r="BD152" s="188">
        <f t="shared" si="148"/>
        <v>0</v>
      </c>
      <c r="BE152" s="188">
        <f t="shared" si="148"/>
        <v>0</v>
      </c>
      <c r="BF152" s="188">
        <f t="shared" si="148"/>
        <v>0</v>
      </c>
      <c r="BG152" s="188">
        <f t="shared" si="148"/>
        <v>0</v>
      </c>
      <c r="BH152" s="188">
        <f t="shared" si="148"/>
        <v>0</v>
      </c>
      <c r="BI152" s="188">
        <f t="shared" si="148"/>
        <v>0</v>
      </c>
      <c r="BJ152" s="188">
        <f t="shared" si="148"/>
        <v>0</v>
      </c>
      <c r="BK152" s="188">
        <f t="shared" si="148"/>
        <v>0</v>
      </c>
      <c r="BL152" s="188">
        <f t="shared" si="148"/>
        <v>0</v>
      </c>
      <c r="BM152" s="188">
        <f t="shared" si="148"/>
        <v>0</v>
      </c>
      <c r="BN152" s="189">
        <f t="shared" si="148"/>
        <v>0</v>
      </c>
      <c r="BP152" s="203">
        <f t="shared" ref="BP152:CB152" si="149">SUMIFS(BP143:BP144,$H143:$H144,"&lt;&gt;"&amp;$H$18,$D143:$D144,"&lt;&gt;*[-]*",$E143:$E144,"&lt;&gt;*[-]*",$F143:$F144,"&lt;&gt;*[-]*",$G143:$G144,"&lt;&gt;*[-]*")</f>
        <v>0</v>
      </c>
      <c r="BQ152" s="203">
        <f t="shared" si="149"/>
        <v>0</v>
      </c>
      <c r="BR152" s="203">
        <f t="shared" si="149"/>
        <v>0</v>
      </c>
      <c r="BS152" s="203">
        <f t="shared" si="149"/>
        <v>0</v>
      </c>
      <c r="BT152" s="203">
        <f t="shared" si="149"/>
        <v>0</v>
      </c>
      <c r="BU152" s="203">
        <f t="shared" si="149"/>
        <v>0</v>
      </c>
      <c r="BV152" s="203">
        <f t="shared" si="149"/>
        <v>0</v>
      </c>
      <c r="BW152" s="203">
        <f t="shared" si="149"/>
        <v>0</v>
      </c>
      <c r="BX152" s="203">
        <f t="shared" si="149"/>
        <v>0</v>
      </c>
      <c r="BY152" s="203">
        <f t="shared" si="149"/>
        <v>0</v>
      </c>
      <c r="BZ152" s="203">
        <f t="shared" si="149"/>
        <v>0</v>
      </c>
      <c r="CA152" s="203">
        <f t="shared" si="149"/>
        <v>0</v>
      </c>
      <c r="CB152" s="204">
        <f t="shared" si="149"/>
        <v>0</v>
      </c>
    </row>
    <row r="154" spans="1:80" ht="12.45" thickBot="1" x14ac:dyDescent="0.3">
      <c r="C154" s="4" t="s">
        <v>29</v>
      </c>
      <c r="D154" s="4"/>
      <c r="E154" s="4"/>
      <c r="F154" s="4"/>
      <c r="G154" s="4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P154" s="133"/>
      <c r="BQ154" s="133"/>
      <c r="BR154" s="133"/>
      <c r="BS154" s="133"/>
      <c r="BT154" s="133"/>
      <c r="BU154" s="133"/>
      <c r="BV154" s="133"/>
      <c r="BW154" s="133"/>
      <c r="BX154" s="133"/>
      <c r="BY154" s="133"/>
      <c r="BZ154" s="133"/>
      <c r="CA154" s="133"/>
      <c r="CB154" s="133"/>
    </row>
    <row r="155" spans="1:80" ht="11.95" hidden="1" thickBot="1" x14ac:dyDescent="0.3">
      <c r="A155" t="s">
        <v>1</v>
      </c>
      <c r="E155" s="3"/>
      <c r="F155" s="3"/>
      <c r="G155" s="3" t="s">
        <v>119</v>
      </c>
      <c r="H155" s="18"/>
      <c r="I155" s="18"/>
      <c r="J155" s="18"/>
      <c r="K155" s="185"/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f>SUM(L155:W155)</f>
        <v>0</v>
      </c>
      <c r="Z155" s="185">
        <v>0</v>
      </c>
      <c r="AA155" s="185">
        <v>0</v>
      </c>
      <c r="AB155" s="185">
        <v>0</v>
      </c>
      <c r="AC155" s="185">
        <v>0</v>
      </c>
      <c r="AD155" s="185">
        <v>0</v>
      </c>
      <c r="AE155" s="185">
        <v>0</v>
      </c>
      <c r="AF155" s="185">
        <v>0</v>
      </c>
      <c r="AG155" s="185">
        <v>0</v>
      </c>
      <c r="AH155" s="185">
        <v>0</v>
      </c>
      <c r="AI155" s="185">
        <v>0</v>
      </c>
      <c r="AJ155" s="185">
        <v>0</v>
      </c>
      <c r="AK155" s="185">
        <v>0</v>
      </c>
      <c r="AL155" s="186">
        <f>SUM(Z155:AK155)</f>
        <v>0</v>
      </c>
      <c r="AN155" s="187">
        <v>0</v>
      </c>
      <c r="AO155" s="187">
        <v>0</v>
      </c>
      <c r="AP155" s="187">
        <v>0</v>
      </c>
      <c r="AQ155" s="187">
        <v>0</v>
      </c>
      <c r="AR155" s="187">
        <v>0</v>
      </c>
      <c r="AS155" s="187">
        <v>0</v>
      </c>
      <c r="AT155" s="187">
        <v>0</v>
      </c>
      <c r="AU155" s="187">
        <v>0</v>
      </c>
      <c r="AV155" s="187">
        <v>0</v>
      </c>
      <c r="AW155" s="187">
        <v>0</v>
      </c>
      <c r="AX155" s="187">
        <v>0</v>
      </c>
      <c r="AY155" s="187">
        <v>0</v>
      </c>
      <c r="AZ155" s="186">
        <f>SUM(AN155:AY155)</f>
        <v>0</v>
      </c>
      <c r="BB155" s="187">
        <v>0</v>
      </c>
      <c r="BC155" s="187">
        <v>0</v>
      </c>
      <c r="BD155" s="187">
        <v>0</v>
      </c>
      <c r="BE155" s="187">
        <v>0</v>
      </c>
      <c r="BF155" s="187">
        <v>0</v>
      </c>
      <c r="BG155" s="187">
        <v>0</v>
      </c>
      <c r="BH155" s="187">
        <v>0</v>
      </c>
      <c r="BI155" s="187">
        <v>0</v>
      </c>
      <c r="BJ155" s="187">
        <v>0</v>
      </c>
      <c r="BK155" s="187">
        <v>0</v>
      </c>
      <c r="BL155" s="187">
        <v>0</v>
      </c>
      <c r="BM155" s="187">
        <v>0</v>
      </c>
      <c r="BN155" s="186">
        <f>SUM(BB155:BM155)</f>
        <v>0</v>
      </c>
      <c r="BP155" s="202"/>
      <c r="BQ155" s="202"/>
      <c r="BR155" s="202"/>
      <c r="BS155" s="202"/>
      <c r="BT155" s="202"/>
      <c r="BU155" s="202"/>
      <c r="BV155" s="202"/>
      <c r="BW155" s="202"/>
      <c r="BX155" s="202"/>
      <c r="BY155" s="202"/>
      <c r="BZ155" s="202"/>
      <c r="CA155" s="202"/>
      <c r="CB155" s="201">
        <f>SUM(BP155:CA155)</f>
        <v>0</v>
      </c>
    </row>
    <row r="156" spans="1:80" ht="11.95" hidden="1" thickBot="1" x14ac:dyDescent="0.3">
      <c r="A156" t="str">
        <f>IF(LEFT(G156,3)="Mul", "#hiderow", "#showrow")</f>
        <v>#hiderow</v>
      </c>
      <c r="E156" s="3"/>
      <c r="F156" s="3"/>
      <c r="G156" s="3" t="s">
        <v>6</v>
      </c>
      <c r="H156" s="18"/>
      <c r="I156" s="18"/>
      <c r="J156" s="18"/>
      <c r="K156" s="185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Z156" s="185"/>
      <c r="AA156" s="185"/>
      <c r="AB156" s="185"/>
      <c r="AC156" s="185"/>
      <c r="AD156" s="185"/>
      <c r="AE156" s="185"/>
      <c r="AF156" s="185"/>
      <c r="AG156" s="185"/>
      <c r="AH156" s="185"/>
      <c r="AI156" s="185"/>
      <c r="AJ156" s="185"/>
      <c r="AK156" s="185"/>
      <c r="AL156" s="186"/>
      <c r="AN156" s="187"/>
      <c r="AO156" s="187"/>
      <c r="AP156" s="187"/>
      <c r="AQ156" s="187"/>
      <c r="AR156" s="187"/>
      <c r="AS156" s="187"/>
      <c r="AT156" s="187"/>
      <c r="AU156" s="187"/>
      <c r="AV156" s="187"/>
      <c r="AW156" s="187"/>
      <c r="AX156" s="187"/>
      <c r="AY156" s="187"/>
      <c r="AZ156" s="186"/>
      <c r="BB156" s="187"/>
      <c r="BC156" s="187"/>
      <c r="BD156" s="187"/>
      <c r="BE156" s="187"/>
      <c r="BF156" s="187"/>
      <c r="BG156" s="187"/>
      <c r="BH156" s="187"/>
      <c r="BI156" s="187"/>
      <c r="BJ156" s="187"/>
      <c r="BK156" s="187"/>
      <c r="BL156" s="187"/>
      <c r="BM156" s="187"/>
      <c r="BN156" s="186"/>
      <c r="BP156" s="202"/>
      <c r="BQ156" s="202"/>
      <c r="BR156" s="202"/>
      <c r="BS156" s="202"/>
      <c r="BT156" s="202"/>
      <c r="BU156" s="202"/>
      <c r="BV156" s="202"/>
      <c r="BW156" s="202"/>
      <c r="BX156" s="202"/>
      <c r="BY156" s="202"/>
      <c r="BZ156" s="202"/>
      <c r="CA156" s="202"/>
      <c r="CB156" s="201"/>
    </row>
    <row r="157" spans="1:80" ht="11.95" x14ac:dyDescent="0.25">
      <c r="C157" s="19" t="str">
        <f>"Total "&amp;C154</f>
        <v>Total 6895 (Restructuring)</v>
      </c>
      <c r="D157" s="19"/>
      <c r="E157" s="19"/>
      <c r="F157" s="19"/>
      <c r="G157" s="19"/>
      <c r="H157" s="188"/>
      <c r="I157" s="188"/>
      <c r="J157" s="188"/>
      <c r="K157" s="188">
        <v>-1</v>
      </c>
      <c r="L157" s="188">
        <f t="shared" ref="L157:X157" si="150">SUMIFS(L155:L156,$H155:$H156,"&lt;&gt;"&amp;$H$18,$D155:$D156,"&lt;&gt;*[-]*",$E155:$E156,"&lt;&gt;*[-]*",$F155:$F156,"&lt;&gt;*[-]*",$G155:$G156,"Restructuring")</f>
        <v>0</v>
      </c>
      <c r="M157" s="188">
        <f t="shared" si="150"/>
        <v>0</v>
      </c>
      <c r="N157" s="188">
        <f t="shared" si="150"/>
        <v>0</v>
      </c>
      <c r="O157" s="188">
        <f t="shared" si="150"/>
        <v>0</v>
      </c>
      <c r="P157" s="188">
        <f t="shared" si="150"/>
        <v>0</v>
      </c>
      <c r="Q157" s="188">
        <f t="shared" si="150"/>
        <v>0</v>
      </c>
      <c r="R157" s="188">
        <f t="shared" si="150"/>
        <v>0</v>
      </c>
      <c r="S157" s="188">
        <f t="shared" si="150"/>
        <v>0</v>
      </c>
      <c r="T157" s="188">
        <f t="shared" si="150"/>
        <v>0</v>
      </c>
      <c r="U157" s="188">
        <f t="shared" si="150"/>
        <v>0</v>
      </c>
      <c r="V157" s="188">
        <f t="shared" si="150"/>
        <v>0</v>
      </c>
      <c r="W157" s="188">
        <f t="shared" si="150"/>
        <v>0</v>
      </c>
      <c r="X157" s="189">
        <f t="shared" si="150"/>
        <v>0</v>
      </c>
      <c r="Z157" s="188">
        <f t="shared" ref="Z157:AL157" si="151">SUMIFS(Z155:Z156,$H155:$H156,"&lt;&gt;"&amp;$H$18,$D155:$D156,"&lt;&gt;*[-]*",$E155:$E156,"&lt;&gt;*[-]*",$F155:$F156,"&lt;&gt;*[-]*",$G155:$G156,"Restructuring")</f>
        <v>0</v>
      </c>
      <c r="AA157" s="188">
        <f t="shared" si="151"/>
        <v>0</v>
      </c>
      <c r="AB157" s="188">
        <f t="shared" si="151"/>
        <v>0</v>
      </c>
      <c r="AC157" s="188">
        <f t="shared" si="151"/>
        <v>0</v>
      </c>
      <c r="AD157" s="188">
        <f t="shared" si="151"/>
        <v>0</v>
      </c>
      <c r="AE157" s="188">
        <f t="shared" si="151"/>
        <v>0</v>
      </c>
      <c r="AF157" s="188">
        <f t="shared" si="151"/>
        <v>0</v>
      </c>
      <c r="AG157" s="188">
        <f t="shared" si="151"/>
        <v>0</v>
      </c>
      <c r="AH157" s="188">
        <f t="shared" si="151"/>
        <v>0</v>
      </c>
      <c r="AI157" s="188">
        <f t="shared" si="151"/>
        <v>0</v>
      </c>
      <c r="AJ157" s="188">
        <f t="shared" si="151"/>
        <v>0</v>
      </c>
      <c r="AK157" s="188">
        <f t="shared" si="151"/>
        <v>0</v>
      </c>
      <c r="AL157" s="189">
        <f t="shared" si="151"/>
        <v>0</v>
      </c>
      <c r="AN157" s="188">
        <f t="shared" ref="AN157:AZ157" si="152">SUMIFS(AN155:AN156,$H155:$H156,"&lt;&gt;"&amp;$H$18,$D155:$D156,"&lt;&gt;*[-]*",$E155:$E156,"&lt;&gt;*[-]*",$F155:$F156,"&lt;&gt;*[-]*",$G155:$G156,"Restructuring")</f>
        <v>0</v>
      </c>
      <c r="AO157" s="188">
        <f t="shared" si="152"/>
        <v>0</v>
      </c>
      <c r="AP157" s="188">
        <f t="shared" si="152"/>
        <v>0</v>
      </c>
      <c r="AQ157" s="188">
        <f t="shared" si="152"/>
        <v>0</v>
      </c>
      <c r="AR157" s="188">
        <f t="shared" si="152"/>
        <v>0</v>
      </c>
      <c r="AS157" s="188">
        <f t="shared" si="152"/>
        <v>0</v>
      </c>
      <c r="AT157" s="188">
        <f t="shared" si="152"/>
        <v>0</v>
      </c>
      <c r="AU157" s="188">
        <f t="shared" si="152"/>
        <v>0</v>
      </c>
      <c r="AV157" s="188">
        <f t="shared" si="152"/>
        <v>0</v>
      </c>
      <c r="AW157" s="188">
        <f t="shared" si="152"/>
        <v>0</v>
      </c>
      <c r="AX157" s="188">
        <f t="shared" si="152"/>
        <v>0</v>
      </c>
      <c r="AY157" s="188">
        <f t="shared" si="152"/>
        <v>0</v>
      </c>
      <c r="AZ157" s="189">
        <f t="shared" si="152"/>
        <v>0</v>
      </c>
      <c r="BB157" s="188">
        <f t="shared" ref="BB157:BN157" si="153">SUMIFS(BB155:BB156,$H155:$H156,"&lt;&gt;"&amp;$H$18,$D155:$D156,"&lt;&gt;*[-]*",$E155:$E156,"&lt;&gt;*[-]*",$F155:$F156,"&lt;&gt;*[-]*",$G155:$G156,"Restructuring")</f>
        <v>0</v>
      </c>
      <c r="BC157" s="188">
        <f t="shared" si="153"/>
        <v>0</v>
      </c>
      <c r="BD157" s="188">
        <f t="shared" si="153"/>
        <v>0</v>
      </c>
      <c r="BE157" s="188">
        <f t="shared" si="153"/>
        <v>0</v>
      </c>
      <c r="BF157" s="188">
        <f t="shared" si="153"/>
        <v>0</v>
      </c>
      <c r="BG157" s="188">
        <f t="shared" si="153"/>
        <v>0</v>
      </c>
      <c r="BH157" s="188">
        <f t="shared" si="153"/>
        <v>0</v>
      </c>
      <c r="BI157" s="188">
        <f t="shared" si="153"/>
        <v>0</v>
      </c>
      <c r="BJ157" s="188">
        <f t="shared" si="153"/>
        <v>0</v>
      </c>
      <c r="BK157" s="188">
        <f t="shared" si="153"/>
        <v>0</v>
      </c>
      <c r="BL157" s="188">
        <f t="shared" si="153"/>
        <v>0</v>
      </c>
      <c r="BM157" s="188">
        <f t="shared" si="153"/>
        <v>0</v>
      </c>
      <c r="BN157" s="189">
        <f t="shared" si="153"/>
        <v>0</v>
      </c>
      <c r="BP157" s="203">
        <f t="shared" ref="BP157:CB157" si="154">SUMIFS(BP155:BP156,$H155:$H156,"&lt;&gt;"&amp;$H$18,$D155:$D156,"&lt;&gt;*[-]*",$E155:$E156,"&lt;&gt;*[-]*",$F155:$F156,"&lt;&gt;*[-]*",$G155:$G156,"&lt;&gt;*[-]*")</f>
        <v>0</v>
      </c>
      <c r="BQ157" s="203">
        <f t="shared" si="154"/>
        <v>0</v>
      </c>
      <c r="BR157" s="203">
        <f t="shared" si="154"/>
        <v>0</v>
      </c>
      <c r="BS157" s="203">
        <f t="shared" si="154"/>
        <v>0</v>
      </c>
      <c r="BT157" s="203">
        <f t="shared" si="154"/>
        <v>0</v>
      </c>
      <c r="BU157" s="203">
        <f t="shared" si="154"/>
        <v>0</v>
      </c>
      <c r="BV157" s="203">
        <f t="shared" si="154"/>
        <v>0</v>
      </c>
      <c r="BW157" s="203">
        <f t="shared" si="154"/>
        <v>0</v>
      </c>
      <c r="BX157" s="203">
        <f t="shared" si="154"/>
        <v>0</v>
      </c>
      <c r="BY157" s="203">
        <f t="shared" si="154"/>
        <v>0</v>
      </c>
      <c r="BZ157" s="203">
        <f t="shared" si="154"/>
        <v>0</v>
      </c>
      <c r="CA157" s="203">
        <f t="shared" si="154"/>
        <v>0</v>
      </c>
      <c r="CB157" s="204">
        <f t="shared" si="154"/>
        <v>0</v>
      </c>
    </row>
    <row r="159" spans="1:80" ht="12.45" thickBot="1" x14ac:dyDescent="0.3">
      <c r="C159" s="4" t="s">
        <v>30</v>
      </c>
      <c r="D159" s="4"/>
      <c r="E159" s="4"/>
      <c r="F159" s="4"/>
      <c r="G159" s="4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P159" s="133"/>
      <c r="BQ159" s="133"/>
      <c r="BR159" s="133"/>
      <c r="BS159" s="133"/>
      <c r="BT159" s="133"/>
      <c r="BU159" s="133"/>
      <c r="BV159" s="133"/>
      <c r="BW159" s="133"/>
      <c r="BX159" s="133"/>
      <c r="BY159" s="133"/>
      <c r="BZ159" s="133"/>
      <c r="CA159" s="133"/>
      <c r="CB159" s="133"/>
    </row>
    <row r="160" spans="1:80" ht="11.95" hidden="1" thickBot="1" x14ac:dyDescent="0.3">
      <c r="A160" t="s">
        <v>1</v>
      </c>
      <c r="E160" s="3"/>
      <c r="F160" s="3"/>
      <c r="G160" s="3" t="s">
        <v>30</v>
      </c>
      <c r="H160" s="18"/>
      <c r="I160" s="18"/>
      <c r="J160" s="18"/>
      <c r="K160" s="185"/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f>SUM(L160:W160)</f>
        <v>0</v>
      </c>
      <c r="Z160" s="185">
        <v>0</v>
      </c>
      <c r="AA160" s="185">
        <v>0</v>
      </c>
      <c r="AB160" s="185">
        <v>0</v>
      </c>
      <c r="AC160" s="185">
        <v>0</v>
      </c>
      <c r="AD160" s="185">
        <v>0</v>
      </c>
      <c r="AE160" s="185">
        <v>0</v>
      </c>
      <c r="AF160" s="185">
        <v>0</v>
      </c>
      <c r="AG160" s="185">
        <v>0</v>
      </c>
      <c r="AH160" s="185">
        <v>0</v>
      </c>
      <c r="AI160" s="185">
        <v>0</v>
      </c>
      <c r="AJ160" s="185">
        <v>0</v>
      </c>
      <c r="AK160" s="185">
        <v>0</v>
      </c>
      <c r="AL160" s="186">
        <f>SUM(Z160:AK160)</f>
        <v>0</v>
      </c>
      <c r="AN160" s="187">
        <v>0</v>
      </c>
      <c r="AO160" s="187">
        <v>0</v>
      </c>
      <c r="AP160" s="187">
        <v>0</v>
      </c>
      <c r="AQ160" s="187">
        <v>0</v>
      </c>
      <c r="AR160" s="187">
        <v>0</v>
      </c>
      <c r="AS160" s="187">
        <v>0</v>
      </c>
      <c r="AT160" s="187">
        <v>0</v>
      </c>
      <c r="AU160" s="187">
        <v>0</v>
      </c>
      <c r="AV160" s="187">
        <v>0</v>
      </c>
      <c r="AW160" s="187">
        <v>0</v>
      </c>
      <c r="AX160" s="187">
        <v>0</v>
      </c>
      <c r="AY160" s="187">
        <v>0</v>
      </c>
      <c r="AZ160" s="186">
        <f>SUM(AN160:AY160)</f>
        <v>0</v>
      </c>
      <c r="BB160" s="187">
        <v>0</v>
      </c>
      <c r="BC160" s="187">
        <v>0</v>
      </c>
      <c r="BD160" s="187">
        <v>0</v>
      </c>
      <c r="BE160" s="187">
        <v>0</v>
      </c>
      <c r="BF160" s="187">
        <v>0</v>
      </c>
      <c r="BG160" s="187">
        <v>0</v>
      </c>
      <c r="BH160" s="187">
        <v>0</v>
      </c>
      <c r="BI160" s="187">
        <v>0</v>
      </c>
      <c r="BJ160" s="187">
        <v>0</v>
      </c>
      <c r="BK160" s="187">
        <v>0</v>
      </c>
      <c r="BL160" s="187">
        <v>0</v>
      </c>
      <c r="BM160" s="187">
        <v>0</v>
      </c>
      <c r="BN160" s="186">
        <f>SUM(BB160:BM160)</f>
        <v>0</v>
      </c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1">
        <f>SUM(BP160:CA160)</f>
        <v>0</v>
      </c>
    </row>
    <row r="161" spans="1:80" ht="11.95" hidden="1" thickBot="1" x14ac:dyDescent="0.3">
      <c r="A161" t="str">
        <f>IF(LEFT(G161,3)="Mul", "#hiderow", "#showrow")</f>
        <v>#hiderow</v>
      </c>
      <c r="E161" s="3"/>
      <c r="F161" s="3"/>
      <c r="G161" s="3" t="s">
        <v>6</v>
      </c>
      <c r="H161" s="18"/>
      <c r="I161" s="18"/>
      <c r="J161" s="18"/>
      <c r="K161" s="185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6"/>
      <c r="AN161" s="187"/>
      <c r="AO161" s="187"/>
      <c r="AP161" s="187"/>
      <c r="AQ161" s="187"/>
      <c r="AR161" s="187"/>
      <c r="AS161" s="187"/>
      <c r="AT161" s="187"/>
      <c r="AU161" s="187"/>
      <c r="AV161" s="187"/>
      <c r="AW161" s="187"/>
      <c r="AX161" s="187"/>
      <c r="AY161" s="187"/>
      <c r="AZ161" s="186"/>
      <c r="BB161" s="187"/>
      <c r="BC161" s="187"/>
      <c r="BD161" s="187"/>
      <c r="BE161" s="187"/>
      <c r="BF161" s="187"/>
      <c r="BG161" s="187"/>
      <c r="BH161" s="187"/>
      <c r="BI161" s="187"/>
      <c r="BJ161" s="187"/>
      <c r="BK161" s="187"/>
      <c r="BL161" s="187"/>
      <c r="BM161" s="187"/>
      <c r="BN161" s="186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1"/>
    </row>
    <row r="162" spans="1:80" ht="11.95" x14ac:dyDescent="0.25">
      <c r="C162" s="19" t="str">
        <f>"Total "&amp;C159</f>
        <v>Total Pension</v>
      </c>
      <c r="D162" s="19"/>
      <c r="E162" s="19"/>
      <c r="F162" s="19"/>
      <c r="G162" s="19"/>
      <c r="H162" s="188"/>
      <c r="I162" s="188"/>
      <c r="J162" s="188"/>
      <c r="K162" s="188">
        <v>-1</v>
      </c>
      <c r="L162" s="188">
        <f t="shared" ref="L162:X162" si="155">SUMIFS(L160:L161,$H160:$H161,"&lt;&gt;"&amp;$H$18,$D160:$D161,"&lt;&gt;*[-]*",$E160:$E161,"&lt;&gt;*[-]*",$F160:$F161,"&lt;&gt;*[-]*",$G160:$G161,"Pension")</f>
        <v>0</v>
      </c>
      <c r="M162" s="188">
        <f t="shared" si="155"/>
        <v>0</v>
      </c>
      <c r="N162" s="188">
        <f t="shared" si="155"/>
        <v>0</v>
      </c>
      <c r="O162" s="188">
        <f t="shared" si="155"/>
        <v>0</v>
      </c>
      <c r="P162" s="188">
        <f t="shared" si="155"/>
        <v>0</v>
      </c>
      <c r="Q162" s="188">
        <f t="shared" si="155"/>
        <v>0</v>
      </c>
      <c r="R162" s="188">
        <f t="shared" si="155"/>
        <v>0</v>
      </c>
      <c r="S162" s="188">
        <f t="shared" si="155"/>
        <v>0</v>
      </c>
      <c r="T162" s="188">
        <f t="shared" si="155"/>
        <v>0</v>
      </c>
      <c r="U162" s="188">
        <f t="shared" si="155"/>
        <v>0</v>
      </c>
      <c r="V162" s="188">
        <f t="shared" si="155"/>
        <v>0</v>
      </c>
      <c r="W162" s="188">
        <f t="shared" si="155"/>
        <v>0</v>
      </c>
      <c r="X162" s="189">
        <f t="shared" si="155"/>
        <v>0</v>
      </c>
      <c r="Z162" s="188">
        <f t="shared" ref="Z162:AL162" si="156">SUMIFS(Z160:Z161,$H160:$H161,"&lt;&gt;"&amp;$H$18,$D160:$D161,"&lt;&gt;*[-]*",$E160:$E161,"&lt;&gt;*[-]*",$F160:$F161,"&lt;&gt;*[-]*",$G160:$G161,"Pension")</f>
        <v>0</v>
      </c>
      <c r="AA162" s="188">
        <f t="shared" si="156"/>
        <v>0</v>
      </c>
      <c r="AB162" s="188">
        <f t="shared" si="156"/>
        <v>0</v>
      </c>
      <c r="AC162" s="188">
        <f t="shared" si="156"/>
        <v>0</v>
      </c>
      <c r="AD162" s="188">
        <f t="shared" si="156"/>
        <v>0</v>
      </c>
      <c r="AE162" s="188">
        <f t="shared" si="156"/>
        <v>0</v>
      </c>
      <c r="AF162" s="188">
        <f t="shared" si="156"/>
        <v>0</v>
      </c>
      <c r="AG162" s="188">
        <f t="shared" si="156"/>
        <v>0</v>
      </c>
      <c r="AH162" s="188">
        <f t="shared" si="156"/>
        <v>0</v>
      </c>
      <c r="AI162" s="188">
        <f t="shared" si="156"/>
        <v>0</v>
      </c>
      <c r="AJ162" s="188">
        <f t="shared" si="156"/>
        <v>0</v>
      </c>
      <c r="AK162" s="188">
        <f t="shared" si="156"/>
        <v>0</v>
      </c>
      <c r="AL162" s="189">
        <f t="shared" si="156"/>
        <v>0</v>
      </c>
      <c r="AN162" s="188">
        <f t="shared" ref="AN162:AZ162" si="157">SUMIFS(AN160:AN161,$H160:$H161,"&lt;&gt;"&amp;$H$18,$D160:$D161,"&lt;&gt;*[-]*",$E160:$E161,"&lt;&gt;*[-]*",$F160:$F161,"&lt;&gt;*[-]*",$G160:$G161,"Pension")</f>
        <v>0</v>
      </c>
      <c r="AO162" s="188">
        <f t="shared" si="157"/>
        <v>0</v>
      </c>
      <c r="AP162" s="188">
        <f t="shared" si="157"/>
        <v>0</v>
      </c>
      <c r="AQ162" s="188">
        <f t="shared" si="157"/>
        <v>0</v>
      </c>
      <c r="AR162" s="188">
        <f t="shared" si="157"/>
        <v>0</v>
      </c>
      <c r="AS162" s="188">
        <f t="shared" si="157"/>
        <v>0</v>
      </c>
      <c r="AT162" s="188">
        <f t="shared" si="157"/>
        <v>0</v>
      </c>
      <c r="AU162" s="188">
        <f t="shared" si="157"/>
        <v>0</v>
      </c>
      <c r="AV162" s="188">
        <f t="shared" si="157"/>
        <v>0</v>
      </c>
      <c r="AW162" s="188">
        <f t="shared" si="157"/>
        <v>0</v>
      </c>
      <c r="AX162" s="188">
        <f t="shared" si="157"/>
        <v>0</v>
      </c>
      <c r="AY162" s="188">
        <f t="shared" si="157"/>
        <v>0</v>
      </c>
      <c r="AZ162" s="189">
        <f t="shared" si="157"/>
        <v>0</v>
      </c>
      <c r="BB162" s="188">
        <f t="shared" ref="BB162:BN162" si="158">SUMIFS(BB160:BB161,$H160:$H161,"&lt;&gt;"&amp;$H$18,$D160:$D161,"&lt;&gt;*[-]*",$E160:$E161,"&lt;&gt;*[-]*",$F160:$F161,"&lt;&gt;*[-]*",$G160:$G161,"Pension")</f>
        <v>0</v>
      </c>
      <c r="BC162" s="188">
        <f t="shared" si="158"/>
        <v>0</v>
      </c>
      <c r="BD162" s="188">
        <f t="shared" si="158"/>
        <v>0</v>
      </c>
      <c r="BE162" s="188">
        <f t="shared" si="158"/>
        <v>0</v>
      </c>
      <c r="BF162" s="188">
        <f t="shared" si="158"/>
        <v>0</v>
      </c>
      <c r="BG162" s="188">
        <f t="shared" si="158"/>
        <v>0</v>
      </c>
      <c r="BH162" s="188">
        <f t="shared" si="158"/>
        <v>0</v>
      </c>
      <c r="BI162" s="188">
        <f t="shared" si="158"/>
        <v>0</v>
      </c>
      <c r="BJ162" s="188">
        <f t="shared" si="158"/>
        <v>0</v>
      </c>
      <c r="BK162" s="188">
        <f t="shared" si="158"/>
        <v>0</v>
      </c>
      <c r="BL162" s="188">
        <f t="shared" si="158"/>
        <v>0</v>
      </c>
      <c r="BM162" s="188">
        <f t="shared" si="158"/>
        <v>0</v>
      </c>
      <c r="BN162" s="189">
        <f t="shared" si="158"/>
        <v>0</v>
      </c>
      <c r="BP162" s="203">
        <f t="shared" ref="BP162:CB162" si="159">SUMIFS(BP160:BP161,$H160:$H161,"&lt;&gt;"&amp;$H$18,$D160:$D161,"&lt;&gt;*[-]*",$E160:$E161,"&lt;&gt;*[-]*",$F160:$F161,"&lt;&gt;*[-]*",$G160:$G161,"&lt;&gt;*[-]*")</f>
        <v>0</v>
      </c>
      <c r="BQ162" s="203">
        <f t="shared" si="159"/>
        <v>0</v>
      </c>
      <c r="BR162" s="203">
        <f t="shared" si="159"/>
        <v>0</v>
      </c>
      <c r="BS162" s="203">
        <f t="shared" si="159"/>
        <v>0</v>
      </c>
      <c r="BT162" s="203">
        <f t="shared" si="159"/>
        <v>0</v>
      </c>
      <c r="BU162" s="203">
        <f t="shared" si="159"/>
        <v>0</v>
      </c>
      <c r="BV162" s="203">
        <f t="shared" si="159"/>
        <v>0</v>
      </c>
      <c r="BW162" s="203">
        <f t="shared" si="159"/>
        <v>0</v>
      </c>
      <c r="BX162" s="203">
        <f t="shared" si="159"/>
        <v>0</v>
      </c>
      <c r="BY162" s="203">
        <f t="shared" si="159"/>
        <v>0</v>
      </c>
      <c r="BZ162" s="203">
        <f t="shared" si="159"/>
        <v>0</v>
      </c>
      <c r="CA162" s="203">
        <f t="shared" si="159"/>
        <v>0</v>
      </c>
      <c r="CB162" s="204">
        <f t="shared" si="159"/>
        <v>0</v>
      </c>
    </row>
    <row r="164" spans="1:80" ht="12.45" thickBot="1" x14ac:dyDescent="0.3">
      <c r="C164" s="4" t="s">
        <v>45</v>
      </c>
      <c r="D164" s="4"/>
      <c r="E164" s="4"/>
      <c r="F164" s="4"/>
      <c r="G164" s="4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P164" s="133"/>
      <c r="BQ164" s="133"/>
      <c r="BR164" s="133"/>
      <c r="BS164" s="133"/>
      <c r="BT164" s="133"/>
      <c r="BU164" s="133"/>
      <c r="BV164" s="133"/>
      <c r="BW164" s="133"/>
      <c r="BX164" s="133"/>
      <c r="BY164" s="133"/>
      <c r="BZ164" s="133"/>
      <c r="CA164" s="133"/>
      <c r="CB164" s="133"/>
    </row>
    <row r="165" spans="1:80" ht="11.95" hidden="1" thickBot="1" x14ac:dyDescent="0.3">
      <c r="A165" t="s">
        <v>1</v>
      </c>
      <c r="D165" s="3"/>
      <c r="E165" s="3"/>
      <c r="F165" s="3"/>
      <c r="G165" s="3" t="s">
        <v>45</v>
      </c>
      <c r="H165" s="18"/>
      <c r="I165" s="18"/>
      <c r="J165" s="18"/>
      <c r="K165" s="185"/>
      <c r="L165" s="185">
        <v>0</v>
      </c>
      <c r="M165" s="185">
        <v>0</v>
      </c>
      <c r="N165" s="185">
        <v>0</v>
      </c>
      <c r="O165" s="185">
        <v>0</v>
      </c>
      <c r="P165" s="185">
        <v>0</v>
      </c>
      <c r="Q165" s="185">
        <v>0</v>
      </c>
      <c r="R165" s="185">
        <v>0</v>
      </c>
      <c r="S165" s="185">
        <v>0</v>
      </c>
      <c r="T165" s="185">
        <v>0</v>
      </c>
      <c r="U165" s="185">
        <v>0</v>
      </c>
      <c r="V165" s="185">
        <v>0</v>
      </c>
      <c r="W165" s="185">
        <v>0</v>
      </c>
      <c r="X165" s="186">
        <f>SUM(L165:W165)</f>
        <v>0</v>
      </c>
      <c r="Z165" s="185">
        <v>0</v>
      </c>
      <c r="AA165" s="185">
        <v>0</v>
      </c>
      <c r="AB165" s="185">
        <v>0</v>
      </c>
      <c r="AC165" s="185">
        <v>0</v>
      </c>
      <c r="AD165" s="185">
        <v>0</v>
      </c>
      <c r="AE165" s="185">
        <v>0</v>
      </c>
      <c r="AF165" s="185">
        <v>0</v>
      </c>
      <c r="AG165" s="185">
        <v>0</v>
      </c>
      <c r="AH165" s="185">
        <v>0</v>
      </c>
      <c r="AI165" s="185">
        <v>0</v>
      </c>
      <c r="AJ165" s="185">
        <v>0</v>
      </c>
      <c r="AK165" s="185">
        <v>0</v>
      </c>
      <c r="AL165" s="186">
        <f>SUM(Z165:AK165)</f>
        <v>0</v>
      </c>
      <c r="AN165" s="187">
        <v>0</v>
      </c>
      <c r="AO165" s="187">
        <v>0</v>
      </c>
      <c r="AP165" s="187">
        <v>0</v>
      </c>
      <c r="AQ165" s="187">
        <v>0</v>
      </c>
      <c r="AR165" s="187">
        <v>0</v>
      </c>
      <c r="AS165" s="187">
        <v>0</v>
      </c>
      <c r="AT165" s="187">
        <v>0</v>
      </c>
      <c r="AU165" s="187">
        <v>0</v>
      </c>
      <c r="AV165" s="187">
        <v>0</v>
      </c>
      <c r="AW165" s="187">
        <v>0</v>
      </c>
      <c r="AX165" s="187">
        <v>0</v>
      </c>
      <c r="AY165" s="187">
        <v>0</v>
      </c>
      <c r="AZ165" s="186">
        <f>SUM(AN165:AY165)</f>
        <v>0</v>
      </c>
      <c r="BB165" s="187">
        <v>0</v>
      </c>
      <c r="BC165" s="187">
        <v>0</v>
      </c>
      <c r="BD165" s="187">
        <v>0</v>
      </c>
      <c r="BE165" s="187">
        <v>0</v>
      </c>
      <c r="BF165" s="187">
        <v>0</v>
      </c>
      <c r="BG165" s="187">
        <v>0</v>
      </c>
      <c r="BH165" s="187">
        <v>0</v>
      </c>
      <c r="BI165" s="187">
        <v>0</v>
      </c>
      <c r="BJ165" s="187">
        <v>0</v>
      </c>
      <c r="BK165" s="187">
        <v>0</v>
      </c>
      <c r="BL165" s="187">
        <v>0</v>
      </c>
      <c r="BM165" s="187">
        <v>0</v>
      </c>
      <c r="BN165" s="186">
        <f>SUM(BB165:BM165)</f>
        <v>0</v>
      </c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1">
        <f>SUM(BP165:CA165)</f>
        <v>0</v>
      </c>
    </row>
    <row r="166" spans="1:80" ht="11.95" hidden="1" thickBot="1" x14ac:dyDescent="0.3">
      <c r="A166" t="str">
        <f>IF(LEFT(G166,3)="Mul", "#hiderow", "#showrow")</f>
        <v>#hiderow</v>
      </c>
      <c r="E166" s="3"/>
      <c r="F166" s="3"/>
      <c r="G166" s="3" t="s">
        <v>6</v>
      </c>
      <c r="H166" s="18"/>
      <c r="I166" s="18"/>
      <c r="J166" s="18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6"/>
      <c r="Z166" s="185"/>
      <c r="AA166" s="185"/>
      <c r="AB166" s="185"/>
      <c r="AC166" s="185"/>
      <c r="AD166" s="185"/>
      <c r="AE166" s="185"/>
      <c r="AF166" s="185"/>
      <c r="AG166" s="185"/>
      <c r="AH166" s="185"/>
      <c r="AI166" s="185"/>
      <c r="AJ166" s="185"/>
      <c r="AK166" s="185"/>
      <c r="AL166" s="186"/>
      <c r="AN166" s="187"/>
      <c r="AO166" s="187"/>
      <c r="AP166" s="187"/>
      <c r="AQ166" s="187"/>
      <c r="AR166" s="187"/>
      <c r="AS166" s="187"/>
      <c r="AT166" s="187"/>
      <c r="AU166" s="187"/>
      <c r="AV166" s="187"/>
      <c r="AW166" s="187"/>
      <c r="AX166" s="187"/>
      <c r="AY166" s="187"/>
      <c r="AZ166" s="186"/>
      <c r="BB166" s="187"/>
      <c r="BC166" s="187"/>
      <c r="BD166" s="187"/>
      <c r="BE166" s="187"/>
      <c r="BF166" s="187"/>
      <c r="BG166" s="187"/>
      <c r="BH166" s="187"/>
      <c r="BI166" s="187"/>
      <c r="BJ166" s="187"/>
      <c r="BK166" s="187"/>
      <c r="BL166" s="187"/>
      <c r="BM166" s="187"/>
      <c r="BN166" s="186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1"/>
    </row>
    <row r="167" spans="1:80" ht="11.95" x14ac:dyDescent="0.25">
      <c r="C167" s="19" t="str">
        <f>"Total "&amp;C164</f>
        <v>Total Interest Expense</v>
      </c>
      <c r="D167" s="19"/>
      <c r="E167" s="19"/>
      <c r="F167" s="19"/>
      <c r="G167" s="19"/>
      <c r="H167" s="188"/>
      <c r="I167" s="188"/>
      <c r="J167" s="188"/>
      <c r="K167" s="188">
        <v>-1</v>
      </c>
      <c r="L167" s="188">
        <f t="shared" ref="L167:X167" si="160">SUMIFS(L165:L166,$H165:$H166,"&lt;&gt;"&amp;$H$18,$D165:$D166,"&lt;&gt;*[-]*",$E165:$E166,"&lt;&gt;*[-]*",$F165:$F166,"&lt;&gt;*[-]*",$G165:$G166,"Interest Expense")</f>
        <v>0</v>
      </c>
      <c r="M167" s="188">
        <f t="shared" si="160"/>
        <v>0</v>
      </c>
      <c r="N167" s="188">
        <f t="shared" si="160"/>
        <v>0</v>
      </c>
      <c r="O167" s="188">
        <f t="shared" si="160"/>
        <v>0</v>
      </c>
      <c r="P167" s="188">
        <f t="shared" si="160"/>
        <v>0</v>
      </c>
      <c r="Q167" s="188">
        <f t="shared" si="160"/>
        <v>0</v>
      </c>
      <c r="R167" s="188">
        <f t="shared" si="160"/>
        <v>0</v>
      </c>
      <c r="S167" s="188">
        <f t="shared" si="160"/>
        <v>0</v>
      </c>
      <c r="T167" s="188">
        <f t="shared" si="160"/>
        <v>0</v>
      </c>
      <c r="U167" s="188">
        <f t="shared" si="160"/>
        <v>0</v>
      </c>
      <c r="V167" s="188">
        <f t="shared" si="160"/>
        <v>0</v>
      </c>
      <c r="W167" s="188">
        <f t="shared" si="160"/>
        <v>0</v>
      </c>
      <c r="X167" s="189">
        <f t="shared" si="160"/>
        <v>0</v>
      </c>
      <c r="Z167" s="188">
        <f t="shared" ref="Z167:AL167" si="161">SUMIFS(Z165:Z166,$H165:$H166,"&lt;&gt;"&amp;$H$18,$D165:$D166,"&lt;&gt;*[-]*",$E165:$E166,"&lt;&gt;*[-]*",$F165:$F166,"&lt;&gt;*[-]*",$G165:$G166,"Interest Expense")</f>
        <v>0</v>
      </c>
      <c r="AA167" s="188">
        <f t="shared" si="161"/>
        <v>0</v>
      </c>
      <c r="AB167" s="188">
        <f t="shared" si="161"/>
        <v>0</v>
      </c>
      <c r="AC167" s="188">
        <f t="shared" si="161"/>
        <v>0</v>
      </c>
      <c r="AD167" s="188">
        <f t="shared" si="161"/>
        <v>0</v>
      </c>
      <c r="AE167" s="188">
        <f t="shared" si="161"/>
        <v>0</v>
      </c>
      <c r="AF167" s="188">
        <f t="shared" si="161"/>
        <v>0</v>
      </c>
      <c r="AG167" s="188">
        <f t="shared" si="161"/>
        <v>0</v>
      </c>
      <c r="AH167" s="188">
        <f t="shared" si="161"/>
        <v>0</v>
      </c>
      <c r="AI167" s="188">
        <f t="shared" si="161"/>
        <v>0</v>
      </c>
      <c r="AJ167" s="188">
        <f t="shared" si="161"/>
        <v>0</v>
      </c>
      <c r="AK167" s="188">
        <f t="shared" si="161"/>
        <v>0</v>
      </c>
      <c r="AL167" s="189">
        <f t="shared" si="161"/>
        <v>0</v>
      </c>
      <c r="AN167" s="188">
        <f t="shared" ref="AN167:AZ167" si="162">SUMIFS(AN165:AN166,$H165:$H166,"&lt;&gt;"&amp;$H$18,$D165:$D166,"&lt;&gt;*[-]*",$E165:$E166,"&lt;&gt;*[-]*",$F165:$F166,"&lt;&gt;*[-]*",$G165:$G166,"Interest Expense")</f>
        <v>0</v>
      </c>
      <c r="AO167" s="188">
        <f t="shared" si="162"/>
        <v>0</v>
      </c>
      <c r="AP167" s="188">
        <f t="shared" si="162"/>
        <v>0</v>
      </c>
      <c r="AQ167" s="188">
        <f t="shared" si="162"/>
        <v>0</v>
      </c>
      <c r="AR167" s="188">
        <f t="shared" si="162"/>
        <v>0</v>
      </c>
      <c r="AS167" s="188">
        <f t="shared" si="162"/>
        <v>0</v>
      </c>
      <c r="AT167" s="188">
        <f t="shared" si="162"/>
        <v>0</v>
      </c>
      <c r="AU167" s="188">
        <f t="shared" si="162"/>
        <v>0</v>
      </c>
      <c r="AV167" s="188">
        <f t="shared" si="162"/>
        <v>0</v>
      </c>
      <c r="AW167" s="188">
        <f t="shared" si="162"/>
        <v>0</v>
      </c>
      <c r="AX167" s="188">
        <f t="shared" si="162"/>
        <v>0</v>
      </c>
      <c r="AY167" s="188">
        <f t="shared" si="162"/>
        <v>0</v>
      </c>
      <c r="AZ167" s="189">
        <f t="shared" si="162"/>
        <v>0</v>
      </c>
      <c r="BB167" s="188">
        <f t="shared" ref="BB167:BN167" si="163">SUMIFS(BB165:BB166,$H165:$H166,"&lt;&gt;"&amp;$H$18,$D165:$D166,"&lt;&gt;*[-]*",$E165:$E166,"&lt;&gt;*[-]*",$F165:$F166,"&lt;&gt;*[-]*",$G165:$G166,"Interest Expense")</f>
        <v>0</v>
      </c>
      <c r="BC167" s="188">
        <f t="shared" si="163"/>
        <v>0</v>
      </c>
      <c r="BD167" s="188">
        <f t="shared" si="163"/>
        <v>0</v>
      </c>
      <c r="BE167" s="188">
        <f t="shared" si="163"/>
        <v>0</v>
      </c>
      <c r="BF167" s="188">
        <f t="shared" si="163"/>
        <v>0</v>
      </c>
      <c r="BG167" s="188">
        <f t="shared" si="163"/>
        <v>0</v>
      </c>
      <c r="BH167" s="188">
        <f t="shared" si="163"/>
        <v>0</v>
      </c>
      <c r="BI167" s="188">
        <f t="shared" si="163"/>
        <v>0</v>
      </c>
      <c r="BJ167" s="188">
        <f t="shared" si="163"/>
        <v>0</v>
      </c>
      <c r="BK167" s="188">
        <f t="shared" si="163"/>
        <v>0</v>
      </c>
      <c r="BL167" s="188">
        <f t="shared" si="163"/>
        <v>0</v>
      </c>
      <c r="BM167" s="188">
        <f t="shared" si="163"/>
        <v>0</v>
      </c>
      <c r="BN167" s="189">
        <f t="shared" si="163"/>
        <v>0</v>
      </c>
      <c r="BP167" s="203">
        <f t="shared" ref="BP167:CB167" si="164">SUMIFS(BP165:BP166,$H165:$H166,"&lt;&gt;"&amp;$H$18,$D165:$D166,"&lt;&gt;*[-]*",$E165:$E166,"&lt;&gt;*[-]*",$F165:$F166,"&lt;&gt;*[-]*",$G165:$G166,"&lt;&gt;*[-]*")</f>
        <v>0</v>
      </c>
      <c r="BQ167" s="203">
        <f t="shared" si="164"/>
        <v>0</v>
      </c>
      <c r="BR167" s="203">
        <f t="shared" si="164"/>
        <v>0</v>
      </c>
      <c r="BS167" s="203">
        <f t="shared" si="164"/>
        <v>0</v>
      </c>
      <c r="BT167" s="203">
        <f t="shared" si="164"/>
        <v>0</v>
      </c>
      <c r="BU167" s="203">
        <f t="shared" si="164"/>
        <v>0</v>
      </c>
      <c r="BV167" s="203">
        <f t="shared" si="164"/>
        <v>0</v>
      </c>
      <c r="BW167" s="203">
        <f t="shared" si="164"/>
        <v>0</v>
      </c>
      <c r="BX167" s="203">
        <f t="shared" si="164"/>
        <v>0</v>
      </c>
      <c r="BY167" s="203">
        <f t="shared" si="164"/>
        <v>0</v>
      </c>
      <c r="BZ167" s="203">
        <f t="shared" si="164"/>
        <v>0</v>
      </c>
      <c r="CA167" s="203">
        <f t="shared" si="164"/>
        <v>0</v>
      </c>
      <c r="CB167" s="204">
        <f t="shared" si="164"/>
        <v>0</v>
      </c>
    </row>
    <row r="169" spans="1:80" ht="12.45" thickBot="1" x14ac:dyDescent="0.3">
      <c r="C169" s="4" t="s">
        <v>117</v>
      </c>
      <c r="D169" s="4"/>
      <c r="E169" s="4"/>
      <c r="F169" s="4"/>
      <c r="G169" s="4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P169" s="133"/>
      <c r="BQ169" s="133"/>
      <c r="BR169" s="133"/>
      <c r="BS169" s="133"/>
      <c r="BT169" s="133"/>
      <c r="BU169" s="133"/>
      <c r="BV169" s="133"/>
      <c r="BW169" s="133"/>
      <c r="BX169" s="133"/>
      <c r="BY169" s="133"/>
      <c r="BZ169" s="133"/>
      <c r="CA169" s="133"/>
      <c r="CB169" s="133"/>
    </row>
    <row r="170" spans="1:80" ht="11.95" hidden="1" thickBot="1" x14ac:dyDescent="0.3">
      <c r="A170" t="s">
        <v>1</v>
      </c>
      <c r="D170" s="3"/>
      <c r="E170" s="3"/>
      <c r="F170" s="3"/>
      <c r="G170" s="3" t="s">
        <v>117</v>
      </c>
      <c r="H170" s="18"/>
      <c r="I170" s="18"/>
      <c r="J170" s="18"/>
      <c r="K170" s="185"/>
      <c r="L170" s="185">
        <v>0</v>
      </c>
      <c r="M170" s="185">
        <v>0</v>
      </c>
      <c r="N170" s="185">
        <v>0</v>
      </c>
      <c r="O170" s="185">
        <v>0</v>
      </c>
      <c r="P170" s="185">
        <v>0</v>
      </c>
      <c r="Q170" s="185">
        <v>0</v>
      </c>
      <c r="R170" s="185">
        <v>0</v>
      </c>
      <c r="S170" s="185">
        <v>0</v>
      </c>
      <c r="T170" s="185">
        <v>0</v>
      </c>
      <c r="U170" s="185">
        <v>0</v>
      </c>
      <c r="V170" s="185">
        <v>0</v>
      </c>
      <c r="W170" s="185">
        <v>0</v>
      </c>
      <c r="X170" s="186">
        <f>SUM(L170:W170)</f>
        <v>0</v>
      </c>
      <c r="Z170" s="185">
        <v>0</v>
      </c>
      <c r="AA170" s="185">
        <v>0</v>
      </c>
      <c r="AB170" s="185">
        <v>0</v>
      </c>
      <c r="AC170" s="185">
        <v>0</v>
      </c>
      <c r="AD170" s="185">
        <v>0</v>
      </c>
      <c r="AE170" s="185">
        <v>0</v>
      </c>
      <c r="AF170" s="185">
        <v>0</v>
      </c>
      <c r="AG170" s="185">
        <v>0</v>
      </c>
      <c r="AH170" s="185">
        <v>0</v>
      </c>
      <c r="AI170" s="185">
        <v>0</v>
      </c>
      <c r="AJ170" s="185">
        <v>0</v>
      </c>
      <c r="AK170" s="185">
        <v>0</v>
      </c>
      <c r="AL170" s="186">
        <f>SUM(Z170:AK170)</f>
        <v>0</v>
      </c>
      <c r="AN170" s="187">
        <v>0</v>
      </c>
      <c r="AO170" s="187">
        <v>0</v>
      </c>
      <c r="AP170" s="187">
        <v>0</v>
      </c>
      <c r="AQ170" s="187">
        <v>0</v>
      </c>
      <c r="AR170" s="187">
        <v>0</v>
      </c>
      <c r="AS170" s="187">
        <v>0</v>
      </c>
      <c r="AT170" s="187">
        <v>0</v>
      </c>
      <c r="AU170" s="187">
        <v>0</v>
      </c>
      <c r="AV170" s="187">
        <v>0</v>
      </c>
      <c r="AW170" s="187">
        <v>0</v>
      </c>
      <c r="AX170" s="187">
        <v>0</v>
      </c>
      <c r="AY170" s="187">
        <v>0</v>
      </c>
      <c r="AZ170" s="186">
        <f>SUM(AN170:AY170)</f>
        <v>0</v>
      </c>
      <c r="BB170" s="187">
        <v>0</v>
      </c>
      <c r="BC170" s="187">
        <v>0</v>
      </c>
      <c r="BD170" s="187">
        <v>0</v>
      </c>
      <c r="BE170" s="187">
        <v>0</v>
      </c>
      <c r="BF170" s="187">
        <v>0</v>
      </c>
      <c r="BG170" s="187">
        <v>0</v>
      </c>
      <c r="BH170" s="187">
        <v>0</v>
      </c>
      <c r="BI170" s="187">
        <v>0</v>
      </c>
      <c r="BJ170" s="187">
        <v>0</v>
      </c>
      <c r="BK170" s="187">
        <v>0</v>
      </c>
      <c r="BL170" s="187">
        <v>0</v>
      </c>
      <c r="BM170" s="187">
        <v>0</v>
      </c>
      <c r="BN170" s="186">
        <f>SUM(BB170:BM170)</f>
        <v>0</v>
      </c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1">
        <f>SUM(BP170:CA170)</f>
        <v>0</v>
      </c>
    </row>
    <row r="171" spans="1:80" ht="11.95" hidden="1" thickBot="1" x14ac:dyDescent="0.3">
      <c r="A171" t="str">
        <f>IF(LEFT(G171,3)="Mul", "#hiderow", "#showrow")</f>
        <v>#hiderow</v>
      </c>
      <c r="E171" s="3"/>
      <c r="F171" s="3"/>
      <c r="G171" s="3" t="s">
        <v>6</v>
      </c>
      <c r="H171" s="18"/>
      <c r="I171" s="18"/>
      <c r="J171" s="18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6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6"/>
      <c r="AN171" s="187"/>
      <c r="AO171" s="187"/>
      <c r="AP171" s="187"/>
      <c r="AQ171" s="187"/>
      <c r="AR171" s="187"/>
      <c r="AS171" s="187"/>
      <c r="AT171" s="187"/>
      <c r="AU171" s="187"/>
      <c r="AV171" s="187"/>
      <c r="AW171" s="187"/>
      <c r="AX171" s="187"/>
      <c r="AY171" s="187"/>
      <c r="AZ171" s="186"/>
      <c r="BB171" s="187"/>
      <c r="BC171" s="187"/>
      <c r="BD171" s="187"/>
      <c r="BE171" s="187"/>
      <c r="BF171" s="187"/>
      <c r="BG171" s="187"/>
      <c r="BH171" s="187"/>
      <c r="BI171" s="187"/>
      <c r="BJ171" s="187"/>
      <c r="BK171" s="187"/>
      <c r="BL171" s="187"/>
      <c r="BM171" s="187"/>
      <c r="BN171" s="186"/>
      <c r="BP171" s="202"/>
      <c r="BQ171" s="202"/>
      <c r="BR171" s="202"/>
      <c r="BS171" s="202"/>
      <c r="BT171" s="202"/>
      <c r="BU171" s="202"/>
      <c r="BV171" s="202"/>
      <c r="BW171" s="202"/>
      <c r="BX171" s="202"/>
      <c r="BY171" s="202"/>
      <c r="BZ171" s="202"/>
      <c r="CA171" s="202"/>
      <c r="CB171" s="201"/>
    </row>
    <row r="172" spans="1:80" ht="11.95" x14ac:dyDescent="0.25">
      <c r="C172" s="19" t="str">
        <f>"Total "&amp;C169</f>
        <v>Total Gain/Loss on Swap MTM</v>
      </c>
      <c r="D172" s="19"/>
      <c r="E172" s="19"/>
      <c r="F172" s="19"/>
      <c r="G172" s="19"/>
      <c r="H172" s="188"/>
      <c r="I172" s="188"/>
      <c r="J172" s="188"/>
      <c r="K172" s="188">
        <v>-1</v>
      </c>
      <c r="L172" s="188">
        <f t="shared" ref="L172:X172" si="165">SUMIFS(L170:L171,$H170:$H171,"&lt;&gt;"&amp;$H$18,$D170:$D171,"&lt;&gt;*[-]*",$E170:$E171,"&lt;&gt;*[-]*",$F170:$F171,"&lt;&gt;*[-]*",$G170:$G171,"Gain/Loss on Swap MTM")</f>
        <v>0</v>
      </c>
      <c r="M172" s="188">
        <f t="shared" si="165"/>
        <v>0</v>
      </c>
      <c r="N172" s="188">
        <f t="shared" si="165"/>
        <v>0</v>
      </c>
      <c r="O172" s="188">
        <f t="shared" si="165"/>
        <v>0</v>
      </c>
      <c r="P172" s="188">
        <f t="shared" si="165"/>
        <v>0</v>
      </c>
      <c r="Q172" s="188">
        <f t="shared" si="165"/>
        <v>0</v>
      </c>
      <c r="R172" s="188">
        <f t="shared" si="165"/>
        <v>0</v>
      </c>
      <c r="S172" s="188">
        <f t="shared" si="165"/>
        <v>0</v>
      </c>
      <c r="T172" s="188">
        <f t="shared" si="165"/>
        <v>0</v>
      </c>
      <c r="U172" s="188">
        <f t="shared" si="165"/>
        <v>0</v>
      </c>
      <c r="V172" s="188">
        <f t="shared" si="165"/>
        <v>0</v>
      </c>
      <c r="W172" s="188">
        <f t="shared" si="165"/>
        <v>0</v>
      </c>
      <c r="X172" s="189">
        <f t="shared" si="165"/>
        <v>0</v>
      </c>
      <c r="Z172" s="188">
        <f t="shared" ref="Z172:AL172" si="166">SUMIFS(Z170:Z171,$H170:$H171,"&lt;&gt;"&amp;$H$18,$D170:$D171,"&lt;&gt;*[-]*",$E170:$E171,"&lt;&gt;*[-]*",$F170:$F171,"&lt;&gt;*[-]*",$G170:$G171,"Gain/Loss on Swap MTM")</f>
        <v>0</v>
      </c>
      <c r="AA172" s="188">
        <f t="shared" si="166"/>
        <v>0</v>
      </c>
      <c r="AB172" s="188">
        <f t="shared" si="166"/>
        <v>0</v>
      </c>
      <c r="AC172" s="188">
        <f t="shared" si="166"/>
        <v>0</v>
      </c>
      <c r="AD172" s="188">
        <f t="shared" si="166"/>
        <v>0</v>
      </c>
      <c r="AE172" s="188">
        <f t="shared" si="166"/>
        <v>0</v>
      </c>
      <c r="AF172" s="188">
        <f t="shared" si="166"/>
        <v>0</v>
      </c>
      <c r="AG172" s="188">
        <f t="shared" si="166"/>
        <v>0</v>
      </c>
      <c r="AH172" s="188">
        <f t="shared" si="166"/>
        <v>0</v>
      </c>
      <c r="AI172" s="188">
        <f t="shared" si="166"/>
        <v>0</v>
      </c>
      <c r="AJ172" s="188">
        <f t="shared" si="166"/>
        <v>0</v>
      </c>
      <c r="AK172" s="188">
        <f t="shared" si="166"/>
        <v>0</v>
      </c>
      <c r="AL172" s="189">
        <f t="shared" si="166"/>
        <v>0</v>
      </c>
      <c r="AN172" s="188">
        <f t="shared" ref="AN172:AZ172" si="167">SUMIFS(AN170:AN171,$H170:$H171,"&lt;&gt;"&amp;$H$18,$D170:$D171,"&lt;&gt;*[-]*",$E170:$E171,"&lt;&gt;*[-]*",$F170:$F171,"&lt;&gt;*[-]*",$G170:$G171,"Gain/Loss on Swap MTM")</f>
        <v>0</v>
      </c>
      <c r="AO172" s="188">
        <f t="shared" si="167"/>
        <v>0</v>
      </c>
      <c r="AP172" s="188">
        <f t="shared" si="167"/>
        <v>0</v>
      </c>
      <c r="AQ172" s="188">
        <f t="shared" si="167"/>
        <v>0</v>
      </c>
      <c r="AR172" s="188">
        <f t="shared" si="167"/>
        <v>0</v>
      </c>
      <c r="AS172" s="188">
        <f t="shared" si="167"/>
        <v>0</v>
      </c>
      <c r="AT172" s="188">
        <f t="shared" si="167"/>
        <v>0</v>
      </c>
      <c r="AU172" s="188">
        <f t="shared" si="167"/>
        <v>0</v>
      </c>
      <c r="AV172" s="188">
        <f t="shared" si="167"/>
        <v>0</v>
      </c>
      <c r="AW172" s="188">
        <f t="shared" si="167"/>
        <v>0</v>
      </c>
      <c r="AX172" s="188">
        <f t="shared" si="167"/>
        <v>0</v>
      </c>
      <c r="AY172" s="188">
        <f t="shared" si="167"/>
        <v>0</v>
      </c>
      <c r="AZ172" s="189">
        <f t="shared" si="167"/>
        <v>0</v>
      </c>
      <c r="BB172" s="188">
        <f t="shared" ref="BB172:BN172" si="168">SUMIFS(BB170:BB171,$H170:$H171,"&lt;&gt;"&amp;$H$18,$D170:$D171,"&lt;&gt;*[-]*",$E170:$E171,"&lt;&gt;*[-]*",$F170:$F171,"&lt;&gt;*[-]*",$G170:$G171,"Gain/Loss on Swap MTM")</f>
        <v>0</v>
      </c>
      <c r="BC172" s="188">
        <f t="shared" si="168"/>
        <v>0</v>
      </c>
      <c r="BD172" s="188">
        <f t="shared" si="168"/>
        <v>0</v>
      </c>
      <c r="BE172" s="188">
        <f t="shared" si="168"/>
        <v>0</v>
      </c>
      <c r="BF172" s="188">
        <f t="shared" si="168"/>
        <v>0</v>
      </c>
      <c r="BG172" s="188">
        <f t="shared" si="168"/>
        <v>0</v>
      </c>
      <c r="BH172" s="188">
        <f t="shared" si="168"/>
        <v>0</v>
      </c>
      <c r="BI172" s="188">
        <f t="shared" si="168"/>
        <v>0</v>
      </c>
      <c r="BJ172" s="188">
        <f t="shared" si="168"/>
        <v>0</v>
      </c>
      <c r="BK172" s="188">
        <f t="shared" si="168"/>
        <v>0</v>
      </c>
      <c r="BL172" s="188">
        <f t="shared" si="168"/>
        <v>0</v>
      </c>
      <c r="BM172" s="188">
        <f t="shared" si="168"/>
        <v>0</v>
      </c>
      <c r="BN172" s="189">
        <f t="shared" si="168"/>
        <v>0</v>
      </c>
      <c r="BP172" s="203">
        <f t="shared" ref="BP172:CB172" si="169">SUMIFS(BP170:BP171,$H170:$H171,"&lt;&gt;"&amp;$H$18,$D170:$D171,"&lt;&gt;*[-]*",$E170:$E171,"&lt;&gt;*[-]*",$F170:$F171,"&lt;&gt;*[-]*",$G170:$G171,"&lt;&gt;*[-]*")</f>
        <v>0</v>
      </c>
      <c r="BQ172" s="203">
        <f t="shared" si="169"/>
        <v>0</v>
      </c>
      <c r="BR172" s="203">
        <f t="shared" si="169"/>
        <v>0</v>
      </c>
      <c r="BS172" s="203">
        <f t="shared" si="169"/>
        <v>0</v>
      </c>
      <c r="BT172" s="203">
        <f t="shared" si="169"/>
        <v>0</v>
      </c>
      <c r="BU172" s="203">
        <f t="shared" si="169"/>
        <v>0</v>
      </c>
      <c r="BV172" s="203">
        <f t="shared" si="169"/>
        <v>0</v>
      </c>
      <c r="BW172" s="203">
        <f t="shared" si="169"/>
        <v>0</v>
      </c>
      <c r="BX172" s="203">
        <f t="shared" si="169"/>
        <v>0</v>
      </c>
      <c r="BY172" s="203">
        <f t="shared" si="169"/>
        <v>0</v>
      </c>
      <c r="BZ172" s="203">
        <f t="shared" si="169"/>
        <v>0</v>
      </c>
      <c r="CA172" s="203">
        <f t="shared" si="169"/>
        <v>0</v>
      </c>
      <c r="CB172" s="204">
        <f t="shared" si="169"/>
        <v>0</v>
      </c>
    </row>
    <row r="174" spans="1:80" s="47" customFormat="1" ht="12.45" hidden="1" thickBot="1" x14ac:dyDescent="0.3">
      <c r="A174" t="s">
        <v>1</v>
      </c>
      <c r="C174" s="132" t="s">
        <v>117</v>
      </c>
      <c r="D174" s="132"/>
      <c r="E174" s="132"/>
      <c r="F174" s="132"/>
      <c r="G174" s="132"/>
      <c r="H174" s="132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P174" s="133"/>
      <c r="BQ174" s="133"/>
      <c r="BR174" s="133"/>
      <c r="BS174" s="133"/>
      <c r="BT174" s="133"/>
      <c r="BU174" s="133"/>
      <c r="BV174" s="133"/>
      <c r="BW174" s="133"/>
      <c r="BX174" s="133"/>
      <c r="BY174" s="133"/>
      <c r="BZ174" s="133"/>
      <c r="CA174" s="133"/>
      <c r="CB174" s="133"/>
    </row>
    <row r="175" spans="1:80" s="47" customFormat="1" ht="11.95" hidden="1" thickBot="1" x14ac:dyDescent="0.3">
      <c r="A175" t="s">
        <v>1</v>
      </c>
      <c r="D175" s="135"/>
      <c r="E175" s="135"/>
      <c r="F175" s="135"/>
      <c r="G175" s="135" t="s">
        <v>117</v>
      </c>
      <c r="H175" s="136"/>
      <c r="I175" s="136"/>
      <c r="J175" s="136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1">
        <f>SUM(L175:W175)</f>
        <v>0</v>
      </c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1">
        <f>SUM(Z175:AK175)</f>
        <v>0</v>
      </c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1">
        <f>SUM(AN175:AY175)</f>
        <v>0</v>
      </c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1">
        <f>SUM(BB175:BM175)</f>
        <v>0</v>
      </c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1">
        <f>SUM(BP175:CA175)</f>
        <v>0</v>
      </c>
    </row>
    <row r="176" spans="1:80" s="47" customFormat="1" ht="11.95" hidden="1" thickBot="1" x14ac:dyDescent="0.3">
      <c r="A176" t="s">
        <v>1</v>
      </c>
      <c r="E176" s="135"/>
      <c r="F176" s="135"/>
      <c r="G176" s="135" t="s">
        <v>6</v>
      </c>
      <c r="H176" s="136"/>
      <c r="I176" s="136"/>
      <c r="J176" s="136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1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1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1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1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1"/>
    </row>
    <row r="177" spans="1:80" s="47" customFormat="1" ht="11.95" hidden="1" x14ac:dyDescent="0.25">
      <c r="A177" t="s">
        <v>1</v>
      </c>
      <c r="C177" s="141" t="str">
        <f>"Total "&amp;C174</f>
        <v>Total Gain/Loss on Swap MTM</v>
      </c>
      <c r="D177" s="141"/>
      <c r="E177" s="141"/>
      <c r="F177" s="141"/>
      <c r="G177" s="141"/>
      <c r="H177" s="203"/>
      <c r="I177" s="203"/>
      <c r="J177" s="203"/>
      <c r="K177" s="203">
        <v>-1</v>
      </c>
      <c r="L177" s="203">
        <f t="shared" ref="L177:X177" si="170">SUMIFS(L175:L176,$H175:$H176,"&lt;&gt;"&amp;$H$18,$D175:$D176,"&lt;&gt;*[-]*",$E175:$E176,"&lt;&gt;*[-]*",$F175:$F176,"&lt;&gt;*[-]*",$G175:$G176,"&lt;&gt;*[-]*")</f>
        <v>0</v>
      </c>
      <c r="M177" s="203">
        <f t="shared" si="170"/>
        <v>0</v>
      </c>
      <c r="N177" s="203">
        <f t="shared" si="170"/>
        <v>0</v>
      </c>
      <c r="O177" s="203">
        <f t="shared" si="170"/>
        <v>0</v>
      </c>
      <c r="P177" s="203">
        <f t="shared" si="170"/>
        <v>0</v>
      </c>
      <c r="Q177" s="203">
        <f t="shared" si="170"/>
        <v>0</v>
      </c>
      <c r="R177" s="203">
        <f t="shared" si="170"/>
        <v>0</v>
      </c>
      <c r="S177" s="203">
        <f t="shared" si="170"/>
        <v>0</v>
      </c>
      <c r="T177" s="203">
        <f t="shared" si="170"/>
        <v>0</v>
      </c>
      <c r="U177" s="203">
        <f t="shared" si="170"/>
        <v>0</v>
      </c>
      <c r="V177" s="203">
        <f t="shared" si="170"/>
        <v>0</v>
      </c>
      <c r="W177" s="203">
        <f t="shared" si="170"/>
        <v>0</v>
      </c>
      <c r="X177" s="204">
        <f t="shared" si="170"/>
        <v>0</v>
      </c>
      <c r="Z177" s="203">
        <f t="shared" ref="Z177:AL177" si="171">SUMIFS(Z175:Z176,$H175:$H176,"&lt;&gt;"&amp;$H$18,$D175:$D176,"&lt;&gt;*[-]*",$E175:$E176,"&lt;&gt;*[-]*",$F175:$F176,"&lt;&gt;*[-]*",$G175:$G176,"&lt;&gt;*[-]*")</f>
        <v>0</v>
      </c>
      <c r="AA177" s="203">
        <f t="shared" si="171"/>
        <v>0</v>
      </c>
      <c r="AB177" s="203">
        <f t="shared" si="171"/>
        <v>0</v>
      </c>
      <c r="AC177" s="203">
        <f t="shared" si="171"/>
        <v>0</v>
      </c>
      <c r="AD177" s="203">
        <f t="shared" si="171"/>
        <v>0</v>
      </c>
      <c r="AE177" s="203">
        <f t="shared" si="171"/>
        <v>0</v>
      </c>
      <c r="AF177" s="203">
        <f t="shared" si="171"/>
        <v>0</v>
      </c>
      <c r="AG177" s="203">
        <f t="shared" si="171"/>
        <v>0</v>
      </c>
      <c r="AH177" s="203">
        <f t="shared" si="171"/>
        <v>0</v>
      </c>
      <c r="AI177" s="203">
        <f t="shared" si="171"/>
        <v>0</v>
      </c>
      <c r="AJ177" s="203">
        <f t="shared" si="171"/>
        <v>0</v>
      </c>
      <c r="AK177" s="203">
        <f t="shared" si="171"/>
        <v>0</v>
      </c>
      <c r="AL177" s="204">
        <f t="shared" si="171"/>
        <v>0</v>
      </c>
      <c r="AN177" s="203">
        <f t="shared" ref="AN177:AZ177" si="172">SUMIFS(AN175:AN176,$H175:$H176,"&lt;&gt;"&amp;$H$18,$D175:$D176,"&lt;&gt;*[-]*",$E175:$E176,"&lt;&gt;*[-]*",$F175:$F176,"&lt;&gt;*[-]*",$G175:$G176,"&lt;&gt;*[-]*")</f>
        <v>0</v>
      </c>
      <c r="AO177" s="203">
        <f t="shared" si="172"/>
        <v>0</v>
      </c>
      <c r="AP177" s="203">
        <f t="shared" si="172"/>
        <v>0</v>
      </c>
      <c r="AQ177" s="203">
        <f t="shared" si="172"/>
        <v>0</v>
      </c>
      <c r="AR177" s="203">
        <f t="shared" si="172"/>
        <v>0</v>
      </c>
      <c r="AS177" s="203">
        <f t="shared" si="172"/>
        <v>0</v>
      </c>
      <c r="AT177" s="203">
        <f t="shared" si="172"/>
        <v>0</v>
      </c>
      <c r="AU177" s="203">
        <f t="shared" si="172"/>
        <v>0</v>
      </c>
      <c r="AV177" s="203">
        <f t="shared" si="172"/>
        <v>0</v>
      </c>
      <c r="AW177" s="203">
        <f t="shared" si="172"/>
        <v>0</v>
      </c>
      <c r="AX177" s="203">
        <f t="shared" si="172"/>
        <v>0</v>
      </c>
      <c r="AY177" s="203">
        <f t="shared" si="172"/>
        <v>0</v>
      </c>
      <c r="AZ177" s="204">
        <f t="shared" si="172"/>
        <v>0</v>
      </c>
      <c r="BB177" s="203">
        <f t="shared" ref="BB177:BN177" si="173">SUMIFS(BB175:BB176,$H175:$H176,"&lt;&gt;"&amp;$H$18,$D175:$D176,"&lt;&gt;*[-]*",$E175:$E176,"&lt;&gt;*[-]*",$F175:$F176,"&lt;&gt;*[-]*",$G175:$G176,"&lt;&gt;*[-]*")</f>
        <v>0</v>
      </c>
      <c r="BC177" s="203">
        <f t="shared" si="173"/>
        <v>0</v>
      </c>
      <c r="BD177" s="203">
        <f t="shared" si="173"/>
        <v>0</v>
      </c>
      <c r="BE177" s="203">
        <f t="shared" si="173"/>
        <v>0</v>
      </c>
      <c r="BF177" s="203">
        <f t="shared" si="173"/>
        <v>0</v>
      </c>
      <c r="BG177" s="203">
        <f t="shared" si="173"/>
        <v>0</v>
      </c>
      <c r="BH177" s="203">
        <f t="shared" si="173"/>
        <v>0</v>
      </c>
      <c r="BI177" s="203">
        <f t="shared" si="173"/>
        <v>0</v>
      </c>
      <c r="BJ177" s="203">
        <f t="shared" si="173"/>
        <v>0</v>
      </c>
      <c r="BK177" s="203">
        <f t="shared" si="173"/>
        <v>0</v>
      </c>
      <c r="BL177" s="203">
        <f t="shared" si="173"/>
        <v>0</v>
      </c>
      <c r="BM177" s="203">
        <f t="shared" si="173"/>
        <v>0</v>
      </c>
      <c r="BN177" s="204">
        <f t="shared" si="173"/>
        <v>0</v>
      </c>
      <c r="BP177" s="203">
        <f t="shared" ref="BP177:CB177" si="174">SUMIFS(BP175:BP176,$H175:$H176,"&lt;&gt;"&amp;$H$18,$D175:$D176,"&lt;&gt;*[-]*",$E175:$E176,"&lt;&gt;*[-]*",$F175:$F176,"&lt;&gt;*[-]*",$G175:$G176,"&lt;&gt;*[-]*")</f>
        <v>0</v>
      </c>
      <c r="BQ177" s="203">
        <f t="shared" si="174"/>
        <v>0</v>
      </c>
      <c r="BR177" s="203">
        <f t="shared" si="174"/>
        <v>0</v>
      </c>
      <c r="BS177" s="203">
        <f t="shared" si="174"/>
        <v>0</v>
      </c>
      <c r="BT177" s="203">
        <f t="shared" si="174"/>
        <v>0</v>
      </c>
      <c r="BU177" s="203">
        <f t="shared" si="174"/>
        <v>0</v>
      </c>
      <c r="BV177" s="203">
        <f t="shared" si="174"/>
        <v>0</v>
      </c>
      <c r="BW177" s="203">
        <f t="shared" si="174"/>
        <v>0</v>
      </c>
      <c r="BX177" s="203">
        <f t="shared" si="174"/>
        <v>0</v>
      </c>
      <c r="BY177" s="203">
        <f t="shared" si="174"/>
        <v>0</v>
      </c>
      <c r="BZ177" s="203">
        <f t="shared" si="174"/>
        <v>0</v>
      </c>
      <c r="CA177" s="203">
        <f t="shared" si="174"/>
        <v>0</v>
      </c>
      <c r="CB177" s="204">
        <f t="shared" si="174"/>
        <v>0</v>
      </c>
    </row>
    <row r="178" spans="1:80" s="47" customFormat="1" hidden="1" x14ac:dyDescent="0.25">
      <c r="A178" t="s">
        <v>1</v>
      </c>
    </row>
    <row r="179" spans="1:80" s="47" customFormat="1" ht="12.45" hidden="1" thickBot="1" x14ac:dyDescent="0.3">
      <c r="A179" t="s">
        <v>1</v>
      </c>
      <c r="C179" s="132" t="s">
        <v>117</v>
      </c>
      <c r="D179" s="132"/>
      <c r="E179" s="132"/>
      <c r="F179" s="132"/>
      <c r="G179" s="132"/>
      <c r="H179" s="132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</row>
    <row r="180" spans="1:80" s="47" customFormat="1" ht="11.95" hidden="1" thickBot="1" x14ac:dyDescent="0.3">
      <c r="A180" t="s">
        <v>1</v>
      </c>
      <c r="D180" s="135"/>
      <c r="E180" s="135"/>
      <c r="F180" s="135"/>
      <c r="G180" s="135" t="s">
        <v>117</v>
      </c>
      <c r="H180" s="136"/>
      <c r="I180" s="136"/>
      <c r="J180" s="136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1">
        <f>SUM(L180:W180)</f>
        <v>0</v>
      </c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1">
        <f>SUM(Z180:AK180)</f>
        <v>0</v>
      </c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1">
        <f>SUM(AN180:AY180)</f>
        <v>0</v>
      </c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1">
        <f>SUM(BB180:BM180)</f>
        <v>0</v>
      </c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1">
        <f>SUM(BP180:CA180)</f>
        <v>0</v>
      </c>
    </row>
    <row r="181" spans="1:80" s="47" customFormat="1" ht="11.95" hidden="1" thickBot="1" x14ac:dyDescent="0.3">
      <c r="A181" t="s">
        <v>1</v>
      </c>
      <c r="E181" s="135"/>
      <c r="F181" s="135"/>
      <c r="G181" s="135" t="s">
        <v>6</v>
      </c>
      <c r="H181" s="136"/>
      <c r="I181" s="136"/>
      <c r="J181" s="136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1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1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1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1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1"/>
    </row>
    <row r="182" spans="1:80" s="47" customFormat="1" ht="11.95" hidden="1" x14ac:dyDescent="0.25">
      <c r="A182" t="s">
        <v>1</v>
      </c>
      <c r="C182" s="141" t="str">
        <f>"Total "&amp;C179</f>
        <v>Total Gain/Loss on Swap MTM</v>
      </c>
      <c r="D182" s="141"/>
      <c r="E182" s="141"/>
      <c r="F182" s="141"/>
      <c r="G182" s="141"/>
      <c r="H182" s="203"/>
      <c r="I182" s="203"/>
      <c r="J182" s="203"/>
      <c r="K182" s="203">
        <v>-1</v>
      </c>
      <c r="L182" s="203">
        <f t="shared" ref="L182:X182" si="175">SUMIFS(L180:L181,$H180:$H181,"&lt;&gt;"&amp;$H$18,$D180:$D181,"&lt;&gt;*[-]*",$E180:$E181,"&lt;&gt;*[-]*",$F180:$F181,"&lt;&gt;*[-]*",$G180:$G181,"&lt;&gt;*[-]*")</f>
        <v>0</v>
      </c>
      <c r="M182" s="203">
        <f t="shared" si="175"/>
        <v>0</v>
      </c>
      <c r="N182" s="203">
        <f t="shared" si="175"/>
        <v>0</v>
      </c>
      <c r="O182" s="203">
        <f t="shared" si="175"/>
        <v>0</v>
      </c>
      <c r="P182" s="203">
        <f t="shared" si="175"/>
        <v>0</v>
      </c>
      <c r="Q182" s="203">
        <f t="shared" si="175"/>
        <v>0</v>
      </c>
      <c r="R182" s="203">
        <f t="shared" si="175"/>
        <v>0</v>
      </c>
      <c r="S182" s="203">
        <f t="shared" si="175"/>
        <v>0</v>
      </c>
      <c r="T182" s="203">
        <f t="shared" si="175"/>
        <v>0</v>
      </c>
      <c r="U182" s="203">
        <f t="shared" si="175"/>
        <v>0</v>
      </c>
      <c r="V182" s="203">
        <f t="shared" si="175"/>
        <v>0</v>
      </c>
      <c r="W182" s="203">
        <f t="shared" si="175"/>
        <v>0</v>
      </c>
      <c r="X182" s="204">
        <f t="shared" si="175"/>
        <v>0</v>
      </c>
      <c r="Z182" s="203">
        <f t="shared" ref="Z182:AL182" si="176">SUMIFS(Z180:Z181,$H180:$H181,"&lt;&gt;"&amp;$H$18,$D180:$D181,"&lt;&gt;*[-]*",$E180:$E181,"&lt;&gt;*[-]*",$F180:$F181,"&lt;&gt;*[-]*",$G180:$G181,"&lt;&gt;*[-]*")</f>
        <v>0</v>
      </c>
      <c r="AA182" s="203">
        <f t="shared" si="176"/>
        <v>0</v>
      </c>
      <c r="AB182" s="203">
        <f t="shared" si="176"/>
        <v>0</v>
      </c>
      <c r="AC182" s="203">
        <f t="shared" si="176"/>
        <v>0</v>
      </c>
      <c r="AD182" s="203">
        <f t="shared" si="176"/>
        <v>0</v>
      </c>
      <c r="AE182" s="203">
        <f t="shared" si="176"/>
        <v>0</v>
      </c>
      <c r="AF182" s="203">
        <f t="shared" si="176"/>
        <v>0</v>
      </c>
      <c r="AG182" s="203">
        <f t="shared" si="176"/>
        <v>0</v>
      </c>
      <c r="AH182" s="203">
        <f t="shared" si="176"/>
        <v>0</v>
      </c>
      <c r="AI182" s="203">
        <f t="shared" si="176"/>
        <v>0</v>
      </c>
      <c r="AJ182" s="203">
        <f t="shared" si="176"/>
        <v>0</v>
      </c>
      <c r="AK182" s="203">
        <f t="shared" si="176"/>
        <v>0</v>
      </c>
      <c r="AL182" s="204">
        <f t="shared" si="176"/>
        <v>0</v>
      </c>
      <c r="AN182" s="203">
        <f t="shared" ref="AN182:AZ182" si="177">SUMIFS(AN180:AN181,$H180:$H181,"&lt;&gt;"&amp;$H$18,$D180:$D181,"&lt;&gt;*[-]*",$E180:$E181,"&lt;&gt;*[-]*",$F180:$F181,"&lt;&gt;*[-]*",$G180:$G181,"&lt;&gt;*[-]*")</f>
        <v>0</v>
      </c>
      <c r="AO182" s="203">
        <f t="shared" si="177"/>
        <v>0</v>
      </c>
      <c r="AP182" s="203">
        <f t="shared" si="177"/>
        <v>0</v>
      </c>
      <c r="AQ182" s="203">
        <f t="shared" si="177"/>
        <v>0</v>
      </c>
      <c r="AR182" s="203">
        <f t="shared" si="177"/>
        <v>0</v>
      </c>
      <c r="AS182" s="203">
        <f t="shared" si="177"/>
        <v>0</v>
      </c>
      <c r="AT182" s="203">
        <f t="shared" si="177"/>
        <v>0</v>
      </c>
      <c r="AU182" s="203">
        <f t="shared" si="177"/>
        <v>0</v>
      </c>
      <c r="AV182" s="203">
        <f t="shared" si="177"/>
        <v>0</v>
      </c>
      <c r="AW182" s="203">
        <f t="shared" si="177"/>
        <v>0</v>
      </c>
      <c r="AX182" s="203">
        <f t="shared" si="177"/>
        <v>0</v>
      </c>
      <c r="AY182" s="203">
        <f t="shared" si="177"/>
        <v>0</v>
      </c>
      <c r="AZ182" s="204">
        <f t="shared" si="177"/>
        <v>0</v>
      </c>
      <c r="BB182" s="203">
        <f t="shared" ref="BB182:BN182" si="178">SUMIFS(BB180:BB181,$H180:$H181,"&lt;&gt;"&amp;$H$18,$D180:$D181,"&lt;&gt;*[-]*",$E180:$E181,"&lt;&gt;*[-]*",$F180:$F181,"&lt;&gt;*[-]*",$G180:$G181,"&lt;&gt;*[-]*")</f>
        <v>0</v>
      </c>
      <c r="BC182" s="203">
        <f t="shared" si="178"/>
        <v>0</v>
      </c>
      <c r="BD182" s="203">
        <f t="shared" si="178"/>
        <v>0</v>
      </c>
      <c r="BE182" s="203">
        <f t="shared" si="178"/>
        <v>0</v>
      </c>
      <c r="BF182" s="203">
        <f t="shared" si="178"/>
        <v>0</v>
      </c>
      <c r="BG182" s="203">
        <f t="shared" si="178"/>
        <v>0</v>
      </c>
      <c r="BH182" s="203">
        <f t="shared" si="178"/>
        <v>0</v>
      </c>
      <c r="BI182" s="203">
        <f t="shared" si="178"/>
        <v>0</v>
      </c>
      <c r="BJ182" s="203">
        <f t="shared" si="178"/>
        <v>0</v>
      </c>
      <c r="BK182" s="203">
        <f t="shared" si="178"/>
        <v>0</v>
      </c>
      <c r="BL182" s="203">
        <f t="shared" si="178"/>
        <v>0</v>
      </c>
      <c r="BM182" s="203">
        <f t="shared" si="178"/>
        <v>0</v>
      </c>
      <c r="BN182" s="204">
        <f t="shared" si="178"/>
        <v>0</v>
      </c>
      <c r="BP182" s="203">
        <f t="shared" ref="BP182:CB182" si="179">SUMIFS(BP180:BP181,$H180:$H181,"&lt;&gt;"&amp;$H$18,$D180:$D181,"&lt;&gt;*[-]*",$E180:$E181,"&lt;&gt;*[-]*",$F180:$F181,"&lt;&gt;*[-]*",$G180:$G181,"&lt;&gt;*[-]*")</f>
        <v>0</v>
      </c>
      <c r="BQ182" s="203">
        <f t="shared" si="179"/>
        <v>0</v>
      </c>
      <c r="BR182" s="203">
        <f t="shared" si="179"/>
        <v>0</v>
      </c>
      <c r="BS182" s="203">
        <f t="shared" si="179"/>
        <v>0</v>
      </c>
      <c r="BT182" s="203">
        <f t="shared" si="179"/>
        <v>0</v>
      </c>
      <c r="BU182" s="203">
        <f t="shared" si="179"/>
        <v>0</v>
      </c>
      <c r="BV182" s="203">
        <f t="shared" si="179"/>
        <v>0</v>
      </c>
      <c r="BW182" s="203">
        <f t="shared" si="179"/>
        <v>0</v>
      </c>
      <c r="BX182" s="203">
        <f t="shared" si="179"/>
        <v>0</v>
      </c>
      <c r="BY182" s="203">
        <f t="shared" si="179"/>
        <v>0</v>
      </c>
      <c r="BZ182" s="203">
        <f t="shared" si="179"/>
        <v>0</v>
      </c>
      <c r="CA182" s="203">
        <f t="shared" si="179"/>
        <v>0</v>
      </c>
      <c r="CB182" s="204">
        <f t="shared" si="179"/>
        <v>0</v>
      </c>
    </row>
    <row r="183" spans="1:80" s="47" customFormat="1" hidden="1" x14ac:dyDescent="0.25">
      <c r="A183" t="s">
        <v>1</v>
      </c>
    </row>
    <row r="184" spans="1:80" s="47" customFormat="1" ht="12.45" hidden="1" thickBot="1" x14ac:dyDescent="0.3">
      <c r="A184" t="s">
        <v>1</v>
      </c>
      <c r="C184" s="132" t="s">
        <v>117</v>
      </c>
      <c r="D184" s="132"/>
      <c r="E184" s="132"/>
      <c r="F184" s="132"/>
      <c r="G184" s="132"/>
      <c r="H184" s="132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B184" s="133"/>
      <c r="BC184" s="133"/>
      <c r="BD184" s="133"/>
      <c r="BE184" s="133"/>
      <c r="BF184" s="133"/>
      <c r="BG184" s="133"/>
      <c r="BH184" s="133"/>
      <c r="BI184" s="133"/>
      <c r="BJ184" s="133"/>
      <c r="BK184" s="133"/>
      <c r="BL184" s="133"/>
      <c r="BM184" s="133"/>
      <c r="BN184" s="133"/>
      <c r="BP184" s="133"/>
      <c r="BQ184" s="133"/>
      <c r="BR184" s="133"/>
      <c r="BS184" s="133"/>
      <c r="BT184" s="133"/>
      <c r="BU184" s="133"/>
      <c r="BV184" s="133"/>
      <c r="BW184" s="133"/>
      <c r="BX184" s="133"/>
      <c r="BY184" s="133"/>
      <c r="BZ184" s="133"/>
      <c r="CA184" s="133"/>
      <c r="CB184" s="133"/>
    </row>
    <row r="185" spans="1:80" s="47" customFormat="1" ht="11.95" hidden="1" thickBot="1" x14ac:dyDescent="0.3">
      <c r="A185" t="s">
        <v>1</v>
      </c>
      <c r="D185" s="135"/>
      <c r="E185" s="135"/>
      <c r="F185" s="135"/>
      <c r="G185" s="135" t="s">
        <v>117</v>
      </c>
      <c r="H185" s="136"/>
      <c r="I185" s="136"/>
      <c r="J185" s="136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1">
        <f>SUM(L185:W185)</f>
        <v>0</v>
      </c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1">
        <f>SUM(Z185:AK185)</f>
        <v>0</v>
      </c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1">
        <f>SUM(AN185:AY185)</f>
        <v>0</v>
      </c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1">
        <f>SUM(BB185:BM185)</f>
        <v>0</v>
      </c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1">
        <f>SUM(BP185:CA185)</f>
        <v>0</v>
      </c>
    </row>
    <row r="186" spans="1:80" s="47" customFormat="1" ht="11.95" hidden="1" thickBot="1" x14ac:dyDescent="0.3">
      <c r="A186" t="s">
        <v>1</v>
      </c>
      <c r="E186" s="135"/>
      <c r="F186" s="135"/>
      <c r="G186" s="135" t="s">
        <v>6</v>
      </c>
      <c r="H186" s="136"/>
      <c r="I186" s="136"/>
      <c r="J186" s="136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1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1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1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1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1"/>
    </row>
    <row r="187" spans="1:80" s="47" customFormat="1" ht="11.95" hidden="1" x14ac:dyDescent="0.25">
      <c r="A187" t="s">
        <v>1</v>
      </c>
      <c r="C187" s="141" t="str">
        <f>"Total "&amp;C184</f>
        <v>Total Gain/Loss on Swap MTM</v>
      </c>
      <c r="D187" s="141"/>
      <c r="E187" s="141"/>
      <c r="F187" s="141"/>
      <c r="G187" s="141"/>
      <c r="H187" s="203"/>
      <c r="I187" s="203"/>
      <c r="J187" s="203"/>
      <c r="K187" s="203">
        <v>-1</v>
      </c>
      <c r="L187" s="203">
        <f t="shared" ref="L187:X187" si="180">SUMIFS(L185:L186,$H185:$H186,"&lt;&gt;"&amp;$H$18,$D185:$D186,"&lt;&gt;*[-]*",$E185:$E186,"&lt;&gt;*[-]*",$F185:$F186,"&lt;&gt;*[-]*",$G185:$G186,"&lt;&gt;*[-]*")</f>
        <v>0</v>
      </c>
      <c r="M187" s="203">
        <f t="shared" si="180"/>
        <v>0</v>
      </c>
      <c r="N187" s="203">
        <f t="shared" si="180"/>
        <v>0</v>
      </c>
      <c r="O187" s="203">
        <f t="shared" si="180"/>
        <v>0</v>
      </c>
      <c r="P187" s="203">
        <f t="shared" si="180"/>
        <v>0</v>
      </c>
      <c r="Q187" s="203">
        <f t="shared" si="180"/>
        <v>0</v>
      </c>
      <c r="R187" s="203">
        <f t="shared" si="180"/>
        <v>0</v>
      </c>
      <c r="S187" s="203">
        <f t="shared" si="180"/>
        <v>0</v>
      </c>
      <c r="T187" s="203">
        <f t="shared" si="180"/>
        <v>0</v>
      </c>
      <c r="U187" s="203">
        <f t="shared" si="180"/>
        <v>0</v>
      </c>
      <c r="V187" s="203">
        <f t="shared" si="180"/>
        <v>0</v>
      </c>
      <c r="W187" s="203">
        <f t="shared" si="180"/>
        <v>0</v>
      </c>
      <c r="X187" s="204">
        <f t="shared" si="180"/>
        <v>0</v>
      </c>
      <c r="Z187" s="203">
        <f t="shared" ref="Z187:AL187" si="181">SUMIFS(Z185:Z186,$H185:$H186,"&lt;&gt;"&amp;$H$18,$D185:$D186,"&lt;&gt;*[-]*",$E185:$E186,"&lt;&gt;*[-]*",$F185:$F186,"&lt;&gt;*[-]*",$G185:$G186,"&lt;&gt;*[-]*")</f>
        <v>0</v>
      </c>
      <c r="AA187" s="203">
        <f t="shared" si="181"/>
        <v>0</v>
      </c>
      <c r="AB187" s="203">
        <f t="shared" si="181"/>
        <v>0</v>
      </c>
      <c r="AC187" s="203">
        <f t="shared" si="181"/>
        <v>0</v>
      </c>
      <c r="AD187" s="203">
        <f t="shared" si="181"/>
        <v>0</v>
      </c>
      <c r="AE187" s="203">
        <f t="shared" si="181"/>
        <v>0</v>
      </c>
      <c r="AF187" s="203">
        <f t="shared" si="181"/>
        <v>0</v>
      </c>
      <c r="AG187" s="203">
        <f t="shared" si="181"/>
        <v>0</v>
      </c>
      <c r="AH187" s="203">
        <f t="shared" si="181"/>
        <v>0</v>
      </c>
      <c r="AI187" s="203">
        <f t="shared" si="181"/>
        <v>0</v>
      </c>
      <c r="AJ187" s="203">
        <f t="shared" si="181"/>
        <v>0</v>
      </c>
      <c r="AK187" s="203">
        <f t="shared" si="181"/>
        <v>0</v>
      </c>
      <c r="AL187" s="204">
        <f t="shared" si="181"/>
        <v>0</v>
      </c>
      <c r="AN187" s="203">
        <f t="shared" ref="AN187:AZ187" si="182">SUMIFS(AN185:AN186,$H185:$H186,"&lt;&gt;"&amp;$H$18,$D185:$D186,"&lt;&gt;*[-]*",$E185:$E186,"&lt;&gt;*[-]*",$F185:$F186,"&lt;&gt;*[-]*",$G185:$G186,"&lt;&gt;*[-]*")</f>
        <v>0</v>
      </c>
      <c r="AO187" s="203">
        <f t="shared" si="182"/>
        <v>0</v>
      </c>
      <c r="AP187" s="203">
        <f t="shared" si="182"/>
        <v>0</v>
      </c>
      <c r="AQ187" s="203">
        <f t="shared" si="182"/>
        <v>0</v>
      </c>
      <c r="AR187" s="203">
        <f t="shared" si="182"/>
        <v>0</v>
      </c>
      <c r="AS187" s="203">
        <f t="shared" si="182"/>
        <v>0</v>
      </c>
      <c r="AT187" s="203">
        <f t="shared" si="182"/>
        <v>0</v>
      </c>
      <c r="AU187" s="203">
        <f t="shared" si="182"/>
        <v>0</v>
      </c>
      <c r="AV187" s="203">
        <f t="shared" si="182"/>
        <v>0</v>
      </c>
      <c r="AW187" s="203">
        <f t="shared" si="182"/>
        <v>0</v>
      </c>
      <c r="AX187" s="203">
        <f t="shared" si="182"/>
        <v>0</v>
      </c>
      <c r="AY187" s="203">
        <f t="shared" si="182"/>
        <v>0</v>
      </c>
      <c r="AZ187" s="204">
        <f t="shared" si="182"/>
        <v>0</v>
      </c>
      <c r="BB187" s="203">
        <f t="shared" ref="BB187:BN187" si="183">SUMIFS(BB185:BB186,$H185:$H186,"&lt;&gt;"&amp;$H$18,$D185:$D186,"&lt;&gt;*[-]*",$E185:$E186,"&lt;&gt;*[-]*",$F185:$F186,"&lt;&gt;*[-]*",$G185:$G186,"&lt;&gt;*[-]*")</f>
        <v>0</v>
      </c>
      <c r="BC187" s="203">
        <f t="shared" si="183"/>
        <v>0</v>
      </c>
      <c r="BD187" s="203">
        <f t="shared" si="183"/>
        <v>0</v>
      </c>
      <c r="BE187" s="203">
        <f t="shared" si="183"/>
        <v>0</v>
      </c>
      <c r="BF187" s="203">
        <f t="shared" si="183"/>
        <v>0</v>
      </c>
      <c r="BG187" s="203">
        <f t="shared" si="183"/>
        <v>0</v>
      </c>
      <c r="BH187" s="203">
        <f t="shared" si="183"/>
        <v>0</v>
      </c>
      <c r="BI187" s="203">
        <f t="shared" si="183"/>
        <v>0</v>
      </c>
      <c r="BJ187" s="203">
        <f t="shared" si="183"/>
        <v>0</v>
      </c>
      <c r="BK187" s="203">
        <f t="shared" si="183"/>
        <v>0</v>
      </c>
      <c r="BL187" s="203">
        <f t="shared" si="183"/>
        <v>0</v>
      </c>
      <c r="BM187" s="203">
        <f t="shared" si="183"/>
        <v>0</v>
      </c>
      <c r="BN187" s="204">
        <f t="shared" si="183"/>
        <v>0</v>
      </c>
      <c r="BP187" s="203">
        <f t="shared" ref="BP187:CB187" si="184">SUMIFS(BP185:BP186,$H185:$H186,"&lt;&gt;"&amp;$H$18,$D185:$D186,"&lt;&gt;*[-]*",$E185:$E186,"&lt;&gt;*[-]*",$F185:$F186,"&lt;&gt;*[-]*",$G185:$G186,"&lt;&gt;*[-]*")</f>
        <v>0</v>
      </c>
      <c r="BQ187" s="203">
        <f t="shared" si="184"/>
        <v>0</v>
      </c>
      <c r="BR187" s="203">
        <f t="shared" si="184"/>
        <v>0</v>
      </c>
      <c r="BS187" s="203">
        <f t="shared" si="184"/>
        <v>0</v>
      </c>
      <c r="BT187" s="203">
        <f t="shared" si="184"/>
        <v>0</v>
      </c>
      <c r="BU187" s="203">
        <f t="shared" si="184"/>
        <v>0</v>
      </c>
      <c r="BV187" s="203">
        <f t="shared" si="184"/>
        <v>0</v>
      </c>
      <c r="BW187" s="203">
        <f t="shared" si="184"/>
        <v>0</v>
      </c>
      <c r="BX187" s="203">
        <f t="shared" si="184"/>
        <v>0</v>
      </c>
      <c r="BY187" s="203">
        <f t="shared" si="184"/>
        <v>0</v>
      </c>
      <c r="BZ187" s="203">
        <f t="shared" si="184"/>
        <v>0</v>
      </c>
      <c r="CA187" s="203">
        <f t="shared" si="184"/>
        <v>0</v>
      </c>
      <c r="CB187" s="204">
        <f t="shared" si="184"/>
        <v>0</v>
      </c>
    </row>
    <row r="188" spans="1:80" s="47" customFormat="1" hidden="1" x14ac:dyDescent="0.25">
      <c r="A188" t="s">
        <v>1</v>
      </c>
    </row>
    <row r="189" spans="1:80" s="47" customFormat="1" ht="12.45" hidden="1" thickBot="1" x14ac:dyDescent="0.3">
      <c r="A189" t="s">
        <v>1</v>
      </c>
      <c r="C189" s="132" t="s">
        <v>117</v>
      </c>
      <c r="D189" s="132"/>
      <c r="E189" s="132"/>
      <c r="F189" s="132"/>
      <c r="G189" s="132"/>
      <c r="H189" s="132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B189" s="133"/>
      <c r="BC189" s="133"/>
      <c r="BD189" s="133"/>
      <c r="BE189" s="133"/>
      <c r="BF189" s="133"/>
      <c r="BG189" s="133"/>
      <c r="BH189" s="133"/>
      <c r="BI189" s="133"/>
      <c r="BJ189" s="133"/>
      <c r="BK189" s="133"/>
      <c r="BL189" s="133"/>
      <c r="BM189" s="133"/>
      <c r="BN189" s="133"/>
      <c r="BP189" s="133"/>
      <c r="BQ189" s="133"/>
      <c r="BR189" s="133"/>
      <c r="BS189" s="133"/>
      <c r="BT189" s="133"/>
      <c r="BU189" s="133"/>
      <c r="BV189" s="133"/>
      <c r="BW189" s="133"/>
      <c r="BX189" s="133"/>
      <c r="BY189" s="133"/>
      <c r="BZ189" s="133"/>
      <c r="CA189" s="133"/>
      <c r="CB189" s="133"/>
    </row>
    <row r="190" spans="1:80" s="47" customFormat="1" ht="11.95" hidden="1" thickBot="1" x14ac:dyDescent="0.3">
      <c r="A190" t="s">
        <v>1</v>
      </c>
      <c r="D190" s="135"/>
      <c r="E190" s="135"/>
      <c r="F190" s="135"/>
      <c r="G190" s="135" t="s">
        <v>117</v>
      </c>
      <c r="H190" s="136"/>
      <c r="I190" s="136"/>
      <c r="J190" s="136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1">
        <f>SUM(L190:W190)</f>
        <v>0</v>
      </c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1">
        <f>SUM(Z190:AK190)</f>
        <v>0</v>
      </c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1">
        <f>SUM(AN190:AY190)</f>
        <v>0</v>
      </c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1">
        <f>SUM(BB190:BM190)</f>
        <v>0</v>
      </c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1">
        <f>SUM(BP190:CA190)</f>
        <v>0</v>
      </c>
    </row>
    <row r="191" spans="1:80" s="47" customFormat="1" ht="11.95" hidden="1" thickBot="1" x14ac:dyDescent="0.3">
      <c r="A191" t="s">
        <v>1</v>
      </c>
      <c r="E191" s="135"/>
      <c r="F191" s="135"/>
      <c r="G191" s="135" t="s">
        <v>6</v>
      </c>
      <c r="H191" s="136"/>
      <c r="I191" s="136"/>
      <c r="J191" s="136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1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1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1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1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1"/>
    </row>
    <row r="192" spans="1:80" s="47" customFormat="1" ht="11.95" hidden="1" x14ac:dyDescent="0.25">
      <c r="A192" t="s">
        <v>1</v>
      </c>
      <c r="C192" s="141" t="str">
        <f>"Total "&amp;C189</f>
        <v>Total Gain/Loss on Swap MTM</v>
      </c>
      <c r="D192" s="141"/>
      <c r="E192" s="141"/>
      <c r="F192" s="141"/>
      <c r="G192" s="141"/>
      <c r="H192" s="203"/>
      <c r="I192" s="203"/>
      <c r="J192" s="203"/>
      <c r="K192" s="203">
        <v>-1</v>
      </c>
      <c r="L192" s="203">
        <f t="shared" ref="L192:X192" si="185">SUMIFS(L190:L191,$H190:$H191,"&lt;&gt;"&amp;$H$18,$D190:$D191,"&lt;&gt;*[-]*",$E190:$E191,"&lt;&gt;*[-]*",$F190:$F191,"&lt;&gt;*[-]*",$G190:$G191,"&lt;&gt;*[-]*")</f>
        <v>0</v>
      </c>
      <c r="M192" s="203">
        <f t="shared" si="185"/>
        <v>0</v>
      </c>
      <c r="N192" s="203">
        <f t="shared" si="185"/>
        <v>0</v>
      </c>
      <c r="O192" s="203">
        <f t="shared" si="185"/>
        <v>0</v>
      </c>
      <c r="P192" s="203">
        <f t="shared" si="185"/>
        <v>0</v>
      </c>
      <c r="Q192" s="203">
        <f t="shared" si="185"/>
        <v>0</v>
      </c>
      <c r="R192" s="203">
        <f t="shared" si="185"/>
        <v>0</v>
      </c>
      <c r="S192" s="203">
        <f t="shared" si="185"/>
        <v>0</v>
      </c>
      <c r="T192" s="203">
        <f t="shared" si="185"/>
        <v>0</v>
      </c>
      <c r="U192" s="203">
        <f t="shared" si="185"/>
        <v>0</v>
      </c>
      <c r="V192" s="203">
        <f t="shared" si="185"/>
        <v>0</v>
      </c>
      <c r="W192" s="203">
        <f t="shared" si="185"/>
        <v>0</v>
      </c>
      <c r="X192" s="204">
        <f t="shared" si="185"/>
        <v>0</v>
      </c>
      <c r="Z192" s="203">
        <f t="shared" ref="Z192:AL192" si="186">SUMIFS(Z190:Z191,$H190:$H191,"&lt;&gt;"&amp;$H$18,$D190:$D191,"&lt;&gt;*[-]*",$E190:$E191,"&lt;&gt;*[-]*",$F190:$F191,"&lt;&gt;*[-]*",$G190:$G191,"&lt;&gt;*[-]*")</f>
        <v>0</v>
      </c>
      <c r="AA192" s="203">
        <f t="shared" si="186"/>
        <v>0</v>
      </c>
      <c r="AB192" s="203">
        <f t="shared" si="186"/>
        <v>0</v>
      </c>
      <c r="AC192" s="203">
        <f t="shared" si="186"/>
        <v>0</v>
      </c>
      <c r="AD192" s="203">
        <f t="shared" si="186"/>
        <v>0</v>
      </c>
      <c r="AE192" s="203">
        <f t="shared" si="186"/>
        <v>0</v>
      </c>
      <c r="AF192" s="203">
        <f t="shared" si="186"/>
        <v>0</v>
      </c>
      <c r="AG192" s="203">
        <f t="shared" si="186"/>
        <v>0</v>
      </c>
      <c r="AH192" s="203">
        <f t="shared" si="186"/>
        <v>0</v>
      </c>
      <c r="AI192" s="203">
        <f t="shared" si="186"/>
        <v>0</v>
      </c>
      <c r="AJ192" s="203">
        <f t="shared" si="186"/>
        <v>0</v>
      </c>
      <c r="AK192" s="203">
        <f t="shared" si="186"/>
        <v>0</v>
      </c>
      <c r="AL192" s="204">
        <f t="shared" si="186"/>
        <v>0</v>
      </c>
      <c r="AN192" s="203">
        <f t="shared" ref="AN192:AZ192" si="187">SUMIFS(AN190:AN191,$H190:$H191,"&lt;&gt;"&amp;$H$18,$D190:$D191,"&lt;&gt;*[-]*",$E190:$E191,"&lt;&gt;*[-]*",$F190:$F191,"&lt;&gt;*[-]*",$G190:$G191,"&lt;&gt;*[-]*")</f>
        <v>0</v>
      </c>
      <c r="AO192" s="203">
        <f t="shared" si="187"/>
        <v>0</v>
      </c>
      <c r="AP192" s="203">
        <f t="shared" si="187"/>
        <v>0</v>
      </c>
      <c r="AQ192" s="203">
        <f t="shared" si="187"/>
        <v>0</v>
      </c>
      <c r="AR192" s="203">
        <f t="shared" si="187"/>
        <v>0</v>
      </c>
      <c r="AS192" s="203">
        <f t="shared" si="187"/>
        <v>0</v>
      </c>
      <c r="AT192" s="203">
        <f t="shared" si="187"/>
        <v>0</v>
      </c>
      <c r="AU192" s="203">
        <f t="shared" si="187"/>
        <v>0</v>
      </c>
      <c r="AV192" s="203">
        <f t="shared" si="187"/>
        <v>0</v>
      </c>
      <c r="AW192" s="203">
        <f t="shared" si="187"/>
        <v>0</v>
      </c>
      <c r="AX192" s="203">
        <f t="shared" si="187"/>
        <v>0</v>
      </c>
      <c r="AY192" s="203">
        <f t="shared" si="187"/>
        <v>0</v>
      </c>
      <c r="AZ192" s="204">
        <f t="shared" si="187"/>
        <v>0</v>
      </c>
      <c r="BB192" s="203">
        <f t="shared" ref="BB192:BN192" si="188">SUMIFS(BB190:BB191,$H190:$H191,"&lt;&gt;"&amp;$H$18,$D190:$D191,"&lt;&gt;*[-]*",$E190:$E191,"&lt;&gt;*[-]*",$F190:$F191,"&lt;&gt;*[-]*",$G190:$G191,"&lt;&gt;*[-]*")</f>
        <v>0</v>
      </c>
      <c r="BC192" s="203">
        <f t="shared" si="188"/>
        <v>0</v>
      </c>
      <c r="BD192" s="203">
        <f t="shared" si="188"/>
        <v>0</v>
      </c>
      <c r="BE192" s="203">
        <f t="shared" si="188"/>
        <v>0</v>
      </c>
      <c r="BF192" s="203">
        <f t="shared" si="188"/>
        <v>0</v>
      </c>
      <c r="BG192" s="203">
        <f t="shared" si="188"/>
        <v>0</v>
      </c>
      <c r="BH192" s="203">
        <f t="shared" si="188"/>
        <v>0</v>
      </c>
      <c r="BI192" s="203">
        <f t="shared" si="188"/>
        <v>0</v>
      </c>
      <c r="BJ192" s="203">
        <f t="shared" si="188"/>
        <v>0</v>
      </c>
      <c r="BK192" s="203">
        <f t="shared" si="188"/>
        <v>0</v>
      </c>
      <c r="BL192" s="203">
        <f t="shared" si="188"/>
        <v>0</v>
      </c>
      <c r="BM192" s="203">
        <f t="shared" si="188"/>
        <v>0</v>
      </c>
      <c r="BN192" s="204">
        <f t="shared" si="188"/>
        <v>0</v>
      </c>
      <c r="BP192" s="203">
        <f t="shared" ref="BP192:CB192" si="189">SUMIFS(BP190:BP191,$H190:$H191,"&lt;&gt;"&amp;$H$18,$D190:$D191,"&lt;&gt;*[-]*",$E190:$E191,"&lt;&gt;*[-]*",$F190:$F191,"&lt;&gt;*[-]*",$G190:$G191,"&lt;&gt;*[-]*")</f>
        <v>0</v>
      </c>
      <c r="BQ192" s="203">
        <f t="shared" si="189"/>
        <v>0</v>
      </c>
      <c r="BR192" s="203">
        <f t="shared" si="189"/>
        <v>0</v>
      </c>
      <c r="BS192" s="203">
        <f t="shared" si="189"/>
        <v>0</v>
      </c>
      <c r="BT192" s="203">
        <f t="shared" si="189"/>
        <v>0</v>
      </c>
      <c r="BU192" s="203">
        <f t="shared" si="189"/>
        <v>0</v>
      </c>
      <c r="BV192" s="203">
        <f t="shared" si="189"/>
        <v>0</v>
      </c>
      <c r="BW192" s="203">
        <f t="shared" si="189"/>
        <v>0</v>
      </c>
      <c r="BX192" s="203">
        <f t="shared" si="189"/>
        <v>0</v>
      </c>
      <c r="BY192" s="203">
        <f t="shared" si="189"/>
        <v>0</v>
      </c>
      <c r="BZ192" s="203">
        <f t="shared" si="189"/>
        <v>0</v>
      </c>
      <c r="CA192" s="203">
        <f t="shared" si="189"/>
        <v>0</v>
      </c>
      <c r="CB192" s="204">
        <f t="shared" si="189"/>
        <v>0</v>
      </c>
    </row>
    <row r="193" spans="1:80" s="47" customFormat="1" hidden="1" x14ac:dyDescent="0.25">
      <c r="A193" t="s">
        <v>1</v>
      </c>
    </row>
    <row r="194" spans="1:80" s="47" customFormat="1" ht="12.45" hidden="1" thickBot="1" x14ac:dyDescent="0.3">
      <c r="A194" t="s">
        <v>1</v>
      </c>
      <c r="C194" s="132" t="s">
        <v>117</v>
      </c>
      <c r="D194" s="132"/>
      <c r="E194" s="132"/>
      <c r="F194" s="132"/>
      <c r="G194" s="132"/>
      <c r="H194" s="132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B194" s="133"/>
      <c r="BC194" s="133"/>
      <c r="BD194" s="133"/>
      <c r="BE194" s="133"/>
      <c r="BF194" s="133"/>
      <c r="BG194" s="133"/>
      <c r="BH194" s="133"/>
      <c r="BI194" s="133"/>
      <c r="BJ194" s="133"/>
      <c r="BK194" s="133"/>
      <c r="BL194" s="133"/>
      <c r="BM194" s="133"/>
      <c r="BN194" s="133"/>
      <c r="BP194" s="133"/>
      <c r="BQ194" s="133"/>
      <c r="BR194" s="133"/>
      <c r="BS194" s="133"/>
      <c r="BT194" s="133"/>
      <c r="BU194" s="133"/>
      <c r="BV194" s="133"/>
      <c r="BW194" s="133"/>
      <c r="BX194" s="133"/>
      <c r="BY194" s="133"/>
      <c r="BZ194" s="133"/>
      <c r="CA194" s="133"/>
      <c r="CB194" s="133"/>
    </row>
    <row r="195" spans="1:80" s="47" customFormat="1" ht="11.95" hidden="1" thickBot="1" x14ac:dyDescent="0.3">
      <c r="A195" t="s">
        <v>1</v>
      </c>
      <c r="D195" s="135"/>
      <c r="E195" s="135"/>
      <c r="F195" s="135"/>
      <c r="G195" s="135" t="s">
        <v>117</v>
      </c>
      <c r="H195" s="136"/>
      <c r="I195" s="136"/>
      <c r="J195" s="136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1">
        <f>SUM(L195:W195)</f>
        <v>0</v>
      </c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1">
        <f>SUM(Z195:AK195)</f>
        <v>0</v>
      </c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1">
        <f>SUM(AN195:AY195)</f>
        <v>0</v>
      </c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1">
        <f>SUM(BB195:BM195)</f>
        <v>0</v>
      </c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1">
        <f>SUM(BP195:CA195)</f>
        <v>0</v>
      </c>
    </row>
    <row r="196" spans="1:80" s="47" customFormat="1" ht="11.95" hidden="1" thickBot="1" x14ac:dyDescent="0.3">
      <c r="A196" t="s">
        <v>1</v>
      </c>
      <c r="E196" s="135"/>
      <c r="F196" s="135"/>
      <c r="G196" s="135" t="s">
        <v>6</v>
      </c>
      <c r="H196" s="136"/>
      <c r="I196" s="136"/>
      <c r="J196" s="136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1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1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1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1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1"/>
    </row>
    <row r="197" spans="1:80" s="47" customFormat="1" ht="11.95" hidden="1" x14ac:dyDescent="0.25">
      <c r="A197" t="s">
        <v>1</v>
      </c>
      <c r="C197" s="141" t="str">
        <f>"Total "&amp;C194</f>
        <v>Total Gain/Loss on Swap MTM</v>
      </c>
      <c r="D197" s="141"/>
      <c r="E197" s="141"/>
      <c r="F197" s="141"/>
      <c r="G197" s="141"/>
      <c r="H197" s="203"/>
      <c r="I197" s="203"/>
      <c r="J197" s="203"/>
      <c r="K197" s="203">
        <v>-1</v>
      </c>
      <c r="L197" s="203">
        <f t="shared" ref="L197:X197" si="190">SUMIFS(L195:L196,$H195:$H196,"&lt;&gt;"&amp;$H$18,$D195:$D196,"&lt;&gt;*[-]*",$E195:$E196,"&lt;&gt;*[-]*",$F195:$F196,"&lt;&gt;*[-]*",$G195:$G196,"&lt;&gt;*[-]*")</f>
        <v>0</v>
      </c>
      <c r="M197" s="203">
        <f t="shared" si="190"/>
        <v>0</v>
      </c>
      <c r="N197" s="203">
        <f t="shared" si="190"/>
        <v>0</v>
      </c>
      <c r="O197" s="203">
        <f t="shared" si="190"/>
        <v>0</v>
      </c>
      <c r="P197" s="203">
        <f t="shared" si="190"/>
        <v>0</v>
      </c>
      <c r="Q197" s="203">
        <f t="shared" si="190"/>
        <v>0</v>
      </c>
      <c r="R197" s="203">
        <f t="shared" si="190"/>
        <v>0</v>
      </c>
      <c r="S197" s="203">
        <f t="shared" si="190"/>
        <v>0</v>
      </c>
      <c r="T197" s="203">
        <f t="shared" si="190"/>
        <v>0</v>
      </c>
      <c r="U197" s="203">
        <f t="shared" si="190"/>
        <v>0</v>
      </c>
      <c r="V197" s="203">
        <f t="shared" si="190"/>
        <v>0</v>
      </c>
      <c r="W197" s="203">
        <f t="shared" si="190"/>
        <v>0</v>
      </c>
      <c r="X197" s="204">
        <f t="shared" si="190"/>
        <v>0</v>
      </c>
      <c r="Z197" s="203">
        <f t="shared" ref="Z197:AL197" si="191">SUMIFS(Z195:Z196,$H195:$H196,"&lt;&gt;"&amp;$H$18,$D195:$D196,"&lt;&gt;*[-]*",$E195:$E196,"&lt;&gt;*[-]*",$F195:$F196,"&lt;&gt;*[-]*",$G195:$G196,"&lt;&gt;*[-]*")</f>
        <v>0</v>
      </c>
      <c r="AA197" s="203">
        <f t="shared" si="191"/>
        <v>0</v>
      </c>
      <c r="AB197" s="203">
        <f t="shared" si="191"/>
        <v>0</v>
      </c>
      <c r="AC197" s="203">
        <f t="shared" si="191"/>
        <v>0</v>
      </c>
      <c r="AD197" s="203">
        <f t="shared" si="191"/>
        <v>0</v>
      </c>
      <c r="AE197" s="203">
        <f t="shared" si="191"/>
        <v>0</v>
      </c>
      <c r="AF197" s="203">
        <f t="shared" si="191"/>
        <v>0</v>
      </c>
      <c r="AG197" s="203">
        <f t="shared" si="191"/>
        <v>0</v>
      </c>
      <c r="AH197" s="203">
        <f t="shared" si="191"/>
        <v>0</v>
      </c>
      <c r="AI197" s="203">
        <f t="shared" si="191"/>
        <v>0</v>
      </c>
      <c r="AJ197" s="203">
        <f t="shared" si="191"/>
        <v>0</v>
      </c>
      <c r="AK197" s="203">
        <f t="shared" si="191"/>
        <v>0</v>
      </c>
      <c r="AL197" s="204">
        <f t="shared" si="191"/>
        <v>0</v>
      </c>
      <c r="AN197" s="203">
        <f t="shared" ref="AN197:AZ197" si="192">SUMIFS(AN195:AN196,$H195:$H196,"&lt;&gt;"&amp;$H$18,$D195:$D196,"&lt;&gt;*[-]*",$E195:$E196,"&lt;&gt;*[-]*",$F195:$F196,"&lt;&gt;*[-]*",$G195:$G196,"&lt;&gt;*[-]*")</f>
        <v>0</v>
      </c>
      <c r="AO197" s="203">
        <f t="shared" si="192"/>
        <v>0</v>
      </c>
      <c r="AP197" s="203">
        <f t="shared" si="192"/>
        <v>0</v>
      </c>
      <c r="AQ197" s="203">
        <f t="shared" si="192"/>
        <v>0</v>
      </c>
      <c r="AR197" s="203">
        <f t="shared" si="192"/>
        <v>0</v>
      </c>
      <c r="AS197" s="203">
        <f t="shared" si="192"/>
        <v>0</v>
      </c>
      <c r="AT197" s="203">
        <f t="shared" si="192"/>
        <v>0</v>
      </c>
      <c r="AU197" s="203">
        <f t="shared" si="192"/>
        <v>0</v>
      </c>
      <c r="AV197" s="203">
        <f t="shared" si="192"/>
        <v>0</v>
      </c>
      <c r="AW197" s="203">
        <f t="shared" si="192"/>
        <v>0</v>
      </c>
      <c r="AX197" s="203">
        <f t="shared" si="192"/>
        <v>0</v>
      </c>
      <c r="AY197" s="203">
        <f t="shared" si="192"/>
        <v>0</v>
      </c>
      <c r="AZ197" s="204">
        <f t="shared" si="192"/>
        <v>0</v>
      </c>
      <c r="BB197" s="203">
        <f t="shared" ref="BB197:BN197" si="193">SUMIFS(BB195:BB196,$H195:$H196,"&lt;&gt;"&amp;$H$18,$D195:$D196,"&lt;&gt;*[-]*",$E195:$E196,"&lt;&gt;*[-]*",$F195:$F196,"&lt;&gt;*[-]*",$G195:$G196,"&lt;&gt;*[-]*")</f>
        <v>0</v>
      </c>
      <c r="BC197" s="203">
        <f t="shared" si="193"/>
        <v>0</v>
      </c>
      <c r="BD197" s="203">
        <f t="shared" si="193"/>
        <v>0</v>
      </c>
      <c r="BE197" s="203">
        <f t="shared" si="193"/>
        <v>0</v>
      </c>
      <c r="BF197" s="203">
        <f t="shared" si="193"/>
        <v>0</v>
      </c>
      <c r="BG197" s="203">
        <f t="shared" si="193"/>
        <v>0</v>
      </c>
      <c r="BH197" s="203">
        <f t="shared" si="193"/>
        <v>0</v>
      </c>
      <c r="BI197" s="203">
        <f t="shared" si="193"/>
        <v>0</v>
      </c>
      <c r="BJ197" s="203">
        <f t="shared" si="193"/>
        <v>0</v>
      </c>
      <c r="BK197" s="203">
        <f t="shared" si="193"/>
        <v>0</v>
      </c>
      <c r="BL197" s="203">
        <f t="shared" si="193"/>
        <v>0</v>
      </c>
      <c r="BM197" s="203">
        <f t="shared" si="193"/>
        <v>0</v>
      </c>
      <c r="BN197" s="204">
        <f t="shared" si="193"/>
        <v>0</v>
      </c>
      <c r="BP197" s="203">
        <f t="shared" ref="BP197:CB197" si="194">SUMIFS(BP195:BP196,$H195:$H196,"&lt;&gt;"&amp;$H$18,$D195:$D196,"&lt;&gt;*[-]*",$E195:$E196,"&lt;&gt;*[-]*",$F195:$F196,"&lt;&gt;*[-]*",$G195:$G196,"&lt;&gt;*[-]*")</f>
        <v>0</v>
      </c>
      <c r="BQ197" s="203">
        <f t="shared" si="194"/>
        <v>0</v>
      </c>
      <c r="BR197" s="203">
        <f t="shared" si="194"/>
        <v>0</v>
      </c>
      <c r="BS197" s="203">
        <f t="shared" si="194"/>
        <v>0</v>
      </c>
      <c r="BT197" s="203">
        <f t="shared" si="194"/>
        <v>0</v>
      </c>
      <c r="BU197" s="203">
        <f t="shared" si="194"/>
        <v>0</v>
      </c>
      <c r="BV197" s="203">
        <f t="shared" si="194"/>
        <v>0</v>
      </c>
      <c r="BW197" s="203">
        <f t="shared" si="194"/>
        <v>0</v>
      </c>
      <c r="BX197" s="203">
        <f t="shared" si="194"/>
        <v>0</v>
      </c>
      <c r="BY197" s="203">
        <f t="shared" si="194"/>
        <v>0</v>
      </c>
      <c r="BZ197" s="203">
        <f t="shared" si="194"/>
        <v>0</v>
      </c>
      <c r="CA197" s="203">
        <f t="shared" si="194"/>
        <v>0</v>
      </c>
      <c r="CB197" s="204">
        <f t="shared" si="194"/>
        <v>0</v>
      </c>
    </row>
    <row r="198" spans="1:80" s="47" customFormat="1" hidden="1" x14ac:dyDescent="0.25">
      <c r="A198" t="s">
        <v>1</v>
      </c>
    </row>
    <row r="199" spans="1:80" s="47" customFormat="1" ht="12.45" hidden="1" thickBot="1" x14ac:dyDescent="0.3">
      <c r="A199" t="s">
        <v>1</v>
      </c>
      <c r="C199" s="132" t="s">
        <v>117</v>
      </c>
      <c r="D199" s="132"/>
      <c r="E199" s="132"/>
      <c r="F199" s="132"/>
      <c r="G199" s="132"/>
      <c r="H199" s="132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P199" s="133"/>
      <c r="BQ199" s="133"/>
      <c r="BR199" s="133"/>
      <c r="BS199" s="133"/>
      <c r="BT199" s="133"/>
      <c r="BU199" s="133"/>
      <c r="BV199" s="133"/>
      <c r="BW199" s="133"/>
      <c r="BX199" s="133"/>
      <c r="BY199" s="133"/>
      <c r="BZ199" s="133"/>
      <c r="CA199" s="133"/>
      <c r="CB199" s="133"/>
    </row>
    <row r="200" spans="1:80" s="47" customFormat="1" ht="11.95" hidden="1" thickBot="1" x14ac:dyDescent="0.3">
      <c r="A200" t="s">
        <v>1</v>
      </c>
      <c r="D200" s="135"/>
      <c r="E200" s="135"/>
      <c r="F200" s="135"/>
      <c r="G200" s="135" t="s">
        <v>117</v>
      </c>
      <c r="H200" s="136"/>
      <c r="I200" s="136"/>
      <c r="J200" s="136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1">
        <f>SUM(L200:W200)</f>
        <v>0</v>
      </c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1">
        <f>SUM(Z200:AK200)</f>
        <v>0</v>
      </c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1">
        <f>SUM(AN200:AY200)</f>
        <v>0</v>
      </c>
      <c r="BB200" s="202"/>
      <c r="BC200" s="202"/>
      <c r="BD200" s="202"/>
      <c r="BE200" s="202"/>
      <c r="BF200" s="202"/>
      <c r="BG200" s="202"/>
      <c r="BH200" s="202"/>
      <c r="BI200" s="202"/>
      <c r="BJ200" s="202"/>
      <c r="BK200" s="202"/>
      <c r="BL200" s="202"/>
      <c r="BM200" s="202"/>
      <c r="BN200" s="201">
        <f>SUM(BB200:BM200)</f>
        <v>0</v>
      </c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1">
        <f>SUM(BP200:CA200)</f>
        <v>0</v>
      </c>
    </row>
    <row r="201" spans="1:80" s="47" customFormat="1" ht="11.95" hidden="1" thickBot="1" x14ac:dyDescent="0.3">
      <c r="A201" t="s">
        <v>1</v>
      </c>
      <c r="E201" s="135"/>
      <c r="F201" s="135"/>
      <c r="G201" s="135" t="s">
        <v>6</v>
      </c>
      <c r="H201" s="136"/>
      <c r="I201" s="136"/>
      <c r="J201" s="136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1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1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1"/>
      <c r="BB201" s="202"/>
      <c r="BC201" s="202"/>
      <c r="BD201" s="202"/>
      <c r="BE201" s="202"/>
      <c r="BF201" s="202"/>
      <c r="BG201" s="202"/>
      <c r="BH201" s="202"/>
      <c r="BI201" s="202"/>
      <c r="BJ201" s="202"/>
      <c r="BK201" s="202"/>
      <c r="BL201" s="202"/>
      <c r="BM201" s="202"/>
      <c r="BN201" s="201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1"/>
    </row>
    <row r="202" spans="1:80" s="47" customFormat="1" ht="11.95" hidden="1" x14ac:dyDescent="0.25">
      <c r="A202" t="s">
        <v>1</v>
      </c>
      <c r="C202" s="141" t="str">
        <f>"Total "&amp;C199</f>
        <v>Total Gain/Loss on Swap MTM</v>
      </c>
      <c r="D202" s="141"/>
      <c r="E202" s="141"/>
      <c r="F202" s="141"/>
      <c r="G202" s="141"/>
      <c r="H202" s="203"/>
      <c r="I202" s="203"/>
      <c r="J202" s="203"/>
      <c r="K202" s="203">
        <v>-1</v>
      </c>
      <c r="L202" s="203">
        <f t="shared" ref="L202:X202" si="195">SUMIFS(L200:L201,$H200:$H201,"&lt;&gt;"&amp;$H$18,$D200:$D201,"&lt;&gt;*[-]*",$E200:$E201,"&lt;&gt;*[-]*",$F200:$F201,"&lt;&gt;*[-]*",$G200:$G201,"&lt;&gt;*[-]*")</f>
        <v>0</v>
      </c>
      <c r="M202" s="203">
        <f t="shared" si="195"/>
        <v>0</v>
      </c>
      <c r="N202" s="203">
        <f t="shared" si="195"/>
        <v>0</v>
      </c>
      <c r="O202" s="203">
        <f t="shared" si="195"/>
        <v>0</v>
      </c>
      <c r="P202" s="203">
        <f t="shared" si="195"/>
        <v>0</v>
      </c>
      <c r="Q202" s="203">
        <f t="shared" si="195"/>
        <v>0</v>
      </c>
      <c r="R202" s="203">
        <f t="shared" si="195"/>
        <v>0</v>
      </c>
      <c r="S202" s="203">
        <f t="shared" si="195"/>
        <v>0</v>
      </c>
      <c r="T202" s="203">
        <f t="shared" si="195"/>
        <v>0</v>
      </c>
      <c r="U202" s="203">
        <f t="shared" si="195"/>
        <v>0</v>
      </c>
      <c r="V202" s="203">
        <f t="shared" si="195"/>
        <v>0</v>
      </c>
      <c r="W202" s="203">
        <f t="shared" si="195"/>
        <v>0</v>
      </c>
      <c r="X202" s="204">
        <f t="shared" si="195"/>
        <v>0</v>
      </c>
      <c r="Z202" s="203">
        <f t="shared" ref="Z202:AL202" si="196">SUMIFS(Z200:Z201,$H200:$H201,"&lt;&gt;"&amp;$H$18,$D200:$D201,"&lt;&gt;*[-]*",$E200:$E201,"&lt;&gt;*[-]*",$F200:$F201,"&lt;&gt;*[-]*",$G200:$G201,"&lt;&gt;*[-]*")</f>
        <v>0</v>
      </c>
      <c r="AA202" s="203">
        <f t="shared" si="196"/>
        <v>0</v>
      </c>
      <c r="AB202" s="203">
        <f t="shared" si="196"/>
        <v>0</v>
      </c>
      <c r="AC202" s="203">
        <f t="shared" si="196"/>
        <v>0</v>
      </c>
      <c r="AD202" s="203">
        <f t="shared" si="196"/>
        <v>0</v>
      </c>
      <c r="AE202" s="203">
        <f t="shared" si="196"/>
        <v>0</v>
      </c>
      <c r="AF202" s="203">
        <f t="shared" si="196"/>
        <v>0</v>
      </c>
      <c r="AG202" s="203">
        <f t="shared" si="196"/>
        <v>0</v>
      </c>
      <c r="AH202" s="203">
        <f t="shared" si="196"/>
        <v>0</v>
      </c>
      <c r="AI202" s="203">
        <f t="shared" si="196"/>
        <v>0</v>
      </c>
      <c r="AJ202" s="203">
        <f t="shared" si="196"/>
        <v>0</v>
      </c>
      <c r="AK202" s="203">
        <f t="shared" si="196"/>
        <v>0</v>
      </c>
      <c r="AL202" s="204">
        <f t="shared" si="196"/>
        <v>0</v>
      </c>
      <c r="AN202" s="203">
        <f t="shared" ref="AN202:AZ202" si="197">SUMIFS(AN200:AN201,$H200:$H201,"&lt;&gt;"&amp;$H$18,$D200:$D201,"&lt;&gt;*[-]*",$E200:$E201,"&lt;&gt;*[-]*",$F200:$F201,"&lt;&gt;*[-]*",$G200:$G201,"&lt;&gt;*[-]*")</f>
        <v>0</v>
      </c>
      <c r="AO202" s="203">
        <f t="shared" si="197"/>
        <v>0</v>
      </c>
      <c r="AP202" s="203">
        <f t="shared" si="197"/>
        <v>0</v>
      </c>
      <c r="AQ202" s="203">
        <f t="shared" si="197"/>
        <v>0</v>
      </c>
      <c r="AR202" s="203">
        <f t="shared" si="197"/>
        <v>0</v>
      </c>
      <c r="AS202" s="203">
        <f t="shared" si="197"/>
        <v>0</v>
      </c>
      <c r="AT202" s="203">
        <f t="shared" si="197"/>
        <v>0</v>
      </c>
      <c r="AU202" s="203">
        <f t="shared" si="197"/>
        <v>0</v>
      </c>
      <c r="AV202" s="203">
        <f t="shared" si="197"/>
        <v>0</v>
      </c>
      <c r="AW202" s="203">
        <f t="shared" si="197"/>
        <v>0</v>
      </c>
      <c r="AX202" s="203">
        <f t="shared" si="197"/>
        <v>0</v>
      </c>
      <c r="AY202" s="203">
        <f t="shared" si="197"/>
        <v>0</v>
      </c>
      <c r="AZ202" s="204">
        <f t="shared" si="197"/>
        <v>0</v>
      </c>
      <c r="BB202" s="203">
        <f t="shared" ref="BB202:BN202" si="198">SUMIFS(BB200:BB201,$H200:$H201,"&lt;&gt;"&amp;$H$18,$D200:$D201,"&lt;&gt;*[-]*",$E200:$E201,"&lt;&gt;*[-]*",$F200:$F201,"&lt;&gt;*[-]*",$G200:$G201,"&lt;&gt;*[-]*")</f>
        <v>0</v>
      </c>
      <c r="BC202" s="203">
        <f t="shared" si="198"/>
        <v>0</v>
      </c>
      <c r="BD202" s="203">
        <f t="shared" si="198"/>
        <v>0</v>
      </c>
      <c r="BE202" s="203">
        <f t="shared" si="198"/>
        <v>0</v>
      </c>
      <c r="BF202" s="203">
        <f t="shared" si="198"/>
        <v>0</v>
      </c>
      <c r="BG202" s="203">
        <f t="shared" si="198"/>
        <v>0</v>
      </c>
      <c r="BH202" s="203">
        <f t="shared" si="198"/>
        <v>0</v>
      </c>
      <c r="BI202" s="203">
        <f t="shared" si="198"/>
        <v>0</v>
      </c>
      <c r="BJ202" s="203">
        <f t="shared" si="198"/>
        <v>0</v>
      </c>
      <c r="BK202" s="203">
        <f t="shared" si="198"/>
        <v>0</v>
      </c>
      <c r="BL202" s="203">
        <f t="shared" si="198"/>
        <v>0</v>
      </c>
      <c r="BM202" s="203">
        <f t="shared" si="198"/>
        <v>0</v>
      </c>
      <c r="BN202" s="204">
        <f t="shared" si="198"/>
        <v>0</v>
      </c>
      <c r="BP202" s="203">
        <f t="shared" ref="BP202:CB202" si="199">SUMIFS(BP200:BP201,$H200:$H201,"&lt;&gt;"&amp;$H$18,$D200:$D201,"&lt;&gt;*[-]*",$E200:$E201,"&lt;&gt;*[-]*",$F200:$F201,"&lt;&gt;*[-]*",$G200:$G201,"&lt;&gt;*[-]*")</f>
        <v>0</v>
      </c>
      <c r="BQ202" s="203">
        <f t="shared" si="199"/>
        <v>0</v>
      </c>
      <c r="BR202" s="203">
        <f t="shared" si="199"/>
        <v>0</v>
      </c>
      <c r="BS202" s="203">
        <f t="shared" si="199"/>
        <v>0</v>
      </c>
      <c r="BT202" s="203">
        <f t="shared" si="199"/>
        <v>0</v>
      </c>
      <c r="BU202" s="203">
        <f t="shared" si="199"/>
        <v>0</v>
      </c>
      <c r="BV202" s="203">
        <f t="shared" si="199"/>
        <v>0</v>
      </c>
      <c r="BW202" s="203">
        <f t="shared" si="199"/>
        <v>0</v>
      </c>
      <c r="BX202" s="203">
        <f t="shared" si="199"/>
        <v>0</v>
      </c>
      <c r="BY202" s="203">
        <f t="shared" si="199"/>
        <v>0</v>
      </c>
      <c r="BZ202" s="203">
        <f t="shared" si="199"/>
        <v>0</v>
      </c>
      <c r="CA202" s="203">
        <f t="shared" si="199"/>
        <v>0</v>
      </c>
      <c r="CB202" s="204">
        <f t="shared" si="199"/>
        <v>0</v>
      </c>
    </row>
    <row r="203" spans="1:80" ht="11.95" thickBot="1" x14ac:dyDescent="0.3"/>
    <row r="204" spans="1:80" ht="12.45" thickBot="1" x14ac:dyDescent="0.3">
      <c r="A204" t="str">
        <f>IF(COUNTIF(A19:A203,"#showrow")&gt;0,"#showrow","#hiderow")</f>
        <v>#showrow</v>
      </c>
      <c r="C204" s="19" t="s">
        <v>91</v>
      </c>
      <c r="D204" s="19"/>
      <c r="E204" s="19"/>
      <c r="F204" s="19"/>
      <c r="G204" s="19"/>
      <c r="H204" s="188"/>
      <c r="I204" s="188"/>
      <c r="J204" s="188"/>
      <c r="K204" s="188"/>
      <c r="L204" s="188">
        <f t="shared" ref="L204:X204" si="200">SUMPRODUCT($K$19:$K$203,L$19:L$203)</f>
        <v>-32914.740000000005</v>
      </c>
      <c r="M204" s="188">
        <f t="shared" si="200"/>
        <v>-83494.64</v>
      </c>
      <c r="N204" s="188">
        <f t="shared" si="200"/>
        <v>45128.330000000031</v>
      </c>
      <c r="O204" s="188">
        <f t="shared" si="200"/>
        <v>-106769.54000000002</v>
      </c>
      <c r="P204" s="188">
        <f t="shared" si="200"/>
        <v>-47521.939999999981</v>
      </c>
      <c r="Q204" s="188">
        <f t="shared" si="200"/>
        <v>-60996.740000000005</v>
      </c>
      <c r="R204" s="188">
        <f t="shared" si="200"/>
        <v>-110079.55000000002</v>
      </c>
      <c r="S204" s="188">
        <f t="shared" si="200"/>
        <v>-94547.50999999998</v>
      </c>
      <c r="T204" s="188">
        <f t="shared" si="200"/>
        <v>-91634.609999999971</v>
      </c>
      <c r="U204" s="188">
        <f t="shared" si="200"/>
        <v>-30555.56</v>
      </c>
      <c r="V204" s="188">
        <f t="shared" si="200"/>
        <v>-26559.389999999985</v>
      </c>
      <c r="W204" s="188">
        <f t="shared" si="200"/>
        <v>75612.650000000052</v>
      </c>
      <c r="X204" s="189">
        <f t="shared" si="200"/>
        <v>-564333.24</v>
      </c>
      <c r="Z204" s="188">
        <f t="shared" ref="Z204:AL204" si="201">SUMPRODUCT($K$19:$K$203,Z$19:Z$203)</f>
        <v>-233445.88000000003</v>
      </c>
      <c r="AA204" s="188">
        <f t="shared" si="201"/>
        <v>65350.715170448842</v>
      </c>
      <c r="AB204" s="188">
        <f t="shared" si="201"/>
        <v>99831.287401631504</v>
      </c>
      <c r="AC204" s="188">
        <f t="shared" si="201"/>
        <v>65350.715170448842</v>
      </c>
      <c r="AD204" s="188">
        <f t="shared" si="201"/>
        <v>65350.715170448842</v>
      </c>
      <c r="AE204" s="188">
        <f t="shared" si="201"/>
        <v>99831.287401631504</v>
      </c>
      <c r="AF204" s="188">
        <f t="shared" si="201"/>
        <v>64610.808027592793</v>
      </c>
      <c r="AG204" s="188">
        <f t="shared" si="201"/>
        <v>64610.808027592793</v>
      </c>
      <c r="AH204" s="188">
        <f t="shared" si="201"/>
        <v>98912.871192840641</v>
      </c>
      <c r="AI204" s="188">
        <f t="shared" si="201"/>
        <v>64610.808027592793</v>
      </c>
      <c r="AJ204" s="188">
        <f t="shared" si="201"/>
        <v>64610.808027592793</v>
      </c>
      <c r="AK204" s="188">
        <f t="shared" si="201"/>
        <v>86912.87119284067</v>
      </c>
      <c r="AL204" s="189">
        <f t="shared" si="201"/>
        <v>606537.81481066346</v>
      </c>
      <c r="AN204" s="188">
        <f t="shared" ref="AN204:AZ204" si="202">SUMPRODUCT($K$19:$K$203,AN$19:AN$203)</f>
        <v>65350.715170448842</v>
      </c>
      <c r="AO204" s="188">
        <f t="shared" si="202"/>
        <v>65350.715170448842</v>
      </c>
      <c r="AP204" s="188">
        <f t="shared" si="202"/>
        <v>99831.287401631504</v>
      </c>
      <c r="AQ204" s="188">
        <f t="shared" si="202"/>
        <v>65350.715170448842</v>
      </c>
      <c r="AR204" s="188">
        <f t="shared" si="202"/>
        <v>65350.715170448842</v>
      </c>
      <c r="AS204" s="188">
        <f t="shared" si="202"/>
        <v>99831.287401631504</v>
      </c>
      <c r="AT204" s="188">
        <f t="shared" si="202"/>
        <v>64610.808027592793</v>
      </c>
      <c r="AU204" s="188">
        <f t="shared" si="202"/>
        <v>64610.808027592793</v>
      </c>
      <c r="AV204" s="188">
        <f t="shared" si="202"/>
        <v>98912.871192840641</v>
      </c>
      <c r="AW204" s="188">
        <f t="shared" si="202"/>
        <v>64610.808027592793</v>
      </c>
      <c r="AX204" s="188">
        <f t="shared" si="202"/>
        <v>64610.808027592793</v>
      </c>
      <c r="AY204" s="188">
        <f t="shared" si="202"/>
        <v>86912.87119284067</v>
      </c>
      <c r="AZ204" s="189">
        <f t="shared" si="202"/>
        <v>905334.40998111269</v>
      </c>
      <c r="BB204" s="188">
        <f t="shared" ref="BB204:BN204" si="203">SUMPRODUCT($K$19:$K$203,BB$19:BB$203)</f>
        <v>65350.715170448842</v>
      </c>
      <c r="BC204" s="188">
        <f t="shared" si="203"/>
        <v>65350.715170448842</v>
      </c>
      <c r="BD204" s="188">
        <f t="shared" si="203"/>
        <v>99831.287401631504</v>
      </c>
      <c r="BE204" s="188">
        <f t="shared" si="203"/>
        <v>65350.715170448842</v>
      </c>
      <c r="BF204" s="188">
        <f t="shared" si="203"/>
        <v>65350.715170448842</v>
      </c>
      <c r="BG204" s="188">
        <f t="shared" si="203"/>
        <v>99831.287401631504</v>
      </c>
      <c r="BH204" s="188">
        <f t="shared" si="203"/>
        <v>64610.808027592793</v>
      </c>
      <c r="BI204" s="188">
        <f t="shared" si="203"/>
        <v>64610.808027592793</v>
      </c>
      <c r="BJ204" s="188">
        <f t="shared" si="203"/>
        <v>98912.871192840641</v>
      </c>
      <c r="BK204" s="188">
        <f t="shared" si="203"/>
        <v>64610.808027592793</v>
      </c>
      <c r="BL204" s="188">
        <f t="shared" si="203"/>
        <v>64610.808027592793</v>
      </c>
      <c r="BM204" s="188">
        <f t="shared" si="203"/>
        <v>86912.87119284067</v>
      </c>
      <c r="BN204" s="189">
        <f t="shared" si="203"/>
        <v>905334.40998111269</v>
      </c>
      <c r="BP204" s="203" t="e">
        <f t="shared" ref="BP204:CB204" si="204">SUMPRODUCT($K$19:$K$203,BP$19:BP$203)</f>
        <v>#DIV/0!</v>
      </c>
      <c r="BQ204" s="203" t="e">
        <f t="shared" si="204"/>
        <v>#DIV/0!</v>
      </c>
      <c r="BR204" s="203" t="e">
        <f t="shared" si="204"/>
        <v>#DIV/0!</v>
      </c>
      <c r="BS204" s="203" t="e">
        <f t="shared" si="204"/>
        <v>#DIV/0!</v>
      </c>
      <c r="BT204" s="203" t="e">
        <f t="shared" si="204"/>
        <v>#DIV/0!</v>
      </c>
      <c r="BU204" s="203" t="e">
        <f t="shared" si="204"/>
        <v>#DIV/0!</v>
      </c>
      <c r="BV204" s="203" t="e">
        <f t="shared" si="204"/>
        <v>#DIV/0!</v>
      </c>
      <c r="BW204" s="203" t="e">
        <f t="shared" si="204"/>
        <v>#DIV/0!</v>
      </c>
      <c r="BX204" s="203" t="e">
        <f t="shared" si="204"/>
        <v>#DIV/0!</v>
      </c>
      <c r="BY204" s="203" t="e">
        <f t="shared" si="204"/>
        <v>#DIV/0!</v>
      </c>
      <c r="BZ204" s="203" t="e">
        <f t="shared" si="204"/>
        <v>#DIV/0!</v>
      </c>
      <c r="CA204" s="203" t="e">
        <f t="shared" si="204"/>
        <v>#DIV/0!</v>
      </c>
      <c r="CB204" s="204" t="e">
        <f t="shared" si="204"/>
        <v>#DIV/0!</v>
      </c>
    </row>
    <row r="205" spans="1:80" ht="11.95" x14ac:dyDescent="0.25">
      <c r="A205" t="str">
        <f>A204</f>
        <v>#showrow</v>
      </c>
      <c r="C205" s="19" t="s">
        <v>129</v>
      </c>
      <c r="D205" s="19"/>
      <c r="E205" s="19"/>
      <c r="F205" s="19"/>
      <c r="G205" s="19"/>
      <c r="H205" s="188"/>
      <c r="I205" s="188"/>
      <c r="J205" s="188"/>
      <c r="K205" s="188"/>
      <c r="L205" s="188">
        <f>L204</f>
        <v>-32914.740000000005</v>
      </c>
      <c r="M205" s="188">
        <f>L205+M204</f>
        <v>-116409.38</v>
      </c>
      <c r="N205" s="188">
        <f t="shared" ref="N205:W205" si="205">M205+N204</f>
        <v>-71281.049999999974</v>
      </c>
      <c r="O205" s="188">
        <f t="shared" si="205"/>
        <v>-178050.59</v>
      </c>
      <c r="P205" s="188">
        <f t="shared" si="205"/>
        <v>-225572.52999999997</v>
      </c>
      <c r="Q205" s="188">
        <f t="shared" si="205"/>
        <v>-286569.26999999996</v>
      </c>
      <c r="R205" s="188">
        <f t="shared" si="205"/>
        <v>-396648.81999999995</v>
      </c>
      <c r="S205" s="188">
        <f t="shared" si="205"/>
        <v>-491196.32999999996</v>
      </c>
      <c r="T205" s="188">
        <f t="shared" si="205"/>
        <v>-582830.93999999994</v>
      </c>
      <c r="U205" s="188">
        <f t="shared" si="205"/>
        <v>-613386.5</v>
      </c>
      <c r="V205" s="188">
        <f t="shared" si="205"/>
        <v>-639945.89</v>
      </c>
      <c r="W205" s="188">
        <f t="shared" si="205"/>
        <v>-564333.24</v>
      </c>
      <c r="X205" s="189">
        <f>W205</f>
        <v>-564333.24</v>
      </c>
      <c r="Z205" s="188">
        <f>Z204</f>
        <v>-233445.88000000003</v>
      </c>
      <c r="AA205" s="188">
        <f>Z205+AA204</f>
        <v>-168095.16482955118</v>
      </c>
      <c r="AB205" s="188">
        <f t="shared" ref="AB205:AK205" si="206">AA205+AB204</f>
        <v>-68263.87742791968</v>
      </c>
      <c r="AC205" s="188">
        <f t="shared" si="206"/>
        <v>-2913.1622574708381</v>
      </c>
      <c r="AD205" s="188">
        <f t="shared" si="206"/>
        <v>62437.552912978004</v>
      </c>
      <c r="AE205" s="188">
        <f t="shared" si="206"/>
        <v>162268.84031460952</v>
      </c>
      <c r="AF205" s="188">
        <f t="shared" si="206"/>
        <v>226879.6483422023</v>
      </c>
      <c r="AG205" s="188">
        <f t="shared" si="206"/>
        <v>291490.45636979508</v>
      </c>
      <c r="AH205" s="188">
        <f t="shared" si="206"/>
        <v>390403.32756263571</v>
      </c>
      <c r="AI205" s="188">
        <f t="shared" si="206"/>
        <v>455014.13559022848</v>
      </c>
      <c r="AJ205" s="188">
        <f t="shared" si="206"/>
        <v>519624.94361782126</v>
      </c>
      <c r="AK205" s="188">
        <f t="shared" si="206"/>
        <v>606537.81481066195</v>
      </c>
      <c r="AL205" s="189" t="e">
        <f>#REF!</f>
        <v>#REF!</v>
      </c>
      <c r="AN205" s="188">
        <f>AN204</f>
        <v>65350.715170448842</v>
      </c>
      <c r="AO205" s="188">
        <f>AN205+AO204</f>
        <v>130701.43034089768</v>
      </c>
      <c r="AP205" s="188">
        <f t="shared" ref="AP205:AY205" si="207">AO205+AP204</f>
        <v>230532.71774252917</v>
      </c>
      <c r="AQ205" s="188">
        <f t="shared" si="207"/>
        <v>295883.43291297799</v>
      </c>
      <c r="AR205" s="188">
        <f t="shared" si="207"/>
        <v>361234.14808342681</v>
      </c>
      <c r="AS205" s="188">
        <f t="shared" si="207"/>
        <v>461065.43548505835</v>
      </c>
      <c r="AT205" s="188">
        <f t="shared" si="207"/>
        <v>525676.24351265118</v>
      </c>
      <c r="AU205" s="188">
        <f t="shared" si="207"/>
        <v>590287.05154024402</v>
      </c>
      <c r="AV205" s="188">
        <f t="shared" si="207"/>
        <v>689199.92273308465</v>
      </c>
      <c r="AW205" s="188">
        <f t="shared" si="207"/>
        <v>753810.73076067748</v>
      </c>
      <c r="AX205" s="188">
        <f t="shared" si="207"/>
        <v>818421.53878827032</v>
      </c>
      <c r="AY205" s="188">
        <f t="shared" si="207"/>
        <v>905334.40998111095</v>
      </c>
      <c r="AZ205" s="189">
        <f>AY205</f>
        <v>905334.40998111095</v>
      </c>
      <c r="BB205" s="188">
        <f>BB204</f>
        <v>65350.715170448842</v>
      </c>
      <c r="BC205" s="188">
        <f>BB205+BC204</f>
        <v>130701.43034089768</v>
      </c>
      <c r="BD205" s="188">
        <f t="shared" ref="BD205:BM205" si="208">BC205+BD204</f>
        <v>230532.71774252917</v>
      </c>
      <c r="BE205" s="188">
        <f t="shared" si="208"/>
        <v>295883.43291297799</v>
      </c>
      <c r="BF205" s="188">
        <f t="shared" si="208"/>
        <v>361234.14808342681</v>
      </c>
      <c r="BG205" s="188">
        <f t="shared" si="208"/>
        <v>461065.43548505835</v>
      </c>
      <c r="BH205" s="188">
        <f t="shared" si="208"/>
        <v>525676.24351265118</v>
      </c>
      <c r="BI205" s="188">
        <f t="shared" si="208"/>
        <v>590287.05154024402</v>
      </c>
      <c r="BJ205" s="188">
        <f t="shared" si="208"/>
        <v>689199.92273308465</v>
      </c>
      <c r="BK205" s="188">
        <f t="shared" si="208"/>
        <v>753810.73076067748</v>
      </c>
      <c r="BL205" s="188">
        <f t="shared" si="208"/>
        <v>818421.53878827032</v>
      </c>
      <c r="BM205" s="188">
        <f t="shared" si="208"/>
        <v>905334.40998111095</v>
      </c>
      <c r="BN205" s="189">
        <f>BM205</f>
        <v>905334.40998111095</v>
      </c>
      <c r="BP205" s="203" t="e">
        <f>BP204</f>
        <v>#DIV/0!</v>
      </c>
      <c r="BQ205" s="203" t="e">
        <f>BP205+BQ204</f>
        <v>#DIV/0!</v>
      </c>
      <c r="BR205" s="203" t="e">
        <f t="shared" ref="BR205:CA205" si="209">BQ205+BR204</f>
        <v>#DIV/0!</v>
      </c>
      <c r="BS205" s="203" t="e">
        <f t="shared" si="209"/>
        <v>#DIV/0!</v>
      </c>
      <c r="BT205" s="203" t="e">
        <f t="shared" si="209"/>
        <v>#DIV/0!</v>
      </c>
      <c r="BU205" s="203" t="e">
        <f t="shared" si="209"/>
        <v>#DIV/0!</v>
      </c>
      <c r="BV205" s="203" t="e">
        <f t="shared" si="209"/>
        <v>#DIV/0!</v>
      </c>
      <c r="BW205" s="203" t="e">
        <f t="shared" si="209"/>
        <v>#DIV/0!</v>
      </c>
      <c r="BX205" s="203" t="e">
        <f t="shared" si="209"/>
        <v>#DIV/0!</v>
      </c>
      <c r="BY205" s="203" t="e">
        <f t="shared" si="209"/>
        <v>#DIV/0!</v>
      </c>
      <c r="BZ205" s="203" t="e">
        <f t="shared" si="209"/>
        <v>#DIV/0!</v>
      </c>
      <c r="CA205" s="203" t="e">
        <f t="shared" si="209"/>
        <v>#DIV/0!</v>
      </c>
      <c r="CB205" s="204" t="e">
        <f>CA205</f>
        <v>#DIV/0!</v>
      </c>
    </row>
    <row r="206" spans="1:80" x14ac:dyDescent="0.25">
      <c r="A206" t="str">
        <f>A204</f>
        <v>#showrow</v>
      </c>
    </row>
    <row r="207" spans="1:80" ht="23.35" thickBot="1" x14ac:dyDescent="0.5">
      <c r="A207" t="str">
        <f>IF(COUNTIF(A209:A211,"#showrow")&gt;0,"#showrow","#hiderow")</f>
        <v>#showrow</v>
      </c>
      <c r="C207" s="2" t="s">
        <v>16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P207" s="216"/>
      <c r="BQ207" s="216"/>
      <c r="BR207" s="216"/>
      <c r="BS207" s="216"/>
      <c r="BT207" s="216"/>
      <c r="BU207" s="216"/>
      <c r="BV207" s="216"/>
      <c r="BW207" s="216"/>
      <c r="BX207" s="216"/>
      <c r="BY207" s="216"/>
      <c r="BZ207" s="216"/>
      <c r="CA207" s="216"/>
      <c r="CB207" s="216"/>
    </row>
    <row r="208" spans="1:80" ht="12.45" thickTop="1" thickBot="1" x14ac:dyDescent="0.3">
      <c r="A208" t="str">
        <f>A207</f>
        <v>#showrow</v>
      </c>
    </row>
    <row r="209" spans="1:80" ht="11.95" thickBot="1" x14ac:dyDescent="0.3">
      <c r="A209" t="str">
        <f>IF(G209="Empty","#hiderow","#showrow")</f>
        <v>#showrow</v>
      </c>
      <c r="D209" s="3"/>
      <c r="E209" s="3"/>
      <c r="F209" s="3"/>
      <c r="G209" s="3" t="s">
        <v>32</v>
      </c>
      <c r="H209" s="21"/>
      <c r="I209" s="21"/>
      <c r="J209" s="18"/>
      <c r="K209" s="185"/>
      <c r="L209" s="196">
        <v>-5352.15</v>
      </c>
      <c r="M209" s="196">
        <v>-55752.55</v>
      </c>
      <c r="N209" s="196">
        <v>74266.7</v>
      </c>
      <c r="O209" s="196">
        <v>-77753.87</v>
      </c>
      <c r="P209" s="196">
        <v>-18492.18</v>
      </c>
      <c r="Q209" s="196">
        <v>-30233.439999999999</v>
      </c>
      <c r="R209" s="196">
        <v>-80989.84</v>
      </c>
      <c r="S209" s="196">
        <v>-65267.29</v>
      </c>
      <c r="T209" s="196">
        <v>-60246.97</v>
      </c>
      <c r="U209" s="196">
        <v>-1066.19</v>
      </c>
      <c r="V209" s="196">
        <v>15536.33</v>
      </c>
      <c r="W209" s="196">
        <v>114848.86</v>
      </c>
      <c r="X209" s="186">
        <f t="shared" ref="X209:X210" si="210">SUM(L209:W209)</f>
        <v>-190502.59000000003</v>
      </c>
      <c r="Z209" s="196">
        <v>-195780.92</v>
      </c>
      <c r="AA209" s="196">
        <v>65350.715170448202</v>
      </c>
      <c r="AB209" s="196">
        <v>99831.2874016313</v>
      </c>
      <c r="AC209" s="196">
        <v>65350.715170448202</v>
      </c>
      <c r="AD209" s="196">
        <v>65350.715170448202</v>
      </c>
      <c r="AE209" s="196">
        <v>99831.2874016313</v>
      </c>
      <c r="AF209" s="196">
        <v>64610.808027591898</v>
      </c>
      <c r="AG209" s="196">
        <v>64610.808027591898</v>
      </c>
      <c r="AH209" s="196">
        <v>98912.871192840204</v>
      </c>
      <c r="AI209" s="196">
        <v>64610.808027591898</v>
      </c>
      <c r="AJ209" s="196">
        <v>64610.808027591898</v>
      </c>
      <c r="AK209" s="196">
        <v>86912.871192840001</v>
      </c>
      <c r="AL209" s="186">
        <f t="shared" ref="AL209:AL210" si="211">SUM(Z209:AK209)</f>
        <v>644202.77481065504</v>
      </c>
      <c r="AN209" s="197">
        <v>65350.715170448202</v>
      </c>
      <c r="AO209" s="197">
        <v>65350.715170448202</v>
      </c>
      <c r="AP209" s="197">
        <v>99831.2874016313</v>
      </c>
      <c r="AQ209" s="197">
        <v>65350.715170448202</v>
      </c>
      <c r="AR209" s="197">
        <v>65350.715170448202</v>
      </c>
      <c r="AS209" s="197">
        <v>99831.2874016313</v>
      </c>
      <c r="AT209" s="197">
        <v>64610.808027591898</v>
      </c>
      <c r="AU209" s="197">
        <v>64610.808027591898</v>
      </c>
      <c r="AV209" s="197">
        <v>98912.871192840204</v>
      </c>
      <c r="AW209" s="197">
        <v>64610.808027591898</v>
      </c>
      <c r="AX209" s="197">
        <v>64610.808027591898</v>
      </c>
      <c r="AY209" s="197">
        <v>86912.871192840001</v>
      </c>
      <c r="AZ209" s="186">
        <f t="shared" ref="AZ209:AZ210" si="212">SUM(AN209:AY209)</f>
        <v>905334.40998110315</v>
      </c>
      <c r="BB209" s="197">
        <v>65350.715170448202</v>
      </c>
      <c r="BC209" s="197">
        <v>65350.715170448202</v>
      </c>
      <c r="BD209" s="197">
        <v>99831.2874016313</v>
      </c>
      <c r="BE209" s="197">
        <v>65350.715170448202</v>
      </c>
      <c r="BF209" s="197">
        <v>65350.715170448202</v>
      </c>
      <c r="BG209" s="197">
        <v>99831.2874016313</v>
      </c>
      <c r="BH209" s="197">
        <v>64610.808027591898</v>
      </c>
      <c r="BI209" s="197">
        <v>64610.808027591898</v>
      </c>
      <c r="BJ209" s="197">
        <v>98912.871192840204</v>
      </c>
      <c r="BK209" s="197">
        <v>64610.808027591898</v>
      </c>
      <c r="BL209" s="197">
        <v>64610.808027591898</v>
      </c>
      <c r="BM209" s="197">
        <v>86912.871192840001</v>
      </c>
      <c r="BN209" s="186">
        <f t="shared" ref="BN209:BN210" si="213">SUM(BB209:BM209)</f>
        <v>905334.40998110315</v>
      </c>
      <c r="BP209" s="202">
        <v>2309226.3009778298</v>
      </c>
      <c r="BQ209" s="202">
        <v>3430409.0092343302</v>
      </c>
      <c r="BR209" s="202">
        <v>5653473.1803832296</v>
      </c>
      <c r="BS209" s="202">
        <v>4094476.2528634798</v>
      </c>
      <c r="BT209" s="202">
        <v>3385420.0846106</v>
      </c>
      <c r="BU209" s="202">
        <v>4432412.4458046202</v>
      </c>
      <c r="BV209" s="202">
        <v>3071161.4487707801</v>
      </c>
      <c r="BW209" s="202">
        <v>3451897.9834962301</v>
      </c>
      <c r="BX209" s="202">
        <v>5528291.7456952399</v>
      </c>
      <c r="BY209" s="202">
        <v>4273858.5189533299</v>
      </c>
      <c r="BZ209" s="202">
        <v>3736412.5656069401</v>
      </c>
      <c r="CA209" s="202">
        <v>3634625.10622918</v>
      </c>
      <c r="CB209" s="201">
        <f t="shared" ref="CB209:CB210" si="214">SUM(BP209:CA209)</f>
        <v>47001664.642625786</v>
      </c>
    </row>
    <row r="210" spans="1:80" ht="11.95" thickBot="1" x14ac:dyDescent="0.3">
      <c r="A210" t="str">
        <f t="shared" ref="A210" si="215">IF(G210="Empty","#hiderow","#showrow")</f>
        <v>#showrow</v>
      </c>
      <c r="D210" s="3"/>
      <c r="E210" s="3"/>
      <c r="F210" s="3"/>
      <c r="G210" s="3" t="s">
        <v>31</v>
      </c>
      <c r="H210" s="21"/>
      <c r="I210" s="21"/>
      <c r="J210" s="18"/>
      <c r="K210" s="185"/>
      <c r="L210" s="196">
        <v>-13525.22</v>
      </c>
      <c r="M210" s="196">
        <v>-60755.12</v>
      </c>
      <c r="N210" s="196">
        <v>87442.34</v>
      </c>
      <c r="O210" s="196">
        <v>-77753.87</v>
      </c>
      <c r="P210" s="196">
        <v>-18344.48</v>
      </c>
      <c r="Q210" s="196">
        <v>-30233.439999999999</v>
      </c>
      <c r="R210" s="196">
        <v>-80989.84</v>
      </c>
      <c r="S210" s="196">
        <v>-65267.29</v>
      </c>
      <c r="T210" s="196">
        <v>-60246.97</v>
      </c>
      <c r="U210" s="196">
        <v>-1066.19</v>
      </c>
      <c r="V210" s="196">
        <v>15536.33</v>
      </c>
      <c r="W210" s="196">
        <v>114864.92</v>
      </c>
      <c r="X210" s="186">
        <f t="shared" si="210"/>
        <v>-190338.83000000002</v>
      </c>
      <c r="Z210" s="196">
        <v>-195780.92</v>
      </c>
      <c r="AA210" s="196">
        <v>65350.715170448399</v>
      </c>
      <c r="AB210" s="196">
        <v>99831.287401631897</v>
      </c>
      <c r="AC210" s="196">
        <v>65350.715170448399</v>
      </c>
      <c r="AD210" s="196">
        <v>65350.715170448399</v>
      </c>
      <c r="AE210" s="196">
        <v>99831.287401631897</v>
      </c>
      <c r="AF210" s="196">
        <v>64610.8080275912</v>
      </c>
      <c r="AG210" s="196">
        <v>64610.8080275912</v>
      </c>
      <c r="AH210" s="196">
        <v>98912.871192840597</v>
      </c>
      <c r="AI210" s="196">
        <v>64610.8080275912</v>
      </c>
      <c r="AJ210" s="196">
        <v>64610.8080275912</v>
      </c>
      <c r="AK210" s="196">
        <v>86912.871192840306</v>
      </c>
      <c r="AL210" s="186">
        <f t="shared" si="211"/>
        <v>644202.77481065469</v>
      </c>
      <c r="AN210" s="197">
        <v>65350.715170448399</v>
      </c>
      <c r="AO210" s="197">
        <v>65350.715170448399</v>
      </c>
      <c r="AP210" s="197">
        <v>99831.287401631897</v>
      </c>
      <c r="AQ210" s="197">
        <v>65350.715170448399</v>
      </c>
      <c r="AR210" s="197">
        <v>65350.715170448399</v>
      </c>
      <c r="AS210" s="197">
        <v>99831.287401631897</v>
      </c>
      <c r="AT210" s="197">
        <v>64610.8080275912</v>
      </c>
      <c r="AU210" s="197">
        <v>64610.8080275912</v>
      </c>
      <c r="AV210" s="197">
        <v>98912.871192840597</v>
      </c>
      <c r="AW210" s="197">
        <v>64610.8080275912</v>
      </c>
      <c r="AX210" s="197">
        <v>64610.8080275912</v>
      </c>
      <c r="AY210" s="197">
        <v>86912.871192840306</v>
      </c>
      <c r="AZ210" s="186">
        <f t="shared" si="212"/>
        <v>905334.40998110315</v>
      </c>
      <c r="BB210" s="197">
        <v>65350.715170448399</v>
      </c>
      <c r="BC210" s="197">
        <v>65350.715170448399</v>
      </c>
      <c r="BD210" s="197">
        <v>99831.287401631897</v>
      </c>
      <c r="BE210" s="197">
        <v>65350.715170448399</v>
      </c>
      <c r="BF210" s="197">
        <v>65350.715170448399</v>
      </c>
      <c r="BG210" s="197">
        <v>99831.287401631897</v>
      </c>
      <c r="BH210" s="197">
        <v>64610.8080275912</v>
      </c>
      <c r="BI210" s="197">
        <v>64610.8080275912</v>
      </c>
      <c r="BJ210" s="197">
        <v>98912.871192840597</v>
      </c>
      <c r="BK210" s="197">
        <v>64610.8080275912</v>
      </c>
      <c r="BL210" s="197">
        <v>64610.8080275912</v>
      </c>
      <c r="BM210" s="197">
        <v>86912.871192840306</v>
      </c>
      <c r="BN210" s="186">
        <f t="shared" si="213"/>
        <v>905334.40998110315</v>
      </c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1">
        <f t="shared" si="214"/>
        <v>0</v>
      </c>
    </row>
    <row r="213" spans="1:80" ht="12.45" thickBot="1" x14ac:dyDescent="0.3">
      <c r="D213" s="4"/>
      <c r="E213" s="4"/>
      <c r="F213" s="4"/>
      <c r="G213" s="4" t="s">
        <v>20</v>
      </c>
      <c r="H213" s="5"/>
      <c r="I213" s="5"/>
      <c r="J213" s="5"/>
      <c r="K213" s="5"/>
      <c r="L213" s="198">
        <v>-32914.74</v>
      </c>
      <c r="M213" s="198">
        <v>-83494.64</v>
      </c>
      <c r="N213" s="198">
        <v>45128.33</v>
      </c>
      <c r="O213" s="198">
        <v>-106769.54</v>
      </c>
      <c r="P213" s="198">
        <v>-47521.94</v>
      </c>
      <c r="Q213" s="198">
        <v>-60996.74</v>
      </c>
      <c r="R213" s="198">
        <v>-110079.55</v>
      </c>
      <c r="S213" s="198">
        <v>-94547.51</v>
      </c>
      <c r="T213" s="198">
        <v>-91634.61</v>
      </c>
      <c r="U213" s="198">
        <v>-30555.56</v>
      </c>
      <c r="V213" s="198">
        <v>-26559.39</v>
      </c>
      <c r="W213" s="198">
        <v>75612.649999999994</v>
      </c>
      <c r="X213" s="199">
        <f>SUM(L213:W213)</f>
        <v>-564333.24000000011</v>
      </c>
      <c r="Z213" s="198">
        <v>-233445.88</v>
      </c>
      <c r="AA213" s="198">
        <v>65350.715170448202</v>
      </c>
      <c r="AB213" s="198">
        <v>99831.2874016313</v>
      </c>
      <c r="AC213" s="198">
        <v>65350.715170448202</v>
      </c>
      <c r="AD213" s="198">
        <v>65350.715170448202</v>
      </c>
      <c r="AE213" s="198">
        <v>99831.2874016313</v>
      </c>
      <c r="AF213" s="198">
        <v>64610.808027591898</v>
      </c>
      <c r="AG213" s="198">
        <v>64610.808027591898</v>
      </c>
      <c r="AH213" s="198">
        <v>98912.871192840204</v>
      </c>
      <c r="AI213" s="198">
        <v>64610.808027591898</v>
      </c>
      <c r="AJ213" s="198">
        <v>64610.808027591898</v>
      </c>
      <c r="AK213" s="198">
        <v>86912.871192840001</v>
      </c>
      <c r="AL213" s="199">
        <f>SUM(Z213:AK213)</f>
        <v>606537.81481065508</v>
      </c>
      <c r="AN213" s="198">
        <v>65350.715170448202</v>
      </c>
      <c r="AO213" s="198">
        <v>65350.715170448202</v>
      </c>
      <c r="AP213" s="198">
        <v>99831.2874016313</v>
      </c>
      <c r="AQ213" s="198">
        <v>65350.715170448202</v>
      </c>
      <c r="AR213" s="198">
        <v>65350.715170448202</v>
      </c>
      <c r="AS213" s="198">
        <v>99831.2874016313</v>
      </c>
      <c r="AT213" s="198">
        <v>64610.808027591898</v>
      </c>
      <c r="AU213" s="198">
        <v>64610.808027591898</v>
      </c>
      <c r="AV213" s="198">
        <v>98912.871192840204</v>
      </c>
      <c r="AW213" s="198">
        <v>64610.808027591898</v>
      </c>
      <c r="AX213" s="198">
        <v>64610.808027591898</v>
      </c>
      <c r="AY213" s="198">
        <v>86912.871192840001</v>
      </c>
      <c r="AZ213" s="199">
        <f>SUM(AN213:AY213)</f>
        <v>905334.40998110315</v>
      </c>
      <c r="BB213" s="198">
        <v>65350.715170448202</v>
      </c>
      <c r="BC213" s="198">
        <v>65350.715170448202</v>
      </c>
      <c r="BD213" s="198">
        <v>99831.2874016313</v>
      </c>
      <c r="BE213" s="198">
        <v>65350.715170448202</v>
      </c>
      <c r="BF213" s="198">
        <v>65350.715170448202</v>
      </c>
      <c r="BG213" s="198">
        <v>99831.2874016313</v>
      </c>
      <c r="BH213" s="198">
        <v>64610.808027591898</v>
      </c>
      <c r="BI213" s="198">
        <v>64610.808027591898</v>
      </c>
      <c r="BJ213" s="198">
        <v>98912.871192840204</v>
      </c>
      <c r="BK213" s="198">
        <v>64610.808027591898</v>
      </c>
      <c r="BL213" s="198">
        <v>64610.808027591898</v>
      </c>
      <c r="BM213" s="198">
        <v>86912.871192840001</v>
      </c>
      <c r="BN213" s="199">
        <f>SUM(BB213:BM213)</f>
        <v>905334.40998110315</v>
      </c>
      <c r="BP213" s="133">
        <v>2309226.3009778298</v>
      </c>
      <c r="BQ213" s="133">
        <v>3430409.0092343302</v>
      </c>
      <c r="BR213" s="133">
        <v>5653473.1803832296</v>
      </c>
      <c r="BS213" s="133">
        <v>4094476.2528634798</v>
      </c>
      <c r="BT213" s="133">
        <v>3385420.0846106</v>
      </c>
      <c r="BU213" s="133">
        <v>4432412.4458046202</v>
      </c>
      <c r="BV213" s="133">
        <v>3071161.4487707801</v>
      </c>
      <c r="BW213" s="133">
        <v>3451897.9834962301</v>
      </c>
      <c r="BX213" s="133">
        <v>5528291.7456952399</v>
      </c>
      <c r="BY213" s="133">
        <v>4273858.5189533299</v>
      </c>
      <c r="BZ213" s="133">
        <v>3736412.5656069401</v>
      </c>
      <c r="CA213" s="133">
        <v>3634625.10622918</v>
      </c>
      <c r="CB213" s="217">
        <f>SUM(BP213:CA213)</f>
        <v>47001664.642625786</v>
      </c>
    </row>
    <row r="214" spans="1:80" hidden="1" x14ac:dyDescent="0.25">
      <c r="A214" t="s">
        <v>1</v>
      </c>
      <c r="L214" s="22">
        <f t="shared" ref="L214:W214" si="216">_xlfn.IFNA(ROUND(L213-L204,0),0)</f>
        <v>0</v>
      </c>
      <c r="M214" s="22">
        <f t="shared" si="216"/>
        <v>0</v>
      </c>
      <c r="N214" s="22">
        <f t="shared" si="216"/>
        <v>0</v>
      </c>
      <c r="O214" s="22">
        <f t="shared" si="216"/>
        <v>0</v>
      </c>
      <c r="P214" s="22">
        <f t="shared" si="216"/>
        <v>0</v>
      </c>
      <c r="Q214" s="22">
        <f t="shared" si="216"/>
        <v>0</v>
      </c>
      <c r="R214" s="22">
        <f t="shared" si="216"/>
        <v>0</v>
      </c>
      <c r="S214" s="22">
        <f t="shared" si="216"/>
        <v>0</v>
      </c>
      <c r="T214" s="22">
        <f t="shared" si="216"/>
        <v>0</v>
      </c>
      <c r="U214" s="22">
        <f t="shared" si="216"/>
        <v>0</v>
      </c>
      <c r="V214" s="22">
        <f t="shared" si="216"/>
        <v>0</v>
      </c>
      <c r="W214" s="22">
        <f t="shared" si="216"/>
        <v>0</v>
      </c>
      <c r="X214" s="22"/>
      <c r="Z214" s="22">
        <f t="shared" ref="Z214:AK214" si="217">_xlfn.IFNA(ROUND(Z213-Z204,0),0)</f>
        <v>0</v>
      </c>
      <c r="AA214" s="22">
        <f t="shared" si="217"/>
        <v>0</v>
      </c>
      <c r="AB214" s="22">
        <f t="shared" si="217"/>
        <v>0</v>
      </c>
      <c r="AC214" s="22">
        <f t="shared" si="217"/>
        <v>0</v>
      </c>
      <c r="AD214" s="22">
        <f t="shared" si="217"/>
        <v>0</v>
      </c>
      <c r="AE214" s="22">
        <f t="shared" si="217"/>
        <v>0</v>
      </c>
      <c r="AF214" s="22">
        <f t="shared" si="217"/>
        <v>0</v>
      </c>
      <c r="AG214" s="22">
        <f t="shared" si="217"/>
        <v>0</v>
      </c>
      <c r="AH214" s="22">
        <f t="shared" si="217"/>
        <v>0</v>
      </c>
      <c r="AI214" s="22">
        <f t="shared" si="217"/>
        <v>0</v>
      </c>
      <c r="AJ214" s="22">
        <f t="shared" si="217"/>
        <v>0</v>
      </c>
      <c r="AK214" s="22">
        <f t="shared" si="217"/>
        <v>0</v>
      </c>
      <c r="AL214" s="22"/>
      <c r="AN214" s="22">
        <f t="shared" ref="AN214:AY214" si="218">_xlfn.IFNA(ROUND(AN213-AN204,0),0)</f>
        <v>0</v>
      </c>
      <c r="AO214" s="22">
        <f t="shared" si="218"/>
        <v>0</v>
      </c>
      <c r="AP214" s="22">
        <f t="shared" si="218"/>
        <v>0</v>
      </c>
      <c r="AQ214" s="22">
        <f t="shared" si="218"/>
        <v>0</v>
      </c>
      <c r="AR214" s="22">
        <f t="shared" si="218"/>
        <v>0</v>
      </c>
      <c r="AS214" s="22">
        <f t="shared" si="218"/>
        <v>0</v>
      </c>
      <c r="AT214" s="22">
        <f t="shared" si="218"/>
        <v>0</v>
      </c>
      <c r="AU214" s="22">
        <f t="shared" si="218"/>
        <v>0</v>
      </c>
      <c r="AV214" s="22">
        <f t="shared" si="218"/>
        <v>0</v>
      </c>
      <c r="AW214" s="22">
        <f t="shared" si="218"/>
        <v>0</v>
      </c>
      <c r="AX214" s="22">
        <f t="shared" si="218"/>
        <v>0</v>
      </c>
      <c r="AY214" s="22">
        <f t="shared" si="218"/>
        <v>0</v>
      </c>
      <c r="AZ214" s="22"/>
      <c r="BB214" s="22">
        <f t="shared" ref="BB214:BM214" si="219">_xlfn.IFNA(ROUND(BB213-BB204,0),0)</f>
        <v>0</v>
      </c>
      <c r="BC214" s="22">
        <f t="shared" si="219"/>
        <v>0</v>
      </c>
      <c r="BD214" s="22">
        <f t="shared" si="219"/>
        <v>0</v>
      </c>
      <c r="BE214" s="22">
        <f t="shared" si="219"/>
        <v>0</v>
      </c>
      <c r="BF214" s="22">
        <f t="shared" si="219"/>
        <v>0</v>
      </c>
      <c r="BG214" s="22">
        <f t="shared" si="219"/>
        <v>0</v>
      </c>
      <c r="BH214" s="22">
        <f t="shared" si="219"/>
        <v>0</v>
      </c>
      <c r="BI214" s="22">
        <f t="shared" si="219"/>
        <v>0</v>
      </c>
      <c r="BJ214" s="22">
        <f t="shared" si="219"/>
        <v>0</v>
      </c>
      <c r="BK214" s="22">
        <f t="shared" si="219"/>
        <v>0</v>
      </c>
      <c r="BL214" s="22">
        <f t="shared" si="219"/>
        <v>0</v>
      </c>
      <c r="BM214" s="22">
        <f t="shared" si="219"/>
        <v>0</v>
      </c>
      <c r="BN214" s="22"/>
      <c r="BP214" s="218" t="e">
        <f t="shared" ref="BP214:CA214" si="220">_xlfn.IFNA(ROUND(BP213-BP204,0),0)</f>
        <v>#DIV/0!</v>
      </c>
      <c r="BQ214" s="218" t="e">
        <f t="shared" si="220"/>
        <v>#DIV/0!</v>
      </c>
      <c r="BR214" s="218" t="e">
        <f t="shared" si="220"/>
        <v>#DIV/0!</v>
      </c>
      <c r="BS214" s="218" t="e">
        <f t="shared" si="220"/>
        <v>#DIV/0!</v>
      </c>
      <c r="BT214" s="218" t="e">
        <f t="shared" si="220"/>
        <v>#DIV/0!</v>
      </c>
      <c r="BU214" s="218" t="e">
        <f t="shared" si="220"/>
        <v>#DIV/0!</v>
      </c>
      <c r="BV214" s="218" t="e">
        <f t="shared" si="220"/>
        <v>#DIV/0!</v>
      </c>
      <c r="BW214" s="218" t="e">
        <f t="shared" si="220"/>
        <v>#DIV/0!</v>
      </c>
      <c r="BX214" s="218" t="e">
        <f t="shared" si="220"/>
        <v>#DIV/0!</v>
      </c>
      <c r="BY214" s="218" t="e">
        <f t="shared" si="220"/>
        <v>#DIV/0!</v>
      </c>
      <c r="BZ214" s="218" t="e">
        <f t="shared" si="220"/>
        <v>#DIV/0!</v>
      </c>
      <c r="CA214" s="218" t="e">
        <f t="shared" si="220"/>
        <v>#DIV/0!</v>
      </c>
      <c r="CB214" s="218"/>
    </row>
    <row r="216" spans="1:80" x14ac:dyDescent="0.25">
      <c r="AE21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92D9-714F-4061-AC40-6F05F805FCB8}">
  <sheetPr codeName="Sheet10">
    <tabColor theme="3"/>
    <outlinePr summaryBelow="0"/>
  </sheetPr>
  <dimension ref="A1:BT209"/>
  <sheetViews>
    <sheetView topLeftCell="H18" zoomScaleNormal="100" workbookViewId="0">
      <pane xSplit="5" ySplit="22" topLeftCell="M40" activePane="bottomRight" state="frozen"/>
      <selection activeCell="H18" sqref="H18"/>
      <selection pane="topRight" activeCell="M18" sqref="M18"/>
      <selection pane="bottomLeft" activeCell="H40" sqref="H40"/>
      <selection pane="bottomRight" activeCell="H19" sqref="H19"/>
    </sheetView>
  </sheetViews>
  <sheetFormatPr defaultRowHeight="11.4" outlineLevelRow="2" x14ac:dyDescent="0.25"/>
  <cols>
    <col min="1" max="1" width="0" hidden="1" customWidth="1"/>
    <col min="2" max="7" width="8.77734375" hidden="1" customWidth="1"/>
    <col min="8" max="8" width="42" customWidth="1"/>
    <col min="9" max="10" width="8.77734375" hidden="1" customWidth="1"/>
    <col min="11" max="11" width="0" hidden="1" customWidth="1"/>
    <col min="12" max="12" width="8.77734375" hidden="1" customWidth="1"/>
    <col min="13" max="13" width="11.109375" bestFit="1" customWidth="1"/>
    <col min="14" max="14" width="8.77734375" style="29"/>
    <col min="15" max="15" width="12.77734375" hidden="1" customWidth="1"/>
    <col min="16" max="16" width="8.77734375" style="29" hidden="1" customWidth="1"/>
    <col min="17" max="17" width="8.77734375" customWidth="1"/>
    <col min="18" max="18" width="8.77734375" style="29" customWidth="1"/>
    <col min="19" max="19" width="11.109375" bestFit="1" customWidth="1"/>
    <col min="20" max="20" width="8.77734375" style="29"/>
    <col min="21" max="21" width="8.77734375" style="29" hidden="1" customWidth="1"/>
    <col min="22" max="22" width="8.77734375" hidden="1" customWidth="1"/>
    <col min="23" max="23" width="8.77734375" style="29" customWidth="1"/>
    <col min="24" max="24" width="8.77734375" customWidth="1"/>
    <col min="25" max="25" width="8.77734375" style="29"/>
    <col min="27" max="27" width="11.88671875" bestFit="1" customWidth="1"/>
    <col min="28" max="28" width="8.77734375" hidden="1" customWidth="1"/>
    <col min="29" max="31" width="8.77734375" style="47" hidden="1" customWidth="1"/>
    <col min="32" max="32" width="8.77734375" style="170" hidden="1" customWidth="1"/>
    <col min="33" max="33" width="8.77734375" style="47" hidden="1" customWidth="1"/>
    <col min="34" max="34" width="8.77734375" style="170" hidden="1" customWidth="1"/>
    <col min="35" max="35" width="8.77734375" style="47" hidden="1" customWidth="1"/>
    <col min="36" max="36" width="0" hidden="1" customWidth="1"/>
    <col min="37" max="37" width="10.77734375" bestFit="1" customWidth="1"/>
    <col min="38" max="38" width="8.77734375" style="29"/>
    <col min="39" max="39" width="12.77734375" hidden="1" customWidth="1"/>
    <col min="40" max="40" width="8.77734375" style="29" hidden="1" customWidth="1"/>
    <col min="41" max="41" width="8.77734375" customWidth="1"/>
    <col min="42" max="42" width="8.77734375" style="29" customWidth="1"/>
    <col min="43" max="43" width="10.6640625" bestFit="1" customWidth="1"/>
    <col min="44" max="44" width="8.77734375" style="29"/>
    <col min="45" max="45" width="8.77734375" style="29" hidden="1" customWidth="1"/>
    <col min="46" max="46" width="8.77734375" hidden="1" customWidth="1"/>
    <col min="47" max="47" width="8.77734375" style="29" customWidth="1"/>
    <col min="48" max="48" width="8.77734375" customWidth="1"/>
    <col min="49" max="49" width="8.77734375" style="29"/>
    <col min="52" max="52" width="0" hidden="1" customWidth="1"/>
    <col min="53" max="53" width="13" customWidth="1"/>
    <col min="54" max="54" width="8.77734375" style="29"/>
    <col min="55" max="55" width="13" hidden="1" customWidth="1"/>
    <col min="56" max="56" width="8.77734375" style="29" hidden="1" customWidth="1"/>
    <col min="57" max="57" width="13" customWidth="1"/>
    <col min="58" max="58" width="8.77734375" style="29"/>
    <col min="59" max="59" width="8.77734375" style="29" hidden="1" customWidth="1"/>
    <col min="60" max="60" width="8.77734375" hidden="1" customWidth="1"/>
    <col min="61" max="61" width="8.77734375" style="29"/>
    <col min="63" max="63" width="8.77734375" hidden="1" customWidth="1"/>
  </cols>
  <sheetData>
    <row r="1" spans="2:63" hidden="1" x14ac:dyDescent="0.25">
      <c r="B1" t="s">
        <v>0</v>
      </c>
      <c r="N1" s="145"/>
      <c r="P1" s="145"/>
      <c r="R1" s="145"/>
      <c r="T1" s="145"/>
      <c r="U1" s="145"/>
      <c r="V1" s="15"/>
      <c r="W1" s="145"/>
      <c r="X1" s="15"/>
      <c r="Y1" s="145"/>
      <c r="Z1" s="15"/>
      <c r="AA1" s="15"/>
      <c r="AF1" s="169"/>
      <c r="AG1" s="49"/>
      <c r="AH1" s="169"/>
      <c r="AI1" s="49"/>
      <c r="AL1" s="145"/>
      <c r="AN1" s="145"/>
      <c r="AP1" s="145"/>
      <c r="AR1" s="145"/>
      <c r="AS1" s="145"/>
      <c r="AT1" s="15"/>
      <c r="AU1" s="145"/>
      <c r="AV1" s="15"/>
      <c r="AW1" s="145"/>
      <c r="AX1" s="15"/>
      <c r="AY1" s="15"/>
      <c r="BB1" s="145"/>
      <c r="BD1" s="145"/>
      <c r="BF1" s="145"/>
      <c r="BG1" s="145"/>
      <c r="BH1" s="15"/>
      <c r="BI1" s="145"/>
      <c r="BJ1" s="15"/>
      <c r="BK1" s="15"/>
    </row>
    <row r="2" spans="2:63" hidden="1" x14ac:dyDescent="0.25">
      <c r="B2" t="s">
        <v>1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I2" t="s">
        <v>0</v>
      </c>
      <c r="J2" t="s">
        <v>0</v>
      </c>
      <c r="L2" t="s">
        <v>0</v>
      </c>
      <c r="N2" s="96"/>
      <c r="O2" s="46" t="str">
        <f>IF(VALUE(TRIM(LEFT(Scenario!$A$4,2)))&lt;4, "#hidecolumn", "#showcolumn")</f>
        <v>#hidecolumn</v>
      </c>
      <c r="P2" s="146" t="str">
        <f>O2</f>
        <v>#hidecolumn</v>
      </c>
      <c r="Q2" s="46" t="str">
        <f>IF(VALUE(TRIM(LEFT(Scenario!$A$4,2)))&lt;4, "#showcolumn", "#hidecolumn")</f>
        <v>#showcolumn</v>
      </c>
      <c r="R2" s="146" t="str">
        <f>Q2</f>
        <v>#showcolumn</v>
      </c>
      <c r="U2" s="29" t="str">
        <f>V2</f>
        <v>#hidecolumn</v>
      </c>
      <c r="V2" s="46" t="str">
        <f>IF(VALUE(TRIM(LEFT(Scenario!$A$4,2)))&lt;4, "#hidecolumn", "#showcolumn")</f>
        <v>#hidecolumn</v>
      </c>
      <c r="W2" s="29" t="str">
        <f>X2</f>
        <v>#showcolumn</v>
      </c>
      <c r="X2" s="46" t="str">
        <f>IF(VALUE(TRIM(LEFT(Scenario!$A$4,2)))&lt;4, "#showcolumn", "#hidecolumn")</f>
        <v>#showcolumn</v>
      </c>
      <c r="AB2" s="47" t="s">
        <v>0</v>
      </c>
      <c r="AC2" s="47" t="s">
        <v>0</v>
      </c>
      <c r="AD2" s="47" t="s">
        <v>0</v>
      </c>
      <c r="AE2" s="47" t="s">
        <v>0</v>
      </c>
      <c r="AF2" s="170" t="s">
        <v>0</v>
      </c>
      <c r="AG2" s="47" t="s">
        <v>0</v>
      </c>
      <c r="AH2" s="170" t="s">
        <v>0</v>
      </c>
      <c r="AI2" s="47" t="s">
        <v>0</v>
      </c>
      <c r="AM2" s="46" t="str">
        <f>IF(VALUE(TRIM(LEFT(Scenario!$A$4,2)))&lt;4, "#hidecolumn", "#showcolumn")</f>
        <v>#hidecolumn</v>
      </c>
      <c r="AN2" s="146" t="str">
        <f>AM2</f>
        <v>#hidecolumn</v>
      </c>
      <c r="AO2" s="46" t="str">
        <f>IF(VALUE(TRIM(LEFT(Scenario!$A$4,2)))&lt;4, "#showcolumn", "#hidecolumn")</f>
        <v>#showcolumn</v>
      </c>
      <c r="AP2" s="146" t="str">
        <f>AO2</f>
        <v>#showcolumn</v>
      </c>
      <c r="AS2" s="29" t="str">
        <f>AT2</f>
        <v>#hidecolumn</v>
      </c>
      <c r="AT2" s="46" t="str">
        <f>IF(VALUE(TRIM(LEFT(Scenario!$A$4,2)))&lt;4, "#hidecolumn", "#showcolumn")</f>
        <v>#hidecolumn</v>
      </c>
      <c r="AU2" s="29" t="str">
        <f>AV2</f>
        <v>#showcolumn</v>
      </c>
      <c r="AV2" s="46" t="str">
        <f>IF(VALUE(TRIM(LEFT(Scenario!$A$4,2)))&lt;4, "#showcolumn", "#hidecolumn")</f>
        <v>#showcolumn</v>
      </c>
      <c r="BC2" s="46" t="str">
        <f>IF(VALUE(TRIM(LEFT(Scenario!$A$4,2)))&gt;=4, "#showcolumn", "#hidecolumn")</f>
        <v>#hidecolumn</v>
      </c>
      <c r="BD2" s="146" t="str">
        <f>BC2</f>
        <v>#hidecolumn</v>
      </c>
      <c r="BG2" s="29" t="str">
        <f>BC2</f>
        <v>#hidecolumn</v>
      </c>
      <c r="BH2" s="258" t="str">
        <f>BD2</f>
        <v>#hidecolumn</v>
      </c>
      <c r="BK2" s="15" t="s">
        <v>0</v>
      </c>
    </row>
    <row r="3" spans="2:63" hidden="1" x14ac:dyDescent="0.25">
      <c r="B3" t="s">
        <v>1</v>
      </c>
      <c r="C3" t="str">
        <f>_xlfn.CONCAT("Section: ", LEFT(E6,3))</f>
        <v>Section: 612</v>
      </c>
      <c r="N3" s="145"/>
      <c r="P3" s="145"/>
      <c r="R3" s="145"/>
      <c r="T3" s="145"/>
      <c r="U3" s="145"/>
      <c r="V3" s="15"/>
      <c r="W3" s="145"/>
      <c r="X3" s="15"/>
      <c r="Y3" s="145"/>
      <c r="Z3" s="15"/>
      <c r="AA3" s="15"/>
      <c r="AF3" s="169"/>
      <c r="AG3" s="49"/>
      <c r="AH3" s="169"/>
      <c r="AI3" s="49"/>
      <c r="AL3" s="145"/>
      <c r="AN3" s="145"/>
      <c r="AP3" s="145"/>
      <c r="AR3" s="145"/>
      <c r="AS3" s="145"/>
      <c r="AT3" s="15"/>
      <c r="AU3" s="145"/>
      <c r="AV3" s="15"/>
      <c r="AW3" s="145"/>
      <c r="AX3" s="15"/>
      <c r="AY3" s="15"/>
      <c r="BB3" s="145"/>
      <c r="BD3" s="145"/>
      <c r="BF3" s="145"/>
      <c r="BG3" s="145"/>
      <c r="BH3" s="15"/>
      <c r="BI3" s="145"/>
      <c r="BJ3" s="15"/>
      <c r="BK3" s="15"/>
    </row>
    <row r="4" spans="2:63" hidden="1" x14ac:dyDescent="0.25">
      <c r="B4" t="s">
        <v>1</v>
      </c>
      <c r="C4" t="s">
        <v>68</v>
      </c>
      <c r="D4" t="s">
        <v>69</v>
      </c>
      <c r="L4">
        <f>VALUE(TRIM(LEFT(Scenario!$A$4,2)))</f>
        <v>1</v>
      </c>
      <c r="M4" s="40">
        <f>Scenario!$A$1</f>
        <v>2026</v>
      </c>
      <c r="N4" s="164"/>
      <c r="O4" s="40">
        <f>Scenario!$A$1</f>
        <v>2026</v>
      </c>
      <c r="P4" s="147"/>
      <c r="Q4" s="40">
        <f>Scenario!$A$1</f>
        <v>2026</v>
      </c>
      <c r="R4" s="147"/>
      <c r="S4" s="40">
        <f>Scenario!$A$1-1</f>
        <v>2025</v>
      </c>
      <c r="T4" s="147"/>
      <c r="U4" s="162"/>
      <c r="V4" s="41"/>
      <c r="W4" s="162"/>
      <c r="X4" s="41"/>
      <c r="Y4" s="162"/>
      <c r="Z4" s="41"/>
      <c r="AA4" s="41"/>
      <c r="AB4" s="41"/>
      <c r="AC4" s="36">
        <f>Scenario!$A$1</f>
        <v>2026</v>
      </c>
      <c r="AD4" s="36">
        <f>Scenario!$A$1-1</f>
        <v>2025</v>
      </c>
      <c r="AE4" s="36">
        <f>Scenario!$A$1</f>
        <v>2026</v>
      </c>
      <c r="AF4" s="222"/>
      <c r="AG4" s="223"/>
      <c r="AH4" s="222"/>
      <c r="AI4" s="223"/>
      <c r="AK4" s="34">
        <f>Scenario!$A$1</f>
        <v>2026</v>
      </c>
      <c r="AL4" s="145"/>
      <c r="AM4" s="34">
        <f>Scenario!$A$1</f>
        <v>2026</v>
      </c>
      <c r="AN4" s="145"/>
      <c r="AO4" s="34">
        <f>Scenario!$A$1</f>
        <v>2026</v>
      </c>
      <c r="AP4" s="145"/>
      <c r="AQ4" s="34">
        <f>Scenario!$A$1-1</f>
        <v>2025</v>
      </c>
      <c r="AR4" s="145"/>
      <c r="AS4" s="162"/>
      <c r="AT4" s="35"/>
      <c r="AU4" s="167"/>
      <c r="AV4" s="34"/>
      <c r="AW4" s="167"/>
      <c r="AX4" s="54"/>
      <c r="AY4" s="54"/>
      <c r="BA4" s="40">
        <f>AK4</f>
        <v>2026</v>
      </c>
      <c r="BB4" s="145"/>
      <c r="BC4" s="40">
        <f>AO4</f>
        <v>2026</v>
      </c>
      <c r="BD4" s="145"/>
      <c r="BE4" s="40">
        <f>BA4-1</f>
        <v>2025</v>
      </c>
      <c r="BF4" s="145"/>
      <c r="BG4" s="145"/>
      <c r="BH4" s="54"/>
      <c r="BI4" s="145"/>
      <c r="BJ4" s="54"/>
      <c r="BK4" s="54"/>
    </row>
    <row r="5" spans="2:63" hidden="1" x14ac:dyDescent="0.25">
      <c r="B5" t="s">
        <v>1</v>
      </c>
      <c r="C5" t="s">
        <v>3</v>
      </c>
      <c r="D5" t="s">
        <v>70</v>
      </c>
      <c r="M5" s="40">
        <f>VALUE(TRIM(LEFT(Scenario!$A$4,2)))</f>
        <v>1</v>
      </c>
      <c r="N5" s="164"/>
      <c r="O5" s="40">
        <f>VALUE(TRIM(LEFT(Scenario!$A$4,2)))</f>
        <v>1</v>
      </c>
      <c r="P5" s="147"/>
      <c r="Q5" s="40">
        <f>VALUE(TRIM(LEFT(Scenario!$A$4,2)))</f>
        <v>1</v>
      </c>
      <c r="R5" s="147"/>
      <c r="S5" s="40">
        <f>VALUE(TRIM(LEFT(Scenario!$A$4,2)))</f>
        <v>1</v>
      </c>
      <c r="T5" s="147"/>
      <c r="U5" s="162"/>
      <c r="V5" s="42"/>
      <c r="W5" s="162"/>
      <c r="X5" s="42"/>
      <c r="Y5" s="162"/>
      <c r="Z5" s="42"/>
      <c r="AA5" s="42"/>
      <c r="AB5" s="42"/>
      <c r="AC5" s="36" t="str">
        <f>VALUE(TRIM(LEFT(Scenario!$A$4,2)))&amp;" QTD"</f>
        <v>1 QTD</v>
      </c>
      <c r="AD5" s="36" t="str">
        <f>VALUE(TRIM(LEFT(Scenario!$A$4,2)))&amp;" QTD"</f>
        <v>1 QTD</v>
      </c>
      <c r="AE5" s="36" t="str">
        <f>VALUE(TRIM(LEFT(Scenario!$A$4,2)))&amp;" QTD"</f>
        <v>1 QTD</v>
      </c>
      <c r="AF5" s="222"/>
      <c r="AG5" s="223"/>
      <c r="AH5" s="222"/>
      <c r="AI5" s="223"/>
      <c r="AK5" s="34" t="str">
        <f>VALUE(TRIM(LEFT(Scenario!$A$4,2)))&amp;" YTD"</f>
        <v>1 YTD</v>
      </c>
      <c r="AL5" s="145"/>
      <c r="AM5" s="34" t="str">
        <f>VALUE(TRIM(LEFT(Scenario!$A$4,2)))&amp;" YTD"</f>
        <v>1 YTD</v>
      </c>
      <c r="AN5" s="145"/>
      <c r="AO5" s="34" t="str">
        <f>VALUE(TRIM(LEFT(Scenario!$A$4,2)))&amp;" YTD"</f>
        <v>1 YTD</v>
      </c>
      <c r="AP5" s="145"/>
      <c r="AQ5" s="34" t="str">
        <f>VALUE(TRIM(LEFT(Scenario!$A$4,2)))&amp;" YTD"</f>
        <v>1 YTD</v>
      </c>
      <c r="AR5" s="145"/>
      <c r="AS5" s="162"/>
      <c r="AT5" s="35"/>
      <c r="AU5" s="167"/>
      <c r="AV5" s="34"/>
      <c r="AW5" s="167"/>
      <c r="AX5" s="15"/>
      <c r="AY5" s="15"/>
      <c r="BA5" s="40" t="s">
        <v>34</v>
      </c>
      <c r="BB5" s="145"/>
      <c r="BC5" s="40" t="s">
        <v>34</v>
      </c>
      <c r="BD5" s="145"/>
      <c r="BE5" s="40" t="s">
        <v>34</v>
      </c>
      <c r="BF5" s="145"/>
      <c r="BG5" s="145"/>
      <c r="BH5" s="15"/>
      <c r="BI5" s="145"/>
      <c r="BJ5" s="15"/>
      <c r="BK5" s="15"/>
    </row>
    <row r="6" spans="2:63" hidden="1" x14ac:dyDescent="0.25">
      <c r="B6" t="s">
        <v>1</v>
      </c>
      <c r="C6" t="s">
        <v>10</v>
      </c>
      <c r="D6" t="s">
        <v>13</v>
      </c>
      <c r="E6" s="28" t="s">
        <v>133</v>
      </c>
      <c r="M6" s="40" t="str">
        <f>"Actual"</f>
        <v>Actual</v>
      </c>
      <c r="N6" s="164"/>
      <c r="O6" s="40" t="str">
        <f>Scenario!$A$2</f>
        <v>Plan</v>
      </c>
      <c r="P6" s="147"/>
      <c r="Q6" s="43" t="s">
        <v>8</v>
      </c>
      <c r="R6" s="147"/>
      <c r="S6" s="40" t="str">
        <f>"Actual"</f>
        <v>Actual</v>
      </c>
      <c r="T6" s="165"/>
      <c r="U6" s="162"/>
      <c r="V6" s="42"/>
      <c r="W6" s="162"/>
      <c r="X6" s="42"/>
      <c r="Y6" s="162"/>
      <c r="Z6" s="42"/>
      <c r="AA6" s="42"/>
      <c r="AB6" s="42"/>
      <c r="AC6" s="36" t="str">
        <f>"Actual"</f>
        <v>Actual</v>
      </c>
      <c r="AD6" s="36" t="str">
        <f>"Actual"</f>
        <v>Actual</v>
      </c>
      <c r="AE6" s="37" t="s">
        <v>8</v>
      </c>
      <c r="AF6" s="222"/>
      <c r="AG6" s="36"/>
      <c r="AH6" s="224"/>
      <c r="AI6" s="223"/>
      <c r="AK6" s="34" t="str">
        <f>"Actual"</f>
        <v>Actual</v>
      </c>
      <c r="AL6" s="145"/>
      <c r="AM6" s="40" t="str">
        <f>Scenario!$A$2</f>
        <v>Plan</v>
      </c>
      <c r="AN6" s="145"/>
      <c r="AO6" s="44" t="s">
        <v>8</v>
      </c>
      <c r="AP6" s="145"/>
      <c r="AQ6" s="34" t="str">
        <f>"Actual"</f>
        <v>Actual</v>
      </c>
      <c r="AR6" s="145"/>
      <c r="AS6" s="162"/>
      <c r="AT6" s="35"/>
      <c r="AU6" s="168"/>
      <c r="AV6" s="44"/>
      <c r="AW6" s="167"/>
      <c r="AX6" s="15"/>
      <c r="AY6" s="15"/>
      <c r="BA6" s="40" t="str">
        <f>IF(VALUE(TRIM(LEFT(Scenario!$A$4,2)))&lt;4, "Plan", Scenario!$A$2)</f>
        <v>Plan</v>
      </c>
      <c r="BB6" s="145"/>
      <c r="BC6" s="43" t="s">
        <v>8</v>
      </c>
      <c r="BD6" s="145"/>
      <c r="BE6" s="40" t="str">
        <f>"Actual"</f>
        <v>Actual</v>
      </c>
      <c r="BF6" s="145"/>
      <c r="BG6" s="145"/>
      <c r="BH6" s="15"/>
      <c r="BI6" s="145"/>
      <c r="BJ6" s="15"/>
      <c r="BK6" s="15"/>
    </row>
    <row r="7" spans="2:63" hidden="1" x14ac:dyDescent="0.25">
      <c r="B7" t="s">
        <v>1</v>
      </c>
      <c r="C7" t="s">
        <v>4</v>
      </c>
      <c r="D7" t="s">
        <v>71</v>
      </c>
      <c r="M7" s="1"/>
      <c r="N7" s="145"/>
      <c r="O7" s="1"/>
      <c r="P7" s="145"/>
      <c r="Q7" s="1"/>
      <c r="R7" s="145"/>
      <c r="S7" s="1"/>
      <c r="T7" s="145"/>
      <c r="U7" s="145"/>
      <c r="V7" s="15"/>
      <c r="W7" s="145"/>
      <c r="X7" s="15"/>
      <c r="Y7" s="145"/>
      <c r="Z7" s="15"/>
      <c r="AA7" s="15"/>
      <c r="AC7" s="57"/>
      <c r="AD7" s="57"/>
      <c r="AE7" s="57"/>
      <c r="AF7" s="169"/>
      <c r="AG7" s="49"/>
      <c r="AH7" s="169"/>
      <c r="AI7" s="49"/>
      <c r="AK7" s="1"/>
      <c r="AL7" s="145"/>
      <c r="AM7" s="1"/>
      <c r="AN7" s="145"/>
      <c r="AO7" s="1"/>
      <c r="AP7" s="145"/>
      <c r="AQ7" s="1"/>
      <c r="AR7" s="145"/>
      <c r="AS7" s="145"/>
      <c r="AT7" s="15"/>
      <c r="AU7" s="145"/>
      <c r="AV7" s="15"/>
      <c r="AW7" s="145"/>
      <c r="AX7" s="15"/>
      <c r="AY7" s="15"/>
      <c r="BA7" s="1"/>
      <c r="BB7" s="145"/>
      <c r="BC7" s="1"/>
      <c r="BD7" s="145"/>
      <c r="BE7" s="1"/>
      <c r="BF7" s="145"/>
      <c r="BG7" s="145"/>
      <c r="BH7" s="15"/>
      <c r="BI7" s="145"/>
      <c r="BJ7" s="15"/>
      <c r="BK7" s="15"/>
    </row>
    <row r="8" spans="2:63" hidden="1" x14ac:dyDescent="0.25">
      <c r="B8" t="s">
        <v>1</v>
      </c>
      <c r="C8" t="s">
        <v>14</v>
      </c>
      <c r="D8" t="s">
        <v>71</v>
      </c>
      <c r="N8" s="145"/>
      <c r="P8" s="145"/>
      <c r="R8" s="145"/>
      <c r="T8" s="145"/>
      <c r="U8" s="145"/>
      <c r="V8" s="15"/>
      <c r="W8" s="145"/>
      <c r="X8" s="15"/>
      <c r="Y8" s="145"/>
      <c r="Z8" s="15"/>
      <c r="AA8" s="15"/>
      <c r="AF8" s="169"/>
      <c r="AG8" s="49"/>
      <c r="AH8" s="169"/>
      <c r="AI8" s="49"/>
      <c r="AL8" s="145"/>
      <c r="AN8" s="145"/>
      <c r="AP8" s="145"/>
      <c r="AR8" s="145"/>
      <c r="AS8" s="145"/>
      <c r="AT8" s="15"/>
      <c r="AU8" s="145"/>
      <c r="AV8" s="15"/>
      <c r="AW8" s="145"/>
      <c r="AX8" s="15"/>
      <c r="AY8" s="15"/>
      <c r="BB8" s="145"/>
      <c r="BD8" s="145"/>
      <c r="BF8" s="145"/>
      <c r="BG8" s="145"/>
      <c r="BH8" s="15"/>
      <c r="BI8" s="145"/>
      <c r="BJ8" s="15"/>
      <c r="BK8" s="15"/>
    </row>
    <row r="9" spans="2:63" hidden="1" x14ac:dyDescent="0.25">
      <c r="B9" t="s">
        <v>1</v>
      </c>
      <c r="C9" t="s">
        <v>5</v>
      </c>
      <c r="D9" t="s">
        <v>71</v>
      </c>
      <c r="N9" s="148"/>
      <c r="P9" s="148"/>
      <c r="R9" s="148"/>
      <c r="T9" s="148"/>
      <c r="U9" s="148"/>
      <c r="W9" s="148"/>
      <c r="Y9" s="148"/>
      <c r="AL9" s="148"/>
      <c r="AN9" s="148"/>
      <c r="AP9" s="148"/>
      <c r="AR9" s="148"/>
      <c r="AS9" s="148"/>
      <c r="AU9" s="148"/>
      <c r="AW9" s="148"/>
      <c r="BB9" s="148"/>
      <c r="BD9" s="148"/>
      <c r="BF9" s="148"/>
      <c r="BG9" s="148"/>
      <c r="BI9" s="148"/>
    </row>
    <row r="10" spans="2:63" hidden="1" x14ac:dyDescent="0.25">
      <c r="B10" t="s">
        <v>1</v>
      </c>
      <c r="C10" t="s">
        <v>11</v>
      </c>
      <c r="D10" t="s">
        <v>13</v>
      </c>
      <c r="E10" s="28" t="s">
        <v>12</v>
      </c>
      <c r="N10" s="148"/>
      <c r="P10" s="148"/>
      <c r="R10" s="148"/>
      <c r="T10" s="148"/>
      <c r="U10" s="148"/>
      <c r="W10" s="148"/>
      <c r="Y10" s="148"/>
      <c r="AL10" s="148"/>
      <c r="AN10" s="148"/>
      <c r="AP10" s="148"/>
      <c r="AR10" s="148"/>
      <c r="AS10" s="148"/>
      <c r="AU10" s="148"/>
      <c r="AW10" s="148"/>
      <c r="BB10" s="148"/>
      <c r="BD10" s="148"/>
      <c r="BF10" s="148"/>
      <c r="BG10" s="148"/>
      <c r="BI10" s="148"/>
    </row>
    <row r="11" spans="2:63" hidden="1" x14ac:dyDescent="0.25">
      <c r="B11" t="s">
        <v>1</v>
      </c>
      <c r="C11" t="s">
        <v>15</v>
      </c>
      <c r="D11" t="s">
        <v>13</v>
      </c>
      <c r="E11" s="28" t="s">
        <v>35</v>
      </c>
      <c r="N11" s="148"/>
      <c r="P11" s="148"/>
      <c r="R11" s="148"/>
      <c r="T11" s="148"/>
      <c r="U11" s="148"/>
      <c r="W11" s="148"/>
      <c r="Y11" s="148"/>
      <c r="AL11" s="148"/>
      <c r="AN11" s="148"/>
      <c r="AP11" s="148"/>
      <c r="AR11" s="148"/>
      <c r="AS11" s="148"/>
      <c r="AU11" s="148"/>
      <c r="AW11" s="148"/>
      <c r="BB11" s="148"/>
      <c r="BD11" s="148"/>
      <c r="BF11" s="148"/>
      <c r="BG11" s="148"/>
      <c r="BI11" s="148"/>
    </row>
    <row r="12" spans="2:63" hidden="1" x14ac:dyDescent="0.25">
      <c r="E12" s="28" t="s">
        <v>92</v>
      </c>
      <c r="N12" s="148"/>
      <c r="P12" s="148"/>
      <c r="R12" s="148"/>
      <c r="T12" s="148"/>
      <c r="U12" s="148"/>
      <c r="W12" s="148"/>
      <c r="Y12" s="148"/>
      <c r="AL12" s="148"/>
      <c r="AN12" s="148"/>
      <c r="AP12" s="148"/>
      <c r="AR12" s="148"/>
      <c r="AS12" s="148"/>
      <c r="AU12" s="148"/>
      <c r="AW12" s="148"/>
      <c r="BB12" s="148"/>
      <c r="BD12" s="148"/>
      <c r="BF12" s="148"/>
      <c r="BG12" s="148"/>
      <c r="BI12" s="148"/>
    </row>
    <row r="13" spans="2:63" hidden="1" x14ac:dyDescent="0.25">
      <c r="E13" s="28" t="s">
        <v>93</v>
      </c>
      <c r="N13" s="148"/>
      <c r="P13" s="148"/>
      <c r="R13" s="148"/>
      <c r="T13" s="148"/>
      <c r="U13" s="148"/>
      <c r="W13" s="148"/>
      <c r="Y13" s="148"/>
      <c r="AL13" s="148"/>
      <c r="AN13" s="148"/>
      <c r="AP13" s="148"/>
      <c r="AR13" s="148"/>
      <c r="AS13" s="148"/>
      <c r="AU13" s="148"/>
      <c r="AW13" s="148"/>
      <c r="BB13" s="148"/>
      <c r="BD13" s="148"/>
      <c r="BF13" s="148"/>
      <c r="BG13" s="148"/>
      <c r="BI13" s="148"/>
    </row>
    <row r="14" spans="2:63" hidden="1" x14ac:dyDescent="0.25">
      <c r="E14" s="28" t="s">
        <v>94</v>
      </c>
      <c r="N14" s="148"/>
      <c r="P14" s="148"/>
      <c r="R14" s="148"/>
      <c r="T14" s="148"/>
      <c r="U14" s="148"/>
      <c r="W14" s="148"/>
      <c r="Y14" s="148"/>
      <c r="AL14" s="148"/>
      <c r="AN14" s="148"/>
      <c r="AP14" s="148"/>
      <c r="AR14" s="148"/>
      <c r="AS14" s="148"/>
      <c r="AU14" s="148"/>
      <c r="AW14" s="148"/>
      <c r="BB14" s="148"/>
      <c r="BD14" s="148"/>
      <c r="BF14" s="148"/>
      <c r="BG14" s="148"/>
      <c r="BI14" s="148"/>
    </row>
    <row r="15" spans="2:63" hidden="1" x14ac:dyDescent="0.25">
      <c r="E15" s="28" t="s">
        <v>95</v>
      </c>
      <c r="N15" s="148"/>
      <c r="P15" s="148"/>
      <c r="R15" s="148"/>
      <c r="T15" s="148"/>
      <c r="U15" s="148"/>
      <c r="W15" s="148"/>
      <c r="Y15" s="148"/>
      <c r="AL15" s="148"/>
      <c r="AN15" s="148"/>
      <c r="AP15" s="148"/>
      <c r="AR15" s="148"/>
      <c r="AS15" s="148"/>
      <c r="AU15" s="148"/>
      <c r="AW15" s="148"/>
      <c r="BB15" s="148"/>
      <c r="BD15" s="148"/>
      <c r="BF15" s="148"/>
      <c r="BG15" s="148"/>
      <c r="BI15" s="148"/>
    </row>
    <row r="16" spans="2:63" hidden="1" x14ac:dyDescent="0.25">
      <c r="E16" s="28" t="s">
        <v>96</v>
      </c>
      <c r="N16" s="148"/>
      <c r="P16" s="148"/>
      <c r="R16" s="148"/>
      <c r="T16" s="148"/>
      <c r="U16" s="148"/>
      <c r="W16" s="148"/>
      <c r="Y16" s="148"/>
      <c r="AL16" s="148"/>
      <c r="AN16" s="148"/>
      <c r="AP16" s="148"/>
      <c r="AR16" s="148"/>
      <c r="AS16" s="148"/>
      <c r="AU16" s="148"/>
      <c r="AW16" s="148"/>
      <c r="BB16" s="148"/>
      <c r="BD16" s="148"/>
      <c r="BF16" s="148"/>
      <c r="BG16" s="148"/>
      <c r="BI16" s="148"/>
    </row>
    <row r="17" spans="2:63" hidden="1" x14ac:dyDescent="0.25">
      <c r="B17" t="s">
        <v>1</v>
      </c>
      <c r="N17" s="148"/>
      <c r="P17" s="148"/>
      <c r="R17" s="148"/>
      <c r="T17" s="148"/>
      <c r="U17" s="148"/>
      <c r="W17" s="148"/>
      <c r="Y17" s="148"/>
      <c r="AL17" s="148"/>
      <c r="AN17" s="148"/>
      <c r="AP17" s="148"/>
      <c r="AR17" s="148"/>
      <c r="AS17" s="148"/>
      <c r="AU17" s="148"/>
      <c r="AW17" s="148"/>
      <c r="BB17" s="148"/>
      <c r="BD17" s="148"/>
      <c r="BF17" s="148"/>
      <c r="BG17" s="148"/>
      <c r="BI17" s="148"/>
    </row>
    <row r="18" spans="2:63" ht="29.05" x14ac:dyDescent="0.5">
      <c r="E18" s="9"/>
      <c r="F18" s="9"/>
      <c r="G18" s="9"/>
      <c r="H18" s="9" t="s">
        <v>26</v>
      </c>
      <c r="N18" s="145"/>
      <c r="P18" s="145"/>
      <c r="R18" s="145"/>
      <c r="T18" s="145"/>
      <c r="U18" s="145"/>
      <c r="V18" s="15"/>
      <c r="W18" s="145"/>
      <c r="X18" s="15"/>
      <c r="Y18" s="145"/>
      <c r="Z18" s="15"/>
      <c r="AA18" s="15"/>
      <c r="AF18" s="169"/>
      <c r="AG18" s="49"/>
      <c r="AH18" s="169"/>
      <c r="AI18" s="49"/>
      <c r="AL18" s="145"/>
      <c r="AN18" s="145"/>
      <c r="AP18" s="145"/>
      <c r="AR18" s="145"/>
      <c r="AS18" s="145"/>
      <c r="AT18" s="15"/>
      <c r="AU18" s="145"/>
      <c r="AV18" s="15"/>
      <c r="AW18" s="145"/>
      <c r="AX18" s="15"/>
      <c r="AY18" s="15"/>
      <c r="BB18" s="145"/>
      <c r="BD18" s="145"/>
      <c r="BF18" s="145"/>
      <c r="BG18" s="145"/>
      <c r="BH18" s="15"/>
      <c r="BI18" s="145"/>
      <c r="BJ18" s="15"/>
      <c r="BK18" s="15"/>
    </row>
    <row r="19" spans="2:63" ht="18.649999999999999" x14ac:dyDescent="0.4">
      <c r="F19" s="10"/>
      <c r="G19" s="10"/>
      <c r="H19" s="10" t="str">
        <f>E6</f>
        <v>612 (Paramount Prints Admin)</v>
      </c>
      <c r="M19" s="7" t="str">
        <f>_xlfn.XLOOKUP(M$5,'Month Name'!$D:$D, 'Month Name'!$C:$C)&amp;" "&amp;RIGHT(M4,2)</f>
        <v>Jan 26</v>
      </c>
      <c r="N19" s="149" t="s">
        <v>43</v>
      </c>
      <c r="P19" s="149" t="s">
        <v>72</v>
      </c>
      <c r="R19" s="149" t="s">
        <v>8</v>
      </c>
      <c r="T19" s="149" t="s">
        <v>36</v>
      </c>
      <c r="U19" s="145"/>
      <c r="V19" s="60"/>
      <c r="W19" s="145"/>
      <c r="X19" s="15"/>
      <c r="Y19" s="145"/>
      <c r="Z19" s="60"/>
      <c r="AA19" s="61"/>
      <c r="AF19" s="225" t="str">
        <f>_xlfn.CONCAT(TEXT((TRIM(MID(M5,4,3))),"mmm")," QTD ",RIGHT(M4,2))</f>
        <v xml:space="preserve"> QTD 26</v>
      </c>
      <c r="AG19" s="226"/>
      <c r="AH19" s="169"/>
      <c r="AI19" s="49"/>
      <c r="AK19" s="7" t="str">
        <f>_xlfn.XLOOKUP(M$5,'Month Name'!$D:$D, 'Month Name'!$C:$C)&amp;" YTD "&amp;RIGHT(M4,2)</f>
        <v>Jan YTD 26</v>
      </c>
      <c r="AL19" s="149" t="s">
        <v>43</v>
      </c>
      <c r="AN19" s="149" t="s">
        <v>72</v>
      </c>
      <c r="AP19" s="149" t="s">
        <v>8</v>
      </c>
      <c r="AR19" s="149" t="s">
        <v>36</v>
      </c>
      <c r="AS19" s="166"/>
      <c r="AT19" s="60"/>
      <c r="AU19" s="145"/>
      <c r="AV19" s="15"/>
      <c r="AW19" s="145"/>
      <c r="AX19" s="63"/>
      <c r="AY19" s="61"/>
      <c r="BB19" s="149" t="s">
        <v>72</v>
      </c>
      <c r="BD19" s="149" t="s">
        <v>8</v>
      </c>
      <c r="BF19" s="149" t="s">
        <v>36</v>
      </c>
      <c r="BG19" s="145"/>
      <c r="BH19" s="15"/>
      <c r="BI19" s="145"/>
      <c r="BJ19" s="63"/>
      <c r="BK19" s="61"/>
    </row>
    <row r="20" spans="2:63" ht="14.5" x14ac:dyDescent="0.25">
      <c r="D20" s="11"/>
      <c r="E20" s="11"/>
      <c r="F20" s="11"/>
      <c r="G20" s="11"/>
      <c r="H20" s="11"/>
      <c r="I20" s="64"/>
      <c r="J20" s="64"/>
      <c r="K20" s="12"/>
      <c r="L20" s="12"/>
      <c r="M20" s="38" t="str">
        <f>_xlfn.XLOOKUP(M$5,'Month Name'!$D:$D, 'Month Name'!$C:$C)&amp;" "&amp;RIGHT(M4,2)</f>
        <v>Jan 26</v>
      </c>
      <c r="N20" s="150" t="s">
        <v>73</v>
      </c>
      <c r="O20" s="38" t="str">
        <f>_xlfn.XLOOKUP(O$5,'Month Name'!$D:$D, 'Month Name'!$C:$C)&amp;" "&amp;RIGHT(O4,2)</f>
        <v>Jan 26</v>
      </c>
      <c r="P20" s="150" t="s">
        <v>73</v>
      </c>
      <c r="Q20" s="38" t="str">
        <f>_xlfn.XLOOKUP(Q$5,'Month Name'!$D:$D, 'Month Name'!$C:$C)&amp;" "&amp;RIGHT(Q4,2)</f>
        <v>Jan 26</v>
      </c>
      <c r="R20" s="150" t="s">
        <v>73</v>
      </c>
      <c r="S20" s="38" t="str">
        <f>_xlfn.XLOOKUP(S$5,'Month Name'!$D:$D, 'Month Name'!$C:$C)&amp;" "&amp;RIGHT(S4,2)</f>
        <v>Jan 25</v>
      </c>
      <c r="T20" s="150" t="s">
        <v>73</v>
      </c>
      <c r="U20" s="163" t="s">
        <v>24</v>
      </c>
      <c r="V20" s="66" t="s">
        <v>27</v>
      </c>
      <c r="W20" s="163" t="str">
        <f>Y20</f>
        <v>% Var</v>
      </c>
      <c r="X20" s="66" t="str">
        <f>Z20</f>
        <v>$ Var</v>
      </c>
      <c r="Y20" s="163" t="s">
        <v>24</v>
      </c>
      <c r="Z20" s="66" t="s">
        <v>27</v>
      </c>
      <c r="AA20" s="65"/>
      <c r="AC20" s="227" t="str">
        <f>AF19</f>
        <v xml:space="preserve"> QTD 26</v>
      </c>
      <c r="AD20" s="227" t="str">
        <f>_xlfn.CONCAT(TEXT((TRIM(MID(M5,4,3))),"mmm")," QTD ",RIGHT(S4,2))</f>
        <v xml:space="preserve"> QTD 25</v>
      </c>
      <c r="AE20" s="227" t="str">
        <f>AC20</f>
        <v xml:space="preserve"> QTD 26</v>
      </c>
      <c r="AF20" s="228" t="s">
        <v>24</v>
      </c>
      <c r="AG20" s="229" t="s">
        <v>27</v>
      </c>
      <c r="AH20" s="228" t="str">
        <f>AF20</f>
        <v>% Var</v>
      </c>
      <c r="AI20" s="229" t="str">
        <f>AG20</f>
        <v>$ Var</v>
      </c>
      <c r="AK20" s="38" t="str">
        <f>_xlfn.XLOOKUP(M$5,'Month Name'!$D:$D, 'Month Name'!$C:$C)&amp;" YTD "&amp;RIGHT(M4,2)</f>
        <v>Jan YTD 26</v>
      </c>
      <c r="AL20" s="150" t="s">
        <v>73</v>
      </c>
      <c r="AM20" s="38" t="str">
        <f>_xlfn.XLOOKUP(O$5,'Month Name'!$D:$D, 'Month Name'!$C:$C)&amp;" YTD "&amp;RIGHT(O4,2)</f>
        <v>Jan YTD 26</v>
      </c>
      <c r="AN20" s="150" t="s">
        <v>73</v>
      </c>
      <c r="AO20" s="38" t="str">
        <f>_xlfn.XLOOKUP(Q$5,'Month Name'!$D:$D, 'Month Name'!$C:$C)&amp;" YTD "&amp;RIGHT(Q4,2)</f>
        <v>Jan YTD 26</v>
      </c>
      <c r="AP20" s="150" t="s">
        <v>73</v>
      </c>
      <c r="AQ20" s="38" t="str">
        <f>_xlfn.XLOOKUP(S$5,'Month Name'!$D:$D, 'Month Name'!$C:$C)&amp;" YTD "&amp;RIGHT(S4,2)</f>
        <v>Jan YTD 25</v>
      </c>
      <c r="AR20" s="150" t="s">
        <v>73</v>
      </c>
      <c r="AS20" s="163" t="s">
        <v>24</v>
      </c>
      <c r="AT20" s="66" t="s">
        <v>27</v>
      </c>
      <c r="AU20" s="163" t="str">
        <f>AW20</f>
        <v>% Var</v>
      </c>
      <c r="AV20" s="66" t="str">
        <f>AX20</f>
        <v>$ Var</v>
      </c>
      <c r="AW20" s="163" t="s">
        <v>24</v>
      </c>
      <c r="AX20" s="66" t="s">
        <v>27</v>
      </c>
      <c r="AY20" s="65"/>
      <c r="BA20" s="39" t="str">
        <f>"Full Year "&amp;BA4</f>
        <v>Full Year 2026</v>
      </c>
      <c r="BB20" s="150" t="s">
        <v>73</v>
      </c>
      <c r="BC20" s="39" t="str">
        <f>"Full Year "&amp;BC4</f>
        <v>Full Year 2026</v>
      </c>
      <c r="BD20" s="150" t="s">
        <v>73</v>
      </c>
      <c r="BE20" s="39" t="str">
        <f>"Full Year "&amp;BE4</f>
        <v>Full Year 2025</v>
      </c>
      <c r="BF20" s="150" t="s">
        <v>73</v>
      </c>
      <c r="BG20" s="163" t="str">
        <f>BI20</f>
        <v>% Var</v>
      </c>
      <c r="BH20" s="66" t="str">
        <f>BJ20</f>
        <v>$ Var</v>
      </c>
      <c r="BI20" s="163" t="s">
        <v>24</v>
      </c>
      <c r="BJ20" s="66" t="s">
        <v>27</v>
      </c>
      <c r="BK20" s="65"/>
    </row>
    <row r="21" spans="2:63" ht="14.5" x14ac:dyDescent="0.25">
      <c r="D21" s="13"/>
      <c r="E21" s="13"/>
      <c r="F21" s="13"/>
      <c r="G21" s="13" t="str">
        <f>"in "&amp;$G$5&amp;" currency"</f>
        <v>in  currency</v>
      </c>
      <c r="H21" s="13"/>
      <c r="I21" s="64"/>
      <c r="J21" s="64"/>
      <c r="K21" s="45"/>
      <c r="L21" s="45"/>
      <c r="M21" s="30" t="str">
        <f>M6</f>
        <v>Actual</v>
      </c>
      <c r="N21" s="150" t="s">
        <v>74</v>
      </c>
      <c r="O21" s="30" t="str">
        <f>O6</f>
        <v>Plan</v>
      </c>
      <c r="P21" s="150" t="s">
        <v>74</v>
      </c>
      <c r="Q21" s="30" t="str">
        <f>IF(Q6="Plan", "Budget", Q6)</f>
        <v>Budget</v>
      </c>
      <c r="R21" s="150" t="s">
        <v>74</v>
      </c>
      <c r="S21" s="30" t="str">
        <f>"PY "&amp;S6</f>
        <v>PY Actual</v>
      </c>
      <c r="T21" s="150" t="s">
        <v>74</v>
      </c>
      <c r="U21" s="163" t="str">
        <f>O21</f>
        <v>Plan</v>
      </c>
      <c r="V21" s="69" t="str">
        <f>O21</f>
        <v>Plan</v>
      </c>
      <c r="W21" s="163" t="str">
        <f>Q21</f>
        <v>Budget</v>
      </c>
      <c r="X21" s="69" t="str">
        <f>Q21</f>
        <v>Budget</v>
      </c>
      <c r="Y21" s="163" t="s">
        <v>25</v>
      </c>
      <c r="Z21" s="69" t="s">
        <v>25</v>
      </c>
      <c r="AA21" s="68" t="s">
        <v>75</v>
      </c>
      <c r="AC21" s="230" t="str">
        <f>AC6</f>
        <v>Actual</v>
      </c>
      <c r="AD21" s="230" t="str">
        <f>"PY "&amp;AD6</f>
        <v>PY Actual</v>
      </c>
      <c r="AE21" s="230" t="s">
        <v>40</v>
      </c>
      <c r="AF21" s="228" t="s">
        <v>25</v>
      </c>
      <c r="AG21" s="231" t="s">
        <v>25</v>
      </c>
      <c r="AH21" s="228" t="str">
        <f>AE21</f>
        <v>Budget</v>
      </c>
      <c r="AI21" s="231" t="str">
        <f>AH21</f>
        <v>Budget</v>
      </c>
      <c r="AK21" s="30" t="str">
        <f>AK6</f>
        <v>Actual</v>
      </c>
      <c r="AL21" s="150" t="s">
        <v>74</v>
      </c>
      <c r="AM21" s="30" t="str">
        <f>AM6</f>
        <v>Plan</v>
      </c>
      <c r="AN21" s="150" t="s">
        <v>74</v>
      </c>
      <c r="AO21" s="30" t="str">
        <f>IF(AO6="Plan", "Budget", AO6)</f>
        <v>Budget</v>
      </c>
      <c r="AP21" s="150" t="s">
        <v>74</v>
      </c>
      <c r="AQ21" s="30" t="str">
        <f>"PY "&amp;AQ6</f>
        <v>PY Actual</v>
      </c>
      <c r="AR21" s="150" t="s">
        <v>74</v>
      </c>
      <c r="AS21" s="163" t="str">
        <f>AM21</f>
        <v>Plan</v>
      </c>
      <c r="AT21" s="69" t="str">
        <f>AM21</f>
        <v>Plan</v>
      </c>
      <c r="AU21" s="163" t="str">
        <f>AO21</f>
        <v>Budget</v>
      </c>
      <c r="AV21" s="69" t="str">
        <f>AO21</f>
        <v>Budget</v>
      </c>
      <c r="AW21" s="163" t="s">
        <v>25</v>
      </c>
      <c r="AX21" s="69" t="s">
        <v>25</v>
      </c>
      <c r="AY21" s="68" t="s">
        <v>75</v>
      </c>
      <c r="BA21" s="30" t="str">
        <f>IF(BA6="Plan", "Budget", BA6)</f>
        <v>Budget</v>
      </c>
      <c r="BB21" s="150" t="s">
        <v>74</v>
      </c>
      <c r="BC21" s="30" t="str">
        <f>IF(BC6="Plan", "Budget", BC6)</f>
        <v>Budget</v>
      </c>
      <c r="BD21" s="150" t="s">
        <v>74</v>
      </c>
      <c r="BE21" s="30" t="str">
        <f>BE6</f>
        <v>Actual</v>
      </c>
      <c r="BF21" s="150" t="s">
        <v>74</v>
      </c>
      <c r="BG21" s="163" t="str">
        <f>BC21</f>
        <v>Budget</v>
      </c>
      <c r="BH21" s="69" t="str">
        <f>BC21</f>
        <v>Budget</v>
      </c>
      <c r="BI21" s="163" t="s">
        <v>25</v>
      </c>
      <c r="BJ21" s="69" t="s">
        <v>25</v>
      </c>
      <c r="BK21" s="68" t="s">
        <v>75</v>
      </c>
    </row>
    <row r="22" spans="2:63" hidden="1" x14ac:dyDescent="0.25">
      <c r="N22" s="145"/>
      <c r="P22" s="145"/>
      <c r="R22" s="145"/>
      <c r="T22" s="145"/>
      <c r="U22" s="145"/>
      <c r="V22" s="15"/>
      <c r="W22" s="145"/>
      <c r="X22" s="15"/>
      <c r="Y22" s="145"/>
      <c r="Z22" s="15"/>
      <c r="AA22" s="15"/>
      <c r="AF22" s="169"/>
      <c r="AG22" s="49"/>
      <c r="AH22" s="169"/>
      <c r="AI22" s="49"/>
      <c r="AL22" s="145"/>
      <c r="AN22" s="145"/>
      <c r="AP22" s="145"/>
      <c r="AR22" s="145"/>
      <c r="AS22" s="145"/>
      <c r="AT22" s="15"/>
      <c r="AU22" s="145"/>
      <c r="AV22" s="15"/>
      <c r="AW22" s="145"/>
      <c r="AX22" s="15"/>
      <c r="AY22" s="15"/>
      <c r="BB22" s="145"/>
      <c r="BD22" s="145"/>
      <c r="BF22" s="145"/>
      <c r="BG22" s="145"/>
      <c r="BH22" s="15"/>
      <c r="BI22" s="145"/>
      <c r="BJ22" s="15"/>
      <c r="BK22" s="15"/>
    </row>
    <row r="23" spans="2:63" ht="12.45" hidden="1" thickBot="1" x14ac:dyDescent="0.3">
      <c r="B23" t="s">
        <v>1</v>
      </c>
      <c r="D23" s="4"/>
      <c r="E23" s="4"/>
      <c r="F23" s="4"/>
      <c r="G23" s="4"/>
      <c r="H23" s="4" t="s">
        <v>37</v>
      </c>
      <c r="I23" s="4">
        <f ca="1">YEAR(TODAY()-20)</f>
        <v>2026</v>
      </c>
      <c r="J23" s="5"/>
      <c r="N23" s="145"/>
      <c r="P23" s="145"/>
      <c r="R23" s="145"/>
      <c r="T23" s="145"/>
      <c r="U23" s="145"/>
      <c r="V23" s="15"/>
      <c r="W23" s="145"/>
      <c r="X23" s="15"/>
      <c r="Y23" s="145"/>
      <c r="Z23" s="15"/>
      <c r="AA23" s="15"/>
      <c r="AF23" s="169"/>
      <c r="AG23" s="49"/>
      <c r="AH23" s="169"/>
      <c r="AI23" s="49"/>
      <c r="AL23" s="145"/>
      <c r="AN23" s="145"/>
      <c r="AP23" s="145"/>
      <c r="AR23" s="145"/>
      <c r="AS23" s="145"/>
      <c r="AT23" s="15"/>
      <c r="AU23" s="145"/>
      <c r="AV23" s="15"/>
      <c r="AW23" s="145"/>
      <c r="AX23" s="15"/>
      <c r="AY23" s="15"/>
      <c r="BB23" s="145"/>
      <c r="BD23" s="145"/>
      <c r="BF23" s="145"/>
      <c r="BG23" s="145"/>
      <c r="BH23" s="15"/>
      <c r="BI23" s="145"/>
      <c r="BJ23" s="15"/>
      <c r="BK23" s="15"/>
    </row>
    <row r="24" spans="2:63" hidden="1" x14ac:dyDescent="0.25">
      <c r="B24" t="s">
        <v>1</v>
      </c>
      <c r="D24" s="3"/>
      <c r="E24" s="3"/>
      <c r="F24" s="3"/>
      <c r="G24" s="3"/>
      <c r="H24" s="3" t="s">
        <v>76</v>
      </c>
      <c r="I24" s="1">
        <f ca="1">MONTH(TODAY() - 20)</f>
        <v>2</v>
      </c>
      <c r="J24" s="6"/>
      <c r="N24" s="145"/>
      <c r="P24" s="145"/>
      <c r="R24" s="145"/>
      <c r="T24" s="145"/>
      <c r="U24" s="145"/>
      <c r="V24" s="15"/>
      <c r="W24" s="145"/>
      <c r="X24" s="15"/>
      <c r="Y24" s="145"/>
      <c r="Z24" s="15"/>
      <c r="AA24" s="15"/>
      <c r="AF24" s="169"/>
      <c r="AG24" s="49"/>
      <c r="AH24" s="169"/>
      <c r="AI24" s="49"/>
      <c r="AL24" s="145"/>
      <c r="AN24" s="145"/>
      <c r="AP24" s="145"/>
      <c r="AR24" s="145"/>
      <c r="AS24" s="145"/>
      <c r="AT24" s="15"/>
      <c r="AU24" s="145"/>
      <c r="AV24" s="15"/>
      <c r="AW24" s="145"/>
      <c r="AX24" s="15"/>
      <c r="AY24" s="15"/>
      <c r="BB24" s="145"/>
      <c r="BD24" s="145"/>
      <c r="BF24" s="145"/>
      <c r="BG24" s="145"/>
      <c r="BH24" s="15"/>
      <c r="BI24" s="145"/>
      <c r="BJ24" s="15"/>
      <c r="BK24" s="15"/>
    </row>
    <row r="25" spans="2:63" hidden="1" x14ac:dyDescent="0.25">
      <c r="B25" t="s">
        <v>1</v>
      </c>
      <c r="D25" s="3"/>
      <c r="E25" s="3"/>
      <c r="F25" s="3"/>
      <c r="G25" s="3"/>
      <c r="H25" s="3" t="s">
        <v>77</v>
      </c>
      <c r="I25" s="1" t="str">
        <f ca="1">_xlfn.CONCAT(I24," QTD")</f>
        <v>2 QTD</v>
      </c>
      <c r="J25" s="6"/>
      <c r="N25" s="145"/>
      <c r="P25" s="145"/>
      <c r="R25" s="145"/>
      <c r="T25" s="145"/>
      <c r="U25" s="145"/>
      <c r="V25" s="15"/>
      <c r="W25" s="145"/>
      <c r="X25" s="15"/>
      <c r="Y25" s="145"/>
      <c r="Z25" s="15"/>
      <c r="AA25" s="15"/>
      <c r="AF25" s="169"/>
      <c r="AG25" s="49"/>
      <c r="AH25" s="169"/>
      <c r="AI25" s="49"/>
      <c r="AL25" s="145"/>
      <c r="AN25" s="145"/>
      <c r="AP25" s="145"/>
      <c r="AR25" s="145"/>
      <c r="AS25" s="145"/>
      <c r="AT25" s="15"/>
      <c r="AU25" s="145"/>
      <c r="AV25" s="15"/>
      <c r="AW25" s="145"/>
      <c r="AX25" s="15"/>
      <c r="AY25" s="15"/>
      <c r="BB25" s="145"/>
      <c r="BD25" s="145"/>
      <c r="BF25" s="145"/>
      <c r="BG25" s="145"/>
      <c r="BH25" s="15"/>
      <c r="BI25" s="145"/>
      <c r="BJ25" s="15"/>
      <c r="BK25" s="15"/>
    </row>
    <row r="26" spans="2:63" hidden="1" x14ac:dyDescent="0.25">
      <c r="B26" t="s">
        <v>1</v>
      </c>
      <c r="D26" s="3"/>
      <c r="E26" s="3"/>
      <c r="F26" s="3"/>
      <c r="G26" s="3"/>
      <c r="H26" s="3" t="s">
        <v>78</v>
      </c>
      <c r="I26" s="1" t="str">
        <f ca="1">_xlfn.CONCAT(I24," YTD")</f>
        <v>2 YTD</v>
      </c>
      <c r="J26" s="6"/>
      <c r="N26" s="145"/>
      <c r="P26" s="145"/>
      <c r="R26" s="145"/>
      <c r="T26" s="145"/>
      <c r="U26" s="145"/>
      <c r="V26" s="15"/>
      <c r="W26" s="145"/>
      <c r="X26" s="15"/>
      <c r="Y26" s="145"/>
      <c r="Z26" s="15"/>
      <c r="AA26" s="15"/>
      <c r="AF26" s="169"/>
      <c r="AG26" s="49"/>
      <c r="AH26" s="169"/>
      <c r="AI26" s="49"/>
      <c r="AL26" s="145"/>
      <c r="AN26" s="145"/>
      <c r="AP26" s="145"/>
      <c r="AR26" s="145"/>
      <c r="AS26" s="145"/>
      <c r="AT26" s="15"/>
      <c r="AU26" s="145"/>
      <c r="AV26" s="15"/>
      <c r="AW26" s="145"/>
      <c r="AX26" s="15"/>
      <c r="AY26" s="15"/>
      <c r="BB26" s="145"/>
      <c r="BD26" s="145"/>
      <c r="BF26" s="145"/>
      <c r="BG26" s="145"/>
      <c r="BH26" s="15"/>
      <c r="BI26" s="145"/>
      <c r="BJ26" s="15"/>
      <c r="BK26" s="15"/>
    </row>
    <row r="27" spans="2:63" hidden="1" x14ac:dyDescent="0.25">
      <c r="B27" t="s">
        <v>1</v>
      </c>
      <c r="N27" s="145"/>
      <c r="P27" s="145"/>
      <c r="R27" s="145"/>
      <c r="T27" s="145"/>
      <c r="U27" s="145"/>
      <c r="V27" s="15"/>
      <c r="W27" s="145"/>
      <c r="X27" s="15"/>
      <c r="Y27" s="145"/>
      <c r="Z27" s="15"/>
      <c r="AA27" s="15"/>
      <c r="AF27" s="169"/>
      <c r="AG27" s="49"/>
      <c r="AH27" s="169"/>
      <c r="AI27" s="49"/>
      <c r="AL27" s="145"/>
      <c r="AN27" s="145"/>
      <c r="AP27" s="145"/>
      <c r="AR27" s="145"/>
      <c r="AS27" s="145"/>
      <c r="AT27" s="15"/>
      <c r="AU27" s="145"/>
      <c r="AV27" s="15"/>
      <c r="AW27" s="145"/>
      <c r="AX27" s="15"/>
      <c r="AY27" s="15"/>
      <c r="BB27" s="145"/>
      <c r="BD27" s="145"/>
      <c r="BF27" s="145"/>
      <c r="BG27" s="145"/>
      <c r="BH27" s="15"/>
      <c r="BI27" s="145"/>
      <c r="BJ27" s="15"/>
      <c r="BK27" s="15"/>
    </row>
    <row r="28" spans="2:63" ht="11.95" hidden="1" thickBot="1" x14ac:dyDescent="0.3">
      <c r="B28" t="s">
        <v>1</v>
      </c>
      <c r="N28" s="145"/>
      <c r="P28" s="145"/>
      <c r="R28" s="145"/>
      <c r="T28" s="145"/>
      <c r="U28" s="145"/>
      <c r="V28" s="15"/>
      <c r="W28" s="145"/>
      <c r="X28" s="15"/>
      <c r="Y28" s="145"/>
      <c r="Z28" s="15"/>
      <c r="AA28" s="15"/>
      <c r="AF28" s="169"/>
      <c r="AG28" s="49"/>
      <c r="AH28" s="169"/>
      <c r="AI28" s="49"/>
      <c r="AL28" s="145"/>
      <c r="AN28" s="145"/>
      <c r="AP28" s="145"/>
      <c r="AR28" s="145"/>
      <c r="AS28" s="145"/>
      <c r="AT28" s="15"/>
      <c r="AU28" s="145"/>
      <c r="AV28" s="15"/>
      <c r="AW28" s="145"/>
      <c r="AX28" s="15"/>
      <c r="AY28" s="15"/>
      <c r="BB28" s="145"/>
      <c r="BD28" s="145"/>
      <c r="BF28" s="145"/>
      <c r="BG28" s="145"/>
      <c r="BH28" s="15"/>
      <c r="BI28" s="145"/>
      <c r="BJ28" s="15"/>
      <c r="BK28" s="15"/>
    </row>
    <row r="29" spans="2:63" ht="14.5" hidden="1" thickBot="1" x14ac:dyDescent="0.3">
      <c r="B29" s="14" t="s">
        <v>1</v>
      </c>
      <c r="C29" s="15"/>
      <c r="G29" s="70" t="s">
        <v>22</v>
      </c>
      <c r="H29" s="70" t="s">
        <v>22</v>
      </c>
      <c r="I29" s="16" t="s">
        <v>23</v>
      </c>
      <c r="J29" s="16"/>
      <c r="K29" s="71"/>
      <c r="L29" s="17"/>
      <c r="M29" s="71"/>
      <c r="N29" s="151"/>
      <c r="O29" s="71"/>
      <c r="P29" s="151"/>
      <c r="Q29" s="71"/>
      <c r="R29" s="151"/>
      <c r="S29" s="71"/>
      <c r="T29" s="151"/>
      <c r="U29" s="151">
        <f>IFERROR(($O29-M29)/ABS(M29),0)</f>
        <v>0</v>
      </c>
      <c r="V29" s="70">
        <f>($O29-M29)</f>
        <v>0</v>
      </c>
      <c r="W29" s="151">
        <f>IFERROR(($M29-Q29)/ABS(Q29),0)</f>
        <v>0</v>
      </c>
      <c r="X29" s="70">
        <f>($M29-Q29)</f>
        <v>0</v>
      </c>
      <c r="Y29" s="151">
        <f>IFERROR(($M29-S29)/ABS(S29),0)</f>
        <v>0</v>
      </c>
      <c r="Z29" s="70">
        <f>($M29-S29)</f>
        <v>0</v>
      </c>
      <c r="AA29" s="70"/>
      <c r="AC29" s="232"/>
      <c r="AD29" s="232"/>
      <c r="AE29" s="232"/>
      <c r="AF29" s="233">
        <f>IFERROR(($AC29-AD29)/ABS(AD29),0)</f>
        <v>0</v>
      </c>
      <c r="AG29" s="139">
        <f>($AC29-AD29)</f>
        <v>0</v>
      </c>
      <c r="AH29" s="233">
        <f>IFERROR(($AC29-AE29)/ABS(AE29),0)</f>
        <v>0</v>
      </c>
      <c r="AI29" s="139">
        <f>($AC29-AE29)</f>
        <v>0</v>
      </c>
      <c r="AK29" s="71"/>
      <c r="AL29" s="151"/>
      <c r="AM29" s="71"/>
      <c r="AN29" s="151"/>
      <c r="AO29" s="71"/>
      <c r="AP29" s="151"/>
      <c r="AQ29" s="71"/>
      <c r="AR29" s="151"/>
      <c r="AS29" s="151">
        <f>IFERROR(($O29-AK29)/ABS(AK29),0)</f>
        <v>0</v>
      </c>
      <c r="AT29" s="70">
        <f>($O29-AK29)</f>
        <v>0</v>
      </c>
      <c r="AU29" s="151">
        <f>IFERROR(($M29-AO29)/ABS(AO29),0)</f>
        <v>0</v>
      </c>
      <c r="AV29" s="70">
        <f>($M29-AO29)</f>
        <v>0</v>
      </c>
      <c r="AW29" s="151">
        <f>IFERROR(($M29-AQ29)/ABS(AQ29),0)</f>
        <v>0</v>
      </c>
      <c r="AX29" s="70">
        <f>($M29-AQ29)</f>
        <v>0</v>
      </c>
      <c r="AY29" s="70"/>
      <c r="BA29" s="71"/>
      <c r="BB29" s="151"/>
      <c r="BC29" s="71"/>
      <c r="BD29" s="151"/>
      <c r="BE29" s="71"/>
      <c r="BF29" s="151"/>
      <c r="BG29" s="151">
        <f>IFERROR(($BA29-BC29)/ABS(BC29),0)</f>
        <v>0</v>
      </c>
      <c r="BH29" s="70">
        <f>($BA29-BC29)</f>
        <v>0</v>
      </c>
      <c r="BI29" s="151">
        <f>IFERROR(($BA29-BE29)/ABS(BE29),0)</f>
        <v>0</v>
      </c>
      <c r="BJ29" s="70">
        <f>($BA29-BE29)</f>
        <v>0</v>
      </c>
      <c r="BK29" s="70"/>
    </row>
    <row r="30" spans="2:63" ht="12.45" hidden="1" thickBot="1" x14ac:dyDescent="0.3">
      <c r="E30" s="4"/>
      <c r="F30" s="4"/>
      <c r="G30" s="4"/>
      <c r="H30" s="4" t="s">
        <v>7</v>
      </c>
      <c r="I30" s="4"/>
      <c r="J30" s="5"/>
      <c r="K30" s="5"/>
      <c r="L30" s="5"/>
      <c r="M30" s="5"/>
      <c r="N30" s="152"/>
      <c r="O30" s="5"/>
      <c r="P30" s="152"/>
      <c r="Q30" s="5"/>
      <c r="R30" s="152"/>
      <c r="S30" s="5"/>
      <c r="T30" s="152"/>
      <c r="U30" s="152"/>
      <c r="V30" s="75"/>
      <c r="W30" s="152"/>
      <c r="X30" s="75"/>
      <c r="Y30" s="152"/>
      <c r="Z30" s="75"/>
      <c r="AA30" s="76"/>
      <c r="AC30" s="133"/>
      <c r="AD30" s="133"/>
      <c r="AE30" s="133"/>
      <c r="AF30" s="171"/>
      <c r="AG30" s="134"/>
      <c r="AH30" s="171"/>
      <c r="AI30" s="134"/>
      <c r="AK30" s="5"/>
      <c r="AL30" s="152"/>
      <c r="AM30" s="5"/>
      <c r="AN30" s="152"/>
      <c r="AO30" s="5"/>
      <c r="AP30" s="152"/>
      <c r="AQ30" s="5"/>
      <c r="AR30" s="152"/>
      <c r="AS30" s="152"/>
      <c r="AT30" s="75"/>
      <c r="AU30" s="152"/>
      <c r="AV30" s="75"/>
      <c r="AW30" s="152"/>
      <c r="AX30" s="75"/>
      <c r="AY30" s="76"/>
      <c r="BA30" s="5"/>
      <c r="BB30" s="152"/>
      <c r="BC30" s="5"/>
      <c r="BD30" s="152"/>
      <c r="BE30" s="5"/>
      <c r="BF30" s="152"/>
      <c r="BG30" s="152"/>
      <c r="BH30" s="75"/>
      <c r="BI30" s="152"/>
      <c r="BJ30" s="75"/>
      <c r="BK30" s="76"/>
    </row>
    <row r="31" spans="2:63" ht="11.95" hidden="1" thickBot="1" x14ac:dyDescent="0.3">
      <c r="B31" t="s">
        <v>1</v>
      </c>
      <c r="E31" s="3"/>
      <c r="F31" s="3"/>
      <c r="G31" s="3"/>
      <c r="H31" s="3" t="s">
        <v>7</v>
      </c>
      <c r="I31" s="18"/>
      <c r="J31" s="18"/>
      <c r="K31" s="18"/>
      <c r="L31" s="78"/>
      <c r="M31" s="79">
        <v>0</v>
      </c>
      <c r="N31" s="80"/>
      <c r="O31" s="79">
        <v>0</v>
      </c>
      <c r="P31" s="80"/>
      <c r="Q31" s="79">
        <v>0</v>
      </c>
      <c r="R31" s="80"/>
      <c r="S31" s="79">
        <v>0</v>
      </c>
      <c r="T31" s="81"/>
      <c r="U31" s="80"/>
      <c r="V31" s="70"/>
      <c r="W31" s="80"/>
      <c r="X31" s="70"/>
      <c r="Y31" s="80"/>
      <c r="Z31" s="70"/>
      <c r="AA31" s="82"/>
      <c r="AC31" s="138">
        <v>0</v>
      </c>
      <c r="AD31" s="138">
        <v>0</v>
      </c>
      <c r="AE31" s="138">
        <v>0</v>
      </c>
      <c r="AF31" s="172"/>
      <c r="AG31" s="139"/>
      <c r="AH31" s="172"/>
      <c r="AI31" s="139"/>
      <c r="AK31" s="79">
        <v>0</v>
      </c>
      <c r="AL31" s="80"/>
      <c r="AM31" s="79">
        <v>0</v>
      </c>
      <c r="AN31" s="80"/>
      <c r="AO31" s="79">
        <v>0</v>
      </c>
      <c r="AP31" s="80"/>
      <c r="AQ31" s="79">
        <v>0</v>
      </c>
      <c r="AR31" s="81"/>
      <c r="AS31" s="80"/>
      <c r="AT31" s="70"/>
      <c r="AU31" s="80"/>
      <c r="AV31" s="70"/>
      <c r="AW31" s="80"/>
      <c r="AX31" s="70"/>
      <c r="AY31" s="82"/>
      <c r="BA31" s="79">
        <v>0</v>
      </c>
      <c r="BB31" s="80"/>
      <c r="BC31" s="79">
        <v>0</v>
      </c>
      <c r="BD31" s="80"/>
      <c r="BE31" s="79">
        <v>0</v>
      </c>
      <c r="BF31" s="81"/>
      <c r="BG31" s="80"/>
      <c r="BH31" s="70"/>
      <c r="BI31" s="80"/>
      <c r="BJ31" s="70"/>
      <c r="BK31" s="82"/>
    </row>
    <row r="32" spans="2:63" ht="11.95" hidden="1" collapsed="1" thickBot="1" x14ac:dyDescent="0.3">
      <c r="B32" t="str">
        <f t="shared" ref="B32:B37" si="0">IF(LEFT(H32,3)="Mul", "#hiderow", "#showrow")</f>
        <v>#showrow</v>
      </c>
      <c r="E32" s="3"/>
      <c r="F32" s="3"/>
      <c r="G32" s="3"/>
      <c r="H32" s="253" t="s">
        <v>74</v>
      </c>
      <c r="I32" s="18"/>
      <c r="J32" s="18"/>
      <c r="K32" s="18"/>
      <c r="L32" s="78"/>
      <c r="M32" s="79">
        <v>0</v>
      </c>
      <c r="N32" s="80">
        <f t="shared" ref="N32:N38" si="1">IFERROR(M32/SUMIFS(M:M, $H:$H, "Net Sales"),0)</f>
        <v>0</v>
      </c>
      <c r="O32" s="79">
        <v>0</v>
      </c>
      <c r="P32" s="80">
        <f t="shared" ref="P32:P38" si="2">IFERROR(O32/SUMIFS(O:O, $H:$H, "Net Sales"),0)</f>
        <v>0</v>
      </c>
      <c r="Q32" s="79">
        <v>0</v>
      </c>
      <c r="R32" s="80">
        <f t="shared" ref="R32:R38" si="3">IFERROR(Q32/SUMIFS(Q:Q, $H:$H, "Net Sales"),0)</f>
        <v>0</v>
      </c>
      <c r="S32" s="79">
        <v>0</v>
      </c>
      <c r="T32" s="81">
        <f t="shared" ref="T32:T38" si="4">IFERROR(S32/SUMIFS(S:S, $H:$H, "Net Sales"),0)</f>
        <v>0</v>
      </c>
      <c r="U32" s="80">
        <f t="shared" ref="U32:U37" si="5">IFERROR(($M32-O32)/ABS(O32),0)</f>
        <v>0</v>
      </c>
      <c r="V32" s="70">
        <f t="shared" ref="V32:V37" si="6">IFERROR((M32-$O32), $M32-0)</f>
        <v>0</v>
      </c>
      <c r="W32" s="80">
        <f t="shared" ref="W32:W37" si="7">IFERROR((M32-$Q32)/ABS($Q32),0)</f>
        <v>0</v>
      </c>
      <c r="X32" s="70">
        <f t="shared" ref="X32:X37" si="8">IFERROR((M32-$Q32), $M32-0)</f>
        <v>0</v>
      </c>
      <c r="Y32" s="80">
        <f t="shared" ref="Y32:Y37" si="9">IFERROR((M32-$S32)/ABS($S32),0)</f>
        <v>0</v>
      </c>
      <c r="Z32" s="70">
        <f t="shared" ref="Z32:Z37" si="10">IFERROR((M32-$S32),$M32-0)</f>
        <v>0</v>
      </c>
      <c r="AA32" s="82"/>
      <c r="AC32" s="138">
        <v>0</v>
      </c>
      <c r="AD32" s="138">
        <v>0</v>
      </c>
      <c r="AE32" s="138">
        <v>0</v>
      </c>
      <c r="AF32" s="172">
        <f>IFERROR(($AC32-AD32)/ABS(AD32),0)</f>
        <v>0</v>
      </c>
      <c r="AG32" s="139">
        <f>($AC32-AD32)</f>
        <v>0</v>
      </c>
      <c r="AH32" s="172">
        <f>IFERROR(($AC32-AE32)/ABS(AE32),0)</f>
        <v>0</v>
      </c>
      <c r="AI32" s="139">
        <f>($AC32-AE32)</f>
        <v>0</v>
      </c>
      <c r="AK32" s="79">
        <v>0</v>
      </c>
      <c r="AL32" s="80">
        <f t="shared" ref="AL32:AL38" si="11">IFERROR(AK32/SUMIFS(AK:AK, $H:$H, "Net Sales"),0)</f>
        <v>0</v>
      </c>
      <c r="AM32" s="79">
        <v>0</v>
      </c>
      <c r="AN32" s="80">
        <f t="shared" ref="AN32:AN38" si="12">IFERROR(AM32/SUMIFS(AM:AM, $H:$H, "Net Sales"),0)</f>
        <v>0</v>
      </c>
      <c r="AO32" s="79">
        <v>0</v>
      </c>
      <c r="AP32" s="80">
        <f t="shared" ref="AP32:AP38" si="13">IFERROR(AO32/SUMIFS(AO:AO, $H:$H, "Net Sales"),0)</f>
        <v>0</v>
      </c>
      <c r="AQ32" s="79">
        <v>0</v>
      </c>
      <c r="AR32" s="81">
        <f t="shared" ref="AR32:AR38" si="14">IFERROR(AQ32/SUMIFS(AQ:AQ, $H:$H, "Net Sales"),0)</f>
        <v>0</v>
      </c>
      <c r="AS32" s="80">
        <f t="shared" ref="AS32:AS37" si="15">IFERROR((AK32-$AM32)/ABS($AM32),0)</f>
        <v>0</v>
      </c>
      <c r="AT32" s="70">
        <f t="shared" ref="AT32:AT37" si="16">(AK32-$AM32)</f>
        <v>0</v>
      </c>
      <c r="AU32" s="80">
        <f t="shared" ref="AU32:AU37" si="17">IFERROR((AK32-$AO32)/ABS($AO32),0)</f>
        <v>0</v>
      </c>
      <c r="AV32" s="70">
        <f t="shared" ref="AV32:AV37" si="18">(AK32-$AO32)</f>
        <v>0</v>
      </c>
      <c r="AW32" s="80">
        <f t="shared" ref="AW32:AW37" si="19">IFERROR((AK32-$AQ32)/ABS($AQ32),0)</f>
        <v>0</v>
      </c>
      <c r="AX32" s="70">
        <f t="shared" ref="AX32:AX37" si="20">(AK32-$AQ32)</f>
        <v>0</v>
      </c>
      <c r="AY32" s="82"/>
      <c r="BA32" s="79">
        <v>0</v>
      </c>
      <c r="BB32" s="80">
        <f t="shared" ref="BB32:BB38" si="21">IFERROR(BA32/SUMIFS(BA:BA, $H:$H, "Net Sales"),0)</f>
        <v>0</v>
      </c>
      <c r="BC32" s="79">
        <v>0</v>
      </c>
      <c r="BD32" s="80">
        <f t="shared" ref="BD32:BD38" si="22">IFERROR(BC32/SUMIFS(BC:BC, $H:$H, "Net Sales"),0)</f>
        <v>0</v>
      </c>
      <c r="BE32" s="79">
        <v>0</v>
      </c>
      <c r="BF32" s="81">
        <f t="shared" ref="BF32:BF38" si="23">IFERROR(BE32/SUMIFS(BE:BE, $H:$H, "Net Sales"),0)</f>
        <v>0</v>
      </c>
      <c r="BG32" s="80">
        <f t="shared" ref="BG32:BG37" si="24">IFERROR((BA32-$BC32)/ABS($BC32),0)</f>
        <v>0</v>
      </c>
      <c r="BH32" s="70">
        <f t="shared" ref="BH32:BH37" si="25">(BA32-$BC32)</f>
        <v>0</v>
      </c>
      <c r="BI32" s="80">
        <f t="shared" ref="BI32:BI37" si="26">IFERROR((BA32-$BE32)/ABS($BE32),0)</f>
        <v>0</v>
      </c>
      <c r="BJ32" s="70">
        <f t="shared" ref="BJ32:BJ37" si="27">(BA32-$BE32)</f>
        <v>0</v>
      </c>
      <c r="BK32" s="82"/>
    </row>
    <row r="33" spans="2:63" ht="11.95" hidden="1" outlineLevel="1" thickBot="1" x14ac:dyDescent="0.3">
      <c r="B33" t="str">
        <f t="shared" si="0"/>
        <v>#hiderow</v>
      </c>
      <c r="E33" s="3"/>
      <c r="F33" s="3"/>
      <c r="G33" s="3"/>
      <c r="H33" s="254" t="s">
        <v>6</v>
      </c>
      <c r="I33" s="18"/>
      <c r="J33" s="18"/>
      <c r="K33" s="18"/>
      <c r="L33" s="78"/>
      <c r="M33" s="79"/>
      <c r="N33" s="80">
        <f t="shared" si="1"/>
        <v>0</v>
      </c>
      <c r="O33" s="79"/>
      <c r="P33" s="80">
        <f t="shared" si="2"/>
        <v>0</v>
      </c>
      <c r="Q33" s="79"/>
      <c r="R33" s="80">
        <f t="shared" si="3"/>
        <v>0</v>
      </c>
      <c r="S33" s="79"/>
      <c r="T33" s="81">
        <f t="shared" si="4"/>
        <v>0</v>
      </c>
      <c r="U33" s="80">
        <f t="shared" si="5"/>
        <v>0</v>
      </c>
      <c r="V33" s="70">
        <f t="shared" si="6"/>
        <v>0</v>
      </c>
      <c r="W33" s="80">
        <f t="shared" si="7"/>
        <v>0</v>
      </c>
      <c r="X33" s="70">
        <f t="shared" si="8"/>
        <v>0</v>
      </c>
      <c r="Y33" s="80">
        <f t="shared" si="9"/>
        <v>0</v>
      </c>
      <c r="Z33" s="70">
        <f t="shared" si="10"/>
        <v>0</v>
      </c>
      <c r="AA33" s="82"/>
      <c r="AC33" s="138"/>
      <c r="AD33" s="138"/>
      <c r="AE33" s="138"/>
      <c r="AF33" s="233"/>
      <c r="AG33" s="139"/>
      <c r="AH33" s="233"/>
      <c r="AI33" s="139"/>
      <c r="AK33" s="79"/>
      <c r="AL33" s="80">
        <f t="shared" si="11"/>
        <v>0</v>
      </c>
      <c r="AM33" s="79"/>
      <c r="AN33" s="80">
        <f t="shared" si="12"/>
        <v>0</v>
      </c>
      <c r="AO33" s="79"/>
      <c r="AP33" s="80">
        <f t="shared" si="13"/>
        <v>0</v>
      </c>
      <c r="AQ33" s="79"/>
      <c r="AR33" s="81">
        <f t="shared" si="14"/>
        <v>0</v>
      </c>
      <c r="AS33" s="80">
        <f t="shared" si="15"/>
        <v>0</v>
      </c>
      <c r="AT33" s="70">
        <f t="shared" si="16"/>
        <v>0</v>
      </c>
      <c r="AU33" s="80">
        <f t="shared" si="17"/>
        <v>0</v>
      </c>
      <c r="AV33" s="70">
        <f t="shared" si="18"/>
        <v>0</v>
      </c>
      <c r="AW33" s="80">
        <f t="shared" si="19"/>
        <v>0</v>
      </c>
      <c r="AX33" s="70">
        <f t="shared" si="20"/>
        <v>0</v>
      </c>
      <c r="AY33" s="82"/>
      <c r="BA33" s="79"/>
      <c r="BB33" s="80">
        <f t="shared" si="21"/>
        <v>0</v>
      </c>
      <c r="BC33" s="79"/>
      <c r="BD33" s="80">
        <f t="shared" si="22"/>
        <v>0</v>
      </c>
      <c r="BE33" s="79"/>
      <c r="BF33" s="81">
        <f t="shared" si="23"/>
        <v>0</v>
      </c>
      <c r="BG33" s="80">
        <f t="shared" si="24"/>
        <v>0</v>
      </c>
      <c r="BH33" s="70">
        <f t="shared" si="25"/>
        <v>0</v>
      </c>
      <c r="BI33" s="80">
        <f t="shared" si="26"/>
        <v>0</v>
      </c>
      <c r="BJ33" s="70">
        <f t="shared" si="27"/>
        <v>0</v>
      </c>
      <c r="BK33" s="82"/>
    </row>
    <row r="34" spans="2:63" ht="11.95" hidden="1" collapsed="1" thickBot="1" x14ac:dyDescent="0.3">
      <c r="B34" t="str">
        <f t="shared" si="0"/>
        <v>#showrow</v>
      </c>
      <c r="E34" s="3"/>
      <c r="F34" s="3"/>
      <c r="G34" s="3"/>
      <c r="H34" s="253" t="s">
        <v>97</v>
      </c>
      <c r="I34" s="18"/>
      <c r="J34" s="18"/>
      <c r="K34" s="18"/>
      <c r="L34" s="78"/>
      <c r="M34" s="79">
        <v>0</v>
      </c>
      <c r="N34" s="80">
        <f t="shared" si="1"/>
        <v>0</v>
      </c>
      <c r="O34" s="79">
        <v>0</v>
      </c>
      <c r="P34" s="80">
        <f t="shared" si="2"/>
        <v>0</v>
      </c>
      <c r="Q34" s="79">
        <v>0</v>
      </c>
      <c r="R34" s="80">
        <f t="shared" si="3"/>
        <v>0</v>
      </c>
      <c r="S34" s="79">
        <v>0</v>
      </c>
      <c r="T34" s="81">
        <f t="shared" si="4"/>
        <v>0</v>
      </c>
      <c r="U34" s="80">
        <f t="shared" si="5"/>
        <v>0</v>
      </c>
      <c r="V34" s="70">
        <f t="shared" si="6"/>
        <v>0</v>
      </c>
      <c r="W34" s="80">
        <f t="shared" si="7"/>
        <v>0</v>
      </c>
      <c r="X34" s="70">
        <f t="shared" si="8"/>
        <v>0</v>
      </c>
      <c r="Y34" s="80">
        <f t="shared" si="9"/>
        <v>0</v>
      </c>
      <c r="Z34" s="70">
        <f t="shared" si="10"/>
        <v>0</v>
      </c>
      <c r="AA34" s="82"/>
      <c r="AC34" s="138">
        <v>0</v>
      </c>
      <c r="AD34" s="138">
        <v>0</v>
      </c>
      <c r="AE34" s="138">
        <v>0</v>
      </c>
      <c r="AF34" s="233"/>
      <c r="AG34" s="139"/>
      <c r="AH34" s="233"/>
      <c r="AI34" s="139"/>
      <c r="AK34" s="79">
        <v>0</v>
      </c>
      <c r="AL34" s="80">
        <f t="shared" si="11"/>
        <v>0</v>
      </c>
      <c r="AM34" s="79">
        <v>0</v>
      </c>
      <c r="AN34" s="80">
        <f t="shared" si="12"/>
        <v>0</v>
      </c>
      <c r="AO34" s="79">
        <v>0</v>
      </c>
      <c r="AP34" s="80">
        <f t="shared" si="13"/>
        <v>0</v>
      </c>
      <c r="AQ34" s="79">
        <v>0</v>
      </c>
      <c r="AR34" s="81">
        <f t="shared" si="14"/>
        <v>0</v>
      </c>
      <c r="AS34" s="80">
        <f t="shared" si="15"/>
        <v>0</v>
      </c>
      <c r="AT34" s="70">
        <f t="shared" si="16"/>
        <v>0</v>
      </c>
      <c r="AU34" s="80">
        <f t="shared" si="17"/>
        <v>0</v>
      </c>
      <c r="AV34" s="70">
        <f t="shared" si="18"/>
        <v>0</v>
      </c>
      <c r="AW34" s="80">
        <f t="shared" si="19"/>
        <v>0</v>
      </c>
      <c r="AX34" s="70">
        <f t="shared" si="20"/>
        <v>0</v>
      </c>
      <c r="AY34" s="82"/>
      <c r="BA34" s="79">
        <v>0</v>
      </c>
      <c r="BB34" s="80">
        <f t="shared" si="21"/>
        <v>0</v>
      </c>
      <c r="BC34" s="79">
        <v>0</v>
      </c>
      <c r="BD34" s="80">
        <f t="shared" si="22"/>
        <v>0</v>
      </c>
      <c r="BE34" s="79">
        <v>0</v>
      </c>
      <c r="BF34" s="81">
        <f t="shared" si="23"/>
        <v>0</v>
      </c>
      <c r="BG34" s="80">
        <f t="shared" si="24"/>
        <v>0</v>
      </c>
      <c r="BH34" s="70">
        <f t="shared" si="25"/>
        <v>0</v>
      </c>
      <c r="BI34" s="80">
        <f t="shared" si="26"/>
        <v>0</v>
      </c>
      <c r="BJ34" s="70">
        <f t="shared" si="27"/>
        <v>0</v>
      </c>
      <c r="BK34" s="82"/>
    </row>
    <row r="35" spans="2:63" ht="11.95" hidden="1" outlineLevel="1" thickBot="1" x14ac:dyDescent="0.3">
      <c r="B35" t="str">
        <f t="shared" si="0"/>
        <v>#hiderow</v>
      </c>
      <c r="E35" s="3"/>
      <c r="F35" s="3"/>
      <c r="G35" s="3"/>
      <c r="H35" s="254" t="s">
        <v>6</v>
      </c>
      <c r="I35" s="18"/>
      <c r="J35" s="18"/>
      <c r="K35" s="18"/>
      <c r="L35" s="78"/>
      <c r="M35" s="79"/>
      <c r="N35" s="80">
        <f t="shared" si="1"/>
        <v>0</v>
      </c>
      <c r="O35" s="79"/>
      <c r="P35" s="80">
        <f t="shared" si="2"/>
        <v>0</v>
      </c>
      <c r="Q35" s="79"/>
      <c r="R35" s="80">
        <f t="shared" si="3"/>
        <v>0</v>
      </c>
      <c r="S35" s="79"/>
      <c r="T35" s="81">
        <f t="shared" si="4"/>
        <v>0</v>
      </c>
      <c r="U35" s="80">
        <f t="shared" si="5"/>
        <v>0</v>
      </c>
      <c r="V35" s="70">
        <f t="shared" si="6"/>
        <v>0</v>
      </c>
      <c r="W35" s="80">
        <f t="shared" si="7"/>
        <v>0</v>
      </c>
      <c r="X35" s="70">
        <f t="shared" si="8"/>
        <v>0</v>
      </c>
      <c r="Y35" s="80">
        <f t="shared" si="9"/>
        <v>0</v>
      </c>
      <c r="Z35" s="70">
        <f t="shared" si="10"/>
        <v>0</v>
      </c>
      <c r="AA35" s="82"/>
      <c r="AC35" s="138"/>
      <c r="AD35" s="138"/>
      <c r="AE35" s="138"/>
      <c r="AF35" s="233"/>
      <c r="AG35" s="139"/>
      <c r="AH35" s="233"/>
      <c r="AI35" s="139"/>
      <c r="AK35" s="79"/>
      <c r="AL35" s="80">
        <f t="shared" si="11"/>
        <v>0</v>
      </c>
      <c r="AM35" s="79"/>
      <c r="AN35" s="80">
        <f t="shared" si="12"/>
        <v>0</v>
      </c>
      <c r="AO35" s="79"/>
      <c r="AP35" s="80">
        <f t="shared" si="13"/>
        <v>0</v>
      </c>
      <c r="AQ35" s="79"/>
      <c r="AR35" s="81">
        <f t="shared" si="14"/>
        <v>0</v>
      </c>
      <c r="AS35" s="80">
        <f t="shared" si="15"/>
        <v>0</v>
      </c>
      <c r="AT35" s="70">
        <f t="shared" si="16"/>
        <v>0</v>
      </c>
      <c r="AU35" s="80">
        <f t="shared" si="17"/>
        <v>0</v>
      </c>
      <c r="AV35" s="70">
        <f t="shared" si="18"/>
        <v>0</v>
      </c>
      <c r="AW35" s="80">
        <f t="shared" si="19"/>
        <v>0</v>
      </c>
      <c r="AX35" s="70">
        <f t="shared" si="20"/>
        <v>0</v>
      </c>
      <c r="AY35" s="82"/>
      <c r="BA35" s="79"/>
      <c r="BB35" s="80">
        <f t="shared" si="21"/>
        <v>0</v>
      </c>
      <c r="BC35" s="79"/>
      <c r="BD35" s="80">
        <f t="shared" si="22"/>
        <v>0</v>
      </c>
      <c r="BE35" s="79"/>
      <c r="BF35" s="81">
        <f t="shared" si="23"/>
        <v>0</v>
      </c>
      <c r="BG35" s="80">
        <f t="shared" si="24"/>
        <v>0</v>
      </c>
      <c r="BH35" s="70">
        <f t="shared" si="25"/>
        <v>0</v>
      </c>
      <c r="BI35" s="80">
        <f t="shared" si="26"/>
        <v>0</v>
      </c>
      <c r="BJ35" s="70">
        <f t="shared" si="27"/>
        <v>0</v>
      </c>
      <c r="BK35" s="82"/>
    </row>
    <row r="36" spans="2:63" ht="11.95" hidden="1" collapsed="1" thickBot="1" x14ac:dyDescent="0.3">
      <c r="B36" t="str">
        <f t="shared" si="0"/>
        <v>#showrow</v>
      </c>
      <c r="E36" s="3"/>
      <c r="F36" s="3"/>
      <c r="G36" s="3"/>
      <c r="H36" s="253" t="s">
        <v>98</v>
      </c>
      <c r="I36" s="18"/>
      <c r="J36" s="18"/>
      <c r="K36" s="18"/>
      <c r="L36" s="78"/>
      <c r="M36" s="79">
        <v>0</v>
      </c>
      <c r="N36" s="80">
        <f t="shared" si="1"/>
        <v>0</v>
      </c>
      <c r="O36" s="79">
        <v>0</v>
      </c>
      <c r="P36" s="80">
        <f t="shared" si="2"/>
        <v>0</v>
      </c>
      <c r="Q36" s="79">
        <v>0</v>
      </c>
      <c r="R36" s="80">
        <f t="shared" si="3"/>
        <v>0</v>
      </c>
      <c r="S36" s="79">
        <v>0</v>
      </c>
      <c r="T36" s="81">
        <f t="shared" si="4"/>
        <v>0</v>
      </c>
      <c r="U36" s="80">
        <f t="shared" si="5"/>
        <v>0</v>
      </c>
      <c r="V36" s="70">
        <f t="shared" si="6"/>
        <v>0</v>
      </c>
      <c r="W36" s="80">
        <f t="shared" si="7"/>
        <v>0</v>
      </c>
      <c r="X36" s="70">
        <f t="shared" si="8"/>
        <v>0</v>
      </c>
      <c r="Y36" s="80">
        <f t="shared" si="9"/>
        <v>0</v>
      </c>
      <c r="Z36" s="70">
        <f t="shared" si="10"/>
        <v>0</v>
      </c>
      <c r="AA36" s="82"/>
      <c r="AC36" s="138">
        <v>0</v>
      </c>
      <c r="AD36" s="138">
        <v>0</v>
      </c>
      <c r="AE36" s="138">
        <v>0</v>
      </c>
      <c r="AF36" s="233"/>
      <c r="AG36" s="139"/>
      <c r="AH36" s="233"/>
      <c r="AI36" s="139"/>
      <c r="AK36" s="79">
        <v>0</v>
      </c>
      <c r="AL36" s="80">
        <f t="shared" si="11"/>
        <v>0</v>
      </c>
      <c r="AM36" s="79">
        <v>0</v>
      </c>
      <c r="AN36" s="80">
        <f t="shared" si="12"/>
        <v>0</v>
      </c>
      <c r="AO36" s="79">
        <v>0</v>
      </c>
      <c r="AP36" s="80">
        <f t="shared" si="13"/>
        <v>0</v>
      </c>
      <c r="AQ36" s="79">
        <v>0</v>
      </c>
      <c r="AR36" s="81">
        <f t="shared" si="14"/>
        <v>0</v>
      </c>
      <c r="AS36" s="80">
        <f t="shared" si="15"/>
        <v>0</v>
      </c>
      <c r="AT36" s="70">
        <f t="shared" si="16"/>
        <v>0</v>
      </c>
      <c r="AU36" s="80">
        <f t="shared" si="17"/>
        <v>0</v>
      </c>
      <c r="AV36" s="70">
        <f t="shared" si="18"/>
        <v>0</v>
      </c>
      <c r="AW36" s="80">
        <f t="shared" si="19"/>
        <v>0</v>
      </c>
      <c r="AX36" s="70">
        <f t="shared" si="20"/>
        <v>0</v>
      </c>
      <c r="AY36" s="82"/>
      <c r="BA36" s="79">
        <v>0</v>
      </c>
      <c r="BB36" s="80">
        <f t="shared" si="21"/>
        <v>0</v>
      </c>
      <c r="BC36" s="79">
        <v>0</v>
      </c>
      <c r="BD36" s="80">
        <f t="shared" si="22"/>
        <v>0</v>
      </c>
      <c r="BE36" s="79">
        <v>0</v>
      </c>
      <c r="BF36" s="81">
        <f t="shared" si="23"/>
        <v>0</v>
      </c>
      <c r="BG36" s="80">
        <f t="shared" si="24"/>
        <v>0</v>
      </c>
      <c r="BH36" s="70">
        <f t="shared" si="25"/>
        <v>0</v>
      </c>
      <c r="BI36" s="80">
        <f t="shared" si="26"/>
        <v>0</v>
      </c>
      <c r="BJ36" s="70">
        <f t="shared" si="27"/>
        <v>0</v>
      </c>
      <c r="BK36" s="82"/>
    </row>
    <row r="37" spans="2:63" ht="11.95" hidden="1" outlineLevel="1" thickBot="1" x14ac:dyDescent="0.3">
      <c r="B37" t="str">
        <f t="shared" si="0"/>
        <v>#hiderow</v>
      </c>
      <c r="E37" s="3"/>
      <c r="F37" s="3"/>
      <c r="G37" s="3"/>
      <c r="H37" s="254" t="s">
        <v>6</v>
      </c>
      <c r="I37" s="18"/>
      <c r="J37" s="18"/>
      <c r="K37" s="18"/>
      <c r="L37" s="78"/>
      <c r="M37" s="79"/>
      <c r="N37" s="80">
        <f t="shared" si="1"/>
        <v>0</v>
      </c>
      <c r="O37" s="79"/>
      <c r="P37" s="80">
        <f t="shared" si="2"/>
        <v>0</v>
      </c>
      <c r="Q37" s="79"/>
      <c r="R37" s="80">
        <f t="shared" si="3"/>
        <v>0</v>
      </c>
      <c r="S37" s="79"/>
      <c r="T37" s="81">
        <f t="shared" si="4"/>
        <v>0</v>
      </c>
      <c r="U37" s="80">
        <f t="shared" si="5"/>
        <v>0</v>
      </c>
      <c r="V37" s="70">
        <f t="shared" si="6"/>
        <v>0</v>
      </c>
      <c r="W37" s="80">
        <f t="shared" si="7"/>
        <v>0</v>
      </c>
      <c r="X37" s="70">
        <f t="shared" si="8"/>
        <v>0</v>
      </c>
      <c r="Y37" s="80">
        <f t="shared" si="9"/>
        <v>0</v>
      </c>
      <c r="Z37" s="70">
        <f t="shared" si="10"/>
        <v>0</v>
      </c>
      <c r="AA37" s="82"/>
      <c r="AC37" s="138"/>
      <c r="AD37" s="138"/>
      <c r="AE37" s="138"/>
      <c r="AF37" s="233"/>
      <c r="AG37" s="139"/>
      <c r="AH37" s="233"/>
      <c r="AI37" s="139"/>
      <c r="AK37" s="79"/>
      <c r="AL37" s="80">
        <f t="shared" si="11"/>
        <v>0</v>
      </c>
      <c r="AM37" s="79"/>
      <c r="AN37" s="80">
        <f t="shared" si="12"/>
        <v>0</v>
      </c>
      <c r="AO37" s="79"/>
      <c r="AP37" s="80">
        <f t="shared" si="13"/>
        <v>0</v>
      </c>
      <c r="AQ37" s="79"/>
      <c r="AR37" s="81">
        <f t="shared" si="14"/>
        <v>0</v>
      </c>
      <c r="AS37" s="80">
        <f t="shared" si="15"/>
        <v>0</v>
      </c>
      <c r="AT37" s="70">
        <f t="shared" si="16"/>
        <v>0</v>
      </c>
      <c r="AU37" s="80">
        <f t="shared" si="17"/>
        <v>0</v>
      </c>
      <c r="AV37" s="70">
        <f t="shared" si="18"/>
        <v>0</v>
      </c>
      <c r="AW37" s="80">
        <f t="shared" si="19"/>
        <v>0</v>
      </c>
      <c r="AX37" s="70">
        <f t="shared" si="20"/>
        <v>0</v>
      </c>
      <c r="AY37" s="82"/>
      <c r="BA37" s="79"/>
      <c r="BB37" s="80">
        <f t="shared" si="21"/>
        <v>0</v>
      </c>
      <c r="BC37" s="79"/>
      <c r="BD37" s="80">
        <f t="shared" si="22"/>
        <v>0</v>
      </c>
      <c r="BE37" s="79"/>
      <c r="BF37" s="81">
        <f t="shared" si="23"/>
        <v>0</v>
      </c>
      <c r="BG37" s="80">
        <f t="shared" si="24"/>
        <v>0</v>
      </c>
      <c r="BH37" s="70">
        <f t="shared" si="25"/>
        <v>0</v>
      </c>
      <c r="BI37" s="80">
        <f t="shared" si="26"/>
        <v>0</v>
      </c>
      <c r="BJ37" s="70">
        <f t="shared" si="27"/>
        <v>0</v>
      </c>
      <c r="BK37" s="82"/>
    </row>
    <row r="38" spans="2:63" ht="11.95" hidden="1" x14ac:dyDescent="0.25">
      <c r="E38" s="19"/>
      <c r="F38" s="19"/>
      <c r="G38" s="19"/>
      <c r="H38" s="19" t="s">
        <v>79</v>
      </c>
      <c r="I38" s="85"/>
      <c r="J38" s="85"/>
      <c r="K38" s="85"/>
      <c r="L38" s="85">
        <v>1</v>
      </c>
      <c r="M38" s="85">
        <f>SUMIFS(M31:M37,$I31:$I37,"&lt;&gt;"&amp;$I$29,$E31:$E37,"&lt;&gt;*[-]*",$F31:$F37,"&lt;&gt;*[-]*",$G31:$G37,"&lt;&gt;*[-]*",$H31:$H37,"Revenue")</f>
        <v>0</v>
      </c>
      <c r="N38" s="86">
        <f t="shared" si="1"/>
        <v>0</v>
      </c>
      <c r="O38" s="85">
        <f>SUMIFS(O31:O37,$I31:$I37,"&lt;&gt;"&amp;$I$29,$E31:$E37,"&lt;&gt;*[-]*",$F31:$F37,"&lt;&gt;*[-]*",$G31:$G37,"&lt;&gt;*[-]*",$H31:$H37,"Revenue")</f>
        <v>0</v>
      </c>
      <c r="P38" s="86">
        <f t="shared" si="2"/>
        <v>0</v>
      </c>
      <c r="Q38" s="85">
        <f>SUMIFS(Q31:Q37,$I31:$I37,"&lt;&gt;"&amp;$I$29,$E31:$E37,"&lt;&gt;*[-]*",$F31:$F37,"&lt;&gt;*[-]*",$G31:$G37,"&lt;&gt;*[-]*",$H31:$H37,"Revenue")</f>
        <v>0</v>
      </c>
      <c r="R38" s="86">
        <f t="shared" si="3"/>
        <v>0</v>
      </c>
      <c r="S38" s="85">
        <f>SUMIFS(S31:S37,$I31:$I37,"&lt;&gt;"&amp;$I$29,$E31:$E37,"&lt;&gt;*[-]*",$F31:$F37,"&lt;&gt;*[-]*",$G31:$G37,"&lt;&gt;*[-]*",$H31:$H37,"Revenue")</f>
        <v>0</v>
      </c>
      <c r="T38" s="86">
        <f t="shared" si="4"/>
        <v>0</v>
      </c>
      <c r="U38" s="86">
        <f>IFERROR(($M38-O38)/ABS(O38),0)</f>
        <v>0</v>
      </c>
      <c r="V38" s="87">
        <f>IFERROR((M38-$O38), $M38-0)</f>
        <v>0</v>
      </c>
      <c r="W38" s="86">
        <f>IFERROR((M38-$Q38)/ABS($Q38),0)</f>
        <v>0</v>
      </c>
      <c r="X38" s="87">
        <f>IFERROR((M38-$Q38), $M38-0)</f>
        <v>0</v>
      </c>
      <c r="Y38" s="86">
        <f>IFERROR((M38-$S38)/ABS($S38),0)</f>
        <v>0</v>
      </c>
      <c r="Z38" s="87">
        <f>IFERROR((M38-$S38),$M38-0)</f>
        <v>0</v>
      </c>
      <c r="AA38" s="88"/>
      <c r="AC38" s="142">
        <f>SUMIFS(AC31:AC37,$I31:$I37,"&lt;&gt;"&amp;$I$29,$E31:$E37,"&lt;&gt;*[-]*",$F31:$F37,"&lt;&gt;*[-]*",$G31:$G37,"&lt;&gt;*[-]*",$H31:$H37,"Revenue")</f>
        <v>0</v>
      </c>
      <c r="AD38" s="142">
        <f>SUMIFS(AD31:AD37,$I31:$I37,"&lt;&gt;"&amp;$I$29,$E31:$E37,"&lt;&gt;*[-]*",$F31:$F37,"&lt;&gt;*[-]*",$G31:$G37,"&lt;&gt;*[-]*",$H31:$H37,"Revenue")</f>
        <v>0</v>
      </c>
      <c r="AE38" s="142">
        <f>SUMIFS(AE31:AE37,$I31:$I37,"&lt;&gt;"&amp;$I$29,$E31:$E37,"&lt;&gt;*[-]*",$F31:$F37,"&lt;&gt;*[-]*",$G31:$G37,"&lt;&gt;*[-]*",$H31:$H37,"Revenue")</f>
        <v>0</v>
      </c>
      <c r="AF38" s="173">
        <f>IFERROR((AC38-$AD38)/ABS($AD38),0)</f>
        <v>0</v>
      </c>
      <c r="AG38" s="143">
        <f>(AC38-$AD38)</f>
        <v>0</v>
      </c>
      <c r="AH38" s="173">
        <f>IFERROR((AC38-$AE38)/ABS($AE38),0)</f>
        <v>0</v>
      </c>
      <c r="AI38" s="143">
        <f>(AC38-$AE38)</f>
        <v>0</v>
      </c>
      <c r="AK38" s="85">
        <f>SUMIFS(AK31:AK37,$I31:$I37,"&lt;&gt;"&amp;$I$29,$E31:$E37,"&lt;&gt;*[-]*",$F31:$F37,"&lt;&gt;*[-]*",$G31:$G37,"&lt;&gt;*[-]*",$H31:$H37,"Revenue")</f>
        <v>0</v>
      </c>
      <c r="AL38" s="86">
        <f t="shared" si="11"/>
        <v>0</v>
      </c>
      <c r="AM38" s="85">
        <f>SUMIFS(AM31:AM37,$I31:$I37,"&lt;&gt;"&amp;$I$29,$E31:$E37,"&lt;&gt;*[-]*",$F31:$F37,"&lt;&gt;*[-]*",$G31:$G37,"&lt;&gt;*[-]*",$H31:$H37,"Revenue")</f>
        <v>0</v>
      </c>
      <c r="AN38" s="86">
        <f t="shared" si="12"/>
        <v>0</v>
      </c>
      <c r="AO38" s="85">
        <f>SUMIFS(AO31:AO37,$I31:$I37,"&lt;&gt;"&amp;$I$29,$E31:$E37,"&lt;&gt;*[-]*",$F31:$F37,"&lt;&gt;*[-]*",$G31:$G37,"&lt;&gt;*[-]*",$H31:$H37,"Revenue")</f>
        <v>0</v>
      </c>
      <c r="AP38" s="86">
        <f t="shared" si="13"/>
        <v>0</v>
      </c>
      <c r="AQ38" s="85">
        <f>SUMIFS(AQ31:AQ37,$I31:$I37,"&lt;&gt;"&amp;$I$29,$E31:$E37,"&lt;&gt;*[-]*",$F31:$F37,"&lt;&gt;*[-]*",$G31:$G37,"&lt;&gt;*[-]*",$H31:$H37,"Revenue")</f>
        <v>0</v>
      </c>
      <c r="AR38" s="86">
        <f t="shared" si="14"/>
        <v>0</v>
      </c>
      <c r="AS38" s="86">
        <f>IFERROR((AK38-$AM38)/ABS($AM38),0)</f>
        <v>0</v>
      </c>
      <c r="AT38" s="87">
        <f>(AK38-$AM38)</f>
        <v>0</v>
      </c>
      <c r="AU38" s="86">
        <f>IFERROR((AK38-$AO38)/ABS($AO38),0)</f>
        <v>0</v>
      </c>
      <c r="AV38" s="87">
        <f>(AK38-$AO38)</f>
        <v>0</v>
      </c>
      <c r="AW38" s="86">
        <f>IFERROR((AK38-$AQ38)/ABS($AQ38),0)</f>
        <v>0</v>
      </c>
      <c r="AX38" s="87">
        <f>(AK38-$AQ38)</f>
        <v>0</v>
      </c>
      <c r="AY38" s="88"/>
      <c r="BA38" s="85">
        <f>SUMIFS(BA31:BA37,$I31:$I37,"&lt;&gt;"&amp;$I$29,$E31:$E37,"&lt;&gt;*[-]*",$F31:$F37,"&lt;&gt;*[-]*",$G31:$G37,"&lt;&gt;*[-]*",$H31:$H37,"Revenue")</f>
        <v>0</v>
      </c>
      <c r="BB38" s="86">
        <f t="shared" si="21"/>
        <v>0</v>
      </c>
      <c r="BC38" s="85">
        <f>SUMIFS(BC31:BC37,$I31:$I37,"&lt;&gt;"&amp;$I$29,$E31:$E37,"&lt;&gt;*[-]*",$F31:$F37,"&lt;&gt;*[-]*",$G31:$G37,"&lt;&gt;*[-]*",$H31:$H37,"Revenue")</f>
        <v>0</v>
      </c>
      <c r="BD38" s="86">
        <f t="shared" si="22"/>
        <v>0</v>
      </c>
      <c r="BE38" s="85">
        <f>SUMIFS(BE31:BE37,$I31:$I37,"&lt;&gt;"&amp;$I$29,$E31:$E37,"&lt;&gt;*[-]*",$F31:$F37,"&lt;&gt;*[-]*",$G31:$G37,"&lt;&gt;*[-]*",$H31:$H37,"Revenue")</f>
        <v>0</v>
      </c>
      <c r="BF38" s="86">
        <f t="shared" si="23"/>
        <v>0</v>
      </c>
      <c r="BG38" s="86">
        <f>IFERROR((BA38-$BC38)/ABS($BC38),0)</f>
        <v>0</v>
      </c>
      <c r="BH38" s="87">
        <f>(BA38-$BC38)</f>
        <v>0</v>
      </c>
      <c r="BI38" s="86">
        <f>IFERROR((BA38-$BE38)/ABS($BE38),0)</f>
        <v>0</v>
      </c>
      <c r="BJ38" s="87">
        <f>(BA38-$BE38)</f>
        <v>0</v>
      </c>
      <c r="BK38" s="88"/>
    </row>
    <row r="39" spans="2:63" hidden="1" x14ac:dyDescent="0.25">
      <c r="N39" s="145"/>
      <c r="P39" s="145"/>
      <c r="R39" s="145"/>
      <c r="T39" s="145"/>
      <c r="U39" s="145"/>
      <c r="V39" s="84"/>
      <c r="W39" s="145"/>
      <c r="X39" s="84"/>
      <c r="Y39" s="145"/>
      <c r="Z39" s="84"/>
      <c r="AA39" s="84"/>
      <c r="AF39" s="169"/>
      <c r="AG39" s="140"/>
      <c r="AH39" s="169"/>
      <c r="AI39" s="140"/>
      <c r="AL39" s="145"/>
      <c r="AN39" s="145"/>
      <c r="AP39" s="145"/>
      <c r="AR39" s="145"/>
      <c r="AS39" s="145"/>
      <c r="AT39" s="84"/>
      <c r="AU39" s="145"/>
      <c r="AV39" s="84"/>
      <c r="AW39" s="145"/>
      <c r="AX39" s="84"/>
      <c r="AY39" s="84"/>
      <c r="BB39" s="145"/>
      <c r="BD39" s="145"/>
      <c r="BF39" s="145"/>
      <c r="BG39" s="145"/>
      <c r="BH39" s="84"/>
      <c r="BI39" s="145"/>
      <c r="BJ39" s="84"/>
      <c r="BK39" s="84"/>
    </row>
    <row r="40" spans="2:63" ht="12.45" thickBot="1" x14ac:dyDescent="0.3">
      <c r="B40" t="str">
        <f>IF(COUNTBLANK(B42:B52)&gt;0,"#showrow","#hiderow")</f>
        <v>#showrow</v>
      </c>
      <c r="E40" s="4"/>
      <c r="F40" s="4"/>
      <c r="G40" s="4"/>
      <c r="H40" s="4" t="s">
        <v>17</v>
      </c>
      <c r="I40" s="4"/>
      <c r="J40" s="5"/>
      <c r="K40" s="5"/>
      <c r="L40" s="5"/>
      <c r="M40" s="5"/>
      <c r="N40" s="152"/>
      <c r="O40" s="5"/>
      <c r="P40" s="152"/>
      <c r="Q40" s="5"/>
      <c r="R40" s="152"/>
      <c r="S40" s="5"/>
      <c r="T40" s="152"/>
      <c r="U40" s="152"/>
      <c r="V40" s="75"/>
      <c r="W40" s="152"/>
      <c r="X40" s="75"/>
      <c r="Y40" s="152"/>
      <c r="Z40" s="75"/>
      <c r="AA40" s="76"/>
      <c r="AC40" s="133"/>
      <c r="AD40" s="133"/>
      <c r="AE40" s="133"/>
      <c r="AF40" s="171"/>
      <c r="AG40" s="134"/>
      <c r="AH40" s="171"/>
      <c r="AI40" s="134"/>
      <c r="AK40" s="5"/>
      <c r="AL40" s="152"/>
      <c r="AM40" s="5"/>
      <c r="AN40" s="152"/>
      <c r="AO40" s="5"/>
      <c r="AP40" s="152"/>
      <c r="AQ40" s="5"/>
      <c r="AR40" s="152"/>
      <c r="AS40" s="152"/>
      <c r="AT40" s="75"/>
      <c r="AU40" s="152"/>
      <c r="AV40" s="75"/>
      <c r="AW40" s="152"/>
      <c r="AX40" s="75"/>
      <c r="AY40" s="76"/>
      <c r="BA40" s="5"/>
      <c r="BB40" s="152"/>
      <c r="BC40" s="5"/>
      <c r="BD40" s="152"/>
      <c r="BE40" s="5"/>
      <c r="BF40" s="152"/>
      <c r="BG40" s="152"/>
      <c r="BH40" s="75"/>
      <c r="BI40" s="152"/>
      <c r="BJ40" s="75"/>
      <c r="BK40" s="76"/>
    </row>
    <row r="41" spans="2:63" ht="11.95" hidden="1" thickBot="1" x14ac:dyDescent="0.3">
      <c r="B41" t="s">
        <v>1</v>
      </c>
      <c r="E41" s="3"/>
      <c r="F41" s="3"/>
      <c r="G41" s="3"/>
      <c r="H41" s="3" t="s">
        <v>17</v>
      </c>
      <c r="I41" s="18"/>
      <c r="J41" s="18"/>
      <c r="K41" s="18"/>
      <c r="L41" s="78"/>
      <c r="M41" s="79">
        <v>84749.62</v>
      </c>
      <c r="N41" s="80"/>
      <c r="O41" s="79">
        <v>78394.942538461502</v>
      </c>
      <c r="P41" s="80"/>
      <c r="Q41" s="79">
        <v>78394.942538461502</v>
      </c>
      <c r="R41" s="80"/>
      <c r="S41" s="79">
        <v>0</v>
      </c>
      <c r="T41" s="81"/>
      <c r="U41" s="80"/>
      <c r="V41" s="70"/>
      <c r="W41" s="80"/>
      <c r="X41" s="70"/>
      <c r="Y41" s="80"/>
      <c r="Z41" s="70"/>
      <c r="AA41" s="82"/>
      <c r="AC41" s="138">
        <v>84749.62</v>
      </c>
      <c r="AD41" s="138">
        <v>0</v>
      </c>
      <c r="AE41" s="138">
        <v>78394.942538461502</v>
      </c>
      <c r="AF41" s="172"/>
      <c r="AG41" s="139"/>
      <c r="AH41" s="172"/>
      <c r="AI41" s="139"/>
      <c r="AK41" s="79">
        <v>84749.62</v>
      </c>
      <c r="AL41" s="80"/>
      <c r="AM41" s="79">
        <v>78394.942538461502</v>
      </c>
      <c r="AN41" s="80"/>
      <c r="AO41" s="79">
        <v>78394.942538461502</v>
      </c>
      <c r="AP41" s="80"/>
      <c r="AQ41" s="79">
        <v>0</v>
      </c>
      <c r="AR41" s="81"/>
      <c r="AS41" s="80"/>
      <c r="AT41" s="70"/>
      <c r="AU41" s="80"/>
      <c r="AV41" s="70"/>
      <c r="AW41" s="80"/>
      <c r="AX41" s="70"/>
      <c r="AY41" s="82"/>
      <c r="BA41" s="79">
        <v>963434.25299999898</v>
      </c>
      <c r="BB41" s="80"/>
      <c r="BC41" s="79">
        <v>963434.25299999898</v>
      </c>
      <c r="BD41" s="80"/>
      <c r="BE41" s="79">
        <v>615295.55000000005</v>
      </c>
      <c r="BF41" s="81"/>
      <c r="BG41" s="80"/>
      <c r="BH41" s="70"/>
      <c r="BI41" s="80"/>
      <c r="BJ41" s="70"/>
      <c r="BK41" s="82"/>
    </row>
    <row r="42" spans="2:63" ht="11.95" thickBot="1" x14ac:dyDescent="0.3">
      <c r="E42" s="3"/>
      <c r="F42" s="3"/>
      <c r="G42" s="3"/>
      <c r="H42" s="253" t="s">
        <v>99</v>
      </c>
      <c r="I42" s="18"/>
      <c r="J42" s="18"/>
      <c r="K42" s="18"/>
      <c r="L42" s="78"/>
      <c r="M42" s="79">
        <v>84749.62</v>
      </c>
      <c r="N42" s="80">
        <f>IFERROR(M42/SUMIFS(M:M, $H:$H, "Net Sales"),0)</f>
        <v>0</v>
      </c>
      <c r="O42" s="79">
        <v>78394.942538461502</v>
      </c>
      <c r="P42" s="80">
        <f>IFERROR(O42/SUMIFS(O:O, $H:$H, "Net Sales"),0)</f>
        <v>0</v>
      </c>
      <c r="Q42" s="79">
        <v>78394.942538461502</v>
      </c>
      <c r="R42" s="80">
        <f>IFERROR(Q42/SUMIFS(Q:Q, $H:$H, "Net Sales"),0)</f>
        <v>0</v>
      </c>
      <c r="S42" s="79">
        <v>0</v>
      </c>
      <c r="T42" s="81">
        <f>IFERROR(S42/SUMIFS(S:S, $H:$H, "Net Sales"),0)</f>
        <v>0</v>
      </c>
      <c r="U42" s="80">
        <f>IFERROR(($O42-M42)/ABS(M42),0)</f>
        <v>-7.4981781175402246E-2</v>
      </c>
      <c r="V42" s="70">
        <f>IFERROR((O42-$M42), 0-$M42)</f>
        <v>-6354.6774615384929</v>
      </c>
      <c r="W42" s="80">
        <f>IFERROR((Q42-$M42)/ABS($M42),0)</f>
        <v>-7.4981781175402246E-2</v>
      </c>
      <c r="X42" s="70">
        <f>IFERROR((Q42-$M42), 0 -$M42)</f>
        <v>-6354.6774615384929</v>
      </c>
      <c r="Y42" s="80">
        <f>IFERROR((S42-$M42)/ABS($M42),0)</f>
        <v>-1</v>
      </c>
      <c r="Z42" s="70">
        <f>IFERROR((S42-$M42),0-$M42)</f>
        <v>-84749.62</v>
      </c>
      <c r="AA42" s="82"/>
      <c r="AC42" s="138">
        <v>84749.62</v>
      </c>
      <c r="AD42" s="138">
        <v>0</v>
      </c>
      <c r="AE42" s="138">
        <v>78394.942538461502</v>
      </c>
      <c r="AF42" s="172">
        <f>IFERROR((AD42-$AC42)/ABS($AC42),0)</f>
        <v>-1</v>
      </c>
      <c r="AG42" s="139">
        <f>(AD42-$AC42)</f>
        <v>-84749.62</v>
      </c>
      <c r="AH42" s="172">
        <f>IFERROR((AE42-$AC42)/ABS($AC42),0)</f>
        <v>-7.4981781175402246E-2</v>
      </c>
      <c r="AI42" s="139">
        <f>(AE42-$AC42)</f>
        <v>-6354.6774615384929</v>
      </c>
      <c r="AK42" s="79">
        <v>84749.62</v>
      </c>
      <c r="AL42" s="80">
        <f>IFERROR(AK42/SUMIFS(AK:AK, $H:$H, "Net Sales"),0)</f>
        <v>0</v>
      </c>
      <c r="AM42" s="79">
        <v>78394.942538461502</v>
      </c>
      <c r="AN42" s="80">
        <f>IFERROR(AM42/SUMIFS(AM:AM, $H:$H, "Net Sales"),0)</f>
        <v>0</v>
      </c>
      <c r="AO42" s="79">
        <v>78394.942538461502</v>
      </c>
      <c r="AP42" s="80">
        <f>IFERROR(AO42/SUMIFS(AO:AO, $H:$H, "Net Sales"),0)</f>
        <v>0</v>
      </c>
      <c r="AQ42" s="79">
        <v>0</v>
      </c>
      <c r="AR42" s="81">
        <f>IFERROR(AQ42/SUMIFS(AQ:AQ, $H:$H, "Net Sales"),0)</f>
        <v>0</v>
      </c>
      <c r="AS42" s="80">
        <f>IFERROR((AM42-$AK42)/ABS($AK42),0)</f>
        <v>-7.4981781175402246E-2</v>
      </c>
      <c r="AT42" s="70">
        <f>(AM42-$AK42)</f>
        <v>-6354.6774615384929</v>
      </c>
      <c r="AU42" s="80">
        <f>IFERROR((AO42-$AK42)/ABS($AO42),0)</f>
        <v>-8.1059788498739085E-2</v>
      </c>
      <c r="AV42" s="70">
        <f>(AO42-$AK42)</f>
        <v>-6354.6774615384929</v>
      </c>
      <c r="AW42" s="80">
        <f>IFERROR((AQ42-$AK42)/ABS($AK42),0)</f>
        <v>-1</v>
      </c>
      <c r="AX42" s="70">
        <f>(AQ42-$AK42)</f>
        <v>-84749.62</v>
      </c>
      <c r="AY42" s="82"/>
      <c r="BA42" s="79">
        <v>963434.25299999898</v>
      </c>
      <c r="BB42" s="80">
        <f>IFERROR(BA42/SUMIFS(BA:BA, $H:$H, "Net Sales"),0)</f>
        <v>0</v>
      </c>
      <c r="BC42" s="79">
        <v>963434.25299999898</v>
      </c>
      <c r="BD42" s="80">
        <f>IFERROR(BC42/SUMIFS(BC:BC, $H:$H, "Net Sales"),0)</f>
        <v>0</v>
      </c>
      <c r="BE42" s="79">
        <v>615295.55000000005</v>
      </c>
      <c r="BF42" s="81">
        <f>IFERROR(BE42/SUMIFS(BE:BE, $H:$H, "Net Sales"),0)</f>
        <v>0</v>
      </c>
      <c r="BG42" s="80">
        <f>IFERROR((BC42-$BA42)/ABS($BA42),0)</f>
        <v>0</v>
      </c>
      <c r="BH42" s="70">
        <f>(BC42-$BA42)</f>
        <v>0</v>
      </c>
      <c r="BI42" s="80">
        <f>IFERROR((BE42-$BA42)/ABS($BA42),0)</f>
        <v>-0.36135180155360253</v>
      </c>
      <c r="BJ42" s="70">
        <f>(BE42-$BA42)</f>
        <v>-348138.70299999893</v>
      </c>
      <c r="BK42" s="82"/>
    </row>
    <row r="43" spans="2:63" ht="11.95" hidden="1" outlineLevel="1" thickBot="1" x14ac:dyDescent="0.3">
      <c r="B43" t="str">
        <f>IF(LEFT(H43,3)="Mul", "#hiderow", "#showrow")</f>
        <v>#hiderow</v>
      </c>
      <c r="E43" s="3"/>
      <c r="F43" s="3"/>
      <c r="G43" s="3"/>
      <c r="H43" s="254" t="s">
        <v>6</v>
      </c>
      <c r="I43" s="18"/>
      <c r="J43" s="18"/>
      <c r="K43" s="18"/>
      <c r="L43" s="78"/>
      <c r="M43" s="79"/>
      <c r="N43" s="80">
        <f>IFERROR(M43/SUMIFS(M:M, $H:$H, "Net Sales"),0)</f>
        <v>0</v>
      </c>
      <c r="O43" s="79"/>
      <c r="P43" s="80">
        <f>IFERROR(O43/SUMIFS(O:O, $H:$H, "Net Sales"),0)</f>
        <v>0</v>
      </c>
      <c r="Q43" s="79"/>
      <c r="R43" s="80">
        <f>IFERROR(Q43/SUMIFS(Q:Q, $H:$H, "Net Sales"),0)</f>
        <v>0</v>
      </c>
      <c r="S43" s="79"/>
      <c r="T43" s="81">
        <f>IFERROR(S43/SUMIFS(S:S, $H:$H, "Net Sales"),0)</f>
        <v>0</v>
      </c>
      <c r="U43" s="80">
        <f t="shared" ref="U43:U52" si="28">IFERROR(($O43-M43)/ABS(M43),0)</f>
        <v>0</v>
      </c>
      <c r="V43" s="70">
        <f t="shared" ref="V43:V52" si="29">IFERROR((O43-$M43), 0-$M43)</f>
        <v>0</v>
      </c>
      <c r="W43" s="80">
        <f t="shared" ref="W43:W52" si="30">IFERROR((Q43-$M43)/ABS($M43),0)</f>
        <v>0</v>
      </c>
      <c r="X43" s="70">
        <f t="shared" ref="X43:X52" si="31">IFERROR((Q43-$M43), 0 -$M43)</f>
        <v>0</v>
      </c>
      <c r="Y43" s="80">
        <f t="shared" ref="Y43:Y52" si="32">IFERROR((S43-$M43)/ABS($M43),0)</f>
        <v>0</v>
      </c>
      <c r="Z43" s="70">
        <f t="shared" ref="Z43:Z52" si="33">IFERROR((S43-$M43),0-$M43)</f>
        <v>0</v>
      </c>
      <c r="AA43" s="82"/>
      <c r="AC43" s="138"/>
      <c r="AD43" s="138"/>
      <c r="AE43" s="138"/>
      <c r="AF43" s="233"/>
      <c r="AG43" s="139"/>
      <c r="AH43" s="233"/>
      <c r="AI43" s="139"/>
      <c r="AK43" s="79"/>
      <c r="AL43" s="80">
        <f>IFERROR(AK43/SUMIFS(AK:AK, $H:$H, "Net Sales"),0)</f>
        <v>0</v>
      </c>
      <c r="AM43" s="79"/>
      <c r="AN43" s="80">
        <f>IFERROR(AM43/SUMIFS(AM:AM, $H:$H, "Net Sales"),0)</f>
        <v>0</v>
      </c>
      <c r="AO43" s="79"/>
      <c r="AP43" s="80">
        <f>IFERROR(AO43/SUMIFS(AO:AO, $H:$H, "Net Sales"),0)</f>
        <v>0</v>
      </c>
      <c r="AQ43" s="79"/>
      <c r="AR43" s="81">
        <f>IFERROR(AQ43/SUMIFS(AQ:AQ, $H:$H, "Net Sales"),0)</f>
        <v>0</v>
      </c>
      <c r="AS43" s="80">
        <f t="shared" ref="AS43:AS52" si="34">IFERROR((AM43-$AK43)/ABS($AK43),0)</f>
        <v>0</v>
      </c>
      <c r="AT43" s="70">
        <f t="shared" ref="AT43:AT52" si="35">(AM43-$AK43)</f>
        <v>0</v>
      </c>
      <c r="AU43" s="80">
        <f t="shared" ref="AU43:AU52" si="36">IFERROR((AO43-$AK43)/ABS($AO43),0)</f>
        <v>0</v>
      </c>
      <c r="AV43" s="70">
        <f t="shared" ref="AV43:AV52" si="37">(AO43-$AK43)</f>
        <v>0</v>
      </c>
      <c r="AW43" s="80">
        <f t="shared" ref="AW43:AW52" si="38">IFERROR((AQ43-$AK43)/ABS($AK43),0)</f>
        <v>0</v>
      </c>
      <c r="AX43" s="70">
        <f t="shared" ref="AX43:AX52" si="39">(AQ43-$AK43)</f>
        <v>0</v>
      </c>
      <c r="AY43" s="82"/>
      <c r="BA43" s="79"/>
      <c r="BB43" s="80">
        <f>IFERROR(BA43/SUMIFS(BA:BA, $H:$H, "Net Sales"),0)</f>
        <v>0</v>
      </c>
      <c r="BC43" s="79"/>
      <c r="BD43" s="80">
        <f>IFERROR(BC43/SUMIFS(BC:BC, $H:$H, "Net Sales"),0)</f>
        <v>0</v>
      </c>
      <c r="BE43" s="79"/>
      <c r="BF43" s="81">
        <f>IFERROR(BE43/SUMIFS(BE:BE, $H:$H, "Net Sales"),0)</f>
        <v>0</v>
      </c>
      <c r="BG43" s="80">
        <f t="shared" ref="BG43:BG52" si="40">IFERROR((BC43-$BA43)/ABS($BA43),0)</f>
        <v>0</v>
      </c>
      <c r="BH43" s="70">
        <f t="shared" ref="BH43:BH52" si="41">(BC43-$BA43)</f>
        <v>0</v>
      </c>
      <c r="BI43" s="80">
        <f t="shared" ref="BI43:BI52" si="42">IFERROR((BE43-$BA43)/ABS($BA43),0)</f>
        <v>0</v>
      </c>
      <c r="BJ43" s="70">
        <f t="shared" ref="BJ43:BJ52" si="43">(BE43-$BA43)</f>
        <v>0</v>
      </c>
      <c r="BK43" s="82"/>
    </row>
    <row r="44" spans="2:63" ht="11.95" outlineLevel="1" thickBot="1" x14ac:dyDescent="0.3">
      <c r="B44" t="str">
        <f t="shared" ref="B44:B45" si="44">IF(LEFT(H44,3)="Mul", "#hiderow", "#showrow")</f>
        <v>#showrow</v>
      </c>
      <c r="E44" s="3"/>
      <c r="F44" s="3"/>
      <c r="G44" s="3"/>
      <c r="H44" s="254" t="s">
        <v>136</v>
      </c>
      <c r="I44" s="18"/>
      <c r="J44" s="18"/>
      <c r="K44" s="18"/>
      <c r="L44" s="78"/>
      <c r="M44" s="79">
        <v>21788.46</v>
      </c>
      <c r="N44" s="80">
        <f t="shared" ref="N44:N45" si="45">IFERROR(M44/SUMIFS(M:M, $H:$H, "Net Sales"),0)</f>
        <v>0</v>
      </c>
      <c r="O44" s="79">
        <v>22694.942538461499</v>
      </c>
      <c r="P44" s="80">
        <f t="shared" ref="P44:P45" si="46">IFERROR(O44/SUMIFS(O:O, $H:$H, "Net Sales"),0)</f>
        <v>0</v>
      </c>
      <c r="Q44" s="79">
        <v>22694.942538461499</v>
      </c>
      <c r="R44" s="80">
        <f t="shared" ref="R44:R45" si="47">IFERROR(Q44/SUMIFS(Q:Q, $H:$H, "Net Sales"),0)</f>
        <v>0</v>
      </c>
      <c r="S44" s="79"/>
      <c r="T44" s="81">
        <f t="shared" ref="T44:T45" si="48">IFERROR(S44/SUMIFS(S:S, $H:$H, "Net Sales"),0)</f>
        <v>0</v>
      </c>
      <c r="U44" s="80">
        <f t="shared" ref="U44:U45" si="49">IFERROR(($O44-M44)/ABS(M44),0)</f>
        <v>4.1603791110592474E-2</v>
      </c>
      <c r="V44" s="70">
        <f t="shared" ref="V44:V45" si="50">IFERROR((O44-$M44), 0-$M44)</f>
        <v>906.48253846149964</v>
      </c>
      <c r="W44" s="80">
        <f t="shared" ref="W44:W45" si="51">IFERROR((Q44-$M44)/ABS($M44),0)</f>
        <v>4.1603791110592474E-2</v>
      </c>
      <c r="X44" s="70">
        <f t="shared" ref="X44:X45" si="52">IFERROR((Q44-$M44), 0 -$M44)</f>
        <v>906.48253846149964</v>
      </c>
      <c r="Y44" s="80">
        <f t="shared" ref="Y44:Y45" si="53">IFERROR((S44-$M44)/ABS($M44),0)</f>
        <v>-1</v>
      </c>
      <c r="Z44" s="70">
        <f t="shared" ref="Z44:Z45" si="54">IFERROR((S44-$M44),0-$M44)</f>
        <v>-21788.46</v>
      </c>
      <c r="AA44" s="82"/>
      <c r="AC44" s="138">
        <v>21788.46</v>
      </c>
      <c r="AD44" s="138">
        <v>0</v>
      </c>
      <c r="AE44" s="138">
        <v>22694.942538461499</v>
      </c>
      <c r="AF44" s="233"/>
      <c r="AG44" s="139"/>
      <c r="AH44" s="233"/>
      <c r="AI44" s="139"/>
      <c r="AK44" s="79">
        <v>21788.46</v>
      </c>
      <c r="AL44" s="80">
        <f t="shared" ref="AL44:AL45" si="55">IFERROR(AK44/SUMIFS(AK:AK, $H:$H, "Net Sales"),0)</f>
        <v>0</v>
      </c>
      <c r="AM44" s="79">
        <v>22694.942538461499</v>
      </c>
      <c r="AN44" s="80">
        <f t="shared" ref="AN44:AN45" si="56">IFERROR(AM44/SUMIFS(AM:AM, $H:$H, "Net Sales"),0)</f>
        <v>0</v>
      </c>
      <c r="AO44" s="79">
        <v>22694.942538461499</v>
      </c>
      <c r="AP44" s="80">
        <f t="shared" ref="AP44:AP45" si="57">IFERROR(AO44/SUMIFS(AO:AO, $H:$H, "Net Sales"),0)</f>
        <v>0</v>
      </c>
      <c r="AQ44" s="79">
        <v>0</v>
      </c>
      <c r="AR44" s="81">
        <f t="shared" ref="AR44:AR45" si="58">IFERROR(AQ44/SUMIFS(AQ:AQ, $H:$H, "Net Sales"),0)</f>
        <v>0</v>
      </c>
      <c r="AS44" s="80">
        <f t="shared" ref="AS44:AS45" si="59">IFERROR((AM44-$AK44)/ABS($AK44),0)</f>
        <v>4.1603791110592474E-2</v>
      </c>
      <c r="AT44" s="70">
        <f t="shared" ref="AT44:AT45" si="60">(AM44-$AK44)</f>
        <v>906.48253846149964</v>
      </c>
      <c r="AU44" s="80">
        <f t="shared" ref="AU44:AU45" si="61">IFERROR((AO44-$AK44)/ABS($AO44),0)</f>
        <v>3.9942050389652609E-2</v>
      </c>
      <c r="AV44" s="70">
        <f t="shared" ref="AV44:AV45" si="62">(AO44-$AK44)</f>
        <v>906.48253846149964</v>
      </c>
      <c r="AW44" s="80">
        <f t="shared" ref="AW44:AW45" si="63">IFERROR((AQ44-$AK44)/ABS($AK44),0)</f>
        <v>-1</v>
      </c>
      <c r="AX44" s="70">
        <f t="shared" ref="AX44:AX45" si="64">(AQ44-$AK44)</f>
        <v>-21788.46</v>
      </c>
      <c r="AY44" s="82"/>
      <c r="BA44" s="79">
        <v>295034.25299999898</v>
      </c>
      <c r="BB44" s="80">
        <f t="shared" ref="BB44:BB45" si="65">IFERROR(BA44/SUMIFS(BA:BA, $H:$H, "Net Sales"),0)</f>
        <v>0</v>
      </c>
      <c r="BC44" s="79">
        <v>295034.25299999898</v>
      </c>
      <c r="BD44" s="80">
        <f t="shared" ref="BD44:BD45" si="66">IFERROR(BC44/SUMIFS(BC:BC, $H:$H, "Net Sales"),0)</f>
        <v>0</v>
      </c>
      <c r="BE44" s="79">
        <v>229293.74</v>
      </c>
      <c r="BF44" s="81">
        <f t="shared" ref="BF44:BF45" si="67">IFERROR(BE44/SUMIFS(BE:BE, $H:$H, "Net Sales"),0)</f>
        <v>0</v>
      </c>
      <c r="BG44" s="80">
        <f t="shared" ref="BG44:BG45" si="68">IFERROR((BC44-$BA44)/ABS($BA44),0)</f>
        <v>0</v>
      </c>
      <c r="BH44" s="70">
        <f t="shared" ref="BH44:BH45" si="69">(BC44-$BA44)</f>
        <v>0</v>
      </c>
      <c r="BI44" s="80">
        <f t="shared" ref="BI44:BI45" si="70">IFERROR((BE44-$BA44)/ABS($BA44),0)</f>
        <v>-0.22282332417856315</v>
      </c>
      <c r="BJ44" s="70">
        <f t="shared" ref="BJ44:BJ45" si="71">(BE44-$BA44)</f>
        <v>-65740.512999998988</v>
      </c>
      <c r="BK44" s="82"/>
    </row>
    <row r="45" spans="2:63" ht="11.95" outlineLevel="1" thickBot="1" x14ac:dyDescent="0.3">
      <c r="B45" t="str">
        <f t="shared" si="44"/>
        <v>#showrow</v>
      </c>
      <c r="E45" s="3"/>
      <c r="F45" s="3"/>
      <c r="G45" s="3"/>
      <c r="H45" s="254" t="s">
        <v>138</v>
      </c>
      <c r="I45" s="18"/>
      <c r="J45" s="18"/>
      <c r="K45" s="18"/>
      <c r="L45" s="78"/>
      <c r="M45" s="79">
        <v>62961.16</v>
      </c>
      <c r="N45" s="80">
        <f t="shared" si="45"/>
        <v>0</v>
      </c>
      <c r="O45" s="79">
        <v>55700</v>
      </c>
      <c r="P45" s="80">
        <f t="shared" si="46"/>
        <v>0</v>
      </c>
      <c r="Q45" s="79">
        <v>55700</v>
      </c>
      <c r="R45" s="80">
        <f t="shared" si="47"/>
        <v>0</v>
      </c>
      <c r="S45" s="79"/>
      <c r="T45" s="81">
        <f t="shared" si="48"/>
        <v>0</v>
      </c>
      <c r="U45" s="80">
        <f t="shared" si="49"/>
        <v>-0.11532760832233718</v>
      </c>
      <c r="V45" s="70">
        <f t="shared" si="50"/>
        <v>-7261.1600000000035</v>
      </c>
      <c r="W45" s="80">
        <f t="shared" si="51"/>
        <v>-0.11532760832233718</v>
      </c>
      <c r="X45" s="70">
        <f t="shared" si="52"/>
        <v>-7261.1600000000035</v>
      </c>
      <c r="Y45" s="80">
        <f t="shared" si="53"/>
        <v>-1</v>
      </c>
      <c r="Z45" s="70">
        <f t="shared" si="54"/>
        <v>-62961.16</v>
      </c>
      <c r="AA45" s="82"/>
      <c r="AC45" s="138">
        <v>62961.16</v>
      </c>
      <c r="AD45" s="138">
        <v>0</v>
      </c>
      <c r="AE45" s="138">
        <v>55700</v>
      </c>
      <c r="AF45" s="233"/>
      <c r="AG45" s="139"/>
      <c r="AH45" s="233"/>
      <c r="AI45" s="139"/>
      <c r="AK45" s="79">
        <v>62961.16</v>
      </c>
      <c r="AL45" s="80">
        <f t="shared" si="55"/>
        <v>0</v>
      </c>
      <c r="AM45" s="79">
        <v>55700</v>
      </c>
      <c r="AN45" s="80">
        <f t="shared" si="56"/>
        <v>0</v>
      </c>
      <c r="AO45" s="79">
        <v>55700</v>
      </c>
      <c r="AP45" s="80">
        <f t="shared" si="57"/>
        <v>0</v>
      </c>
      <c r="AQ45" s="79">
        <v>0</v>
      </c>
      <c r="AR45" s="81">
        <f t="shared" si="58"/>
        <v>0</v>
      </c>
      <c r="AS45" s="80">
        <f t="shared" si="59"/>
        <v>-0.11532760832233718</v>
      </c>
      <c r="AT45" s="70">
        <f t="shared" si="60"/>
        <v>-7261.1600000000035</v>
      </c>
      <c r="AU45" s="80">
        <f t="shared" si="61"/>
        <v>-0.13036193895870743</v>
      </c>
      <c r="AV45" s="70">
        <f t="shared" si="62"/>
        <v>-7261.1600000000035</v>
      </c>
      <c r="AW45" s="80">
        <f t="shared" si="63"/>
        <v>-1</v>
      </c>
      <c r="AX45" s="70">
        <f t="shared" si="64"/>
        <v>-62961.16</v>
      </c>
      <c r="AY45" s="82"/>
      <c r="BA45" s="79">
        <v>668400</v>
      </c>
      <c r="BB45" s="80">
        <f t="shared" si="65"/>
        <v>0</v>
      </c>
      <c r="BC45" s="79">
        <v>668400</v>
      </c>
      <c r="BD45" s="80">
        <f t="shared" si="66"/>
        <v>0</v>
      </c>
      <c r="BE45" s="79">
        <v>386001.81</v>
      </c>
      <c r="BF45" s="81">
        <f t="shared" si="67"/>
        <v>0</v>
      </c>
      <c r="BG45" s="80">
        <f t="shared" si="68"/>
        <v>0</v>
      </c>
      <c r="BH45" s="70">
        <f t="shared" si="69"/>
        <v>0</v>
      </c>
      <c r="BI45" s="80">
        <f t="shared" si="70"/>
        <v>-0.42249878815080788</v>
      </c>
      <c r="BJ45" s="70">
        <f t="shared" si="71"/>
        <v>-282398.19</v>
      </c>
      <c r="BK45" s="82"/>
    </row>
    <row r="46" spans="2:63" ht="11.95" thickBot="1" x14ac:dyDescent="0.3">
      <c r="E46" s="3"/>
      <c r="F46" s="3"/>
      <c r="G46" s="3"/>
      <c r="H46" s="253" t="s">
        <v>100</v>
      </c>
      <c r="I46" s="18"/>
      <c r="J46" s="18"/>
      <c r="K46" s="18"/>
      <c r="L46" s="78"/>
      <c r="M46" s="79">
        <v>0</v>
      </c>
      <c r="N46" s="80">
        <f t="shared" ref="N46:N54" si="72">IFERROR(M46/SUMIFS(M:M, $H:$H, "Net Sales"),0)</f>
        <v>0</v>
      </c>
      <c r="O46" s="79">
        <v>0</v>
      </c>
      <c r="P46" s="80">
        <f t="shared" ref="P46:P54" si="73">IFERROR(O46/SUMIFS(O:O, $H:$H, "Net Sales"),0)</f>
        <v>0</v>
      </c>
      <c r="Q46" s="79">
        <v>0</v>
      </c>
      <c r="R46" s="80">
        <f t="shared" ref="R46:R54" si="74">IFERROR(Q46/SUMIFS(Q:Q, $H:$H, "Net Sales"),0)</f>
        <v>0</v>
      </c>
      <c r="S46" s="79">
        <v>0</v>
      </c>
      <c r="T46" s="81">
        <f t="shared" ref="T46:T54" si="75">IFERROR(S46/SUMIFS(S:S, $H:$H, "Net Sales"),0)</f>
        <v>0</v>
      </c>
      <c r="U46" s="80">
        <f t="shared" si="28"/>
        <v>0</v>
      </c>
      <c r="V46" s="70">
        <f t="shared" si="29"/>
        <v>0</v>
      </c>
      <c r="W46" s="80">
        <f t="shared" si="30"/>
        <v>0</v>
      </c>
      <c r="X46" s="70">
        <f t="shared" si="31"/>
        <v>0</v>
      </c>
      <c r="Y46" s="80">
        <f t="shared" si="32"/>
        <v>0</v>
      </c>
      <c r="Z46" s="70">
        <f t="shared" si="33"/>
        <v>0</v>
      </c>
      <c r="AA46" s="82"/>
      <c r="AC46" s="138">
        <v>0</v>
      </c>
      <c r="AD46" s="138">
        <v>0</v>
      </c>
      <c r="AE46" s="138">
        <v>0</v>
      </c>
      <c r="AF46" s="233"/>
      <c r="AG46" s="139"/>
      <c r="AH46" s="233"/>
      <c r="AI46" s="139"/>
      <c r="AK46" s="79">
        <v>0</v>
      </c>
      <c r="AL46" s="80">
        <f t="shared" ref="AL46:AL54" si="76">IFERROR(AK46/SUMIFS(AK:AK, $H:$H, "Net Sales"),0)</f>
        <v>0</v>
      </c>
      <c r="AM46" s="79">
        <v>0</v>
      </c>
      <c r="AN46" s="80">
        <f t="shared" ref="AN46:AN54" si="77">IFERROR(AM46/SUMIFS(AM:AM, $H:$H, "Net Sales"),0)</f>
        <v>0</v>
      </c>
      <c r="AO46" s="79">
        <v>0</v>
      </c>
      <c r="AP46" s="80">
        <f t="shared" ref="AP46:AP54" si="78">IFERROR(AO46/SUMIFS(AO:AO, $H:$H, "Net Sales"),0)</f>
        <v>0</v>
      </c>
      <c r="AQ46" s="79">
        <v>0</v>
      </c>
      <c r="AR46" s="81">
        <f t="shared" ref="AR46:AR54" si="79">IFERROR(AQ46/SUMIFS(AQ:AQ, $H:$H, "Net Sales"),0)</f>
        <v>0</v>
      </c>
      <c r="AS46" s="80">
        <f t="shared" si="34"/>
        <v>0</v>
      </c>
      <c r="AT46" s="70">
        <f t="shared" si="35"/>
        <v>0</v>
      </c>
      <c r="AU46" s="80">
        <f t="shared" si="36"/>
        <v>0</v>
      </c>
      <c r="AV46" s="70">
        <f t="shared" si="37"/>
        <v>0</v>
      </c>
      <c r="AW46" s="80">
        <f t="shared" si="38"/>
        <v>0</v>
      </c>
      <c r="AX46" s="70">
        <f t="shared" si="39"/>
        <v>0</v>
      </c>
      <c r="AY46" s="82"/>
      <c r="BA46" s="79">
        <v>0</v>
      </c>
      <c r="BB46" s="80">
        <f t="shared" ref="BB46:BB54" si="80">IFERROR(BA46/SUMIFS(BA:BA, $H:$H, "Net Sales"),0)</f>
        <v>0</v>
      </c>
      <c r="BC46" s="79">
        <v>0</v>
      </c>
      <c r="BD46" s="80">
        <f t="shared" ref="BD46:BD54" si="81">IFERROR(BC46/SUMIFS(BC:BC, $H:$H, "Net Sales"),0)</f>
        <v>0</v>
      </c>
      <c r="BE46" s="79">
        <v>0</v>
      </c>
      <c r="BF46" s="81">
        <f t="shared" ref="BF46:BF54" si="82">IFERROR(BE46/SUMIFS(BE:BE, $H:$H, "Net Sales"),0)</f>
        <v>0</v>
      </c>
      <c r="BG46" s="80">
        <f t="shared" si="40"/>
        <v>0</v>
      </c>
      <c r="BH46" s="70">
        <f t="shared" si="41"/>
        <v>0</v>
      </c>
      <c r="BI46" s="80">
        <f t="shared" si="42"/>
        <v>0</v>
      </c>
      <c r="BJ46" s="70">
        <f t="shared" si="43"/>
        <v>0</v>
      </c>
      <c r="BK46" s="82"/>
    </row>
    <row r="47" spans="2:63" ht="11.95" outlineLevel="1" collapsed="1" thickBot="1" x14ac:dyDescent="0.3">
      <c r="E47" s="3"/>
      <c r="F47" s="3"/>
      <c r="G47" s="3"/>
      <c r="H47" s="256" t="s">
        <v>101</v>
      </c>
      <c r="I47" s="18"/>
      <c r="J47" s="18"/>
      <c r="K47" s="18"/>
      <c r="L47" s="78"/>
      <c r="M47" s="79">
        <v>0</v>
      </c>
      <c r="N47" s="80">
        <f t="shared" si="72"/>
        <v>0</v>
      </c>
      <c r="O47" s="79">
        <v>0</v>
      </c>
      <c r="P47" s="80">
        <f t="shared" si="73"/>
        <v>0</v>
      </c>
      <c r="Q47" s="79">
        <v>0</v>
      </c>
      <c r="R47" s="80">
        <f t="shared" si="74"/>
        <v>0</v>
      </c>
      <c r="S47" s="79">
        <v>0</v>
      </c>
      <c r="T47" s="81">
        <f t="shared" si="75"/>
        <v>0</v>
      </c>
      <c r="U47" s="80">
        <f t="shared" si="28"/>
        <v>0</v>
      </c>
      <c r="V47" s="70">
        <f t="shared" si="29"/>
        <v>0</v>
      </c>
      <c r="W47" s="80">
        <f t="shared" si="30"/>
        <v>0</v>
      </c>
      <c r="X47" s="70">
        <f t="shared" si="31"/>
        <v>0</v>
      </c>
      <c r="Y47" s="80">
        <f t="shared" si="32"/>
        <v>0</v>
      </c>
      <c r="Z47" s="70">
        <f t="shared" si="33"/>
        <v>0</v>
      </c>
      <c r="AA47" s="82"/>
      <c r="AC47" s="138">
        <v>0</v>
      </c>
      <c r="AD47" s="138">
        <v>0</v>
      </c>
      <c r="AE47" s="138">
        <v>0</v>
      </c>
      <c r="AF47" s="233"/>
      <c r="AG47" s="139"/>
      <c r="AH47" s="233"/>
      <c r="AI47" s="139"/>
      <c r="AK47" s="79">
        <v>0</v>
      </c>
      <c r="AL47" s="80">
        <f t="shared" si="76"/>
        <v>0</v>
      </c>
      <c r="AM47" s="79">
        <v>0</v>
      </c>
      <c r="AN47" s="80">
        <f t="shared" si="77"/>
        <v>0</v>
      </c>
      <c r="AO47" s="79">
        <v>0</v>
      </c>
      <c r="AP47" s="80">
        <f t="shared" si="78"/>
        <v>0</v>
      </c>
      <c r="AQ47" s="79">
        <v>0</v>
      </c>
      <c r="AR47" s="81">
        <f t="shared" si="79"/>
        <v>0</v>
      </c>
      <c r="AS47" s="80">
        <f t="shared" si="34"/>
        <v>0</v>
      </c>
      <c r="AT47" s="70">
        <f t="shared" si="35"/>
        <v>0</v>
      </c>
      <c r="AU47" s="80">
        <f t="shared" si="36"/>
        <v>0</v>
      </c>
      <c r="AV47" s="70">
        <f t="shared" si="37"/>
        <v>0</v>
      </c>
      <c r="AW47" s="80">
        <f t="shared" si="38"/>
        <v>0</v>
      </c>
      <c r="AX47" s="70">
        <f t="shared" si="39"/>
        <v>0</v>
      </c>
      <c r="AY47" s="82"/>
      <c r="BA47" s="79">
        <v>0</v>
      </c>
      <c r="BB47" s="80">
        <f t="shared" si="80"/>
        <v>0</v>
      </c>
      <c r="BC47" s="79">
        <v>0</v>
      </c>
      <c r="BD47" s="80">
        <f t="shared" si="81"/>
        <v>0</v>
      </c>
      <c r="BE47" s="79">
        <v>0</v>
      </c>
      <c r="BF47" s="81">
        <f t="shared" si="82"/>
        <v>0</v>
      </c>
      <c r="BG47" s="80">
        <f t="shared" si="40"/>
        <v>0</v>
      </c>
      <c r="BH47" s="70">
        <f t="shared" si="41"/>
        <v>0</v>
      </c>
      <c r="BI47" s="80">
        <f t="shared" si="42"/>
        <v>0</v>
      </c>
      <c r="BJ47" s="70">
        <f t="shared" si="43"/>
        <v>0</v>
      </c>
      <c r="BK47" s="82"/>
    </row>
    <row r="48" spans="2:63" ht="11.95" hidden="1" outlineLevel="2" thickBot="1" x14ac:dyDescent="0.3">
      <c r="B48" t="str">
        <f>IF(LEFT(H48,3)="Mul", "#hiderow", "#showrow")</f>
        <v>#hiderow</v>
      </c>
      <c r="E48" s="3"/>
      <c r="F48" s="3"/>
      <c r="G48" s="3"/>
      <c r="H48" s="255" t="s">
        <v>6</v>
      </c>
      <c r="I48" s="18"/>
      <c r="J48" s="18"/>
      <c r="K48" s="18"/>
      <c r="L48" s="78"/>
      <c r="M48" s="79"/>
      <c r="N48" s="80">
        <f t="shared" si="72"/>
        <v>0</v>
      </c>
      <c r="O48" s="79"/>
      <c r="P48" s="80">
        <f t="shared" si="73"/>
        <v>0</v>
      </c>
      <c r="Q48" s="79"/>
      <c r="R48" s="80">
        <f t="shared" si="74"/>
        <v>0</v>
      </c>
      <c r="S48" s="79"/>
      <c r="T48" s="81">
        <f t="shared" si="75"/>
        <v>0</v>
      </c>
      <c r="U48" s="80">
        <f t="shared" si="28"/>
        <v>0</v>
      </c>
      <c r="V48" s="70">
        <f t="shared" si="29"/>
        <v>0</v>
      </c>
      <c r="W48" s="80">
        <f t="shared" si="30"/>
        <v>0</v>
      </c>
      <c r="X48" s="70">
        <f t="shared" si="31"/>
        <v>0</v>
      </c>
      <c r="Y48" s="80">
        <f t="shared" si="32"/>
        <v>0</v>
      </c>
      <c r="Z48" s="70">
        <f t="shared" si="33"/>
        <v>0</v>
      </c>
      <c r="AA48" s="82"/>
      <c r="AC48" s="138"/>
      <c r="AD48" s="138"/>
      <c r="AE48" s="138"/>
      <c r="AF48" s="233"/>
      <c r="AG48" s="139"/>
      <c r="AH48" s="233"/>
      <c r="AI48" s="139"/>
      <c r="AK48" s="79"/>
      <c r="AL48" s="80">
        <f t="shared" si="76"/>
        <v>0</v>
      </c>
      <c r="AM48" s="79"/>
      <c r="AN48" s="80">
        <f t="shared" si="77"/>
        <v>0</v>
      </c>
      <c r="AO48" s="79"/>
      <c r="AP48" s="80">
        <f t="shared" si="78"/>
        <v>0</v>
      </c>
      <c r="AQ48" s="79"/>
      <c r="AR48" s="81">
        <f t="shared" si="79"/>
        <v>0</v>
      </c>
      <c r="AS48" s="80">
        <f t="shared" si="34"/>
        <v>0</v>
      </c>
      <c r="AT48" s="70">
        <f t="shared" si="35"/>
        <v>0</v>
      </c>
      <c r="AU48" s="80">
        <f t="shared" si="36"/>
        <v>0</v>
      </c>
      <c r="AV48" s="70">
        <f t="shared" si="37"/>
        <v>0</v>
      </c>
      <c r="AW48" s="80">
        <f t="shared" si="38"/>
        <v>0</v>
      </c>
      <c r="AX48" s="70">
        <f t="shared" si="39"/>
        <v>0</v>
      </c>
      <c r="AY48" s="82"/>
      <c r="BA48" s="79"/>
      <c r="BB48" s="80">
        <f t="shared" si="80"/>
        <v>0</v>
      </c>
      <c r="BC48" s="79"/>
      <c r="BD48" s="80">
        <f t="shared" si="81"/>
        <v>0</v>
      </c>
      <c r="BE48" s="79"/>
      <c r="BF48" s="81">
        <f t="shared" si="82"/>
        <v>0</v>
      </c>
      <c r="BG48" s="80">
        <f t="shared" si="40"/>
        <v>0</v>
      </c>
      <c r="BH48" s="70">
        <f t="shared" si="41"/>
        <v>0</v>
      </c>
      <c r="BI48" s="80">
        <f t="shared" si="42"/>
        <v>0</v>
      </c>
      <c r="BJ48" s="70">
        <f t="shared" si="43"/>
        <v>0</v>
      </c>
      <c r="BK48" s="82"/>
    </row>
    <row r="49" spans="2:63" ht="11.95" outlineLevel="1" collapsed="1" thickBot="1" x14ac:dyDescent="0.3">
      <c r="E49" s="3"/>
      <c r="F49" s="3"/>
      <c r="G49" s="3"/>
      <c r="H49" s="256" t="s">
        <v>102</v>
      </c>
      <c r="I49" s="18"/>
      <c r="J49" s="18"/>
      <c r="K49" s="18"/>
      <c r="L49" s="78"/>
      <c r="M49" s="79">
        <v>0</v>
      </c>
      <c r="N49" s="80">
        <f t="shared" si="72"/>
        <v>0</v>
      </c>
      <c r="O49" s="79">
        <v>0</v>
      </c>
      <c r="P49" s="80">
        <f t="shared" si="73"/>
        <v>0</v>
      </c>
      <c r="Q49" s="79">
        <v>0</v>
      </c>
      <c r="R49" s="80">
        <f t="shared" si="74"/>
        <v>0</v>
      </c>
      <c r="S49" s="79">
        <v>0</v>
      </c>
      <c r="T49" s="81">
        <f t="shared" si="75"/>
        <v>0</v>
      </c>
      <c r="U49" s="80">
        <f t="shared" si="28"/>
        <v>0</v>
      </c>
      <c r="V49" s="70">
        <f t="shared" si="29"/>
        <v>0</v>
      </c>
      <c r="W49" s="80">
        <f t="shared" si="30"/>
        <v>0</v>
      </c>
      <c r="X49" s="70">
        <f t="shared" si="31"/>
        <v>0</v>
      </c>
      <c r="Y49" s="80">
        <f t="shared" si="32"/>
        <v>0</v>
      </c>
      <c r="Z49" s="70">
        <f t="shared" si="33"/>
        <v>0</v>
      </c>
      <c r="AA49" s="82"/>
      <c r="AC49" s="138">
        <v>0</v>
      </c>
      <c r="AD49" s="138">
        <v>0</v>
      </c>
      <c r="AE49" s="138">
        <v>0</v>
      </c>
      <c r="AF49" s="233"/>
      <c r="AG49" s="139"/>
      <c r="AH49" s="233"/>
      <c r="AI49" s="139"/>
      <c r="AK49" s="79">
        <v>0</v>
      </c>
      <c r="AL49" s="80">
        <f t="shared" si="76"/>
        <v>0</v>
      </c>
      <c r="AM49" s="79">
        <v>0</v>
      </c>
      <c r="AN49" s="80">
        <f t="shared" si="77"/>
        <v>0</v>
      </c>
      <c r="AO49" s="79">
        <v>0</v>
      </c>
      <c r="AP49" s="80">
        <f t="shared" si="78"/>
        <v>0</v>
      </c>
      <c r="AQ49" s="79">
        <v>0</v>
      </c>
      <c r="AR49" s="81">
        <f t="shared" si="79"/>
        <v>0</v>
      </c>
      <c r="AS49" s="80">
        <f t="shared" si="34"/>
        <v>0</v>
      </c>
      <c r="AT49" s="70">
        <f t="shared" si="35"/>
        <v>0</v>
      </c>
      <c r="AU49" s="80">
        <f t="shared" si="36"/>
        <v>0</v>
      </c>
      <c r="AV49" s="70">
        <f t="shared" si="37"/>
        <v>0</v>
      </c>
      <c r="AW49" s="80">
        <f t="shared" si="38"/>
        <v>0</v>
      </c>
      <c r="AX49" s="70">
        <f t="shared" si="39"/>
        <v>0</v>
      </c>
      <c r="AY49" s="82"/>
      <c r="BA49" s="79">
        <v>0</v>
      </c>
      <c r="BB49" s="80">
        <f t="shared" si="80"/>
        <v>0</v>
      </c>
      <c r="BC49" s="79">
        <v>0</v>
      </c>
      <c r="BD49" s="80">
        <f t="shared" si="81"/>
        <v>0</v>
      </c>
      <c r="BE49" s="79">
        <v>0</v>
      </c>
      <c r="BF49" s="81">
        <f t="shared" si="82"/>
        <v>0</v>
      </c>
      <c r="BG49" s="80">
        <f t="shared" si="40"/>
        <v>0</v>
      </c>
      <c r="BH49" s="70">
        <f t="shared" si="41"/>
        <v>0</v>
      </c>
      <c r="BI49" s="80">
        <f t="shared" si="42"/>
        <v>0</v>
      </c>
      <c r="BJ49" s="70">
        <f t="shared" si="43"/>
        <v>0</v>
      </c>
      <c r="BK49" s="82"/>
    </row>
    <row r="50" spans="2:63" ht="11.95" hidden="1" outlineLevel="2" thickBot="1" x14ac:dyDescent="0.3">
      <c r="B50" t="str">
        <f>IF(LEFT(H50,3)="Mul", "#hiderow", "#showrow")</f>
        <v>#hiderow</v>
      </c>
      <c r="E50" s="3"/>
      <c r="F50" s="3"/>
      <c r="G50" s="3"/>
      <c r="H50" s="255" t="s">
        <v>6</v>
      </c>
      <c r="I50" s="18"/>
      <c r="J50" s="18"/>
      <c r="K50" s="18"/>
      <c r="L50" s="78"/>
      <c r="M50" s="79"/>
      <c r="N50" s="80">
        <f t="shared" si="72"/>
        <v>0</v>
      </c>
      <c r="O50" s="79"/>
      <c r="P50" s="80">
        <f t="shared" si="73"/>
        <v>0</v>
      </c>
      <c r="Q50" s="79"/>
      <c r="R50" s="80">
        <f t="shared" si="74"/>
        <v>0</v>
      </c>
      <c r="S50" s="79"/>
      <c r="T50" s="81">
        <f t="shared" si="75"/>
        <v>0</v>
      </c>
      <c r="U50" s="80">
        <f t="shared" si="28"/>
        <v>0</v>
      </c>
      <c r="V50" s="70">
        <f t="shared" si="29"/>
        <v>0</v>
      </c>
      <c r="W50" s="80">
        <f t="shared" si="30"/>
        <v>0</v>
      </c>
      <c r="X50" s="70">
        <f t="shared" si="31"/>
        <v>0</v>
      </c>
      <c r="Y50" s="80">
        <f t="shared" si="32"/>
        <v>0</v>
      </c>
      <c r="Z50" s="70">
        <f t="shared" si="33"/>
        <v>0</v>
      </c>
      <c r="AA50" s="82"/>
      <c r="AC50" s="138"/>
      <c r="AD50" s="138"/>
      <c r="AE50" s="138"/>
      <c r="AF50" s="233"/>
      <c r="AG50" s="139"/>
      <c r="AH50" s="233"/>
      <c r="AI50" s="139"/>
      <c r="AK50" s="79"/>
      <c r="AL50" s="80">
        <f t="shared" si="76"/>
        <v>0</v>
      </c>
      <c r="AM50" s="79"/>
      <c r="AN50" s="80">
        <f t="shared" si="77"/>
        <v>0</v>
      </c>
      <c r="AO50" s="79"/>
      <c r="AP50" s="80">
        <f t="shared" si="78"/>
        <v>0</v>
      </c>
      <c r="AQ50" s="79"/>
      <c r="AR50" s="81">
        <f t="shared" si="79"/>
        <v>0</v>
      </c>
      <c r="AS50" s="80">
        <f t="shared" si="34"/>
        <v>0</v>
      </c>
      <c r="AT50" s="70">
        <f t="shared" si="35"/>
        <v>0</v>
      </c>
      <c r="AU50" s="80">
        <f t="shared" si="36"/>
        <v>0</v>
      </c>
      <c r="AV50" s="70">
        <f t="shared" si="37"/>
        <v>0</v>
      </c>
      <c r="AW50" s="80">
        <f t="shared" si="38"/>
        <v>0</v>
      </c>
      <c r="AX50" s="70">
        <f t="shared" si="39"/>
        <v>0</v>
      </c>
      <c r="AY50" s="82"/>
      <c r="BA50" s="79"/>
      <c r="BB50" s="80">
        <f t="shared" si="80"/>
        <v>0</v>
      </c>
      <c r="BC50" s="79"/>
      <c r="BD50" s="80">
        <f t="shared" si="81"/>
        <v>0</v>
      </c>
      <c r="BE50" s="79"/>
      <c r="BF50" s="81">
        <f t="shared" si="82"/>
        <v>0</v>
      </c>
      <c r="BG50" s="80">
        <f t="shared" si="40"/>
        <v>0</v>
      </c>
      <c r="BH50" s="70">
        <f t="shared" si="41"/>
        <v>0</v>
      </c>
      <c r="BI50" s="80">
        <f t="shared" si="42"/>
        <v>0</v>
      </c>
      <c r="BJ50" s="70">
        <f t="shared" si="43"/>
        <v>0</v>
      </c>
      <c r="BK50" s="82"/>
    </row>
    <row r="51" spans="2:63" ht="11.95" collapsed="1" thickBot="1" x14ac:dyDescent="0.3">
      <c r="E51" s="3"/>
      <c r="F51" s="3"/>
      <c r="G51" s="3"/>
      <c r="H51" s="253" t="s">
        <v>103</v>
      </c>
      <c r="I51" s="18"/>
      <c r="J51" s="18"/>
      <c r="K51" s="18"/>
      <c r="L51" s="78"/>
      <c r="M51" s="79">
        <v>0</v>
      </c>
      <c r="N51" s="80">
        <f t="shared" si="72"/>
        <v>0</v>
      </c>
      <c r="O51" s="79">
        <v>0</v>
      </c>
      <c r="P51" s="80">
        <f t="shared" si="73"/>
        <v>0</v>
      </c>
      <c r="Q51" s="79">
        <v>0</v>
      </c>
      <c r="R51" s="80">
        <f t="shared" si="74"/>
        <v>0</v>
      </c>
      <c r="S51" s="79">
        <v>0</v>
      </c>
      <c r="T51" s="81">
        <f t="shared" si="75"/>
        <v>0</v>
      </c>
      <c r="U51" s="80">
        <f t="shared" si="28"/>
        <v>0</v>
      </c>
      <c r="V51" s="70">
        <f t="shared" si="29"/>
        <v>0</v>
      </c>
      <c r="W51" s="80">
        <f t="shared" si="30"/>
        <v>0</v>
      </c>
      <c r="X51" s="70">
        <f t="shared" si="31"/>
        <v>0</v>
      </c>
      <c r="Y51" s="80">
        <f t="shared" si="32"/>
        <v>0</v>
      </c>
      <c r="Z51" s="70">
        <f t="shared" si="33"/>
        <v>0</v>
      </c>
      <c r="AA51" s="82"/>
      <c r="AC51" s="138">
        <v>0</v>
      </c>
      <c r="AD51" s="138">
        <v>0</v>
      </c>
      <c r="AE51" s="138">
        <v>0</v>
      </c>
      <c r="AF51" s="233"/>
      <c r="AG51" s="139"/>
      <c r="AH51" s="233"/>
      <c r="AI51" s="139"/>
      <c r="AK51" s="79">
        <v>0</v>
      </c>
      <c r="AL51" s="80">
        <f t="shared" si="76"/>
        <v>0</v>
      </c>
      <c r="AM51" s="79">
        <v>0</v>
      </c>
      <c r="AN51" s="80">
        <f t="shared" si="77"/>
        <v>0</v>
      </c>
      <c r="AO51" s="79">
        <v>0</v>
      </c>
      <c r="AP51" s="80">
        <f t="shared" si="78"/>
        <v>0</v>
      </c>
      <c r="AQ51" s="79">
        <v>0</v>
      </c>
      <c r="AR51" s="81">
        <f t="shared" si="79"/>
        <v>0</v>
      </c>
      <c r="AS51" s="80">
        <f t="shared" si="34"/>
        <v>0</v>
      </c>
      <c r="AT51" s="70">
        <f t="shared" si="35"/>
        <v>0</v>
      </c>
      <c r="AU51" s="80">
        <f t="shared" si="36"/>
        <v>0</v>
      </c>
      <c r="AV51" s="70">
        <f t="shared" si="37"/>
        <v>0</v>
      </c>
      <c r="AW51" s="80">
        <f t="shared" si="38"/>
        <v>0</v>
      </c>
      <c r="AX51" s="70">
        <f t="shared" si="39"/>
        <v>0</v>
      </c>
      <c r="AY51" s="82"/>
      <c r="BA51" s="79">
        <v>0</v>
      </c>
      <c r="BB51" s="80">
        <f t="shared" si="80"/>
        <v>0</v>
      </c>
      <c r="BC51" s="79">
        <v>0</v>
      </c>
      <c r="BD51" s="80">
        <f t="shared" si="81"/>
        <v>0</v>
      </c>
      <c r="BE51" s="79">
        <v>0</v>
      </c>
      <c r="BF51" s="81">
        <f t="shared" si="82"/>
        <v>0</v>
      </c>
      <c r="BG51" s="80">
        <f t="shared" si="40"/>
        <v>0</v>
      </c>
      <c r="BH51" s="70">
        <f t="shared" si="41"/>
        <v>0</v>
      </c>
      <c r="BI51" s="80">
        <f t="shared" si="42"/>
        <v>0</v>
      </c>
      <c r="BJ51" s="70">
        <f t="shared" si="43"/>
        <v>0</v>
      </c>
      <c r="BK51" s="82"/>
    </row>
    <row r="52" spans="2:63" ht="11.95" hidden="1" outlineLevel="1" thickBot="1" x14ac:dyDescent="0.3">
      <c r="B52" t="str">
        <f>IF(LEFT(H52,3)="Mul", "#hiderow", "#showrow")</f>
        <v>#hiderow</v>
      </c>
      <c r="E52" s="3"/>
      <c r="F52" s="3"/>
      <c r="G52" s="3"/>
      <c r="H52" s="254" t="s">
        <v>6</v>
      </c>
      <c r="I52" s="18"/>
      <c r="J52" s="18"/>
      <c r="K52" s="18"/>
      <c r="L52" s="78"/>
      <c r="M52" s="79"/>
      <c r="N52" s="80">
        <f t="shared" si="72"/>
        <v>0</v>
      </c>
      <c r="O52" s="79"/>
      <c r="P52" s="80">
        <f t="shared" si="73"/>
        <v>0</v>
      </c>
      <c r="Q52" s="79"/>
      <c r="R52" s="80">
        <f t="shared" si="74"/>
        <v>0</v>
      </c>
      <c r="S52" s="79"/>
      <c r="T52" s="81">
        <f t="shared" si="75"/>
        <v>0</v>
      </c>
      <c r="U52" s="80">
        <f t="shared" si="28"/>
        <v>0</v>
      </c>
      <c r="V52" s="70">
        <f t="shared" si="29"/>
        <v>0</v>
      </c>
      <c r="W52" s="80">
        <f t="shared" si="30"/>
        <v>0</v>
      </c>
      <c r="X52" s="70">
        <f t="shared" si="31"/>
        <v>0</v>
      </c>
      <c r="Y52" s="80">
        <f t="shared" si="32"/>
        <v>0</v>
      </c>
      <c r="Z52" s="70">
        <f t="shared" si="33"/>
        <v>0</v>
      </c>
      <c r="AA52" s="82"/>
      <c r="AC52" s="138"/>
      <c r="AD52" s="138"/>
      <c r="AE52" s="138"/>
      <c r="AF52" s="233"/>
      <c r="AG52" s="139"/>
      <c r="AH52" s="233"/>
      <c r="AI52" s="139"/>
      <c r="AK52" s="79"/>
      <c r="AL52" s="80">
        <f t="shared" si="76"/>
        <v>0</v>
      </c>
      <c r="AM52" s="79"/>
      <c r="AN52" s="80">
        <f t="shared" si="77"/>
        <v>0</v>
      </c>
      <c r="AO52" s="79"/>
      <c r="AP52" s="80">
        <f t="shared" si="78"/>
        <v>0</v>
      </c>
      <c r="AQ52" s="79"/>
      <c r="AR52" s="81">
        <f t="shared" si="79"/>
        <v>0</v>
      </c>
      <c r="AS52" s="80">
        <f t="shared" si="34"/>
        <v>0</v>
      </c>
      <c r="AT52" s="70">
        <f t="shared" si="35"/>
        <v>0</v>
      </c>
      <c r="AU52" s="80">
        <f t="shared" si="36"/>
        <v>0</v>
      </c>
      <c r="AV52" s="70">
        <f t="shared" si="37"/>
        <v>0</v>
      </c>
      <c r="AW52" s="80">
        <f t="shared" si="38"/>
        <v>0</v>
      </c>
      <c r="AX52" s="70">
        <f t="shared" si="39"/>
        <v>0</v>
      </c>
      <c r="AY52" s="82"/>
      <c r="BA52" s="79"/>
      <c r="BB52" s="80">
        <f t="shared" si="80"/>
        <v>0</v>
      </c>
      <c r="BC52" s="79"/>
      <c r="BD52" s="80">
        <f t="shared" si="81"/>
        <v>0</v>
      </c>
      <c r="BE52" s="79"/>
      <c r="BF52" s="81">
        <f t="shared" si="82"/>
        <v>0</v>
      </c>
      <c r="BG52" s="80">
        <f t="shared" si="40"/>
        <v>0</v>
      </c>
      <c r="BH52" s="70">
        <f t="shared" si="41"/>
        <v>0</v>
      </c>
      <c r="BI52" s="80">
        <f t="shared" si="42"/>
        <v>0</v>
      </c>
      <c r="BJ52" s="70">
        <f t="shared" si="43"/>
        <v>0</v>
      </c>
      <c r="BK52" s="82"/>
    </row>
    <row r="53" spans="2:63" ht="11.95" x14ac:dyDescent="0.25">
      <c r="B53" t="str">
        <f>B40</f>
        <v>#showrow</v>
      </c>
      <c r="E53" s="19"/>
      <c r="F53" s="19"/>
      <c r="G53" s="19"/>
      <c r="H53" s="19" t="s">
        <v>80</v>
      </c>
      <c r="I53" s="85"/>
      <c r="J53" s="85"/>
      <c r="K53" s="85"/>
      <c r="L53" s="144">
        <v>-1</v>
      </c>
      <c r="M53" s="85">
        <f>SUMIFS(M41:M52,$I41:$I52,"&lt;&gt;"&amp;$I$29,$E41:$E52,"&lt;&gt;*[-]*",$F41:$F52,"&lt;&gt;*[-]*",$G41:$G52,"&lt;&gt;*[-]*",$H41:$H52,"Cost of Goods Sold")</f>
        <v>84749.62</v>
      </c>
      <c r="N53" s="86">
        <f t="shared" si="72"/>
        <v>0</v>
      </c>
      <c r="O53" s="85">
        <f>SUMIFS(O41:O52,$I41:$I52,"&lt;&gt;"&amp;$I$29,$E41:$E52,"&lt;&gt;*[-]*",$F41:$F52,"&lt;&gt;*[-]*",$G41:$G52,"&lt;&gt;*[-]*",$H41:$H52,"Cost of Goods Sold")</f>
        <v>78394.942538461502</v>
      </c>
      <c r="P53" s="86">
        <f t="shared" si="73"/>
        <v>0</v>
      </c>
      <c r="Q53" s="85">
        <f>SUMIFS(Q41:Q52,$I41:$I52,"&lt;&gt;"&amp;$I$29,$E41:$E52,"&lt;&gt;*[-]*",$F41:$F52,"&lt;&gt;*[-]*",$G41:$G52,"&lt;&gt;*[-]*",$H41:$H52,"Cost of Goods Sold")</f>
        <v>78394.942538461502</v>
      </c>
      <c r="R53" s="86">
        <f t="shared" si="74"/>
        <v>0</v>
      </c>
      <c r="S53" s="85">
        <f>SUMIFS(S41:S52,$I41:$I52,"&lt;&gt;"&amp;$I$29,$E41:$E52,"&lt;&gt;*[-]*",$F41:$F52,"&lt;&gt;*[-]*",$G41:$G52,"&lt;&gt;*[-]*",$H41:$H52,"Cost of Goods Sold")</f>
        <v>0</v>
      </c>
      <c r="T53" s="86">
        <f t="shared" si="75"/>
        <v>0</v>
      </c>
      <c r="U53" s="86">
        <f>IFERROR(($O53-M53)/ABS(M53),0)</f>
        <v>-7.4981781175402246E-2</v>
      </c>
      <c r="V53" s="87">
        <f>IFERROR((O53-$M53), 0-$M53)</f>
        <v>-6354.6774615384929</v>
      </c>
      <c r="W53" s="86">
        <f>IFERROR((Q53-$M53)/ABS($M53),0)</f>
        <v>-7.4981781175402246E-2</v>
      </c>
      <c r="X53" s="87">
        <f>IFERROR((Q53-$M53), 0 -$M53)</f>
        <v>-6354.6774615384929</v>
      </c>
      <c r="Y53" s="86">
        <f>IFERROR((S53-$M53)/ABS($M53),0)</f>
        <v>-1</v>
      </c>
      <c r="Z53" s="87">
        <f>IFERROR((S53-$M53),0-$M53)</f>
        <v>-84749.62</v>
      </c>
      <c r="AA53" s="88"/>
      <c r="AC53" s="142">
        <f>SUMIFS(AC41:AC52,$I41:$I52,"&lt;&gt;"&amp;$I$29,$E41:$E52,"&lt;&gt;*[-]*",$F41:$F52,"&lt;&gt;*[-]*",$G41:$G52,"&lt;&gt;*[-]*",$H41:$H52,"Cost of Goods Sold")</f>
        <v>84749.62</v>
      </c>
      <c r="AD53" s="142">
        <f>SUMIFS(AD41:AD52,$I41:$I52,"&lt;&gt;"&amp;$I$29,$E41:$E52,"&lt;&gt;*[-]*",$F41:$F52,"&lt;&gt;*[-]*",$G41:$G52,"&lt;&gt;*[-]*",$H41:$H52,"Cost of Goods Sold")</f>
        <v>0</v>
      </c>
      <c r="AE53" s="142">
        <f>SUMIFS(AE41:AE52,$I41:$I52,"&lt;&gt;"&amp;$I$29,$E41:$E52,"&lt;&gt;*[-]*",$F41:$F52,"&lt;&gt;*[-]*",$G41:$G52,"&lt;&gt;*[-]*",$H41:$H52,"Cost of Goods Sold")</f>
        <v>78394.942538461502</v>
      </c>
      <c r="AF53" s="173">
        <f>IFERROR((AD53-$AC53)/ABS($AC53),0)</f>
        <v>-1</v>
      </c>
      <c r="AG53" s="143">
        <f>(AD53-$AC53)</f>
        <v>-84749.62</v>
      </c>
      <c r="AH53" s="173">
        <f>IFERROR((AE53-$AC53)/ABS($AC53),0)</f>
        <v>-7.4981781175402246E-2</v>
      </c>
      <c r="AI53" s="143">
        <f>(AE53-$AC53)</f>
        <v>-6354.6774615384929</v>
      </c>
      <c r="AK53" s="85">
        <f>SUMIFS(AK41:AK52,$I41:$I52,"&lt;&gt;"&amp;$I$29,$E41:$E52,"&lt;&gt;*[-]*",$F41:$F52,"&lt;&gt;*[-]*",$G41:$G52,"&lt;&gt;*[-]*",$H41:$H52,"Cost of Goods Sold")</f>
        <v>84749.62</v>
      </c>
      <c r="AL53" s="86">
        <f t="shared" si="76"/>
        <v>0</v>
      </c>
      <c r="AM53" s="85">
        <f>SUMIFS(AM41:AM52,$I41:$I52,"&lt;&gt;"&amp;$I$29,$E41:$E52,"&lt;&gt;*[-]*",$F41:$F52,"&lt;&gt;*[-]*",$G41:$G52,"&lt;&gt;*[-]*",$H41:$H52,"Cost of Goods Sold")</f>
        <v>78394.942538461502</v>
      </c>
      <c r="AN53" s="86">
        <f t="shared" si="77"/>
        <v>0</v>
      </c>
      <c r="AO53" s="85">
        <f>SUMIFS(AO41:AO52,$I41:$I52,"&lt;&gt;"&amp;$I$29,$E41:$E52,"&lt;&gt;*[-]*",$F41:$F52,"&lt;&gt;*[-]*",$G41:$G52,"&lt;&gt;*[-]*",$H41:$H52,"Cost of Goods Sold")</f>
        <v>78394.942538461502</v>
      </c>
      <c r="AP53" s="86">
        <f t="shared" si="78"/>
        <v>0</v>
      </c>
      <c r="AQ53" s="85">
        <f>SUMIFS(AQ41:AQ52,$I41:$I52,"&lt;&gt;"&amp;$I$29,$E41:$E52,"&lt;&gt;*[-]*",$F41:$F52,"&lt;&gt;*[-]*",$G41:$G52,"&lt;&gt;*[-]*",$H41:$H52,"Cost of Goods Sold")</f>
        <v>0</v>
      </c>
      <c r="AR53" s="86">
        <f t="shared" si="79"/>
        <v>0</v>
      </c>
      <c r="AS53" s="86">
        <f>IFERROR((AM53-$AK53)/ABS($AK53),0)</f>
        <v>-7.4981781175402246E-2</v>
      </c>
      <c r="AT53" s="87">
        <f>(AM53-$AK53)</f>
        <v>-6354.6774615384929</v>
      </c>
      <c r="AU53" s="86">
        <f>IFERROR((AO53-$AK53)/ABS($AO53),0)</f>
        <v>-8.1059788498739085E-2</v>
      </c>
      <c r="AV53" s="87">
        <f>(AO53-$AK53)</f>
        <v>-6354.6774615384929</v>
      </c>
      <c r="AW53" s="86">
        <f>IFERROR((AQ53-$AK53)/ABS($AK53),0)</f>
        <v>-1</v>
      </c>
      <c r="AX53" s="87">
        <f>(AQ53-$AK53)</f>
        <v>-84749.62</v>
      </c>
      <c r="AY53" s="88"/>
      <c r="BA53" s="85">
        <f>SUMIFS(BA41:BA52,$I41:$I52,"&lt;&gt;"&amp;$I$29,$E41:$E52,"&lt;&gt;*[-]*",$F41:$F52,"&lt;&gt;*[-]*",$G41:$G52,"&lt;&gt;*[-]*",$H41:$H52,"Cost of Goods Sold")</f>
        <v>963434.25299999898</v>
      </c>
      <c r="BB53" s="86">
        <f t="shared" si="80"/>
        <v>0</v>
      </c>
      <c r="BC53" s="85">
        <f>SUMIFS(BC41:BC52,$I41:$I52,"&lt;&gt;"&amp;$I$29,$E41:$E52,"&lt;&gt;*[-]*",$F41:$F52,"&lt;&gt;*[-]*",$G41:$G52,"&lt;&gt;*[-]*",$H41:$H52,"Cost of Goods Sold")</f>
        <v>963434.25299999898</v>
      </c>
      <c r="BD53" s="86">
        <f t="shared" si="81"/>
        <v>0</v>
      </c>
      <c r="BE53" s="85">
        <f>SUMIFS(BE41:BE52,$I41:$I52,"&lt;&gt;"&amp;$I$29,$E41:$E52,"&lt;&gt;*[-]*",$F41:$F52,"&lt;&gt;*[-]*",$G41:$G52,"&lt;&gt;*[-]*",$H41:$H52,"Cost of Goods Sold")</f>
        <v>615295.55000000005</v>
      </c>
      <c r="BF53" s="86">
        <f t="shared" si="82"/>
        <v>0</v>
      </c>
      <c r="BG53" s="86">
        <f>IFERROR((BC53-$BA53)/ABS($BA53),0)</f>
        <v>0</v>
      </c>
      <c r="BH53" s="87">
        <f>(BC53-$BA53)</f>
        <v>0</v>
      </c>
      <c r="BI53" s="86">
        <f>IFERROR((BE53-$BA53)/ABS($BA53),0)</f>
        <v>-0.36135180155360253</v>
      </c>
      <c r="BJ53" s="87">
        <f>(BE53-$BA53)</f>
        <v>-348138.70299999893</v>
      </c>
      <c r="BK53" s="88"/>
    </row>
    <row r="54" spans="2:63" x14ac:dyDescent="0.25">
      <c r="B54" t="str">
        <f>B40</f>
        <v>#showrow</v>
      </c>
      <c r="C54" s="24"/>
      <c r="D54" s="24"/>
      <c r="E54" s="24"/>
      <c r="F54" s="24"/>
      <c r="G54" s="24"/>
      <c r="H54" s="24" t="s">
        <v>31</v>
      </c>
      <c r="I54" s="24"/>
      <c r="J54" s="24"/>
      <c r="K54" s="24"/>
      <c r="L54" s="24"/>
      <c r="M54" s="26">
        <f>M38-M53</f>
        <v>-84749.62</v>
      </c>
      <c r="N54" s="153">
        <f t="shared" si="72"/>
        <v>0</v>
      </c>
      <c r="O54" s="26">
        <f>O38-O53</f>
        <v>-78394.942538461502</v>
      </c>
      <c r="P54" s="153">
        <f t="shared" si="73"/>
        <v>0</v>
      </c>
      <c r="Q54" s="26">
        <f>Q38-Q53</f>
        <v>-78394.942538461502</v>
      </c>
      <c r="R54" s="153">
        <f t="shared" si="74"/>
        <v>0</v>
      </c>
      <c r="S54" s="26">
        <f>S38-S53</f>
        <v>0</v>
      </c>
      <c r="T54" s="153">
        <f t="shared" si="75"/>
        <v>0</v>
      </c>
      <c r="U54" s="153"/>
      <c r="V54" s="92">
        <f>($M54-O54)</f>
        <v>-6354.6774615384929</v>
      </c>
      <c r="W54" s="153"/>
      <c r="X54" s="92">
        <f>($M54-Q54)</f>
        <v>-6354.6774615384929</v>
      </c>
      <c r="Y54" s="153"/>
      <c r="Z54" s="92">
        <f>($M54-S54)</f>
        <v>-84749.62</v>
      </c>
      <c r="AA54" s="88"/>
      <c r="AC54" s="234">
        <f>AC38-AC53</f>
        <v>-84749.62</v>
      </c>
      <c r="AD54" s="234">
        <f>AD38-AD53</f>
        <v>0</v>
      </c>
      <c r="AE54" s="234">
        <f>AE38-AE53</f>
        <v>-78394.942538461502</v>
      </c>
      <c r="AF54" s="235">
        <f>AF38-AF53</f>
        <v>1</v>
      </c>
      <c r="AG54" s="236"/>
      <c r="AH54" s="235"/>
      <c r="AI54" s="236"/>
      <c r="AK54" s="26">
        <f>AK38-AK53</f>
        <v>-84749.62</v>
      </c>
      <c r="AL54" s="153">
        <f t="shared" si="76"/>
        <v>0</v>
      </c>
      <c r="AM54" s="26">
        <f>AM38-AM53</f>
        <v>-78394.942538461502</v>
      </c>
      <c r="AN54" s="153">
        <f t="shared" si="77"/>
        <v>0</v>
      </c>
      <c r="AO54" s="26">
        <f>AO38-AO53</f>
        <v>-78394.942538461502</v>
      </c>
      <c r="AP54" s="153">
        <f t="shared" si="78"/>
        <v>0</v>
      </c>
      <c r="AQ54" s="26">
        <f>AQ38-AQ53</f>
        <v>0</v>
      </c>
      <c r="AR54" s="153">
        <f t="shared" si="79"/>
        <v>0</v>
      </c>
      <c r="AS54" s="153"/>
      <c r="AT54" s="92">
        <f>($AK54-AM54)</f>
        <v>-6354.6774615384929</v>
      </c>
      <c r="AU54" s="153"/>
      <c r="AV54" s="92">
        <f>($AK54-AO54)</f>
        <v>-6354.6774615384929</v>
      </c>
      <c r="AW54" s="153"/>
      <c r="AX54" s="92">
        <f>($AK54-AQ54)</f>
        <v>-84749.62</v>
      </c>
      <c r="AY54" s="88"/>
      <c r="BA54" s="26">
        <f>BA38-BA53</f>
        <v>-963434.25299999898</v>
      </c>
      <c r="BB54" s="153">
        <f t="shared" si="80"/>
        <v>0</v>
      </c>
      <c r="BC54" s="26">
        <f>BC38-BC53</f>
        <v>-963434.25299999898</v>
      </c>
      <c r="BD54" s="153">
        <f t="shared" si="81"/>
        <v>0</v>
      </c>
      <c r="BE54" s="26">
        <f>BE38-BE53</f>
        <v>-615295.55000000005</v>
      </c>
      <c r="BF54" s="153">
        <f t="shared" si="82"/>
        <v>0</v>
      </c>
      <c r="BG54" s="153"/>
      <c r="BH54" s="92">
        <f>($BA54-BC54)</f>
        <v>0</v>
      </c>
      <c r="BI54" s="153"/>
      <c r="BJ54" s="92">
        <f>($BA54-BE54)</f>
        <v>-348138.70299999893</v>
      </c>
      <c r="BK54" s="88"/>
    </row>
    <row r="55" spans="2:63" x14ac:dyDescent="0.25">
      <c r="B55" t="str">
        <f>B40</f>
        <v>#showrow</v>
      </c>
      <c r="H55" t="s">
        <v>21</v>
      </c>
      <c r="M55" s="96">
        <f>IFERROR((M38-M53)/M38,0)</f>
        <v>0</v>
      </c>
      <c r="N55" s="105"/>
      <c r="O55" s="96">
        <f>IFERROR((O38-O53)/O38,0)</f>
        <v>0</v>
      </c>
      <c r="P55" s="105"/>
      <c r="Q55" s="96">
        <f>IFERROR((Q38-Q53)/Q38,0)</f>
        <v>0</v>
      </c>
      <c r="R55" s="105"/>
      <c r="S55" s="96">
        <f>IFERROR((S38-S53)/S38,0)</f>
        <v>0</v>
      </c>
      <c r="T55" s="105"/>
      <c r="U55" s="105"/>
      <c r="V55" s="98"/>
      <c r="W55" s="105"/>
      <c r="X55" s="98"/>
      <c r="Y55" s="105"/>
      <c r="Z55" s="98"/>
      <c r="AA55" s="98"/>
      <c r="AB55" s="20"/>
      <c r="AC55" s="170">
        <f>IFERROR((AC38-AC53)/AC38,0)</f>
        <v>0</v>
      </c>
      <c r="AD55" s="170">
        <f>IFERROR((AD38-AD53)/AD38,0)</f>
        <v>0</v>
      </c>
      <c r="AE55" s="170">
        <f>IFERROR((AE38-AE53)/AE38,0)</f>
        <v>0</v>
      </c>
      <c r="AF55" s="169">
        <f>IFERROR((AF38-AF53)/AF38,0)</f>
        <v>0</v>
      </c>
      <c r="AG55" s="237"/>
      <c r="AH55" s="169"/>
      <c r="AI55" s="237"/>
      <c r="AK55" s="96">
        <f>IFERROR((AK38-AK53)/AK38,0)</f>
        <v>0</v>
      </c>
      <c r="AL55" s="105"/>
      <c r="AM55" s="96">
        <f>IFERROR((AM38-AM53)/AM38,0)</f>
        <v>0</v>
      </c>
      <c r="AN55" s="105"/>
      <c r="AO55" s="96">
        <f>IFERROR((AO38-AO53)/AO38,0)</f>
        <v>0</v>
      </c>
      <c r="AP55" s="105"/>
      <c r="AQ55" s="96">
        <f>IFERROR((AQ38-AQ53)/AQ38,0)</f>
        <v>0</v>
      </c>
      <c r="AR55" s="105"/>
      <c r="AS55" s="105"/>
      <c r="AT55" s="98"/>
      <c r="AU55" s="105"/>
      <c r="AV55" s="98"/>
      <c r="AW55" s="105"/>
      <c r="AX55" s="98"/>
      <c r="AY55" s="98"/>
      <c r="BA55" s="96">
        <f>IFERROR((BA38-BA53)/BA38,0)</f>
        <v>0</v>
      </c>
      <c r="BB55" s="105"/>
      <c r="BC55" s="96">
        <f>IFERROR((BC38-BC53)/BC38,0)</f>
        <v>0</v>
      </c>
      <c r="BD55" s="105"/>
      <c r="BE55" s="96">
        <f>IFERROR((BE38-BE53)/BE38,0)</f>
        <v>0</v>
      </c>
      <c r="BF55" s="105"/>
      <c r="BG55" s="105"/>
      <c r="BH55" s="98"/>
      <c r="BI55" s="105"/>
      <c r="BJ55" s="98"/>
      <c r="BK55" s="98"/>
    </row>
    <row r="56" spans="2:63" x14ac:dyDescent="0.25">
      <c r="N56" s="145"/>
      <c r="P56" s="145"/>
      <c r="R56" s="145"/>
      <c r="T56" s="145"/>
      <c r="U56" s="145"/>
      <c r="V56" s="84"/>
      <c r="W56" s="145"/>
      <c r="X56" s="84"/>
      <c r="Y56" s="145"/>
      <c r="Z56" s="84"/>
      <c r="AA56" s="84"/>
      <c r="AF56" s="169"/>
      <c r="AG56" s="140"/>
      <c r="AH56" s="169"/>
      <c r="AI56" s="140"/>
      <c r="AL56" s="145"/>
      <c r="AN56" s="145"/>
      <c r="AP56" s="145"/>
      <c r="AR56" s="145"/>
      <c r="AS56" s="145"/>
      <c r="AT56" s="84"/>
      <c r="AU56" s="145"/>
      <c r="AV56" s="84"/>
      <c r="AW56" s="145"/>
      <c r="AX56" s="84"/>
      <c r="AY56" s="84"/>
      <c r="BB56" s="145"/>
      <c r="BD56" s="145"/>
      <c r="BF56" s="145"/>
      <c r="BG56" s="145"/>
      <c r="BH56" s="84"/>
      <c r="BI56" s="145"/>
      <c r="BJ56" s="84"/>
      <c r="BK56" s="84"/>
    </row>
    <row r="57" spans="2:63" ht="12.45" thickBot="1" x14ac:dyDescent="0.3">
      <c r="B57" t="str">
        <f>IF(COUNTBLANK(B58:B111)&gt;0,"#showrow","#hiderow")</f>
        <v>#showrow</v>
      </c>
      <c r="E57" s="4"/>
      <c r="F57" s="4"/>
      <c r="G57" s="4"/>
      <c r="H57" s="4" t="s">
        <v>2</v>
      </c>
      <c r="I57" s="4"/>
      <c r="J57" s="5"/>
      <c r="K57" s="5"/>
      <c r="L57" s="5"/>
      <c r="M57" s="5"/>
      <c r="N57" s="152"/>
      <c r="O57" s="5"/>
      <c r="P57" s="152"/>
      <c r="Q57" s="5"/>
      <c r="R57" s="152"/>
      <c r="S57" s="5"/>
      <c r="T57" s="152"/>
      <c r="U57" s="152"/>
      <c r="V57" s="75"/>
      <c r="W57" s="152"/>
      <c r="X57" s="75"/>
      <c r="Y57" s="152"/>
      <c r="Z57" s="75"/>
      <c r="AA57" s="76"/>
      <c r="AC57" s="133"/>
      <c r="AD57" s="133"/>
      <c r="AE57" s="133"/>
      <c r="AF57" s="171"/>
      <c r="AG57" s="134"/>
      <c r="AH57" s="171"/>
      <c r="AI57" s="134"/>
      <c r="AK57" s="5"/>
      <c r="AL57" s="152"/>
      <c r="AM57" s="5"/>
      <c r="AN57" s="152"/>
      <c r="AO57" s="5"/>
      <c r="AP57" s="152"/>
      <c r="AQ57" s="5"/>
      <c r="AR57" s="152"/>
      <c r="AS57" s="152"/>
      <c r="AT57" s="75"/>
      <c r="AU57" s="152"/>
      <c r="AV57" s="75"/>
      <c r="AW57" s="152"/>
      <c r="AX57" s="75"/>
      <c r="AY57" s="76"/>
      <c r="BA57" s="5"/>
      <c r="BB57" s="152"/>
      <c r="BC57" s="5"/>
      <c r="BD57" s="152"/>
      <c r="BE57" s="5"/>
      <c r="BF57" s="152"/>
      <c r="BG57" s="152"/>
      <c r="BH57" s="75"/>
      <c r="BI57" s="152"/>
      <c r="BJ57" s="75"/>
      <c r="BK57" s="76"/>
    </row>
    <row r="58" spans="2:63" ht="11.95" thickBot="1" x14ac:dyDescent="0.3">
      <c r="E58" s="3"/>
      <c r="F58" s="3"/>
      <c r="G58" s="3"/>
      <c r="H58" s="253" t="s">
        <v>2</v>
      </c>
      <c r="I58" s="18"/>
      <c r="J58" s="18"/>
      <c r="K58" s="18"/>
      <c r="L58" s="78"/>
      <c r="M58" s="79">
        <v>0</v>
      </c>
      <c r="N58" s="80">
        <f t="shared" ref="N58:N89" si="83">IFERROR(M58/SUMIFS(M:M, $H:$H, "Net Sales"),0)</f>
        <v>0</v>
      </c>
      <c r="O58" s="79">
        <v>3.9999999999999998E-11</v>
      </c>
      <c r="P58" s="80">
        <f t="shared" ref="P58:P89" si="84">IFERROR(O58/SUMIFS(O:O, $H:$H, "Net Sales"),0)</f>
        <v>0</v>
      </c>
      <c r="Q58" s="79">
        <v>3.9999999999999998E-11</v>
      </c>
      <c r="R58" s="80">
        <f t="shared" ref="R58:R89" si="85">IFERROR(Q58/SUMIFS(Q:Q, $H:$H, "Net Sales"),0)</f>
        <v>0</v>
      </c>
      <c r="S58" s="79">
        <v>0</v>
      </c>
      <c r="T58" s="81">
        <f t="shared" ref="T58:T89" si="86">IFERROR(S58/SUMIFS(S:S, $H:$H, "Net Sales"),0)</f>
        <v>0</v>
      </c>
      <c r="U58" s="80">
        <f t="shared" ref="U58:U111" si="87">IFERROR(($O58-M58)/ABS(M58),0)</f>
        <v>0</v>
      </c>
      <c r="V58" s="70">
        <f t="shared" ref="V58:V111" si="88">IFERROR((O58-$M58), 0-$M58)</f>
        <v>3.9999999999999998E-11</v>
      </c>
      <c r="W58" s="80">
        <f t="shared" ref="W58:W111" si="89">IFERROR((Q58-$M58)/ABS($M58),0)</f>
        <v>0</v>
      </c>
      <c r="X58" s="70">
        <f t="shared" ref="X58:X111" si="90">IFERROR((Q58-$M58), 0 -$M58)</f>
        <v>3.9999999999999998E-11</v>
      </c>
      <c r="Y58" s="80">
        <f t="shared" ref="Y58:Y111" si="91">IFERROR((S58-$M58)/ABS($M58),0)</f>
        <v>0</v>
      </c>
      <c r="Z58" s="70">
        <f t="shared" ref="Z58:Z111" si="92">IFERROR((S58-$M58),0-$M58)</f>
        <v>0</v>
      </c>
      <c r="AA58" s="82"/>
      <c r="AC58" s="138">
        <v>0</v>
      </c>
      <c r="AD58" s="138">
        <v>0</v>
      </c>
      <c r="AE58" s="138">
        <v>3.9999999999999998E-11</v>
      </c>
      <c r="AF58" s="172">
        <f>IFERROR((AD58-$AC58)/ABS($AC58),0)</f>
        <v>0</v>
      </c>
      <c r="AG58" s="139">
        <f>(AD58-$AC58)</f>
        <v>0</v>
      </c>
      <c r="AH58" s="172">
        <f>IFERROR((AE58-$AC58)/ABS($AC58),0)</f>
        <v>0</v>
      </c>
      <c r="AI58" s="139">
        <f>(AE58-$AC58)</f>
        <v>3.9999999999999998E-11</v>
      </c>
      <c r="AK58" s="79">
        <v>0</v>
      </c>
      <c r="AL58" s="80">
        <f t="shared" ref="AL58:AL89" si="93">IFERROR(AK58/SUMIFS(AK:AK, $H:$H, "Net Sales"),0)</f>
        <v>0</v>
      </c>
      <c r="AM58" s="79">
        <v>3.9999999999999998E-11</v>
      </c>
      <c r="AN58" s="80">
        <f t="shared" ref="AN58:AN89" si="94">IFERROR(AM58/SUMIFS(AM:AM, $H:$H, "Net Sales"),0)</f>
        <v>0</v>
      </c>
      <c r="AO58" s="79">
        <v>3.9999999999999998E-11</v>
      </c>
      <c r="AP58" s="80">
        <f t="shared" ref="AP58:AP89" si="95">IFERROR(AO58/SUMIFS(AO:AO, $H:$H, "Net Sales"),0)</f>
        <v>0</v>
      </c>
      <c r="AQ58" s="79">
        <v>0</v>
      </c>
      <c r="AR58" s="81">
        <f t="shared" ref="AR58:AR89" si="96">IFERROR(AQ58/SUMIFS(AQ:AQ, $H:$H, "Net Sales"),0)</f>
        <v>0</v>
      </c>
      <c r="AS58" s="80">
        <f t="shared" ref="AS58:AS111" si="97">IFERROR((AM58-$AK58)/ABS($AK58),0)</f>
        <v>0</v>
      </c>
      <c r="AT58" s="70">
        <f t="shared" ref="AT58:AT111" si="98">(AM58-$AK58)</f>
        <v>3.9999999999999998E-11</v>
      </c>
      <c r="AU58" s="80">
        <f t="shared" ref="AU58:AU111" si="99">IFERROR((AO58-$AK58)/ABS($AO58),0)</f>
        <v>1</v>
      </c>
      <c r="AV58" s="70">
        <f t="shared" ref="AV58:AV111" si="100">(AO58-$AK58)</f>
        <v>3.9999999999999998E-11</v>
      </c>
      <c r="AW58" s="80">
        <f t="shared" ref="AW58:AW111" si="101">IFERROR((AQ58-$AK58)/ABS($AK58),0)</f>
        <v>0</v>
      </c>
      <c r="AX58" s="70">
        <f t="shared" ref="AX58:AX111" si="102">(AQ58-$AK58)</f>
        <v>0</v>
      </c>
      <c r="AY58" s="82"/>
      <c r="BA58" s="79">
        <v>4.0000000000000001E-10</v>
      </c>
      <c r="BB58" s="80">
        <f t="shared" ref="BB58:BB89" si="103">IFERROR(BA58/SUMIFS(BA:BA, $H:$H, "Net Sales"),0)</f>
        <v>0</v>
      </c>
      <c r="BC58" s="79">
        <v>4.0000000000000001E-10</v>
      </c>
      <c r="BD58" s="80">
        <f t="shared" ref="BD58:BD89" si="104">IFERROR(BC58/SUMIFS(BC:BC, $H:$H, "Net Sales"),0)</f>
        <v>0</v>
      </c>
      <c r="BE58" s="79">
        <v>0</v>
      </c>
      <c r="BF58" s="81">
        <f t="shared" ref="BF58:BF89" si="105">IFERROR(BE58/SUMIFS(BE:BE, $H:$H, "Net Sales"),0)</f>
        <v>0</v>
      </c>
      <c r="BG58" s="80">
        <f t="shared" ref="BG58:BG111" si="106">IFERROR((BC58-$BA58)/ABS($BA58),0)</f>
        <v>0</v>
      </c>
      <c r="BH58" s="70">
        <f t="shared" ref="BH58:BH111" si="107">(BC58-$BA58)</f>
        <v>0</v>
      </c>
      <c r="BI58" s="80">
        <f t="shared" ref="BI58:BI111" si="108">IFERROR((BE58-$BA58)/ABS($BA58),0)</f>
        <v>-1</v>
      </c>
      <c r="BJ58" s="70">
        <f t="shared" ref="BJ58:BJ111" si="109">(BE58-$BA58)</f>
        <v>-4.0000000000000001E-10</v>
      </c>
      <c r="BK58" s="82"/>
    </row>
    <row r="59" spans="2:63" ht="11.95" outlineLevel="1" thickBot="1" x14ac:dyDescent="0.3">
      <c r="E59" s="3"/>
      <c r="F59" s="3"/>
      <c r="G59" s="3"/>
      <c r="H59" s="256" t="s">
        <v>104</v>
      </c>
      <c r="I59" s="18"/>
      <c r="J59" s="18"/>
      <c r="K59" s="18"/>
      <c r="L59" s="78"/>
      <c r="M59" s="79">
        <v>21788.46</v>
      </c>
      <c r="N59" s="80">
        <f t="shared" si="83"/>
        <v>0</v>
      </c>
      <c r="O59" s="79">
        <v>22694.942538461499</v>
      </c>
      <c r="P59" s="80">
        <f t="shared" si="84"/>
        <v>0</v>
      </c>
      <c r="Q59" s="79">
        <v>22694.942538461499</v>
      </c>
      <c r="R59" s="80">
        <f t="shared" si="85"/>
        <v>0</v>
      </c>
      <c r="S59" s="79">
        <v>0</v>
      </c>
      <c r="T59" s="81">
        <f t="shared" si="86"/>
        <v>0</v>
      </c>
      <c r="U59" s="80">
        <f t="shared" si="87"/>
        <v>4.1603791110592474E-2</v>
      </c>
      <c r="V59" s="70">
        <f t="shared" si="88"/>
        <v>906.48253846149964</v>
      </c>
      <c r="W59" s="80">
        <f t="shared" si="89"/>
        <v>4.1603791110592474E-2</v>
      </c>
      <c r="X59" s="70">
        <f t="shared" si="90"/>
        <v>906.48253846149964</v>
      </c>
      <c r="Y59" s="80">
        <f t="shared" si="91"/>
        <v>-1</v>
      </c>
      <c r="Z59" s="70">
        <f t="shared" si="92"/>
        <v>-21788.46</v>
      </c>
      <c r="AA59" s="82"/>
      <c r="AC59" s="138">
        <v>21788.46</v>
      </c>
      <c r="AD59" s="138">
        <v>0</v>
      </c>
      <c r="AE59" s="138">
        <v>22694.942538461499</v>
      </c>
      <c r="AF59" s="233"/>
      <c r="AG59" s="139"/>
      <c r="AH59" s="233"/>
      <c r="AI59" s="139"/>
      <c r="AK59" s="79">
        <v>21788.46</v>
      </c>
      <c r="AL59" s="80">
        <f t="shared" si="93"/>
        <v>0</v>
      </c>
      <c r="AM59" s="79">
        <v>22694.942538461499</v>
      </c>
      <c r="AN59" s="80">
        <f t="shared" si="94"/>
        <v>0</v>
      </c>
      <c r="AO59" s="79">
        <v>22694.942538461499</v>
      </c>
      <c r="AP59" s="80">
        <f t="shared" si="95"/>
        <v>0</v>
      </c>
      <c r="AQ59" s="79">
        <v>0</v>
      </c>
      <c r="AR59" s="81">
        <f t="shared" si="96"/>
        <v>0</v>
      </c>
      <c r="AS59" s="80">
        <f t="shared" si="97"/>
        <v>4.1603791110592474E-2</v>
      </c>
      <c r="AT59" s="70">
        <f t="shared" si="98"/>
        <v>906.48253846149964</v>
      </c>
      <c r="AU59" s="80">
        <f t="shared" si="99"/>
        <v>3.9942050389652609E-2</v>
      </c>
      <c r="AV59" s="70">
        <f t="shared" si="100"/>
        <v>906.48253846149964</v>
      </c>
      <c r="AW59" s="80">
        <f t="shared" si="101"/>
        <v>-1</v>
      </c>
      <c r="AX59" s="70">
        <f t="shared" si="102"/>
        <v>-21788.46</v>
      </c>
      <c r="AY59" s="82"/>
      <c r="BA59" s="79">
        <v>295034.25300000003</v>
      </c>
      <c r="BB59" s="80">
        <f t="shared" si="103"/>
        <v>0</v>
      </c>
      <c r="BC59" s="79">
        <v>295034.25300000003</v>
      </c>
      <c r="BD59" s="80">
        <f t="shared" si="104"/>
        <v>0</v>
      </c>
      <c r="BE59" s="79">
        <v>229293.74</v>
      </c>
      <c r="BF59" s="81">
        <f t="shared" si="105"/>
        <v>0</v>
      </c>
      <c r="BG59" s="80">
        <f t="shared" si="106"/>
        <v>0</v>
      </c>
      <c r="BH59" s="70">
        <f t="shared" si="107"/>
        <v>0</v>
      </c>
      <c r="BI59" s="80">
        <f t="shared" si="108"/>
        <v>-0.2228233241785659</v>
      </c>
      <c r="BJ59" s="70">
        <f t="shared" si="109"/>
        <v>-65740.513000000035</v>
      </c>
      <c r="BK59" s="82"/>
    </row>
    <row r="60" spans="2:63" ht="11.95" hidden="1" outlineLevel="2" thickBot="1" x14ac:dyDescent="0.3">
      <c r="B60" t="str">
        <f>IF(LEFT(H60,3)="Mul", "#hiderow", "#showrow")</f>
        <v>#hiderow</v>
      </c>
      <c r="E60" s="3"/>
      <c r="F60" s="3"/>
      <c r="G60" s="3"/>
      <c r="H60" s="255" t="s">
        <v>6</v>
      </c>
      <c r="I60" s="18"/>
      <c r="J60" s="18"/>
      <c r="K60" s="18"/>
      <c r="L60" s="78"/>
      <c r="M60" s="79"/>
      <c r="N60" s="80">
        <f t="shared" si="83"/>
        <v>0</v>
      </c>
      <c r="O60" s="79"/>
      <c r="P60" s="80">
        <f t="shared" si="84"/>
        <v>0</v>
      </c>
      <c r="Q60" s="79"/>
      <c r="R60" s="80">
        <f t="shared" si="85"/>
        <v>0</v>
      </c>
      <c r="S60" s="79"/>
      <c r="T60" s="81">
        <f t="shared" si="86"/>
        <v>0</v>
      </c>
      <c r="U60" s="80">
        <f t="shared" si="87"/>
        <v>0</v>
      </c>
      <c r="V60" s="70">
        <f t="shared" si="88"/>
        <v>0</v>
      </c>
      <c r="W60" s="80">
        <f t="shared" si="89"/>
        <v>0</v>
      </c>
      <c r="X60" s="70">
        <f t="shared" si="90"/>
        <v>0</v>
      </c>
      <c r="Y60" s="80">
        <f t="shared" si="91"/>
        <v>0</v>
      </c>
      <c r="Z60" s="70">
        <f t="shared" si="92"/>
        <v>0</v>
      </c>
      <c r="AA60" s="82"/>
      <c r="AC60" s="138"/>
      <c r="AD60" s="138"/>
      <c r="AE60" s="138"/>
      <c r="AF60" s="233"/>
      <c r="AG60" s="139"/>
      <c r="AH60" s="233"/>
      <c r="AI60" s="139"/>
      <c r="AK60" s="79"/>
      <c r="AL60" s="80">
        <f t="shared" si="93"/>
        <v>0</v>
      </c>
      <c r="AM60" s="79"/>
      <c r="AN60" s="80">
        <f t="shared" si="94"/>
        <v>0</v>
      </c>
      <c r="AO60" s="79"/>
      <c r="AP60" s="80">
        <f t="shared" si="95"/>
        <v>0</v>
      </c>
      <c r="AQ60" s="79"/>
      <c r="AR60" s="81">
        <f t="shared" si="96"/>
        <v>0</v>
      </c>
      <c r="AS60" s="80">
        <f t="shared" si="97"/>
        <v>0</v>
      </c>
      <c r="AT60" s="70">
        <f t="shared" si="98"/>
        <v>0</v>
      </c>
      <c r="AU60" s="80">
        <f t="shared" si="99"/>
        <v>0</v>
      </c>
      <c r="AV60" s="70">
        <f t="shared" si="100"/>
        <v>0</v>
      </c>
      <c r="AW60" s="80">
        <f t="shared" si="101"/>
        <v>0</v>
      </c>
      <c r="AX60" s="70">
        <f t="shared" si="102"/>
        <v>0</v>
      </c>
      <c r="AY60" s="82"/>
      <c r="BA60" s="79"/>
      <c r="BB60" s="80">
        <f t="shared" si="103"/>
        <v>0</v>
      </c>
      <c r="BC60" s="79"/>
      <c r="BD60" s="80">
        <f t="shared" si="104"/>
        <v>0</v>
      </c>
      <c r="BE60" s="79"/>
      <c r="BF60" s="81">
        <f t="shared" si="105"/>
        <v>0</v>
      </c>
      <c r="BG60" s="80">
        <f t="shared" si="106"/>
        <v>0</v>
      </c>
      <c r="BH60" s="70">
        <f t="shared" si="107"/>
        <v>0</v>
      </c>
      <c r="BI60" s="80">
        <f t="shared" si="108"/>
        <v>0</v>
      </c>
      <c r="BJ60" s="70">
        <f t="shared" si="109"/>
        <v>0</v>
      </c>
      <c r="BK60" s="82"/>
    </row>
    <row r="61" spans="2:63" ht="11.95" outlineLevel="2" thickBot="1" x14ac:dyDescent="0.3">
      <c r="B61" t="str">
        <f t="shared" ref="B61:B63" si="110">IF(LEFT(H61,3)="Mul", "#hiderow", "#showrow")</f>
        <v>#showrow</v>
      </c>
      <c r="E61" s="3"/>
      <c r="F61" s="3"/>
      <c r="G61" s="3"/>
      <c r="H61" s="255" t="s">
        <v>181</v>
      </c>
      <c r="I61" s="18"/>
      <c r="J61" s="18"/>
      <c r="K61" s="18"/>
      <c r="L61" s="78"/>
      <c r="M61" s="79">
        <v>18076.919999999998</v>
      </c>
      <c r="N61" s="80">
        <f t="shared" si="83"/>
        <v>0</v>
      </c>
      <c r="O61" s="79">
        <v>18396.939999999999</v>
      </c>
      <c r="P61" s="80">
        <f t="shared" si="84"/>
        <v>0</v>
      </c>
      <c r="Q61" s="79">
        <v>18396.939999999999</v>
      </c>
      <c r="R61" s="80">
        <f t="shared" si="85"/>
        <v>0</v>
      </c>
      <c r="S61" s="79"/>
      <c r="T61" s="81">
        <f t="shared" si="86"/>
        <v>0</v>
      </c>
      <c r="U61" s="80">
        <f t="shared" ref="U61:U63" si="111">IFERROR(($O61-M61)/ABS(M61),0)</f>
        <v>1.7703237055870163E-2</v>
      </c>
      <c r="V61" s="70">
        <f t="shared" ref="V61:V63" si="112">IFERROR((O61-$M61), 0-$M61)</f>
        <v>320.02000000000044</v>
      </c>
      <c r="W61" s="80">
        <f t="shared" ref="W61:W63" si="113">IFERROR((Q61-$M61)/ABS($M61),0)</f>
        <v>1.7703237055870163E-2</v>
      </c>
      <c r="X61" s="70">
        <f t="shared" ref="X61:X63" si="114">IFERROR((Q61-$M61), 0 -$M61)</f>
        <v>320.02000000000044</v>
      </c>
      <c r="Y61" s="80">
        <f t="shared" ref="Y61:Y63" si="115">IFERROR((S61-$M61)/ABS($M61),0)</f>
        <v>-1</v>
      </c>
      <c r="Z61" s="70">
        <f t="shared" ref="Z61:Z63" si="116">IFERROR((S61-$M61),0-$M61)</f>
        <v>-18076.919999999998</v>
      </c>
      <c r="AA61" s="82"/>
      <c r="AC61" s="138">
        <v>18076.919999999998</v>
      </c>
      <c r="AD61" s="138">
        <v>0</v>
      </c>
      <c r="AE61" s="138">
        <v>18396.939999999999</v>
      </c>
      <c r="AF61" s="233"/>
      <c r="AG61" s="139"/>
      <c r="AH61" s="233"/>
      <c r="AI61" s="139"/>
      <c r="AK61" s="79">
        <v>18076.919999999998</v>
      </c>
      <c r="AL61" s="80">
        <f t="shared" si="93"/>
        <v>0</v>
      </c>
      <c r="AM61" s="79">
        <v>18396.939999999999</v>
      </c>
      <c r="AN61" s="80">
        <f t="shared" si="94"/>
        <v>0</v>
      </c>
      <c r="AO61" s="79">
        <v>18396.939999999999</v>
      </c>
      <c r="AP61" s="80">
        <f t="shared" si="95"/>
        <v>0</v>
      </c>
      <c r="AQ61" s="79">
        <v>0</v>
      </c>
      <c r="AR61" s="81">
        <f t="shared" si="96"/>
        <v>0</v>
      </c>
      <c r="AS61" s="80">
        <f t="shared" ref="AS61:AS63" si="117">IFERROR((AM61-$AK61)/ABS($AK61),0)</f>
        <v>1.7703237055870163E-2</v>
      </c>
      <c r="AT61" s="70">
        <f t="shared" ref="AT61:AT63" si="118">(AM61-$AK61)</f>
        <v>320.02000000000044</v>
      </c>
      <c r="AU61" s="80">
        <f t="shared" ref="AU61:AU63" si="119">IFERROR((AO61-$AK61)/ABS($AO61),0)</f>
        <v>1.73952842157446E-2</v>
      </c>
      <c r="AV61" s="70">
        <f t="shared" ref="AV61:AV63" si="120">(AO61-$AK61)</f>
        <v>320.02000000000044</v>
      </c>
      <c r="AW61" s="80">
        <f t="shared" ref="AW61:AW63" si="121">IFERROR((AQ61-$AK61)/ABS($AK61),0)</f>
        <v>-1</v>
      </c>
      <c r="AX61" s="70">
        <f t="shared" ref="AX61:AX63" si="122">(AQ61-$AK61)</f>
        <v>-18076.919999999998</v>
      </c>
      <c r="AY61" s="82"/>
      <c r="BA61" s="79">
        <v>239160.22</v>
      </c>
      <c r="BB61" s="80">
        <f t="shared" si="103"/>
        <v>0</v>
      </c>
      <c r="BC61" s="79">
        <v>239160.22</v>
      </c>
      <c r="BD61" s="80">
        <f t="shared" si="104"/>
        <v>0</v>
      </c>
      <c r="BE61" s="79">
        <v>161834.99</v>
      </c>
      <c r="BF61" s="81">
        <f t="shared" si="105"/>
        <v>0</v>
      </c>
      <c r="BG61" s="80">
        <f t="shared" ref="BG61:BG63" si="123">IFERROR((BC61-$BA61)/ABS($BA61),0)</f>
        <v>0</v>
      </c>
      <c r="BH61" s="70">
        <f t="shared" ref="BH61:BH63" si="124">(BC61-$BA61)</f>
        <v>0</v>
      </c>
      <c r="BI61" s="80">
        <f t="shared" ref="BI61:BI63" si="125">IFERROR((BE61-$BA61)/ABS($BA61),0)</f>
        <v>-0.32331978119103588</v>
      </c>
      <c r="BJ61" s="70">
        <f t="shared" ref="BJ61:BJ63" si="126">(BE61-$BA61)</f>
        <v>-77325.23000000001</v>
      </c>
      <c r="BK61" s="82"/>
    </row>
    <row r="62" spans="2:63" ht="11.95" outlineLevel="2" thickBot="1" x14ac:dyDescent="0.3">
      <c r="B62" t="str">
        <f t="shared" si="110"/>
        <v>#showrow</v>
      </c>
      <c r="E62" s="3"/>
      <c r="F62" s="3"/>
      <c r="G62" s="3"/>
      <c r="H62" s="255" t="s">
        <v>183</v>
      </c>
      <c r="I62" s="18"/>
      <c r="J62" s="18"/>
      <c r="K62" s="18"/>
      <c r="L62" s="78"/>
      <c r="M62" s="79">
        <v>2711.54</v>
      </c>
      <c r="N62" s="80">
        <f t="shared" si="83"/>
        <v>0</v>
      </c>
      <c r="O62" s="79">
        <v>2759.5410000000002</v>
      </c>
      <c r="P62" s="80">
        <f t="shared" si="84"/>
        <v>0</v>
      </c>
      <c r="Q62" s="79">
        <v>2759.5410000000002</v>
      </c>
      <c r="R62" s="80">
        <f t="shared" si="85"/>
        <v>0</v>
      </c>
      <c r="S62" s="79"/>
      <c r="T62" s="81">
        <f t="shared" si="86"/>
        <v>0</v>
      </c>
      <c r="U62" s="80">
        <f t="shared" si="111"/>
        <v>1.7702486409936866E-2</v>
      </c>
      <c r="V62" s="70">
        <f t="shared" si="112"/>
        <v>48.001000000000204</v>
      </c>
      <c r="W62" s="80">
        <f t="shared" si="113"/>
        <v>1.7702486409936866E-2</v>
      </c>
      <c r="X62" s="70">
        <f t="shared" si="114"/>
        <v>48.001000000000204</v>
      </c>
      <c r="Y62" s="80">
        <f t="shared" si="115"/>
        <v>-1</v>
      </c>
      <c r="Z62" s="70">
        <f t="shared" si="116"/>
        <v>-2711.54</v>
      </c>
      <c r="AA62" s="82"/>
      <c r="AC62" s="138">
        <v>2711.54</v>
      </c>
      <c r="AD62" s="138">
        <v>0</v>
      </c>
      <c r="AE62" s="138">
        <v>2759.5410000000002</v>
      </c>
      <c r="AF62" s="233"/>
      <c r="AG62" s="139"/>
      <c r="AH62" s="233"/>
      <c r="AI62" s="139"/>
      <c r="AK62" s="79">
        <v>2711.54</v>
      </c>
      <c r="AL62" s="80">
        <f t="shared" si="93"/>
        <v>0</v>
      </c>
      <c r="AM62" s="79">
        <v>2759.5410000000002</v>
      </c>
      <c r="AN62" s="80">
        <f t="shared" si="94"/>
        <v>0</v>
      </c>
      <c r="AO62" s="79">
        <v>2759.5410000000002</v>
      </c>
      <c r="AP62" s="80">
        <f t="shared" si="95"/>
        <v>0</v>
      </c>
      <c r="AQ62" s="79">
        <v>0</v>
      </c>
      <c r="AR62" s="81">
        <f t="shared" si="96"/>
        <v>0</v>
      </c>
      <c r="AS62" s="80">
        <f t="shared" si="117"/>
        <v>1.7702486409936866E-2</v>
      </c>
      <c r="AT62" s="70">
        <f t="shared" si="118"/>
        <v>48.001000000000204</v>
      </c>
      <c r="AU62" s="80">
        <f t="shared" si="119"/>
        <v>1.7394559457533047E-2</v>
      </c>
      <c r="AV62" s="70">
        <f t="shared" si="120"/>
        <v>48.001000000000204</v>
      </c>
      <c r="AW62" s="80">
        <f t="shared" si="121"/>
        <v>-1</v>
      </c>
      <c r="AX62" s="70">
        <f t="shared" si="122"/>
        <v>-2711.54</v>
      </c>
      <c r="AY62" s="82"/>
      <c r="BA62" s="79">
        <v>35874.033000000003</v>
      </c>
      <c r="BB62" s="80">
        <f t="shared" si="103"/>
        <v>0</v>
      </c>
      <c r="BC62" s="79">
        <v>35874.033000000003</v>
      </c>
      <c r="BD62" s="80">
        <f t="shared" si="104"/>
        <v>0</v>
      </c>
      <c r="BE62" s="79">
        <v>40458.75</v>
      </c>
      <c r="BF62" s="81">
        <f t="shared" si="105"/>
        <v>0</v>
      </c>
      <c r="BG62" s="80">
        <f t="shared" si="123"/>
        <v>0</v>
      </c>
      <c r="BH62" s="70">
        <f t="shared" si="124"/>
        <v>0</v>
      </c>
      <c r="BI62" s="80">
        <f t="shared" si="125"/>
        <v>0.12780043436989638</v>
      </c>
      <c r="BJ62" s="70">
        <f t="shared" si="126"/>
        <v>4584.7169999999969</v>
      </c>
      <c r="BK62" s="82"/>
    </row>
    <row r="63" spans="2:63" ht="11.95" outlineLevel="2" thickBot="1" x14ac:dyDescent="0.3">
      <c r="B63" t="str">
        <f t="shared" si="110"/>
        <v>#showrow</v>
      </c>
      <c r="E63" s="3"/>
      <c r="F63" s="3"/>
      <c r="G63" s="3"/>
      <c r="H63" s="255" t="s">
        <v>185</v>
      </c>
      <c r="I63" s="18"/>
      <c r="J63" s="18"/>
      <c r="K63" s="18"/>
      <c r="L63" s="78"/>
      <c r="M63" s="79">
        <v>1000</v>
      </c>
      <c r="N63" s="80">
        <f t="shared" si="83"/>
        <v>0</v>
      </c>
      <c r="O63" s="79">
        <v>1538.4615384615399</v>
      </c>
      <c r="P63" s="80">
        <f t="shared" si="84"/>
        <v>0</v>
      </c>
      <c r="Q63" s="79">
        <v>1538.4615384615399</v>
      </c>
      <c r="R63" s="80">
        <f t="shared" si="85"/>
        <v>0</v>
      </c>
      <c r="S63" s="79"/>
      <c r="T63" s="81">
        <f t="shared" si="86"/>
        <v>0</v>
      </c>
      <c r="U63" s="80">
        <f t="shared" si="111"/>
        <v>0.53846153846153988</v>
      </c>
      <c r="V63" s="70">
        <f t="shared" si="112"/>
        <v>538.46153846153993</v>
      </c>
      <c r="W63" s="80">
        <f t="shared" si="113"/>
        <v>0.53846153846153988</v>
      </c>
      <c r="X63" s="70">
        <f t="shared" si="114"/>
        <v>538.46153846153993</v>
      </c>
      <c r="Y63" s="80">
        <f t="shared" si="115"/>
        <v>-1</v>
      </c>
      <c r="Z63" s="70">
        <f t="shared" si="116"/>
        <v>-1000</v>
      </c>
      <c r="AA63" s="82"/>
      <c r="AC63" s="138">
        <v>1000</v>
      </c>
      <c r="AD63" s="138">
        <v>0</v>
      </c>
      <c r="AE63" s="138">
        <v>1538.4615384615399</v>
      </c>
      <c r="AF63" s="233"/>
      <c r="AG63" s="139"/>
      <c r="AH63" s="233"/>
      <c r="AI63" s="139"/>
      <c r="AK63" s="79">
        <v>1000</v>
      </c>
      <c r="AL63" s="80">
        <f t="shared" si="93"/>
        <v>0</v>
      </c>
      <c r="AM63" s="79">
        <v>1538.4615384615399</v>
      </c>
      <c r="AN63" s="80">
        <f t="shared" si="94"/>
        <v>0</v>
      </c>
      <c r="AO63" s="79">
        <v>1538.4615384615399</v>
      </c>
      <c r="AP63" s="80">
        <f t="shared" si="95"/>
        <v>0</v>
      </c>
      <c r="AQ63" s="79">
        <v>0</v>
      </c>
      <c r="AR63" s="81">
        <f t="shared" si="96"/>
        <v>0</v>
      </c>
      <c r="AS63" s="80">
        <f t="shared" si="117"/>
        <v>0.53846153846153988</v>
      </c>
      <c r="AT63" s="70">
        <f t="shared" si="118"/>
        <v>538.46153846153993</v>
      </c>
      <c r="AU63" s="80">
        <f t="shared" si="119"/>
        <v>0.35000000000000064</v>
      </c>
      <c r="AV63" s="70">
        <f t="shared" si="120"/>
        <v>538.46153846153993</v>
      </c>
      <c r="AW63" s="80">
        <f t="shared" si="121"/>
        <v>-1</v>
      </c>
      <c r="AX63" s="70">
        <f t="shared" si="122"/>
        <v>-1000</v>
      </c>
      <c r="AY63" s="82"/>
      <c r="BA63" s="79">
        <v>20000</v>
      </c>
      <c r="BB63" s="80">
        <f t="shared" si="103"/>
        <v>0</v>
      </c>
      <c r="BC63" s="79">
        <v>20000</v>
      </c>
      <c r="BD63" s="80">
        <f t="shared" si="104"/>
        <v>0</v>
      </c>
      <c r="BE63" s="79">
        <v>27000</v>
      </c>
      <c r="BF63" s="81">
        <f t="shared" si="105"/>
        <v>0</v>
      </c>
      <c r="BG63" s="80">
        <f t="shared" si="123"/>
        <v>0</v>
      </c>
      <c r="BH63" s="70">
        <f t="shared" si="124"/>
        <v>0</v>
      </c>
      <c r="BI63" s="80">
        <f t="shared" si="125"/>
        <v>0.35</v>
      </c>
      <c r="BJ63" s="70">
        <f t="shared" si="126"/>
        <v>7000</v>
      </c>
      <c r="BK63" s="82"/>
    </row>
    <row r="64" spans="2:63" ht="11.95" outlineLevel="1" thickBot="1" x14ac:dyDescent="0.3">
      <c r="E64" s="3"/>
      <c r="F64" s="3"/>
      <c r="G64" s="3"/>
      <c r="H64" s="256" t="s">
        <v>105</v>
      </c>
      <c r="I64" s="18"/>
      <c r="J64" s="18"/>
      <c r="K64" s="18"/>
      <c r="L64" s="78"/>
      <c r="M64" s="79">
        <v>8448.41</v>
      </c>
      <c r="N64" s="80">
        <f t="shared" si="83"/>
        <v>0</v>
      </c>
      <c r="O64" s="79">
        <v>6000</v>
      </c>
      <c r="P64" s="80">
        <f t="shared" si="84"/>
        <v>0</v>
      </c>
      <c r="Q64" s="79">
        <v>6000</v>
      </c>
      <c r="R64" s="80">
        <f t="shared" si="85"/>
        <v>0</v>
      </c>
      <c r="S64" s="79">
        <v>0</v>
      </c>
      <c r="T64" s="81">
        <f t="shared" si="86"/>
        <v>0</v>
      </c>
      <c r="U64" s="80">
        <f t="shared" si="87"/>
        <v>-0.28980719448985076</v>
      </c>
      <c r="V64" s="70">
        <f t="shared" si="88"/>
        <v>-2448.41</v>
      </c>
      <c r="W64" s="80">
        <f t="shared" si="89"/>
        <v>-0.28980719448985076</v>
      </c>
      <c r="X64" s="260">
        <f t="shared" si="90"/>
        <v>-2448.41</v>
      </c>
      <c r="Y64" s="80">
        <f t="shared" si="91"/>
        <v>-1</v>
      </c>
      <c r="Z64" s="70">
        <f t="shared" si="92"/>
        <v>-8448.41</v>
      </c>
      <c r="AA64" s="82"/>
      <c r="AC64" s="138">
        <v>8448.41</v>
      </c>
      <c r="AD64" s="138">
        <v>0</v>
      </c>
      <c r="AE64" s="138">
        <v>6000</v>
      </c>
      <c r="AF64" s="233"/>
      <c r="AG64" s="139"/>
      <c r="AH64" s="233"/>
      <c r="AI64" s="139"/>
      <c r="AK64" s="79">
        <v>8448.41</v>
      </c>
      <c r="AL64" s="80">
        <f t="shared" si="93"/>
        <v>0</v>
      </c>
      <c r="AM64" s="79">
        <v>6000</v>
      </c>
      <c r="AN64" s="80">
        <f t="shared" si="94"/>
        <v>0</v>
      </c>
      <c r="AO64" s="79">
        <v>6000</v>
      </c>
      <c r="AP64" s="80">
        <f t="shared" si="95"/>
        <v>0</v>
      </c>
      <c r="AQ64" s="79">
        <v>0</v>
      </c>
      <c r="AR64" s="81">
        <f t="shared" si="96"/>
        <v>0</v>
      </c>
      <c r="AS64" s="80">
        <f t="shared" si="97"/>
        <v>-0.28980719448985076</v>
      </c>
      <c r="AT64" s="70">
        <f t="shared" si="98"/>
        <v>-2448.41</v>
      </c>
      <c r="AU64" s="80">
        <f t="shared" si="99"/>
        <v>-0.40806833333333331</v>
      </c>
      <c r="AV64" s="70">
        <f t="shared" si="100"/>
        <v>-2448.41</v>
      </c>
      <c r="AW64" s="80">
        <f t="shared" si="101"/>
        <v>-1</v>
      </c>
      <c r="AX64" s="70">
        <f t="shared" si="102"/>
        <v>-8448.41</v>
      </c>
      <c r="AY64" s="82"/>
      <c r="BA64" s="79">
        <v>72000</v>
      </c>
      <c r="BB64" s="80">
        <f t="shared" si="103"/>
        <v>0</v>
      </c>
      <c r="BC64" s="79">
        <v>72000</v>
      </c>
      <c r="BD64" s="80">
        <f t="shared" si="104"/>
        <v>0</v>
      </c>
      <c r="BE64" s="79">
        <v>59504.7</v>
      </c>
      <c r="BF64" s="81">
        <f t="shared" si="105"/>
        <v>0</v>
      </c>
      <c r="BG64" s="80">
        <f t="shared" si="106"/>
        <v>0</v>
      </c>
      <c r="BH64" s="70">
        <f t="shared" si="107"/>
        <v>0</v>
      </c>
      <c r="BI64" s="80">
        <f t="shared" si="108"/>
        <v>-0.17354583333333337</v>
      </c>
      <c r="BJ64" s="70">
        <f t="shared" si="109"/>
        <v>-12495.300000000003</v>
      </c>
      <c r="BK64" s="82"/>
    </row>
    <row r="65" spans="2:63" ht="11.95" hidden="1" outlineLevel="2" thickBot="1" x14ac:dyDescent="0.3">
      <c r="B65" t="str">
        <f t="shared" ref="B65" si="127">IF(LEFT(H65,3)="Mul", "#hiderow", "#showrow")</f>
        <v>#hiderow</v>
      </c>
      <c r="E65" s="3"/>
      <c r="F65" s="3"/>
      <c r="G65" s="3"/>
      <c r="H65" s="255" t="s">
        <v>6</v>
      </c>
      <c r="I65" s="18"/>
      <c r="J65" s="18"/>
      <c r="K65" s="18"/>
      <c r="L65" s="78"/>
      <c r="M65" s="79"/>
      <c r="N65" s="80">
        <f t="shared" si="83"/>
        <v>0</v>
      </c>
      <c r="O65" s="79"/>
      <c r="P65" s="80">
        <f t="shared" si="84"/>
        <v>0</v>
      </c>
      <c r="Q65" s="79"/>
      <c r="R65" s="80">
        <f t="shared" si="85"/>
        <v>0</v>
      </c>
      <c r="S65" s="79"/>
      <c r="T65" s="81">
        <f t="shared" si="86"/>
        <v>0</v>
      </c>
      <c r="U65" s="80">
        <f t="shared" si="87"/>
        <v>0</v>
      </c>
      <c r="V65" s="70">
        <f t="shared" si="88"/>
        <v>0</v>
      </c>
      <c r="W65" s="80">
        <f t="shared" si="89"/>
        <v>0</v>
      </c>
      <c r="X65" s="70">
        <f t="shared" si="90"/>
        <v>0</v>
      </c>
      <c r="Y65" s="80">
        <f t="shared" si="91"/>
        <v>0</v>
      </c>
      <c r="Z65" s="70">
        <f t="shared" si="92"/>
        <v>0</v>
      </c>
      <c r="AA65" s="82"/>
      <c r="AC65" s="138"/>
      <c r="AD65" s="138"/>
      <c r="AE65" s="138"/>
      <c r="AF65" s="233"/>
      <c r="AG65" s="139"/>
      <c r="AH65" s="233"/>
      <c r="AI65" s="139"/>
      <c r="AK65" s="79"/>
      <c r="AL65" s="80">
        <f t="shared" si="93"/>
        <v>0</v>
      </c>
      <c r="AM65" s="79"/>
      <c r="AN65" s="80">
        <f t="shared" si="94"/>
        <v>0</v>
      </c>
      <c r="AO65" s="79"/>
      <c r="AP65" s="80">
        <f t="shared" si="95"/>
        <v>0</v>
      </c>
      <c r="AQ65" s="79"/>
      <c r="AR65" s="81">
        <f t="shared" si="96"/>
        <v>0</v>
      </c>
      <c r="AS65" s="80">
        <f t="shared" si="97"/>
        <v>0</v>
      </c>
      <c r="AT65" s="70">
        <f t="shared" si="98"/>
        <v>0</v>
      </c>
      <c r="AU65" s="80">
        <f t="shared" si="99"/>
        <v>0</v>
      </c>
      <c r="AV65" s="70">
        <f t="shared" si="100"/>
        <v>0</v>
      </c>
      <c r="AW65" s="80">
        <f t="shared" si="101"/>
        <v>0</v>
      </c>
      <c r="AX65" s="70">
        <f t="shared" si="102"/>
        <v>0</v>
      </c>
      <c r="AY65" s="82"/>
      <c r="BA65" s="79"/>
      <c r="BB65" s="80">
        <f t="shared" si="103"/>
        <v>0</v>
      </c>
      <c r="BC65" s="79"/>
      <c r="BD65" s="80">
        <f t="shared" si="104"/>
        <v>0</v>
      </c>
      <c r="BE65" s="79"/>
      <c r="BF65" s="81">
        <f t="shared" si="105"/>
        <v>0</v>
      </c>
      <c r="BG65" s="80">
        <f t="shared" si="106"/>
        <v>0</v>
      </c>
      <c r="BH65" s="70">
        <f t="shared" si="107"/>
        <v>0</v>
      </c>
      <c r="BI65" s="80">
        <f t="shared" si="108"/>
        <v>0</v>
      </c>
      <c r="BJ65" s="70">
        <f t="shared" si="109"/>
        <v>0</v>
      </c>
      <c r="BK65" s="82"/>
    </row>
    <row r="66" spans="2:63" ht="11.95" outlineLevel="2" thickBot="1" x14ac:dyDescent="0.3">
      <c r="B66" t="str">
        <f t="shared" ref="B66:B74" si="128">IF(LEFT(H66,3)="Mul", "#hiderow", "#showrow")</f>
        <v>#showrow</v>
      </c>
      <c r="E66" s="3"/>
      <c r="F66" s="3"/>
      <c r="G66" s="3"/>
      <c r="H66" s="255" t="s">
        <v>164</v>
      </c>
      <c r="I66" s="18"/>
      <c r="J66" s="18"/>
      <c r="K66" s="18"/>
      <c r="L66" s="78"/>
      <c r="M66" s="79">
        <v>3958.01</v>
      </c>
      <c r="N66" s="80">
        <f t="shared" si="83"/>
        <v>0</v>
      </c>
      <c r="O66" s="79"/>
      <c r="P66" s="80">
        <f t="shared" si="84"/>
        <v>0</v>
      </c>
      <c r="Q66" s="79"/>
      <c r="R66" s="80">
        <f t="shared" si="85"/>
        <v>0</v>
      </c>
      <c r="S66" s="79"/>
      <c r="T66" s="81">
        <f t="shared" si="86"/>
        <v>0</v>
      </c>
      <c r="U66" s="80">
        <f t="shared" ref="U66:U74" si="129">IFERROR(($O66-M66)/ABS(M66),0)</f>
        <v>-1</v>
      </c>
      <c r="V66" s="70">
        <f t="shared" ref="V66:V74" si="130">IFERROR((O66-$M66), 0-$M66)</f>
        <v>-3958.01</v>
      </c>
      <c r="W66" s="80">
        <f t="shared" ref="W66:W74" si="131">IFERROR((Q66-$M66)/ABS($M66),0)</f>
        <v>-1</v>
      </c>
      <c r="X66" s="70">
        <f t="shared" ref="X66:X74" si="132">IFERROR((Q66-$M66), 0 -$M66)</f>
        <v>-3958.01</v>
      </c>
      <c r="Y66" s="80">
        <f t="shared" ref="Y66:Y74" si="133">IFERROR((S66-$M66)/ABS($M66),0)</f>
        <v>-1</v>
      </c>
      <c r="Z66" s="70">
        <f t="shared" ref="Z66:Z74" si="134">IFERROR((S66-$M66),0-$M66)</f>
        <v>-3958.01</v>
      </c>
      <c r="AA66" s="82"/>
      <c r="AC66" s="138">
        <v>3958.01</v>
      </c>
      <c r="AD66" s="138">
        <v>0</v>
      </c>
      <c r="AE66" s="138">
        <v>0</v>
      </c>
      <c r="AF66" s="233"/>
      <c r="AG66" s="139"/>
      <c r="AH66" s="233"/>
      <c r="AI66" s="139"/>
      <c r="AK66" s="79">
        <v>3958.01</v>
      </c>
      <c r="AL66" s="80">
        <f t="shared" si="93"/>
        <v>0</v>
      </c>
      <c r="AM66" s="79">
        <v>0</v>
      </c>
      <c r="AN66" s="80">
        <f t="shared" si="94"/>
        <v>0</v>
      </c>
      <c r="AO66" s="79">
        <v>0</v>
      </c>
      <c r="AP66" s="80">
        <f t="shared" si="95"/>
        <v>0</v>
      </c>
      <c r="AQ66" s="79">
        <v>0</v>
      </c>
      <c r="AR66" s="81">
        <f t="shared" si="96"/>
        <v>0</v>
      </c>
      <c r="AS66" s="80">
        <f t="shared" ref="AS66:AS74" si="135">IFERROR((AM66-$AK66)/ABS($AK66),0)</f>
        <v>-1</v>
      </c>
      <c r="AT66" s="70">
        <f t="shared" ref="AT66:AT74" si="136">(AM66-$AK66)</f>
        <v>-3958.01</v>
      </c>
      <c r="AU66" s="80">
        <f t="shared" ref="AU66:AU74" si="137">IFERROR((AO66-$AK66)/ABS($AO66),0)</f>
        <v>0</v>
      </c>
      <c r="AV66" s="70">
        <f t="shared" ref="AV66:AV74" si="138">(AO66-$AK66)</f>
        <v>-3958.01</v>
      </c>
      <c r="AW66" s="80">
        <f t="shared" ref="AW66:AW74" si="139">IFERROR((AQ66-$AK66)/ABS($AK66),0)</f>
        <v>-1</v>
      </c>
      <c r="AX66" s="70">
        <f t="shared" ref="AX66:AX74" si="140">(AQ66-$AK66)</f>
        <v>-3958.01</v>
      </c>
      <c r="AY66" s="82"/>
      <c r="BA66" s="79">
        <v>0</v>
      </c>
      <c r="BB66" s="80">
        <f t="shared" si="103"/>
        <v>0</v>
      </c>
      <c r="BC66" s="79">
        <v>0</v>
      </c>
      <c r="BD66" s="80">
        <f t="shared" si="104"/>
        <v>0</v>
      </c>
      <c r="BE66" s="79">
        <v>19377.84</v>
      </c>
      <c r="BF66" s="81">
        <f t="shared" si="105"/>
        <v>0</v>
      </c>
      <c r="BG66" s="80">
        <f t="shared" ref="BG66:BG74" si="141">IFERROR((BC66-$BA66)/ABS($BA66),0)</f>
        <v>0</v>
      </c>
      <c r="BH66" s="70">
        <f t="shared" ref="BH66:BH74" si="142">(BC66-$BA66)</f>
        <v>0</v>
      </c>
      <c r="BI66" s="80">
        <f t="shared" ref="BI66:BI74" si="143">IFERROR((BE66-$BA66)/ABS($BA66),0)</f>
        <v>0</v>
      </c>
      <c r="BJ66" s="70">
        <f t="shared" ref="BJ66:BJ74" si="144">(BE66-$BA66)</f>
        <v>19377.84</v>
      </c>
      <c r="BK66" s="82"/>
    </row>
    <row r="67" spans="2:63" ht="11.95" outlineLevel="2" thickBot="1" x14ac:dyDescent="0.3">
      <c r="B67" t="str">
        <f t="shared" si="128"/>
        <v>#showrow</v>
      </c>
      <c r="E67" s="3"/>
      <c r="F67" s="3"/>
      <c r="G67" s="3"/>
      <c r="H67" s="255" t="s">
        <v>165</v>
      </c>
      <c r="I67" s="18"/>
      <c r="J67" s="18"/>
      <c r="K67" s="18"/>
      <c r="L67" s="78"/>
      <c r="M67" s="79"/>
      <c r="N67" s="80">
        <f t="shared" si="83"/>
        <v>0</v>
      </c>
      <c r="O67" s="79"/>
      <c r="P67" s="80">
        <f t="shared" si="84"/>
        <v>0</v>
      </c>
      <c r="Q67" s="79"/>
      <c r="R67" s="80">
        <f t="shared" si="85"/>
        <v>0</v>
      </c>
      <c r="S67" s="79"/>
      <c r="T67" s="81">
        <f t="shared" si="86"/>
        <v>0</v>
      </c>
      <c r="U67" s="80">
        <f t="shared" si="129"/>
        <v>0</v>
      </c>
      <c r="V67" s="70">
        <f t="shared" si="130"/>
        <v>0</v>
      </c>
      <c r="W67" s="80">
        <f t="shared" si="131"/>
        <v>0</v>
      </c>
      <c r="X67" s="70">
        <f t="shared" si="132"/>
        <v>0</v>
      </c>
      <c r="Y67" s="80">
        <f t="shared" si="133"/>
        <v>0</v>
      </c>
      <c r="Z67" s="70">
        <f t="shared" si="134"/>
        <v>0</v>
      </c>
      <c r="AA67" s="82"/>
      <c r="AC67" s="138">
        <v>0</v>
      </c>
      <c r="AD67" s="138">
        <v>0</v>
      </c>
      <c r="AE67" s="138">
        <v>0</v>
      </c>
      <c r="AF67" s="233"/>
      <c r="AG67" s="139"/>
      <c r="AH67" s="233"/>
      <c r="AI67" s="139"/>
      <c r="AK67" s="79">
        <v>0</v>
      </c>
      <c r="AL67" s="80">
        <f t="shared" si="93"/>
        <v>0</v>
      </c>
      <c r="AM67" s="79">
        <v>0</v>
      </c>
      <c r="AN67" s="80">
        <f t="shared" si="94"/>
        <v>0</v>
      </c>
      <c r="AO67" s="79">
        <v>0</v>
      </c>
      <c r="AP67" s="80">
        <f t="shared" si="95"/>
        <v>0</v>
      </c>
      <c r="AQ67" s="79">
        <v>0</v>
      </c>
      <c r="AR67" s="81">
        <f t="shared" si="96"/>
        <v>0</v>
      </c>
      <c r="AS67" s="80">
        <f t="shared" si="135"/>
        <v>0</v>
      </c>
      <c r="AT67" s="70">
        <f t="shared" si="136"/>
        <v>0</v>
      </c>
      <c r="AU67" s="80">
        <f t="shared" si="137"/>
        <v>0</v>
      </c>
      <c r="AV67" s="70">
        <f t="shared" si="138"/>
        <v>0</v>
      </c>
      <c r="AW67" s="80">
        <f t="shared" si="139"/>
        <v>0</v>
      </c>
      <c r="AX67" s="70">
        <f t="shared" si="140"/>
        <v>0</v>
      </c>
      <c r="AY67" s="82"/>
      <c r="BA67" s="79">
        <v>0</v>
      </c>
      <c r="BB67" s="80">
        <f t="shared" si="103"/>
        <v>0</v>
      </c>
      <c r="BC67" s="79">
        <v>0</v>
      </c>
      <c r="BD67" s="80">
        <f t="shared" si="104"/>
        <v>0</v>
      </c>
      <c r="BE67" s="79">
        <v>1771.63</v>
      </c>
      <c r="BF67" s="81">
        <f t="shared" si="105"/>
        <v>0</v>
      </c>
      <c r="BG67" s="80">
        <f t="shared" si="141"/>
        <v>0</v>
      </c>
      <c r="BH67" s="70">
        <f t="shared" si="142"/>
        <v>0</v>
      </c>
      <c r="BI67" s="80">
        <f t="shared" si="143"/>
        <v>0</v>
      </c>
      <c r="BJ67" s="70">
        <f t="shared" si="144"/>
        <v>1771.63</v>
      </c>
      <c r="BK67" s="82"/>
    </row>
    <row r="68" spans="2:63" ht="11.95" outlineLevel="2" thickBot="1" x14ac:dyDescent="0.3">
      <c r="B68" t="str">
        <f t="shared" si="128"/>
        <v>#showrow</v>
      </c>
      <c r="E68" s="3"/>
      <c r="F68" s="3"/>
      <c r="G68" s="3"/>
      <c r="H68" s="255" t="s">
        <v>166</v>
      </c>
      <c r="I68" s="18"/>
      <c r="J68" s="18"/>
      <c r="K68" s="18"/>
      <c r="L68" s="78"/>
      <c r="M68" s="79">
        <v>1126.98</v>
      </c>
      <c r="N68" s="80">
        <f t="shared" si="83"/>
        <v>0</v>
      </c>
      <c r="O68" s="79"/>
      <c r="P68" s="80">
        <f t="shared" si="84"/>
        <v>0</v>
      </c>
      <c r="Q68" s="79"/>
      <c r="R68" s="80">
        <f t="shared" si="85"/>
        <v>0</v>
      </c>
      <c r="S68" s="79"/>
      <c r="T68" s="81">
        <f t="shared" si="86"/>
        <v>0</v>
      </c>
      <c r="U68" s="80">
        <f t="shared" si="129"/>
        <v>-1</v>
      </c>
      <c r="V68" s="70">
        <f t="shared" si="130"/>
        <v>-1126.98</v>
      </c>
      <c r="W68" s="80">
        <f t="shared" si="131"/>
        <v>-1</v>
      </c>
      <c r="X68" s="70">
        <f t="shared" si="132"/>
        <v>-1126.98</v>
      </c>
      <c r="Y68" s="80">
        <f t="shared" si="133"/>
        <v>-1</v>
      </c>
      <c r="Z68" s="70">
        <f t="shared" si="134"/>
        <v>-1126.98</v>
      </c>
      <c r="AA68" s="82"/>
      <c r="AC68" s="138">
        <v>1126.98</v>
      </c>
      <c r="AD68" s="138">
        <v>0</v>
      </c>
      <c r="AE68" s="138">
        <v>0</v>
      </c>
      <c r="AF68" s="233"/>
      <c r="AG68" s="139"/>
      <c r="AH68" s="233"/>
      <c r="AI68" s="139"/>
      <c r="AK68" s="79">
        <v>1126.98</v>
      </c>
      <c r="AL68" s="80">
        <f t="shared" si="93"/>
        <v>0</v>
      </c>
      <c r="AM68" s="79">
        <v>0</v>
      </c>
      <c r="AN68" s="80">
        <f t="shared" si="94"/>
        <v>0</v>
      </c>
      <c r="AO68" s="79">
        <v>0</v>
      </c>
      <c r="AP68" s="80">
        <f t="shared" si="95"/>
        <v>0</v>
      </c>
      <c r="AQ68" s="79">
        <v>0</v>
      </c>
      <c r="AR68" s="81">
        <f t="shared" si="96"/>
        <v>0</v>
      </c>
      <c r="AS68" s="80">
        <f t="shared" si="135"/>
        <v>-1</v>
      </c>
      <c r="AT68" s="70">
        <f t="shared" si="136"/>
        <v>-1126.98</v>
      </c>
      <c r="AU68" s="80">
        <f t="shared" si="137"/>
        <v>0</v>
      </c>
      <c r="AV68" s="70">
        <f t="shared" si="138"/>
        <v>-1126.98</v>
      </c>
      <c r="AW68" s="80">
        <f t="shared" si="139"/>
        <v>-1</v>
      </c>
      <c r="AX68" s="70">
        <f t="shared" si="140"/>
        <v>-1126.98</v>
      </c>
      <c r="AY68" s="82"/>
      <c r="BA68" s="79">
        <v>0</v>
      </c>
      <c r="BB68" s="80">
        <f t="shared" si="103"/>
        <v>0</v>
      </c>
      <c r="BC68" s="79">
        <v>0</v>
      </c>
      <c r="BD68" s="80">
        <f t="shared" si="104"/>
        <v>0</v>
      </c>
      <c r="BE68" s="79">
        <v>885.7</v>
      </c>
      <c r="BF68" s="81">
        <f t="shared" si="105"/>
        <v>0</v>
      </c>
      <c r="BG68" s="80">
        <f t="shared" si="141"/>
        <v>0</v>
      </c>
      <c r="BH68" s="70">
        <f t="shared" si="142"/>
        <v>0</v>
      </c>
      <c r="BI68" s="80">
        <f t="shared" si="143"/>
        <v>0</v>
      </c>
      <c r="BJ68" s="70">
        <f t="shared" si="144"/>
        <v>885.7</v>
      </c>
      <c r="BK68" s="82"/>
    </row>
    <row r="69" spans="2:63" ht="11.95" outlineLevel="2" thickBot="1" x14ac:dyDescent="0.3">
      <c r="B69" t="str">
        <f t="shared" si="128"/>
        <v>#showrow</v>
      </c>
      <c r="E69" s="3"/>
      <c r="F69" s="3"/>
      <c r="G69" s="3"/>
      <c r="H69" s="255" t="s">
        <v>167</v>
      </c>
      <c r="I69" s="18"/>
      <c r="J69" s="18"/>
      <c r="K69" s="18"/>
      <c r="L69" s="78"/>
      <c r="M69" s="79"/>
      <c r="N69" s="80">
        <f t="shared" si="83"/>
        <v>0</v>
      </c>
      <c r="O69" s="79"/>
      <c r="P69" s="80">
        <f t="shared" si="84"/>
        <v>0</v>
      </c>
      <c r="Q69" s="79"/>
      <c r="R69" s="80">
        <f t="shared" si="85"/>
        <v>0</v>
      </c>
      <c r="S69" s="79"/>
      <c r="T69" s="81">
        <f t="shared" si="86"/>
        <v>0</v>
      </c>
      <c r="U69" s="80">
        <f t="shared" si="129"/>
        <v>0</v>
      </c>
      <c r="V69" s="70">
        <f t="shared" si="130"/>
        <v>0</v>
      </c>
      <c r="W69" s="80">
        <f t="shared" si="131"/>
        <v>0</v>
      </c>
      <c r="X69" s="70">
        <f t="shared" si="132"/>
        <v>0</v>
      </c>
      <c r="Y69" s="80">
        <f t="shared" si="133"/>
        <v>0</v>
      </c>
      <c r="Z69" s="70">
        <f t="shared" si="134"/>
        <v>0</v>
      </c>
      <c r="AA69" s="82"/>
      <c r="AC69" s="138">
        <v>0</v>
      </c>
      <c r="AD69" s="138">
        <v>0</v>
      </c>
      <c r="AE69" s="138">
        <v>0</v>
      </c>
      <c r="AF69" s="233"/>
      <c r="AG69" s="139"/>
      <c r="AH69" s="233"/>
      <c r="AI69" s="139"/>
      <c r="AK69" s="79">
        <v>0</v>
      </c>
      <c r="AL69" s="80">
        <f t="shared" si="93"/>
        <v>0</v>
      </c>
      <c r="AM69" s="79">
        <v>0</v>
      </c>
      <c r="AN69" s="80">
        <f t="shared" si="94"/>
        <v>0</v>
      </c>
      <c r="AO69" s="79">
        <v>0</v>
      </c>
      <c r="AP69" s="80">
        <f t="shared" si="95"/>
        <v>0</v>
      </c>
      <c r="AQ69" s="79">
        <v>0</v>
      </c>
      <c r="AR69" s="81">
        <f t="shared" si="96"/>
        <v>0</v>
      </c>
      <c r="AS69" s="80">
        <f t="shared" si="135"/>
        <v>0</v>
      </c>
      <c r="AT69" s="70">
        <f t="shared" si="136"/>
        <v>0</v>
      </c>
      <c r="AU69" s="80">
        <f t="shared" si="137"/>
        <v>0</v>
      </c>
      <c r="AV69" s="70">
        <f t="shared" si="138"/>
        <v>0</v>
      </c>
      <c r="AW69" s="80">
        <f t="shared" si="139"/>
        <v>0</v>
      </c>
      <c r="AX69" s="70">
        <f t="shared" si="140"/>
        <v>0</v>
      </c>
      <c r="AY69" s="82"/>
      <c r="BA69" s="79">
        <v>0</v>
      </c>
      <c r="BB69" s="80">
        <f t="shared" si="103"/>
        <v>0</v>
      </c>
      <c r="BC69" s="79">
        <v>0</v>
      </c>
      <c r="BD69" s="80">
        <f t="shared" si="104"/>
        <v>0</v>
      </c>
      <c r="BE69" s="79">
        <v>14681.65</v>
      </c>
      <c r="BF69" s="81">
        <f t="shared" si="105"/>
        <v>0</v>
      </c>
      <c r="BG69" s="80">
        <f t="shared" si="141"/>
        <v>0</v>
      </c>
      <c r="BH69" s="70">
        <f t="shared" si="142"/>
        <v>0</v>
      </c>
      <c r="BI69" s="80">
        <f t="shared" si="143"/>
        <v>0</v>
      </c>
      <c r="BJ69" s="70">
        <f t="shared" si="144"/>
        <v>14681.65</v>
      </c>
      <c r="BK69" s="82"/>
    </row>
    <row r="70" spans="2:63" ht="11.95" outlineLevel="2" thickBot="1" x14ac:dyDescent="0.3">
      <c r="B70" t="str">
        <f t="shared" si="128"/>
        <v>#showrow</v>
      </c>
      <c r="E70" s="3"/>
      <c r="F70" s="3"/>
      <c r="G70" s="3"/>
      <c r="H70" s="255" t="s">
        <v>170</v>
      </c>
      <c r="I70" s="18"/>
      <c r="J70" s="18"/>
      <c r="K70" s="18"/>
      <c r="L70" s="78"/>
      <c r="M70" s="79"/>
      <c r="N70" s="80">
        <f t="shared" si="83"/>
        <v>0</v>
      </c>
      <c r="O70" s="79"/>
      <c r="P70" s="80">
        <f t="shared" si="84"/>
        <v>0</v>
      </c>
      <c r="Q70" s="79"/>
      <c r="R70" s="80">
        <f t="shared" si="85"/>
        <v>0</v>
      </c>
      <c r="S70" s="79"/>
      <c r="T70" s="81">
        <f t="shared" si="86"/>
        <v>0</v>
      </c>
      <c r="U70" s="80">
        <f t="shared" si="129"/>
        <v>0</v>
      </c>
      <c r="V70" s="70">
        <f t="shared" si="130"/>
        <v>0</v>
      </c>
      <c r="W70" s="80">
        <f t="shared" si="131"/>
        <v>0</v>
      </c>
      <c r="X70" s="70">
        <f t="shared" si="132"/>
        <v>0</v>
      </c>
      <c r="Y70" s="80">
        <f t="shared" si="133"/>
        <v>0</v>
      </c>
      <c r="Z70" s="70">
        <f t="shared" si="134"/>
        <v>0</v>
      </c>
      <c r="AA70" s="82"/>
      <c r="AC70" s="138">
        <v>0</v>
      </c>
      <c r="AD70" s="138">
        <v>0</v>
      </c>
      <c r="AE70" s="138">
        <v>0</v>
      </c>
      <c r="AF70" s="233"/>
      <c r="AG70" s="139"/>
      <c r="AH70" s="233"/>
      <c r="AI70" s="139"/>
      <c r="AK70" s="79">
        <v>0</v>
      </c>
      <c r="AL70" s="80">
        <f t="shared" si="93"/>
        <v>0</v>
      </c>
      <c r="AM70" s="79">
        <v>0</v>
      </c>
      <c r="AN70" s="80">
        <f t="shared" si="94"/>
        <v>0</v>
      </c>
      <c r="AO70" s="79">
        <v>0</v>
      </c>
      <c r="AP70" s="80">
        <f t="shared" si="95"/>
        <v>0</v>
      </c>
      <c r="AQ70" s="79">
        <v>0</v>
      </c>
      <c r="AR70" s="81">
        <f t="shared" si="96"/>
        <v>0</v>
      </c>
      <c r="AS70" s="80">
        <f t="shared" si="135"/>
        <v>0</v>
      </c>
      <c r="AT70" s="70">
        <f t="shared" si="136"/>
        <v>0</v>
      </c>
      <c r="AU70" s="80">
        <f t="shared" si="137"/>
        <v>0</v>
      </c>
      <c r="AV70" s="70">
        <f t="shared" si="138"/>
        <v>0</v>
      </c>
      <c r="AW70" s="80">
        <f t="shared" si="139"/>
        <v>0</v>
      </c>
      <c r="AX70" s="70">
        <f t="shared" si="140"/>
        <v>0</v>
      </c>
      <c r="AY70" s="82"/>
      <c r="BA70" s="79">
        <v>0</v>
      </c>
      <c r="BB70" s="80">
        <f t="shared" si="103"/>
        <v>0</v>
      </c>
      <c r="BC70" s="79">
        <v>0</v>
      </c>
      <c r="BD70" s="80">
        <f t="shared" si="104"/>
        <v>0</v>
      </c>
      <c r="BE70" s="79">
        <v>2293.7600000000002</v>
      </c>
      <c r="BF70" s="81">
        <f t="shared" si="105"/>
        <v>0</v>
      </c>
      <c r="BG70" s="80">
        <f t="shared" si="141"/>
        <v>0</v>
      </c>
      <c r="BH70" s="70">
        <f t="shared" si="142"/>
        <v>0</v>
      </c>
      <c r="BI70" s="80">
        <f t="shared" si="143"/>
        <v>0</v>
      </c>
      <c r="BJ70" s="70">
        <f t="shared" si="144"/>
        <v>2293.7600000000002</v>
      </c>
      <c r="BK70" s="82"/>
    </row>
    <row r="71" spans="2:63" ht="11.95" outlineLevel="2" thickBot="1" x14ac:dyDescent="0.3">
      <c r="B71" t="str">
        <f t="shared" si="128"/>
        <v>#showrow</v>
      </c>
      <c r="E71" s="3"/>
      <c r="F71" s="3"/>
      <c r="G71" s="3"/>
      <c r="H71" s="255" t="s">
        <v>171</v>
      </c>
      <c r="I71" s="18"/>
      <c r="J71" s="18"/>
      <c r="K71" s="18"/>
      <c r="L71" s="78"/>
      <c r="M71" s="79"/>
      <c r="N71" s="80">
        <f t="shared" si="83"/>
        <v>0</v>
      </c>
      <c r="O71" s="79"/>
      <c r="P71" s="80">
        <f t="shared" si="84"/>
        <v>0</v>
      </c>
      <c r="Q71" s="79"/>
      <c r="R71" s="80">
        <f t="shared" si="85"/>
        <v>0</v>
      </c>
      <c r="S71" s="79"/>
      <c r="T71" s="81">
        <f t="shared" si="86"/>
        <v>0</v>
      </c>
      <c r="U71" s="80">
        <f t="shared" si="129"/>
        <v>0</v>
      </c>
      <c r="V71" s="70">
        <f t="shared" si="130"/>
        <v>0</v>
      </c>
      <c r="W71" s="80">
        <f t="shared" si="131"/>
        <v>0</v>
      </c>
      <c r="X71" s="70">
        <f t="shared" si="132"/>
        <v>0</v>
      </c>
      <c r="Y71" s="80">
        <f t="shared" si="133"/>
        <v>0</v>
      </c>
      <c r="Z71" s="70">
        <f t="shared" si="134"/>
        <v>0</v>
      </c>
      <c r="AA71" s="82"/>
      <c r="AC71" s="138">
        <v>0</v>
      </c>
      <c r="AD71" s="138">
        <v>0</v>
      </c>
      <c r="AE71" s="138">
        <v>0</v>
      </c>
      <c r="AF71" s="233"/>
      <c r="AG71" s="139"/>
      <c r="AH71" s="233"/>
      <c r="AI71" s="139"/>
      <c r="AK71" s="79">
        <v>0</v>
      </c>
      <c r="AL71" s="80">
        <f t="shared" si="93"/>
        <v>0</v>
      </c>
      <c r="AM71" s="79">
        <v>0</v>
      </c>
      <c r="AN71" s="80">
        <f t="shared" si="94"/>
        <v>0</v>
      </c>
      <c r="AO71" s="79">
        <v>0</v>
      </c>
      <c r="AP71" s="80">
        <f t="shared" si="95"/>
        <v>0</v>
      </c>
      <c r="AQ71" s="79">
        <v>0</v>
      </c>
      <c r="AR71" s="81">
        <f t="shared" si="96"/>
        <v>0</v>
      </c>
      <c r="AS71" s="80">
        <f t="shared" si="135"/>
        <v>0</v>
      </c>
      <c r="AT71" s="70">
        <f t="shared" si="136"/>
        <v>0</v>
      </c>
      <c r="AU71" s="80">
        <f t="shared" si="137"/>
        <v>0</v>
      </c>
      <c r="AV71" s="70">
        <f t="shared" si="138"/>
        <v>0</v>
      </c>
      <c r="AW71" s="80">
        <f t="shared" si="139"/>
        <v>0</v>
      </c>
      <c r="AX71" s="70">
        <f t="shared" si="140"/>
        <v>0</v>
      </c>
      <c r="AY71" s="82"/>
      <c r="BA71" s="79">
        <v>0</v>
      </c>
      <c r="BB71" s="80">
        <f t="shared" si="103"/>
        <v>0</v>
      </c>
      <c r="BC71" s="79">
        <v>0</v>
      </c>
      <c r="BD71" s="80">
        <f t="shared" si="104"/>
        <v>0</v>
      </c>
      <c r="BE71" s="79">
        <v>220.16</v>
      </c>
      <c r="BF71" s="81">
        <f t="shared" si="105"/>
        <v>0</v>
      </c>
      <c r="BG71" s="80">
        <f t="shared" si="141"/>
        <v>0</v>
      </c>
      <c r="BH71" s="70">
        <f t="shared" si="142"/>
        <v>0</v>
      </c>
      <c r="BI71" s="80">
        <f t="shared" si="143"/>
        <v>0</v>
      </c>
      <c r="BJ71" s="70">
        <f t="shared" si="144"/>
        <v>220.16</v>
      </c>
      <c r="BK71" s="82"/>
    </row>
    <row r="72" spans="2:63" ht="11.95" outlineLevel="2" thickBot="1" x14ac:dyDescent="0.3">
      <c r="B72" t="str">
        <f t="shared" si="128"/>
        <v>#showrow</v>
      </c>
      <c r="E72" s="3"/>
      <c r="F72" s="3"/>
      <c r="G72" s="3"/>
      <c r="H72" s="255" t="s">
        <v>172</v>
      </c>
      <c r="I72" s="18"/>
      <c r="J72" s="18"/>
      <c r="K72" s="18"/>
      <c r="L72" s="78"/>
      <c r="M72" s="79">
        <v>3363.42</v>
      </c>
      <c r="N72" s="80">
        <f t="shared" si="83"/>
        <v>0</v>
      </c>
      <c r="O72" s="79">
        <v>6000</v>
      </c>
      <c r="P72" s="80">
        <f t="shared" si="84"/>
        <v>0</v>
      </c>
      <c r="Q72" s="79">
        <v>6000</v>
      </c>
      <c r="R72" s="80">
        <f t="shared" si="85"/>
        <v>0</v>
      </c>
      <c r="S72" s="79"/>
      <c r="T72" s="81">
        <f t="shared" si="86"/>
        <v>0</v>
      </c>
      <c r="U72" s="80">
        <f t="shared" si="129"/>
        <v>0.78389853185150826</v>
      </c>
      <c r="V72" s="70">
        <f t="shared" si="130"/>
        <v>2636.58</v>
      </c>
      <c r="W72" s="80">
        <f t="shared" si="131"/>
        <v>0.78389853185150826</v>
      </c>
      <c r="X72" s="70">
        <f t="shared" si="132"/>
        <v>2636.58</v>
      </c>
      <c r="Y72" s="80">
        <f t="shared" si="133"/>
        <v>-1</v>
      </c>
      <c r="Z72" s="70">
        <f t="shared" si="134"/>
        <v>-3363.42</v>
      </c>
      <c r="AA72" s="82"/>
      <c r="AC72" s="138">
        <v>3363.42</v>
      </c>
      <c r="AD72" s="138">
        <v>0</v>
      </c>
      <c r="AE72" s="138">
        <v>6000</v>
      </c>
      <c r="AF72" s="233"/>
      <c r="AG72" s="139"/>
      <c r="AH72" s="233"/>
      <c r="AI72" s="139"/>
      <c r="AK72" s="79">
        <v>3363.42</v>
      </c>
      <c r="AL72" s="80">
        <f t="shared" si="93"/>
        <v>0</v>
      </c>
      <c r="AM72" s="79">
        <v>6000</v>
      </c>
      <c r="AN72" s="80">
        <f t="shared" si="94"/>
        <v>0</v>
      </c>
      <c r="AO72" s="79">
        <v>6000</v>
      </c>
      <c r="AP72" s="80">
        <f t="shared" si="95"/>
        <v>0</v>
      </c>
      <c r="AQ72" s="79">
        <v>0</v>
      </c>
      <c r="AR72" s="81">
        <f t="shared" si="96"/>
        <v>0</v>
      </c>
      <c r="AS72" s="80">
        <f t="shared" si="135"/>
        <v>0.78389853185150826</v>
      </c>
      <c r="AT72" s="70">
        <f t="shared" si="136"/>
        <v>2636.58</v>
      </c>
      <c r="AU72" s="80">
        <f t="shared" si="137"/>
        <v>0.43942999999999999</v>
      </c>
      <c r="AV72" s="70">
        <f t="shared" si="138"/>
        <v>2636.58</v>
      </c>
      <c r="AW72" s="80">
        <f t="shared" si="139"/>
        <v>-1</v>
      </c>
      <c r="AX72" s="70">
        <f t="shared" si="140"/>
        <v>-3363.42</v>
      </c>
      <c r="AY72" s="82"/>
      <c r="BA72" s="79">
        <v>72000</v>
      </c>
      <c r="BB72" s="80">
        <f t="shared" si="103"/>
        <v>0</v>
      </c>
      <c r="BC72" s="79">
        <v>72000</v>
      </c>
      <c r="BD72" s="80">
        <f t="shared" si="104"/>
        <v>0</v>
      </c>
      <c r="BE72" s="79">
        <v>12078.93</v>
      </c>
      <c r="BF72" s="81">
        <f t="shared" si="105"/>
        <v>0</v>
      </c>
      <c r="BG72" s="80">
        <f t="shared" si="141"/>
        <v>0</v>
      </c>
      <c r="BH72" s="70">
        <f t="shared" si="142"/>
        <v>0</v>
      </c>
      <c r="BI72" s="80">
        <f t="shared" si="143"/>
        <v>-0.83223708333333335</v>
      </c>
      <c r="BJ72" s="70">
        <f t="shared" si="144"/>
        <v>-59921.07</v>
      </c>
      <c r="BK72" s="82"/>
    </row>
    <row r="73" spans="2:63" ht="11.95" outlineLevel="2" thickBot="1" x14ac:dyDescent="0.3">
      <c r="B73" t="str">
        <f t="shared" si="128"/>
        <v>#showrow</v>
      </c>
      <c r="E73" s="3"/>
      <c r="F73" s="3"/>
      <c r="G73" s="3"/>
      <c r="H73" s="255" t="s">
        <v>173</v>
      </c>
      <c r="I73" s="18"/>
      <c r="J73" s="18"/>
      <c r="K73" s="18"/>
      <c r="L73" s="78"/>
      <c r="M73" s="79"/>
      <c r="N73" s="80">
        <f t="shared" si="83"/>
        <v>0</v>
      </c>
      <c r="O73" s="79"/>
      <c r="P73" s="80">
        <f t="shared" si="84"/>
        <v>0</v>
      </c>
      <c r="Q73" s="79"/>
      <c r="R73" s="80">
        <f t="shared" si="85"/>
        <v>0</v>
      </c>
      <c r="S73" s="79"/>
      <c r="T73" s="81">
        <f t="shared" si="86"/>
        <v>0</v>
      </c>
      <c r="U73" s="80">
        <f t="shared" si="129"/>
        <v>0</v>
      </c>
      <c r="V73" s="70">
        <f t="shared" si="130"/>
        <v>0</v>
      </c>
      <c r="W73" s="80">
        <f t="shared" si="131"/>
        <v>0</v>
      </c>
      <c r="X73" s="70">
        <f t="shared" si="132"/>
        <v>0</v>
      </c>
      <c r="Y73" s="80">
        <f t="shared" si="133"/>
        <v>0</v>
      </c>
      <c r="Z73" s="70">
        <f t="shared" si="134"/>
        <v>0</v>
      </c>
      <c r="AA73" s="82"/>
      <c r="AC73" s="138">
        <v>0</v>
      </c>
      <c r="AD73" s="138">
        <v>0</v>
      </c>
      <c r="AE73" s="138">
        <v>0</v>
      </c>
      <c r="AF73" s="233"/>
      <c r="AG73" s="139"/>
      <c r="AH73" s="233"/>
      <c r="AI73" s="139"/>
      <c r="AK73" s="79">
        <v>0</v>
      </c>
      <c r="AL73" s="80">
        <f t="shared" si="93"/>
        <v>0</v>
      </c>
      <c r="AM73" s="79">
        <v>0</v>
      </c>
      <c r="AN73" s="80">
        <f t="shared" si="94"/>
        <v>0</v>
      </c>
      <c r="AO73" s="79">
        <v>0</v>
      </c>
      <c r="AP73" s="80">
        <f t="shared" si="95"/>
        <v>0</v>
      </c>
      <c r="AQ73" s="79">
        <v>0</v>
      </c>
      <c r="AR73" s="81">
        <f t="shared" si="96"/>
        <v>0</v>
      </c>
      <c r="AS73" s="80">
        <f t="shared" si="135"/>
        <v>0</v>
      </c>
      <c r="AT73" s="70">
        <f t="shared" si="136"/>
        <v>0</v>
      </c>
      <c r="AU73" s="80">
        <f t="shared" si="137"/>
        <v>0</v>
      </c>
      <c r="AV73" s="70">
        <f t="shared" si="138"/>
        <v>0</v>
      </c>
      <c r="AW73" s="80">
        <f t="shared" si="139"/>
        <v>0</v>
      </c>
      <c r="AX73" s="70">
        <f t="shared" si="140"/>
        <v>0</v>
      </c>
      <c r="AY73" s="82"/>
      <c r="BA73" s="79">
        <v>0</v>
      </c>
      <c r="BB73" s="80">
        <f t="shared" si="103"/>
        <v>0</v>
      </c>
      <c r="BC73" s="79">
        <v>0</v>
      </c>
      <c r="BD73" s="80">
        <f t="shared" si="104"/>
        <v>0</v>
      </c>
      <c r="BE73" s="79">
        <v>1016.94</v>
      </c>
      <c r="BF73" s="81">
        <f t="shared" si="105"/>
        <v>0</v>
      </c>
      <c r="BG73" s="80">
        <f t="shared" si="141"/>
        <v>0</v>
      </c>
      <c r="BH73" s="70">
        <f t="shared" si="142"/>
        <v>0</v>
      </c>
      <c r="BI73" s="80">
        <f t="shared" si="143"/>
        <v>0</v>
      </c>
      <c r="BJ73" s="70">
        <f t="shared" si="144"/>
        <v>1016.94</v>
      </c>
      <c r="BK73" s="82"/>
    </row>
    <row r="74" spans="2:63" ht="11.95" outlineLevel="2" thickBot="1" x14ac:dyDescent="0.3">
      <c r="B74" t="str">
        <f t="shared" si="128"/>
        <v>#showrow</v>
      </c>
      <c r="E74" s="3"/>
      <c r="F74" s="3"/>
      <c r="G74" s="3"/>
      <c r="H74" s="255" t="s">
        <v>174</v>
      </c>
      <c r="I74" s="18"/>
      <c r="J74" s="18"/>
      <c r="K74" s="18"/>
      <c r="L74" s="78"/>
      <c r="M74" s="79"/>
      <c r="N74" s="80">
        <f t="shared" si="83"/>
        <v>0</v>
      </c>
      <c r="O74" s="79"/>
      <c r="P74" s="80">
        <f t="shared" si="84"/>
        <v>0</v>
      </c>
      <c r="Q74" s="79"/>
      <c r="R74" s="80">
        <f t="shared" si="85"/>
        <v>0</v>
      </c>
      <c r="S74" s="79"/>
      <c r="T74" s="81">
        <f t="shared" si="86"/>
        <v>0</v>
      </c>
      <c r="U74" s="80">
        <f t="shared" si="129"/>
        <v>0</v>
      </c>
      <c r="V74" s="70">
        <f t="shared" si="130"/>
        <v>0</v>
      </c>
      <c r="W74" s="80">
        <f t="shared" si="131"/>
        <v>0</v>
      </c>
      <c r="X74" s="70">
        <f t="shared" si="132"/>
        <v>0</v>
      </c>
      <c r="Y74" s="80">
        <f t="shared" si="133"/>
        <v>0</v>
      </c>
      <c r="Z74" s="70">
        <f t="shared" si="134"/>
        <v>0</v>
      </c>
      <c r="AA74" s="82"/>
      <c r="AC74" s="138">
        <v>0</v>
      </c>
      <c r="AD74" s="138">
        <v>0</v>
      </c>
      <c r="AE74" s="138">
        <v>0</v>
      </c>
      <c r="AF74" s="233"/>
      <c r="AG74" s="139"/>
      <c r="AH74" s="233"/>
      <c r="AI74" s="139"/>
      <c r="AK74" s="79">
        <v>0</v>
      </c>
      <c r="AL74" s="80">
        <f t="shared" si="93"/>
        <v>0</v>
      </c>
      <c r="AM74" s="79">
        <v>0</v>
      </c>
      <c r="AN74" s="80">
        <f t="shared" si="94"/>
        <v>0</v>
      </c>
      <c r="AO74" s="79">
        <v>0</v>
      </c>
      <c r="AP74" s="80">
        <f t="shared" si="95"/>
        <v>0</v>
      </c>
      <c r="AQ74" s="79">
        <v>0</v>
      </c>
      <c r="AR74" s="81">
        <f t="shared" si="96"/>
        <v>0</v>
      </c>
      <c r="AS74" s="80">
        <f t="shared" si="135"/>
        <v>0</v>
      </c>
      <c r="AT74" s="70">
        <f t="shared" si="136"/>
        <v>0</v>
      </c>
      <c r="AU74" s="80">
        <f t="shared" si="137"/>
        <v>0</v>
      </c>
      <c r="AV74" s="70">
        <f t="shared" si="138"/>
        <v>0</v>
      </c>
      <c r="AW74" s="80">
        <f t="shared" si="139"/>
        <v>0</v>
      </c>
      <c r="AX74" s="70">
        <f t="shared" si="140"/>
        <v>0</v>
      </c>
      <c r="AY74" s="82"/>
      <c r="BA74" s="79">
        <v>0</v>
      </c>
      <c r="BB74" s="80">
        <f t="shared" si="103"/>
        <v>0</v>
      </c>
      <c r="BC74" s="79">
        <v>0</v>
      </c>
      <c r="BD74" s="80">
        <f t="shared" si="104"/>
        <v>0</v>
      </c>
      <c r="BE74" s="79">
        <v>7178.09</v>
      </c>
      <c r="BF74" s="81">
        <f t="shared" si="105"/>
        <v>0</v>
      </c>
      <c r="BG74" s="80">
        <f t="shared" si="141"/>
        <v>0</v>
      </c>
      <c r="BH74" s="70">
        <f t="shared" si="142"/>
        <v>0</v>
      </c>
      <c r="BI74" s="80">
        <f t="shared" si="143"/>
        <v>0</v>
      </c>
      <c r="BJ74" s="70">
        <f t="shared" si="144"/>
        <v>7178.09</v>
      </c>
      <c r="BK74" s="82"/>
    </row>
    <row r="75" spans="2:63" ht="11.95" outlineLevel="1" thickBot="1" x14ac:dyDescent="0.3">
      <c r="E75" s="3"/>
      <c r="F75" s="3"/>
      <c r="G75" s="3"/>
      <c r="H75" s="256" t="s">
        <v>106</v>
      </c>
      <c r="I75" s="18"/>
      <c r="J75" s="18"/>
      <c r="K75" s="18"/>
      <c r="L75" s="78"/>
      <c r="M75" s="79">
        <v>-84749.62</v>
      </c>
      <c r="N75" s="80">
        <f t="shared" si="83"/>
        <v>0</v>
      </c>
      <c r="O75" s="79">
        <v>-78394.942538461502</v>
      </c>
      <c r="P75" s="80">
        <f t="shared" si="84"/>
        <v>0</v>
      </c>
      <c r="Q75" s="79">
        <v>-78394.942538461502</v>
      </c>
      <c r="R75" s="80">
        <f t="shared" si="85"/>
        <v>0</v>
      </c>
      <c r="S75" s="79">
        <v>0</v>
      </c>
      <c r="T75" s="81">
        <f t="shared" si="86"/>
        <v>0</v>
      </c>
      <c r="U75" s="80">
        <f t="shared" si="87"/>
        <v>7.4981781175402246E-2</v>
      </c>
      <c r="V75" s="70">
        <f t="shared" si="88"/>
        <v>6354.6774615384929</v>
      </c>
      <c r="W75" s="80">
        <f t="shared" si="89"/>
        <v>7.4981781175402246E-2</v>
      </c>
      <c r="X75" s="70">
        <f t="shared" si="90"/>
        <v>6354.6774615384929</v>
      </c>
      <c r="Y75" s="80">
        <f t="shared" si="91"/>
        <v>1</v>
      </c>
      <c r="Z75" s="70">
        <f t="shared" si="92"/>
        <v>84749.62</v>
      </c>
      <c r="AA75" s="82"/>
      <c r="AC75" s="138">
        <v>-84749.62</v>
      </c>
      <c r="AD75" s="138">
        <v>0</v>
      </c>
      <c r="AE75" s="138">
        <v>-78394.942538461502</v>
      </c>
      <c r="AF75" s="233"/>
      <c r="AG75" s="139"/>
      <c r="AH75" s="233"/>
      <c r="AI75" s="139"/>
      <c r="AK75" s="79">
        <v>-84749.62</v>
      </c>
      <c r="AL75" s="80">
        <f t="shared" si="93"/>
        <v>0</v>
      </c>
      <c r="AM75" s="79">
        <v>-78394.942538461502</v>
      </c>
      <c r="AN75" s="80">
        <f t="shared" si="94"/>
        <v>0</v>
      </c>
      <c r="AO75" s="79">
        <v>-78394.942538461502</v>
      </c>
      <c r="AP75" s="80">
        <f t="shared" si="95"/>
        <v>0</v>
      </c>
      <c r="AQ75" s="79">
        <v>0</v>
      </c>
      <c r="AR75" s="81">
        <f t="shared" si="96"/>
        <v>0</v>
      </c>
      <c r="AS75" s="80">
        <f t="shared" si="97"/>
        <v>7.4981781175402246E-2</v>
      </c>
      <c r="AT75" s="70">
        <f t="shared" si="98"/>
        <v>6354.6774615384929</v>
      </c>
      <c r="AU75" s="80">
        <f t="shared" si="99"/>
        <v>8.1059788498739085E-2</v>
      </c>
      <c r="AV75" s="70">
        <f t="shared" si="100"/>
        <v>6354.6774615384929</v>
      </c>
      <c r="AW75" s="80">
        <f t="shared" si="101"/>
        <v>1</v>
      </c>
      <c r="AX75" s="70">
        <f t="shared" si="102"/>
        <v>84749.62</v>
      </c>
      <c r="AY75" s="82"/>
      <c r="BA75" s="79">
        <v>-963434.25299999898</v>
      </c>
      <c r="BB75" s="80">
        <f t="shared" si="103"/>
        <v>0</v>
      </c>
      <c r="BC75" s="79">
        <v>-963434.25299999898</v>
      </c>
      <c r="BD75" s="80">
        <f t="shared" si="104"/>
        <v>0</v>
      </c>
      <c r="BE75" s="79">
        <v>-615295.55000000005</v>
      </c>
      <c r="BF75" s="81">
        <f t="shared" si="105"/>
        <v>0</v>
      </c>
      <c r="BG75" s="80">
        <f t="shared" si="106"/>
        <v>0</v>
      </c>
      <c r="BH75" s="70">
        <f t="shared" si="107"/>
        <v>0</v>
      </c>
      <c r="BI75" s="80">
        <f t="shared" si="108"/>
        <v>0.36135180155360253</v>
      </c>
      <c r="BJ75" s="70">
        <f t="shared" si="109"/>
        <v>348138.70299999893</v>
      </c>
      <c r="BK75" s="82"/>
    </row>
    <row r="76" spans="2:63" ht="11.95" hidden="1" outlineLevel="2" thickBot="1" x14ac:dyDescent="0.3">
      <c r="B76" t="str">
        <f>IF(LEFT(H76,3)="Mul", "#hiderow", "#showrow")</f>
        <v>#hiderow</v>
      </c>
      <c r="E76" s="3"/>
      <c r="F76" s="3"/>
      <c r="G76" s="3"/>
      <c r="H76" s="255" t="s">
        <v>6</v>
      </c>
      <c r="I76" s="18"/>
      <c r="J76" s="18"/>
      <c r="K76" s="18"/>
      <c r="L76" s="78"/>
      <c r="M76" s="79"/>
      <c r="N76" s="80">
        <f t="shared" si="83"/>
        <v>0</v>
      </c>
      <c r="O76" s="79"/>
      <c r="P76" s="80">
        <f t="shared" si="84"/>
        <v>0</v>
      </c>
      <c r="Q76" s="79"/>
      <c r="R76" s="80">
        <f t="shared" si="85"/>
        <v>0</v>
      </c>
      <c r="S76" s="79"/>
      <c r="T76" s="81">
        <f t="shared" si="86"/>
        <v>0</v>
      </c>
      <c r="U76" s="80">
        <f t="shared" si="87"/>
        <v>0</v>
      </c>
      <c r="V76" s="70">
        <f t="shared" si="88"/>
        <v>0</v>
      </c>
      <c r="W76" s="80">
        <f t="shared" si="89"/>
        <v>0</v>
      </c>
      <c r="X76" s="70">
        <f t="shared" si="90"/>
        <v>0</v>
      </c>
      <c r="Y76" s="80">
        <f t="shared" si="91"/>
        <v>0</v>
      </c>
      <c r="Z76" s="70">
        <f t="shared" si="92"/>
        <v>0</v>
      </c>
      <c r="AA76" s="82"/>
      <c r="AC76" s="138"/>
      <c r="AD76" s="138"/>
      <c r="AE76" s="138"/>
      <c r="AF76" s="233"/>
      <c r="AG76" s="139"/>
      <c r="AH76" s="233"/>
      <c r="AI76" s="139"/>
      <c r="AK76" s="79"/>
      <c r="AL76" s="80">
        <f t="shared" si="93"/>
        <v>0</v>
      </c>
      <c r="AM76" s="79"/>
      <c r="AN76" s="80">
        <f t="shared" si="94"/>
        <v>0</v>
      </c>
      <c r="AO76" s="79"/>
      <c r="AP76" s="80">
        <f t="shared" si="95"/>
        <v>0</v>
      </c>
      <c r="AQ76" s="79"/>
      <c r="AR76" s="81">
        <f t="shared" si="96"/>
        <v>0</v>
      </c>
      <c r="AS76" s="80">
        <f t="shared" si="97"/>
        <v>0</v>
      </c>
      <c r="AT76" s="70">
        <f t="shared" si="98"/>
        <v>0</v>
      </c>
      <c r="AU76" s="80">
        <f t="shared" si="99"/>
        <v>0</v>
      </c>
      <c r="AV76" s="70">
        <f t="shared" si="100"/>
        <v>0</v>
      </c>
      <c r="AW76" s="80">
        <f t="shared" si="101"/>
        <v>0</v>
      </c>
      <c r="AX76" s="70">
        <f t="shared" si="102"/>
        <v>0</v>
      </c>
      <c r="AY76" s="82"/>
      <c r="BA76" s="79"/>
      <c r="BB76" s="80">
        <f t="shared" si="103"/>
        <v>0</v>
      </c>
      <c r="BC76" s="79"/>
      <c r="BD76" s="80">
        <f t="shared" si="104"/>
        <v>0</v>
      </c>
      <c r="BE76" s="79"/>
      <c r="BF76" s="81">
        <f t="shared" si="105"/>
        <v>0</v>
      </c>
      <c r="BG76" s="80">
        <f t="shared" si="106"/>
        <v>0</v>
      </c>
      <c r="BH76" s="70">
        <f t="shared" si="107"/>
        <v>0</v>
      </c>
      <c r="BI76" s="80">
        <f t="shared" si="108"/>
        <v>0</v>
      </c>
      <c r="BJ76" s="70">
        <f t="shared" si="109"/>
        <v>0</v>
      </c>
      <c r="BK76" s="82"/>
    </row>
    <row r="77" spans="2:63" ht="11.95" outlineLevel="2" thickBot="1" x14ac:dyDescent="0.3">
      <c r="B77" t="str">
        <f>IF(LEFT(H77,3)="Mul", "#hiderow", "#showrow")</f>
        <v>#showrow</v>
      </c>
      <c r="E77" s="3"/>
      <c r="F77" s="3"/>
      <c r="G77" s="3"/>
      <c r="H77" s="255" t="s">
        <v>140</v>
      </c>
      <c r="I77" s="18"/>
      <c r="J77" s="18"/>
      <c r="K77" s="18"/>
      <c r="L77" s="78"/>
      <c r="M77" s="79">
        <v>-84749.62</v>
      </c>
      <c r="N77" s="80">
        <f t="shared" si="83"/>
        <v>0</v>
      </c>
      <c r="O77" s="79">
        <v>-78394.942538461502</v>
      </c>
      <c r="P77" s="80">
        <f t="shared" si="84"/>
        <v>0</v>
      </c>
      <c r="Q77" s="79">
        <v>-78394.942538461502</v>
      </c>
      <c r="R77" s="80">
        <f t="shared" si="85"/>
        <v>0</v>
      </c>
      <c r="S77" s="79"/>
      <c r="T77" s="81">
        <f t="shared" si="86"/>
        <v>0</v>
      </c>
      <c r="U77" s="80">
        <f t="shared" ref="U77" si="145">IFERROR(($O77-M77)/ABS(M77),0)</f>
        <v>7.4981781175402246E-2</v>
      </c>
      <c r="V77" s="70">
        <f t="shared" ref="V77" si="146">IFERROR((O77-$M77), 0-$M77)</f>
        <v>6354.6774615384929</v>
      </c>
      <c r="W77" s="80">
        <f t="shared" ref="W77" si="147">IFERROR((Q77-$M77)/ABS($M77),0)</f>
        <v>7.4981781175402246E-2</v>
      </c>
      <c r="X77" s="70">
        <f t="shared" ref="X77" si="148">IFERROR((Q77-$M77), 0 -$M77)</f>
        <v>6354.6774615384929</v>
      </c>
      <c r="Y77" s="80">
        <f t="shared" ref="Y77" si="149">IFERROR((S77-$M77)/ABS($M77),0)</f>
        <v>1</v>
      </c>
      <c r="Z77" s="70">
        <f t="shared" ref="Z77" si="150">IFERROR((S77-$M77),0-$M77)</f>
        <v>84749.62</v>
      </c>
      <c r="AA77" s="82"/>
      <c r="AC77" s="138">
        <v>-84749.62</v>
      </c>
      <c r="AD77" s="138">
        <v>0</v>
      </c>
      <c r="AE77" s="138">
        <v>-78394.942538461502</v>
      </c>
      <c r="AF77" s="233"/>
      <c r="AG77" s="139"/>
      <c r="AH77" s="233"/>
      <c r="AI77" s="139"/>
      <c r="AK77" s="79">
        <v>-84749.62</v>
      </c>
      <c r="AL77" s="80">
        <f t="shared" si="93"/>
        <v>0</v>
      </c>
      <c r="AM77" s="79">
        <v>-78394.942538461502</v>
      </c>
      <c r="AN77" s="80">
        <f t="shared" si="94"/>
        <v>0</v>
      </c>
      <c r="AO77" s="79">
        <v>-78394.942538461502</v>
      </c>
      <c r="AP77" s="80">
        <f t="shared" si="95"/>
        <v>0</v>
      </c>
      <c r="AQ77" s="79">
        <v>0</v>
      </c>
      <c r="AR77" s="81">
        <f t="shared" si="96"/>
        <v>0</v>
      </c>
      <c r="AS77" s="80">
        <f t="shared" ref="AS77" si="151">IFERROR((AM77-$AK77)/ABS($AK77),0)</f>
        <v>7.4981781175402246E-2</v>
      </c>
      <c r="AT77" s="70">
        <f t="shared" ref="AT77" si="152">(AM77-$AK77)</f>
        <v>6354.6774615384929</v>
      </c>
      <c r="AU77" s="80">
        <f t="shared" ref="AU77" si="153">IFERROR((AO77-$AK77)/ABS($AO77),0)</f>
        <v>8.1059788498739085E-2</v>
      </c>
      <c r="AV77" s="70">
        <f t="shared" ref="AV77" si="154">(AO77-$AK77)</f>
        <v>6354.6774615384929</v>
      </c>
      <c r="AW77" s="80">
        <f t="shared" ref="AW77" si="155">IFERROR((AQ77-$AK77)/ABS($AK77),0)</f>
        <v>1</v>
      </c>
      <c r="AX77" s="70">
        <f t="shared" ref="AX77" si="156">(AQ77-$AK77)</f>
        <v>84749.62</v>
      </c>
      <c r="AY77" s="82"/>
      <c r="BA77" s="79">
        <v>-963434.25299999898</v>
      </c>
      <c r="BB77" s="80">
        <f t="shared" si="103"/>
        <v>0</v>
      </c>
      <c r="BC77" s="79">
        <v>-963434.25299999898</v>
      </c>
      <c r="BD77" s="80">
        <f t="shared" si="104"/>
        <v>0</v>
      </c>
      <c r="BE77" s="79">
        <v>-615295.55000000005</v>
      </c>
      <c r="BF77" s="81">
        <f t="shared" si="105"/>
        <v>0</v>
      </c>
      <c r="BG77" s="80">
        <f t="shared" ref="BG77" si="157">IFERROR((BC77-$BA77)/ABS($BA77),0)</f>
        <v>0</v>
      </c>
      <c r="BH77" s="70">
        <f t="shared" ref="BH77" si="158">(BC77-$BA77)</f>
        <v>0</v>
      </c>
      <c r="BI77" s="80">
        <f t="shared" ref="BI77" si="159">IFERROR((BE77-$BA77)/ABS($BA77),0)</f>
        <v>0.36135180155360253</v>
      </c>
      <c r="BJ77" s="70">
        <f t="shared" ref="BJ77" si="160">(BE77-$BA77)</f>
        <v>348138.70299999893</v>
      </c>
      <c r="BK77" s="82"/>
    </row>
    <row r="78" spans="2:63" ht="11.95" outlineLevel="1" thickBot="1" x14ac:dyDescent="0.3">
      <c r="E78" s="3"/>
      <c r="F78" s="3"/>
      <c r="G78" s="3"/>
      <c r="H78" s="256" t="s">
        <v>107</v>
      </c>
      <c r="I78" s="18"/>
      <c r="J78" s="18"/>
      <c r="K78" s="18"/>
      <c r="L78" s="78"/>
      <c r="M78" s="79">
        <v>0</v>
      </c>
      <c r="N78" s="80">
        <f t="shared" si="83"/>
        <v>0</v>
      </c>
      <c r="O78" s="79">
        <v>0</v>
      </c>
      <c r="P78" s="80">
        <f t="shared" si="84"/>
        <v>0</v>
      </c>
      <c r="Q78" s="79">
        <v>0</v>
      </c>
      <c r="R78" s="80">
        <f t="shared" si="85"/>
        <v>0</v>
      </c>
      <c r="S78" s="79">
        <v>0</v>
      </c>
      <c r="T78" s="81">
        <f t="shared" si="86"/>
        <v>0</v>
      </c>
      <c r="U78" s="80">
        <f t="shared" si="87"/>
        <v>0</v>
      </c>
      <c r="V78" s="70">
        <f t="shared" si="88"/>
        <v>0</v>
      </c>
      <c r="W78" s="80">
        <f t="shared" si="89"/>
        <v>0</v>
      </c>
      <c r="X78" s="70">
        <f t="shared" si="90"/>
        <v>0</v>
      </c>
      <c r="Y78" s="80">
        <f t="shared" si="91"/>
        <v>0</v>
      </c>
      <c r="Z78" s="70">
        <f t="shared" si="92"/>
        <v>0</v>
      </c>
      <c r="AA78" s="82"/>
      <c r="AC78" s="138">
        <v>0</v>
      </c>
      <c r="AD78" s="138">
        <v>0</v>
      </c>
      <c r="AE78" s="138">
        <v>0</v>
      </c>
      <c r="AF78" s="233"/>
      <c r="AG78" s="139"/>
      <c r="AH78" s="233"/>
      <c r="AI78" s="139"/>
      <c r="AK78" s="79">
        <v>0</v>
      </c>
      <c r="AL78" s="80">
        <f t="shared" si="93"/>
        <v>0</v>
      </c>
      <c r="AM78" s="79">
        <v>0</v>
      </c>
      <c r="AN78" s="80">
        <f t="shared" si="94"/>
        <v>0</v>
      </c>
      <c r="AO78" s="79">
        <v>0</v>
      </c>
      <c r="AP78" s="80">
        <f t="shared" si="95"/>
        <v>0</v>
      </c>
      <c r="AQ78" s="79">
        <v>0</v>
      </c>
      <c r="AR78" s="81">
        <f t="shared" si="96"/>
        <v>0</v>
      </c>
      <c r="AS78" s="80">
        <f t="shared" si="97"/>
        <v>0</v>
      </c>
      <c r="AT78" s="70">
        <f t="shared" si="98"/>
        <v>0</v>
      </c>
      <c r="AU78" s="80">
        <f t="shared" si="99"/>
        <v>0</v>
      </c>
      <c r="AV78" s="70">
        <f t="shared" si="100"/>
        <v>0</v>
      </c>
      <c r="AW78" s="80">
        <f t="shared" si="101"/>
        <v>0</v>
      </c>
      <c r="AX78" s="70">
        <f t="shared" si="102"/>
        <v>0</v>
      </c>
      <c r="AY78" s="82"/>
      <c r="BA78" s="79">
        <v>0</v>
      </c>
      <c r="BB78" s="80">
        <f t="shared" si="103"/>
        <v>0</v>
      </c>
      <c r="BC78" s="79">
        <v>0</v>
      </c>
      <c r="BD78" s="80">
        <f t="shared" si="104"/>
        <v>0</v>
      </c>
      <c r="BE78" s="79">
        <v>2611.6</v>
      </c>
      <c r="BF78" s="81">
        <f t="shared" si="105"/>
        <v>0</v>
      </c>
      <c r="BG78" s="80">
        <f t="shared" si="106"/>
        <v>0</v>
      </c>
      <c r="BH78" s="70">
        <f t="shared" si="107"/>
        <v>0</v>
      </c>
      <c r="BI78" s="80">
        <f t="shared" si="108"/>
        <v>0</v>
      </c>
      <c r="BJ78" s="70">
        <f t="shared" si="109"/>
        <v>2611.6</v>
      </c>
      <c r="BK78" s="82"/>
    </row>
    <row r="79" spans="2:63" ht="11.95" hidden="1" outlineLevel="2" thickBot="1" x14ac:dyDescent="0.3">
      <c r="B79" t="str">
        <f t="shared" ref="B79" si="161">IF(LEFT(H79,3)="Mul", "#hiderow", "#showrow")</f>
        <v>#hiderow</v>
      </c>
      <c r="E79" s="3"/>
      <c r="F79" s="3"/>
      <c r="G79" s="3"/>
      <c r="H79" s="255" t="s">
        <v>6</v>
      </c>
      <c r="I79" s="18"/>
      <c r="J79" s="18"/>
      <c r="K79" s="18"/>
      <c r="L79" s="78"/>
      <c r="M79" s="79"/>
      <c r="N79" s="80">
        <f t="shared" si="83"/>
        <v>0</v>
      </c>
      <c r="O79" s="79"/>
      <c r="P79" s="80">
        <f t="shared" si="84"/>
        <v>0</v>
      </c>
      <c r="Q79" s="79"/>
      <c r="R79" s="80">
        <f t="shared" si="85"/>
        <v>0</v>
      </c>
      <c r="S79" s="79"/>
      <c r="T79" s="81">
        <f t="shared" si="86"/>
        <v>0</v>
      </c>
      <c r="U79" s="80">
        <f t="shared" si="87"/>
        <v>0</v>
      </c>
      <c r="V79" s="70">
        <f t="shared" si="88"/>
        <v>0</v>
      </c>
      <c r="W79" s="80">
        <f t="shared" si="89"/>
        <v>0</v>
      </c>
      <c r="X79" s="70">
        <f t="shared" si="90"/>
        <v>0</v>
      </c>
      <c r="Y79" s="80">
        <f t="shared" si="91"/>
        <v>0</v>
      </c>
      <c r="Z79" s="70">
        <f t="shared" si="92"/>
        <v>0</v>
      </c>
      <c r="AA79" s="82"/>
      <c r="AC79" s="138"/>
      <c r="AD79" s="138"/>
      <c r="AE79" s="138"/>
      <c r="AF79" s="233"/>
      <c r="AG79" s="139"/>
      <c r="AH79" s="233"/>
      <c r="AI79" s="139"/>
      <c r="AK79" s="79"/>
      <c r="AL79" s="80">
        <f t="shared" si="93"/>
        <v>0</v>
      </c>
      <c r="AM79" s="79"/>
      <c r="AN79" s="80">
        <f t="shared" si="94"/>
        <v>0</v>
      </c>
      <c r="AO79" s="79"/>
      <c r="AP79" s="80">
        <f t="shared" si="95"/>
        <v>0</v>
      </c>
      <c r="AQ79" s="79"/>
      <c r="AR79" s="81">
        <f t="shared" si="96"/>
        <v>0</v>
      </c>
      <c r="AS79" s="80">
        <f t="shared" si="97"/>
        <v>0</v>
      </c>
      <c r="AT79" s="70">
        <f t="shared" si="98"/>
        <v>0</v>
      </c>
      <c r="AU79" s="80">
        <f t="shared" si="99"/>
        <v>0</v>
      </c>
      <c r="AV79" s="70">
        <f t="shared" si="100"/>
        <v>0</v>
      </c>
      <c r="AW79" s="80">
        <f t="shared" si="101"/>
        <v>0</v>
      </c>
      <c r="AX79" s="70">
        <f t="shared" si="102"/>
        <v>0</v>
      </c>
      <c r="AY79" s="82"/>
      <c r="BA79" s="79"/>
      <c r="BB79" s="80">
        <f t="shared" si="103"/>
        <v>0</v>
      </c>
      <c r="BC79" s="79"/>
      <c r="BD79" s="80">
        <f t="shared" si="104"/>
        <v>0</v>
      </c>
      <c r="BE79" s="79"/>
      <c r="BF79" s="81">
        <f t="shared" si="105"/>
        <v>0</v>
      </c>
      <c r="BG79" s="80">
        <f t="shared" si="106"/>
        <v>0</v>
      </c>
      <c r="BH79" s="70">
        <f t="shared" si="107"/>
        <v>0</v>
      </c>
      <c r="BI79" s="80">
        <f t="shared" si="108"/>
        <v>0</v>
      </c>
      <c r="BJ79" s="70">
        <f t="shared" si="109"/>
        <v>0</v>
      </c>
      <c r="BK79" s="82"/>
    </row>
    <row r="80" spans="2:63" ht="11.95" outlineLevel="2" thickBot="1" x14ac:dyDescent="0.3">
      <c r="B80" t="str">
        <f t="shared" ref="B80:B81" si="162">IF(LEFT(H80,3)="Mul", "#hiderow", "#showrow")</f>
        <v>#showrow</v>
      </c>
      <c r="E80" s="3"/>
      <c r="F80" s="3"/>
      <c r="G80" s="3"/>
      <c r="H80" s="255" t="s">
        <v>482</v>
      </c>
      <c r="I80" s="18"/>
      <c r="J80" s="18"/>
      <c r="K80" s="18"/>
      <c r="L80" s="78"/>
      <c r="M80" s="79"/>
      <c r="N80" s="80">
        <f t="shared" si="83"/>
        <v>0</v>
      </c>
      <c r="O80" s="79"/>
      <c r="P80" s="80">
        <f t="shared" si="84"/>
        <v>0</v>
      </c>
      <c r="Q80" s="79"/>
      <c r="R80" s="80">
        <f t="shared" si="85"/>
        <v>0</v>
      </c>
      <c r="S80" s="79"/>
      <c r="T80" s="81">
        <f t="shared" si="86"/>
        <v>0</v>
      </c>
      <c r="U80" s="80">
        <f t="shared" ref="U80:U81" si="163">IFERROR(($O80-M80)/ABS(M80),0)</f>
        <v>0</v>
      </c>
      <c r="V80" s="70">
        <f t="shared" ref="V80:V81" si="164">IFERROR((O80-$M80), 0-$M80)</f>
        <v>0</v>
      </c>
      <c r="W80" s="80">
        <f t="shared" ref="W80:W81" si="165">IFERROR((Q80-$M80)/ABS($M80),0)</f>
        <v>0</v>
      </c>
      <c r="X80" s="70">
        <f t="shared" ref="X80:X81" si="166">IFERROR((Q80-$M80), 0 -$M80)</f>
        <v>0</v>
      </c>
      <c r="Y80" s="80">
        <f t="shared" ref="Y80:Y81" si="167">IFERROR((S80-$M80)/ABS($M80),0)</f>
        <v>0</v>
      </c>
      <c r="Z80" s="70">
        <f t="shared" ref="Z80:Z81" si="168">IFERROR((S80-$M80),0-$M80)</f>
        <v>0</v>
      </c>
      <c r="AA80" s="82"/>
      <c r="AC80" s="138">
        <v>0</v>
      </c>
      <c r="AD80" s="138">
        <v>0</v>
      </c>
      <c r="AE80" s="138">
        <v>0</v>
      </c>
      <c r="AF80" s="233"/>
      <c r="AG80" s="139"/>
      <c r="AH80" s="233"/>
      <c r="AI80" s="139"/>
      <c r="AK80" s="79">
        <v>0</v>
      </c>
      <c r="AL80" s="80">
        <f t="shared" si="93"/>
        <v>0</v>
      </c>
      <c r="AM80" s="79">
        <v>0</v>
      </c>
      <c r="AN80" s="80">
        <f t="shared" si="94"/>
        <v>0</v>
      </c>
      <c r="AO80" s="79">
        <v>0</v>
      </c>
      <c r="AP80" s="80">
        <f t="shared" si="95"/>
        <v>0</v>
      </c>
      <c r="AQ80" s="79">
        <v>0</v>
      </c>
      <c r="AR80" s="81">
        <f t="shared" si="96"/>
        <v>0</v>
      </c>
      <c r="AS80" s="80">
        <f t="shared" ref="AS80:AS81" si="169">IFERROR((AM80-$AK80)/ABS($AK80),0)</f>
        <v>0</v>
      </c>
      <c r="AT80" s="70">
        <f t="shared" ref="AT80:AT81" si="170">(AM80-$AK80)</f>
        <v>0</v>
      </c>
      <c r="AU80" s="80">
        <f t="shared" ref="AU80:AU81" si="171">IFERROR((AO80-$AK80)/ABS($AO80),0)</f>
        <v>0</v>
      </c>
      <c r="AV80" s="70">
        <f t="shared" ref="AV80:AV81" si="172">(AO80-$AK80)</f>
        <v>0</v>
      </c>
      <c r="AW80" s="80">
        <f t="shared" ref="AW80:AW81" si="173">IFERROR((AQ80-$AK80)/ABS($AK80),0)</f>
        <v>0</v>
      </c>
      <c r="AX80" s="70">
        <f t="shared" ref="AX80:AX81" si="174">(AQ80-$AK80)</f>
        <v>0</v>
      </c>
      <c r="AY80" s="82"/>
      <c r="BA80" s="79">
        <v>0</v>
      </c>
      <c r="BB80" s="80">
        <f t="shared" si="103"/>
        <v>0</v>
      </c>
      <c r="BC80" s="79">
        <v>0</v>
      </c>
      <c r="BD80" s="80">
        <f t="shared" si="104"/>
        <v>0</v>
      </c>
      <c r="BE80" s="79">
        <v>1571.96</v>
      </c>
      <c r="BF80" s="81">
        <f t="shared" si="105"/>
        <v>0</v>
      </c>
      <c r="BG80" s="80">
        <f t="shared" ref="BG80:BG81" si="175">IFERROR((BC80-$BA80)/ABS($BA80),0)</f>
        <v>0</v>
      </c>
      <c r="BH80" s="70">
        <f t="shared" ref="BH80:BH81" si="176">(BC80-$BA80)</f>
        <v>0</v>
      </c>
      <c r="BI80" s="80">
        <f t="shared" ref="BI80:BI81" si="177">IFERROR((BE80-$BA80)/ABS($BA80),0)</f>
        <v>0</v>
      </c>
      <c r="BJ80" s="70">
        <f t="shared" ref="BJ80:BJ81" si="178">(BE80-$BA80)</f>
        <v>1571.96</v>
      </c>
      <c r="BK80" s="82"/>
    </row>
    <row r="81" spans="2:63" ht="11.95" outlineLevel="2" thickBot="1" x14ac:dyDescent="0.3">
      <c r="B81" t="str">
        <f t="shared" si="162"/>
        <v>#showrow</v>
      </c>
      <c r="E81" s="3"/>
      <c r="F81" s="3"/>
      <c r="G81" s="3"/>
      <c r="H81" s="255" t="s">
        <v>486</v>
      </c>
      <c r="I81" s="18"/>
      <c r="J81" s="18"/>
      <c r="K81" s="18"/>
      <c r="L81" s="78"/>
      <c r="M81" s="79"/>
      <c r="N81" s="80">
        <f t="shared" si="83"/>
        <v>0</v>
      </c>
      <c r="O81" s="79"/>
      <c r="P81" s="80">
        <f t="shared" si="84"/>
        <v>0</v>
      </c>
      <c r="Q81" s="79"/>
      <c r="R81" s="80">
        <f t="shared" si="85"/>
        <v>0</v>
      </c>
      <c r="S81" s="79"/>
      <c r="T81" s="81">
        <f t="shared" si="86"/>
        <v>0</v>
      </c>
      <c r="U81" s="80">
        <f t="shared" si="163"/>
        <v>0</v>
      </c>
      <c r="V81" s="70">
        <f t="shared" si="164"/>
        <v>0</v>
      </c>
      <c r="W81" s="80">
        <f t="shared" si="165"/>
        <v>0</v>
      </c>
      <c r="X81" s="70">
        <f t="shared" si="166"/>
        <v>0</v>
      </c>
      <c r="Y81" s="80">
        <f t="shared" si="167"/>
        <v>0</v>
      </c>
      <c r="Z81" s="70">
        <f t="shared" si="168"/>
        <v>0</v>
      </c>
      <c r="AA81" s="82"/>
      <c r="AC81" s="138">
        <v>0</v>
      </c>
      <c r="AD81" s="138">
        <v>0</v>
      </c>
      <c r="AE81" s="138">
        <v>0</v>
      </c>
      <c r="AF81" s="233"/>
      <c r="AG81" s="139"/>
      <c r="AH81" s="233"/>
      <c r="AI81" s="139"/>
      <c r="AK81" s="79">
        <v>0</v>
      </c>
      <c r="AL81" s="80">
        <f t="shared" si="93"/>
        <v>0</v>
      </c>
      <c r="AM81" s="79">
        <v>0</v>
      </c>
      <c r="AN81" s="80">
        <f t="shared" si="94"/>
        <v>0</v>
      </c>
      <c r="AO81" s="79">
        <v>0</v>
      </c>
      <c r="AP81" s="80">
        <f t="shared" si="95"/>
        <v>0</v>
      </c>
      <c r="AQ81" s="79">
        <v>0</v>
      </c>
      <c r="AR81" s="81">
        <f t="shared" si="96"/>
        <v>0</v>
      </c>
      <c r="AS81" s="80">
        <f t="shared" si="169"/>
        <v>0</v>
      </c>
      <c r="AT81" s="70">
        <f t="shared" si="170"/>
        <v>0</v>
      </c>
      <c r="AU81" s="80">
        <f t="shared" si="171"/>
        <v>0</v>
      </c>
      <c r="AV81" s="70">
        <f t="shared" si="172"/>
        <v>0</v>
      </c>
      <c r="AW81" s="80">
        <f t="shared" si="173"/>
        <v>0</v>
      </c>
      <c r="AX81" s="70">
        <f t="shared" si="174"/>
        <v>0</v>
      </c>
      <c r="AY81" s="82"/>
      <c r="BA81" s="79">
        <v>0</v>
      </c>
      <c r="BB81" s="80">
        <f t="shared" si="103"/>
        <v>0</v>
      </c>
      <c r="BC81" s="79">
        <v>0</v>
      </c>
      <c r="BD81" s="80">
        <f t="shared" si="104"/>
        <v>0</v>
      </c>
      <c r="BE81" s="79">
        <v>1039.6400000000001</v>
      </c>
      <c r="BF81" s="81">
        <f t="shared" si="105"/>
        <v>0</v>
      </c>
      <c r="BG81" s="80">
        <f t="shared" si="175"/>
        <v>0</v>
      </c>
      <c r="BH81" s="70">
        <f t="shared" si="176"/>
        <v>0</v>
      </c>
      <c r="BI81" s="80">
        <f t="shared" si="177"/>
        <v>0</v>
      </c>
      <c r="BJ81" s="70">
        <f t="shared" si="178"/>
        <v>1039.6400000000001</v>
      </c>
      <c r="BK81" s="82"/>
    </row>
    <row r="82" spans="2:63" ht="11.95" outlineLevel="1" thickBot="1" x14ac:dyDescent="0.3">
      <c r="E82" s="3"/>
      <c r="F82" s="3"/>
      <c r="G82" s="3"/>
      <c r="H82" s="256" t="s">
        <v>108</v>
      </c>
      <c r="I82" s="18"/>
      <c r="J82" s="18"/>
      <c r="K82" s="18"/>
      <c r="L82" s="78"/>
      <c r="M82" s="79">
        <v>92.76</v>
      </c>
      <c r="N82" s="80">
        <f t="shared" si="83"/>
        <v>0</v>
      </c>
      <c r="O82" s="79">
        <v>200</v>
      </c>
      <c r="P82" s="80">
        <f t="shared" si="84"/>
        <v>0</v>
      </c>
      <c r="Q82" s="79">
        <v>200</v>
      </c>
      <c r="R82" s="80">
        <f t="shared" si="85"/>
        <v>0</v>
      </c>
      <c r="S82" s="79">
        <v>0</v>
      </c>
      <c r="T82" s="81">
        <f t="shared" si="86"/>
        <v>0</v>
      </c>
      <c r="U82" s="80">
        <f t="shared" si="87"/>
        <v>1.1561017680034495</v>
      </c>
      <c r="V82" s="70">
        <f t="shared" si="88"/>
        <v>107.24</v>
      </c>
      <c r="W82" s="80">
        <f t="shared" si="89"/>
        <v>1.1561017680034495</v>
      </c>
      <c r="X82" s="70">
        <f t="shared" si="90"/>
        <v>107.24</v>
      </c>
      <c r="Y82" s="80">
        <f t="shared" si="91"/>
        <v>-1</v>
      </c>
      <c r="Z82" s="70">
        <f t="shared" si="92"/>
        <v>-92.76</v>
      </c>
      <c r="AA82" s="82"/>
      <c r="AC82" s="138">
        <v>92.76</v>
      </c>
      <c r="AD82" s="138">
        <v>0</v>
      </c>
      <c r="AE82" s="138">
        <v>200</v>
      </c>
      <c r="AF82" s="233"/>
      <c r="AG82" s="139"/>
      <c r="AH82" s="233"/>
      <c r="AI82" s="139"/>
      <c r="AK82" s="79">
        <v>92.76</v>
      </c>
      <c r="AL82" s="80">
        <f t="shared" si="93"/>
        <v>0</v>
      </c>
      <c r="AM82" s="79">
        <v>200</v>
      </c>
      <c r="AN82" s="80">
        <f t="shared" si="94"/>
        <v>0</v>
      </c>
      <c r="AO82" s="79">
        <v>200</v>
      </c>
      <c r="AP82" s="80">
        <f t="shared" si="95"/>
        <v>0</v>
      </c>
      <c r="AQ82" s="79">
        <v>0</v>
      </c>
      <c r="AR82" s="81">
        <f t="shared" si="96"/>
        <v>0</v>
      </c>
      <c r="AS82" s="80">
        <f t="shared" si="97"/>
        <v>1.1561017680034495</v>
      </c>
      <c r="AT82" s="70">
        <f t="shared" si="98"/>
        <v>107.24</v>
      </c>
      <c r="AU82" s="80">
        <f t="shared" si="99"/>
        <v>0.53620000000000001</v>
      </c>
      <c r="AV82" s="70">
        <f t="shared" si="100"/>
        <v>107.24</v>
      </c>
      <c r="AW82" s="80">
        <f t="shared" si="101"/>
        <v>-1</v>
      </c>
      <c r="AX82" s="70">
        <f t="shared" si="102"/>
        <v>-92.76</v>
      </c>
      <c r="AY82" s="82"/>
      <c r="BA82" s="79">
        <v>2400</v>
      </c>
      <c r="BB82" s="80">
        <f t="shared" si="103"/>
        <v>0</v>
      </c>
      <c r="BC82" s="79">
        <v>2400</v>
      </c>
      <c r="BD82" s="80">
        <f t="shared" si="104"/>
        <v>0</v>
      </c>
      <c r="BE82" s="79">
        <v>730.1</v>
      </c>
      <c r="BF82" s="81">
        <f t="shared" si="105"/>
        <v>0</v>
      </c>
      <c r="BG82" s="80">
        <f t="shared" si="106"/>
        <v>0</v>
      </c>
      <c r="BH82" s="70">
        <f t="shared" si="107"/>
        <v>0</v>
      </c>
      <c r="BI82" s="80">
        <f t="shared" si="108"/>
        <v>-0.6957916666666667</v>
      </c>
      <c r="BJ82" s="70">
        <f t="shared" si="109"/>
        <v>-1669.9</v>
      </c>
      <c r="BK82" s="82"/>
    </row>
    <row r="83" spans="2:63" ht="11.95" hidden="1" outlineLevel="2" thickBot="1" x14ac:dyDescent="0.3">
      <c r="B83" t="str">
        <f>IF(LEFT(H83,3)="Mul", "#hiderow", "#showrow")</f>
        <v>#hiderow</v>
      </c>
      <c r="E83" s="3"/>
      <c r="F83" s="3"/>
      <c r="G83" s="3"/>
      <c r="H83" s="255" t="s">
        <v>6</v>
      </c>
      <c r="I83" s="18"/>
      <c r="J83" s="18"/>
      <c r="K83" s="18"/>
      <c r="L83" s="78"/>
      <c r="M83" s="79"/>
      <c r="N83" s="80">
        <f t="shared" si="83"/>
        <v>0</v>
      </c>
      <c r="O83" s="79"/>
      <c r="P83" s="80">
        <f t="shared" si="84"/>
        <v>0</v>
      </c>
      <c r="Q83" s="79"/>
      <c r="R83" s="80">
        <f t="shared" si="85"/>
        <v>0</v>
      </c>
      <c r="S83" s="79"/>
      <c r="T83" s="81">
        <f t="shared" si="86"/>
        <v>0</v>
      </c>
      <c r="U83" s="80">
        <f t="shared" si="87"/>
        <v>0</v>
      </c>
      <c r="V83" s="70">
        <f t="shared" si="88"/>
        <v>0</v>
      </c>
      <c r="W83" s="80">
        <f t="shared" si="89"/>
        <v>0</v>
      </c>
      <c r="X83" s="70">
        <f t="shared" si="90"/>
        <v>0</v>
      </c>
      <c r="Y83" s="80">
        <f t="shared" si="91"/>
        <v>0</v>
      </c>
      <c r="Z83" s="70">
        <f t="shared" si="92"/>
        <v>0</v>
      </c>
      <c r="AA83" s="82"/>
      <c r="AC83" s="138"/>
      <c r="AD83" s="138"/>
      <c r="AE83" s="138"/>
      <c r="AF83" s="233"/>
      <c r="AG83" s="139"/>
      <c r="AH83" s="233"/>
      <c r="AI83" s="139"/>
      <c r="AK83" s="79"/>
      <c r="AL83" s="80">
        <f t="shared" si="93"/>
        <v>0</v>
      </c>
      <c r="AM83" s="79"/>
      <c r="AN83" s="80">
        <f t="shared" si="94"/>
        <v>0</v>
      </c>
      <c r="AO83" s="79"/>
      <c r="AP83" s="80">
        <f t="shared" si="95"/>
        <v>0</v>
      </c>
      <c r="AQ83" s="79"/>
      <c r="AR83" s="81">
        <f t="shared" si="96"/>
        <v>0</v>
      </c>
      <c r="AS83" s="80">
        <f t="shared" si="97"/>
        <v>0</v>
      </c>
      <c r="AT83" s="70">
        <f t="shared" si="98"/>
        <v>0</v>
      </c>
      <c r="AU83" s="80">
        <f t="shared" si="99"/>
        <v>0</v>
      </c>
      <c r="AV83" s="70">
        <f t="shared" si="100"/>
        <v>0</v>
      </c>
      <c r="AW83" s="80">
        <f t="shared" si="101"/>
        <v>0</v>
      </c>
      <c r="AX83" s="70">
        <f t="shared" si="102"/>
        <v>0</v>
      </c>
      <c r="AY83" s="82"/>
      <c r="BA83" s="79"/>
      <c r="BB83" s="80">
        <f t="shared" si="103"/>
        <v>0</v>
      </c>
      <c r="BC83" s="79"/>
      <c r="BD83" s="80">
        <f t="shared" si="104"/>
        <v>0</v>
      </c>
      <c r="BE83" s="79"/>
      <c r="BF83" s="81">
        <f t="shared" si="105"/>
        <v>0</v>
      </c>
      <c r="BG83" s="80">
        <f t="shared" si="106"/>
        <v>0</v>
      </c>
      <c r="BH83" s="70">
        <f t="shared" si="107"/>
        <v>0</v>
      </c>
      <c r="BI83" s="80">
        <f t="shared" si="108"/>
        <v>0</v>
      </c>
      <c r="BJ83" s="70">
        <f t="shared" si="109"/>
        <v>0</v>
      </c>
      <c r="BK83" s="82"/>
    </row>
    <row r="84" spans="2:63" ht="11.95" outlineLevel="2" thickBot="1" x14ac:dyDescent="0.3">
      <c r="B84" t="str">
        <f t="shared" ref="B84:B86" si="179">IF(LEFT(H84,3)="Mul", "#hiderow", "#showrow")</f>
        <v>#showrow</v>
      </c>
      <c r="E84" s="3"/>
      <c r="F84" s="3"/>
      <c r="G84" s="3"/>
      <c r="H84" s="255" t="s">
        <v>188</v>
      </c>
      <c r="I84" s="18"/>
      <c r="J84" s="18"/>
      <c r="K84" s="18"/>
      <c r="L84" s="78"/>
      <c r="M84" s="79"/>
      <c r="N84" s="80">
        <f t="shared" si="83"/>
        <v>0</v>
      </c>
      <c r="O84" s="79"/>
      <c r="P84" s="80">
        <f t="shared" si="84"/>
        <v>0</v>
      </c>
      <c r="Q84" s="79"/>
      <c r="R84" s="80">
        <f t="shared" si="85"/>
        <v>0</v>
      </c>
      <c r="S84" s="79"/>
      <c r="T84" s="81">
        <f t="shared" si="86"/>
        <v>0</v>
      </c>
      <c r="U84" s="80">
        <f t="shared" ref="U84:U86" si="180">IFERROR(($O84-M84)/ABS(M84),0)</f>
        <v>0</v>
      </c>
      <c r="V84" s="70">
        <f t="shared" ref="V84:V86" si="181">IFERROR((O84-$M84), 0-$M84)</f>
        <v>0</v>
      </c>
      <c r="W84" s="80">
        <f t="shared" ref="W84:W86" si="182">IFERROR((Q84-$M84)/ABS($M84),0)</f>
        <v>0</v>
      </c>
      <c r="X84" s="70">
        <f t="shared" ref="X84:X86" si="183">IFERROR((Q84-$M84), 0 -$M84)</f>
        <v>0</v>
      </c>
      <c r="Y84" s="80">
        <f t="shared" ref="Y84:Y86" si="184">IFERROR((S84-$M84)/ABS($M84),0)</f>
        <v>0</v>
      </c>
      <c r="Z84" s="70">
        <f t="shared" ref="Z84:Z86" si="185">IFERROR((S84-$M84),0-$M84)</f>
        <v>0</v>
      </c>
      <c r="AA84" s="82"/>
      <c r="AC84" s="138">
        <v>0</v>
      </c>
      <c r="AD84" s="138">
        <v>0</v>
      </c>
      <c r="AE84" s="138">
        <v>0</v>
      </c>
      <c r="AF84" s="233"/>
      <c r="AG84" s="139"/>
      <c r="AH84" s="233"/>
      <c r="AI84" s="139"/>
      <c r="AK84" s="79">
        <v>0</v>
      </c>
      <c r="AL84" s="80">
        <f t="shared" si="93"/>
        <v>0</v>
      </c>
      <c r="AM84" s="79">
        <v>0</v>
      </c>
      <c r="AN84" s="80">
        <f t="shared" si="94"/>
        <v>0</v>
      </c>
      <c r="AO84" s="79">
        <v>0</v>
      </c>
      <c r="AP84" s="80">
        <f t="shared" si="95"/>
        <v>0</v>
      </c>
      <c r="AQ84" s="79">
        <v>0</v>
      </c>
      <c r="AR84" s="81">
        <f t="shared" si="96"/>
        <v>0</v>
      </c>
      <c r="AS84" s="80">
        <f t="shared" ref="AS84:AS86" si="186">IFERROR((AM84-$AK84)/ABS($AK84),0)</f>
        <v>0</v>
      </c>
      <c r="AT84" s="70">
        <f t="shared" ref="AT84:AT86" si="187">(AM84-$AK84)</f>
        <v>0</v>
      </c>
      <c r="AU84" s="80">
        <f t="shared" ref="AU84:AU86" si="188">IFERROR((AO84-$AK84)/ABS($AO84),0)</f>
        <v>0</v>
      </c>
      <c r="AV84" s="70">
        <f t="shared" ref="AV84:AV86" si="189">(AO84-$AK84)</f>
        <v>0</v>
      </c>
      <c r="AW84" s="80">
        <f t="shared" ref="AW84:AW86" si="190">IFERROR((AQ84-$AK84)/ABS($AK84),0)</f>
        <v>0</v>
      </c>
      <c r="AX84" s="70">
        <f t="shared" ref="AX84:AX86" si="191">(AQ84-$AK84)</f>
        <v>0</v>
      </c>
      <c r="AY84" s="82"/>
      <c r="BA84" s="79">
        <v>0</v>
      </c>
      <c r="BB84" s="80">
        <f t="shared" si="103"/>
        <v>0</v>
      </c>
      <c r="BC84" s="79">
        <v>0</v>
      </c>
      <c r="BD84" s="80">
        <f t="shared" si="104"/>
        <v>0</v>
      </c>
      <c r="BE84" s="79">
        <v>150</v>
      </c>
      <c r="BF84" s="81">
        <f t="shared" si="105"/>
        <v>0</v>
      </c>
      <c r="BG84" s="80">
        <f t="shared" ref="BG84:BG86" si="192">IFERROR((BC84-$BA84)/ABS($BA84),0)</f>
        <v>0</v>
      </c>
      <c r="BH84" s="70">
        <f t="shared" ref="BH84:BH86" si="193">(BC84-$BA84)</f>
        <v>0</v>
      </c>
      <c r="BI84" s="80">
        <f t="shared" ref="BI84:BI86" si="194">IFERROR((BE84-$BA84)/ABS($BA84),0)</f>
        <v>0</v>
      </c>
      <c r="BJ84" s="70">
        <f t="shared" ref="BJ84:BJ86" si="195">(BE84-$BA84)</f>
        <v>150</v>
      </c>
      <c r="BK84" s="82"/>
    </row>
    <row r="85" spans="2:63" ht="11.95" outlineLevel="2" thickBot="1" x14ac:dyDescent="0.3">
      <c r="B85" t="str">
        <f t="shared" si="179"/>
        <v>#showrow</v>
      </c>
      <c r="E85" s="3"/>
      <c r="F85" s="3"/>
      <c r="G85" s="3"/>
      <c r="H85" s="255" t="s">
        <v>189</v>
      </c>
      <c r="I85" s="18"/>
      <c r="J85" s="18"/>
      <c r="K85" s="18"/>
      <c r="L85" s="78"/>
      <c r="M85" s="79">
        <v>92.76</v>
      </c>
      <c r="N85" s="80">
        <f t="shared" si="83"/>
        <v>0</v>
      </c>
      <c r="O85" s="79"/>
      <c r="P85" s="80">
        <f t="shared" si="84"/>
        <v>0</v>
      </c>
      <c r="Q85" s="79"/>
      <c r="R85" s="80">
        <f t="shared" si="85"/>
        <v>0</v>
      </c>
      <c r="S85" s="79"/>
      <c r="T85" s="81">
        <f t="shared" si="86"/>
        <v>0</v>
      </c>
      <c r="U85" s="80">
        <f t="shared" si="180"/>
        <v>-1</v>
      </c>
      <c r="V85" s="70">
        <f t="shared" si="181"/>
        <v>-92.76</v>
      </c>
      <c r="W85" s="80">
        <f t="shared" si="182"/>
        <v>-1</v>
      </c>
      <c r="X85" s="70">
        <f t="shared" si="183"/>
        <v>-92.76</v>
      </c>
      <c r="Y85" s="80">
        <f t="shared" si="184"/>
        <v>-1</v>
      </c>
      <c r="Z85" s="70">
        <f t="shared" si="185"/>
        <v>-92.76</v>
      </c>
      <c r="AA85" s="82"/>
      <c r="AC85" s="138">
        <v>92.76</v>
      </c>
      <c r="AD85" s="138">
        <v>0</v>
      </c>
      <c r="AE85" s="138">
        <v>0</v>
      </c>
      <c r="AF85" s="233"/>
      <c r="AG85" s="139"/>
      <c r="AH85" s="233"/>
      <c r="AI85" s="139"/>
      <c r="AK85" s="79">
        <v>92.76</v>
      </c>
      <c r="AL85" s="80">
        <f t="shared" si="93"/>
        <v>0</v>
      </c>
      <c r="AM85" s="79">
        <v>0</v>
      </c>
      <c r="AN85" s="80">
        <f t="shared" si="94"/>
        <v>0</v>
      </c>
      <c r="AO85" s="79">
        <v>0</v>
      </c>
      <c r="AP85" s="80">
        <f t="shared" si="95"/>
        <v>0</v>
      </c>
      <c r="AQ85" s="79">
        <v>0</v>
      </c>
      <c r="AR85" s="81">
        <f t="shared" si="96"/>
        <v>0</v>
      </c>
      <c r="AS85" s="80">
        <f t="shared" si="186"/>
        <v>-1</v>
      </c>
      <c r="AT85" s="70">
        <f t="shared" si="187"/>
        <v>-92.76</v>
      </c>
      <c r="AU85" s="80">
        <f t="shared" si="188"/>
        <v>0</v>
      </c>
      <c r="AV85" s="70">
        <f t="shared" si="189"/>
        <v>-92.76</v>
      </c>
      <c r="AW85" s="80">
        <f t="shared" si="190"/>
        <v>-1</v>
      </c>
      <c r="AX85" s="70">
        <f t="shared" si="191"/>
        <v>-92.76</v>
      </c>
      <c r="AY85" s="82"/>
      <c r="BA85" s="79">
        <v>0</v>
      </c>
      <c r="BB85" s="80">
        <f t="shared" si="103"/>
        <v>0</v>
      </c>
      <c r="BC85" s="79">
        <v>0</v>
      </c>
      <c r="BD85" s="80">
        <f t="shared" si="104"/>
        <v>0</v>
      </c>
      <c r="BE85" s="79">
        <v>176.99</v>
      </c>
      <c r="BF85" s="81">
        <f t="shared" si="105"/>
        <v>0</v>
      </c>
      <c r="BG85" s="80">
        <f t="shared" si="192"/>
        <v>0</v>
      </c>
      <c r="BH85" s="70">
        <f t="shared" si="193"/>
        <v>0</v>
      </c>
      <c r="BI85" s="80">
        <f t="shared" si="194"/>
        <v>0</v>
      </c>
      <c r="BJ85" s="70">
        <f t="shared" si="195"/>
        <v>176.99</v>
      </c>
      <c r="BK85" s="82"/>
    </row>
    <row r="86" spans="2:63" ht="11.95" outlineLevel="2" thickBot="1" x14ac:dyDescent="0.3">
      <c r="B86" t="str">
        <f t="shared" si="179"/>
        <v>#showrow</v>
      </c>
      <c r="E86" s="3"/>
      <c r="F86" s="3"/>
      <c r="G86" s="3"/>
      <c r="H86" s="255" t="s">
        <v>192</v>
      </c>
      <c r="I86" s="18"/>
      <c r="J86" s="18"/>
      <c r="K86" s="18"/>
      <c r="L86" s="78"/>
      <c r="M86" s="79"/>
      <c r="N86" s="80">
        <f t="shared" si="83"/>
        <v>0</v>
      </c>
      <c r="O86" s="79">
        <v>200</v>
      </c>
      <c r="P86" s="80">
        <f t="shared" si="84"/>
        <v>0</v>
      </c>
      <c r="Q86" s="79">
        <v>200</v>
      </c>
      <c r="R86" s="80">
        <f t="shared" si="85"/>
        <v>0</v>
      </c>
      <c r="S86" s="79"/>
      <c r="T86" s="81">
        <f t="shared" si="86"/>
        <v>0</v>
      </c>
      <c r="U86" s="80">
        <f t="shared" si="180"/>
        <v>0</v>
      </c>
      <c r="V86" s="70">
        <f t="shared" si="181"/>
        <v>200</v>
      </c>
      <c r="W86" s="80">
        <f t="shared" si="182"/>
        <v>0</v>
      </c>
      <c r="X86" s="70">
        <f t="shared" si="183"/>
        <v>200</v>
      </c>
      <c r="Y86" s="80">
        <f t="shared" si="184"/>
        <v>0</v>
      </c>
      <c r="Z86" s="70">
        <f t="shared" si="185"/>
        <v>0</v>
      </c>
      <c r="AA86" s="82"/>
      <c r="AC86" s="138">
        <v>0</v>
      </c>
      <c r="AD86" s="138">
        <v>0</v>
      </c>
      <c r="AE86" s="138">
        <v>200</v>
      </c>
      <c r="AF86" s="233"/>
      <c r="AG86" s="139"/>
      <c r="AH86" s="233"/>
      <c r="AI86" s="139"/>
      <c r="AK86" s="79">
        <v>0</v>
      </c>
      <c r="AL86" s="80">
        <f t="shared" si="93"/>
        <v>0</v>
      </c>
      <c r="AM86" s="79">
        <v>200</v>
      </c>
      <c r="AN86" s="80">
        <f t="shared" si="94"/>
        <v>0</v>
      </c>
      <c r="AO86" s="79">
        <v>200</v>
      </c>
      <c r="AP86" s="80">
        <f t="shared" si="95"/>
        <v>0</v>
      </c>
      <c r="AQ86" s="79">
        <v>0</v>
      </c>
      <c r="AR86" s="81">
        <f t="shared" si="96"/>
        <v>0</v>
      </c>
      <c r="AS86" s="80">
        <f t="shared" si="186"/>
        <v>0</v>
      </c>
      <c r="AT86" s="70">
        <f t="shared" si="187"/>
        <v>200</v>
      </c>
      <c r="AU86" s="80">
        <f t="shared" si="188"/>
        <v>1</v>
      </c>
      <c r="AV86" s="70">
        <f t="shared" si="189"/>
        <v>200</v>
      </c>
      <c r="AW86" s="80">
        <f t="shared" si="190"/>
        <v>0</v>
      </c>
      <c r="AX86" s="70">
        <f t="shared" si="191"/>
        <v>0</v>
      </c>
      <c r="AY86" s="82"/>
      <c r="BA86" s="79">
        <v>2400</v>
      </c>
      <c r="BB86" s="80">
        <f t="shared" si="103"/>
        <v>0</v>
      </c>
      <c r="BC86" s="79">
        <v>2400</v>
      </c>
      <c r="BD86" s="80">
        <f t="shared" si="104"/>
        <v>0</v>
      </c>
      <c r="BE86" s="79">
        <v>403.11</v>
      </c>
      <c r="BF86" s="81">
        <f t="shared" si="105"/>
        <v>0</v>
      </c>
      <c r="BG86" s="80">
        <f t="shared" si="192"/>
        <v>0</v>
      </c>
      <c r="BH86" s="70">
        <f t="shared" si="193"/>
        <v>0</v>
      </c>
      <c r="BI86" s="80">
        <f t="shared" si="194"/>
        <v>-0.83203749999999999</v>
      </c>
      <c r="BJ86" s="70">
        <f t="shared" si="195"/>
        <v>-1996.8899999999999</v>
      </c>
      <c r="BK86" s="82"/>
    </row>
    <row r="87" spans="2:63" ht="11.95" outlineLevel="1" thickBot="1" x14ac:dyDescent="0.3">
      <c r="E87" s="3"/>
      <c r="F87" s="3"/>
      <c r="G87" s="3"/>
      <c r="H87" s="256" t="s">
        <v>109</v>
      </c>
      <c r="I87" s="18"/>
      <c r="J87" s="18"/>
      <c r="K87" s="18"/>
      <c r="L87" s="78"/>
      <c r="M87" s="79">
        <v>0</v>
      </c>
      <c r="N87" s="80">
        <f t="shared" si="83"/>
        <v>0</v>
      </c>
      <c r="O87" s="79">
        <v>3000</v>
      </c>
      <c r="P87" s="80">
        <f t="shared" si="84"/>
        <v>0</v>
      </c>
      <c r="Q87" s="79">
        <v>3000</v>
      </c>
      <c r="R87" s="80">
        <f t="shared" si="85"/>
        <v>0</v>
      </c>
      <c r="S87" s="79">
        <v>0</v>
      </c>
      <c r="T87" s="81">
        <f t="shared" si="86"/>
        <v>0</v>
      </c>
      <c r="U87" s="80">
        <f t="shared" si="87"/>
        <v>0</v>
      </c>
      <c r="V87" s="70">
        <f t="shared" si="88"/>
        <v>3000</v>
      </c>
      <c r="W87" s="80">
        <f t="shared" si="89"/>
        <v>0</v>
      </c>
      <c r="X87" s="70">
        <f t="shared" si="90"/>
        <v>3000</v>
      </c>
      <c r="Y87" s="80">
        <f t="shared" si="91"/>
        <v>0</v>
      </c>
      <c r="Z87" s="70">
        <f t="shared" si="92"/>
        <v>0</v>
      </c>
      <c r="AA87" s="82"/>
      <c r="AC87" s="138">
        <v>0</v>
      </c>
      <c r="AD87" s="138">
        <v>0</v>
      </c>
      <c r="AE87" s="138">
        <v>3000</v>
      </c>
      <c r="AF87" s="233"/>
      <c r="AG87" s="139"/>
      <c r="AH87" s="233"/>
      <c r="AI87" s="139"/>
      <c r="AK87" s="79">
        <v>0</v>
      </c>
      <c r="AL87" s="80">
        <f t="shared" si="93"/>
        <v>0</v>
      </c>
      <c r="AM87" s="79">
        <v>3000</v>
      </c>
      <c r="AN87" s="80">
        <f t="shared" si="94"/>
        <v>0</v>
      </c>
      <c r="AO87" s="79">
        <v>3000</v>
      </c>
      <c r="AP87" s="80">
        <f t="shared" si="95"/>
        <v>0</v>
      </c>
      <c r="AQ87" s="79">
        <v>0</v>
      </c>
      <c r="AR87" s="81">
        <f t="shared" si="96"/>
        <v>0</v>
      </c>
      <c r="AS87" s="80">
        <f t="shared" si="97"/>
        <v>0</v>
      </c>
      <c r="AT87" s="70">
        <f t="shared" si="98"/>
        <v>3000</v>
      </c>
      <c r="AU87" s="80">
        <f t="shared" si="99"/>
        <v>1</v>
      </c>
      <c r="AV87" s="70">
        <f t="shared" si="100"/>
        <v>3000</v>
      </c>
      <c r="AW87" s="80">
        <f t="shared" si="101"/>
        <v>0</v>
      </c>
      <c r="AX87" s="70">
        <f t="shared" si="102"/>
        <v>0</v>
      </c>
      <c r="AY87" s="82"/>
      <c r="BA87" s="79">
        <v>36000</v>
      </c>
      <c r="BB87" s="80">
        <f t="shared" si="103"/>
        <v>0</v>
      </c>
      <c r="BC87" s="79">
        <v>36000</v>
      </c>
      <c r="BD87" s="80">
        <f t="shared" si="104"/>
        <v>0</v>
      </c>
      <c r="BE87" s="79">
        <v>13774.49</v>
      </c>
      <c r="BF87" s="81">
        <f t="shared" si="105"/>
        <v>0</v>
      </c>
      <c r="BG87" s="80">
        <f t="shared" si="106"/>
        <v>0</v>
      </c>
      <c r="BH87" s="70">
        <f t="shared" si="107"/>
        <v>0</v>
      </c>
      <c r="BI87" s="80">
        <f t="shared" si="108"/>
        <v>-0.61737527777777779</v>
      </c>
      <c r="BJ87" s="70">
        <f t="shared" si="109"/>
        <v>-22225.510000000002</v>
      </c>
      <c r="BK87" s="82"/>
    </row>
    <row r="88" spans="2:63" ht="11.95" hidden="1" outlineLevel="2" thickBot="1" x14ac:dyDescent="0.3">
      <c r="B88" t="str">
        <f>IF(LEFT(H88,3)="Mul", "#hiderow", "#showrow")</f>
        <v>#hiderow</v>
      </c>
      <c r="E88" s="3"/>
      <c r="F88" s="3"/>
      <c r="G88" s="3"/>
      <c r="H88" s="255" t="s">
        <v>6</v>
      </c>
      <c r="I88" s="18"/>
      <c r="J88" s="18"/>
      <c r="K88" s="18"/>
      <c r="L88" s="78"/>
      <c r="M88" s="79"/>
      <c r="N88" s="80">
        <f t="shared" si="83"/>
        <v>0</v>
      </c>
      <c r="O88" s="79"/>
      <c r="P88" s="80">
        <f t="shared" si="84"/>
        <v>0</v>
      </c>
      <c r="Q88" s="79"/>
      <c r="R88" s="80">
        <f t="shared" si="85"/>
        <v>0</v>
      </c>
      <c r="S88" s="79"/>
      <c r="T88" s="81">
        <f t="shared" si="86"/>
        <v>0</v>
      </c>
      <c r="U88" s="80">
        <f t="shared" si="87"/>
        <v>0</v>
      </c>
      <c r="V88" s="70">
        <f t="shared" si="88"/>
        <v>0</v>
      </c>
      <c r="W88" s="80">
        <f t="shared" si="89"/>
        <v>0</v>
      </c>
      <c r="X88" s="70">
        <f t="shared" si="90"/>
        <v>0</v>
      </c>
      <c r="Y88" s="80">
        <f t="shared" si="91"/>
        <v>0</v>
      </c>
      <c r="Z88" s="70">
        <f t="shared" si="92"/>
        <v>0</v>
      </c>
      <c r="AA88" s="82"/>
      <c r="AC88" s="138"/>
      <c r="AD88" s="138"/>
      <c r="AE88" s="138"/>
      <c r="AF88" s="233"/>
      <c r="AG88" s="139"/>
      <c r="AH88" s="233"/>
      <c r="AI88" s="139"/>
      <c r="AK88" s="79"/>
      <c r="AL88" s="80">
        <f t="shared" si="93"/>
        <v>0</v>
      </c>
      <c r="AM88" s="79"/>
      <c r="AN88" s="80">
        <f t="shared" si="94"/>
        <v>0</v>
      </c>
      <c r="AO88" s="79"/>
      <c r="AP88" s="80">
        <f t="shared" si="95"/>
        <v>0</v>
      </c>
      <c r="AQ88" s="79"/>
      <c r="AR88" s="81">
        <f t="shared" si="96"/>
        <v>0</v>
      </c>
      <c r="AS88" s="80">
        <f t="shared" si="97"/>
        <v>0</v>
      </c>
      <c r="AT88" s="70">
        <f t="shared" si="98"/>
        <v>0</v>
      </c>
      <c r="AU88" s="80">
        <f t="shared" si="99"/>
        <v>0</v>
      </c>
      <c r="AV88" s="70">
        <f t="shared" si="100"/>
        <v>0</v>
      </c>
      <c r="AW88" s="80">
        <f t="shared" si="101"/>
        <v>0</v>
      </c>
      <c r="AX88" s="70">
        <f t="shared" si="102"/>
        <v>0</v>
      </c>
      <c r="AY88" s="82"/>
      <c r="BA88" s="79"/>
      <c r="BB88" s="80">
        <f t="shared" si="103"/>
        <v>0</v>
      </c>
      <c r="BC88" s="79"/>
      <c r="BD88" s="80">
        <f t="shared" si="104"/>
        <v>0</v>
      </c>
      <c r="BE88" s="79"/>
      <c r="BF88" s="81">
        <f t="shared" si="105"/>
        <v>0</v>
      </c>
      <c r="BG88" s="80">
        <f t="shared" si="106"/>
        <v>0</v>
      </c>
      <c r="BH88" s="70">
        <f t="shared" si="107"/>
        <v>0</v>
      </c>
      <c r="BI88" s="80">
        <f t="shared" si="108"/>
        <v>0</v>
      </c>
      <c r="BJ88" s="70">
        <f t="shared" si="109"/>
        <v>0</v>
      </c>
      <c r="BK88" s="82"/>
    </row>
    <row r="89" spans="2:63" ht="11.95" outlineLevel="2" thickBot="1" x14ac:dyDescent="0.3">
      <c r="B89" t="str">
        <f t="shared" ref="B89:B91" si="196">IF(LEFT(H89,3)="Mul", "#hiderow", "#showrow")</f>
        <v>#showrow</v>
      </c>
      <c r="E89" s="3"/>
      <c r="F89" s="3"/>
      <c r="G89" s="3"/>
      <c r="H89" s="255" t="s">
        <v>152</v>
      </c>
      <c r="I89" s="18"/>
      <c r="J89" s="18"/>
      <c r="K89" s="18"/>
      <c r="L89" s="78"/>
      <c r="M89" s="79"/>
      <c r="N89" s="80">
        <f t="shared" si="83"/>
        <v>0</v>
      </c>
      <c r="O89" s="79"/>
      <c r="P89" s="80">
        <f t="shared" si="84"/>
        <v>0</v>
      </c>
      <c r="Q89" s="79"/>
      <c r="R89" s="80">
        <f t="shared" si="85"/>
        <v>0</v>
      </c>
      <c r="S89" s="79"/>
      <c r="T89" s="81">
        <f t="shared" si="86"/>
        <v>0</v>
      </c>
      <c r="U89" s="80">
        <f t="shared" ref="U89:U91" si="197">IFERROR(($O89-M89)/ABS(M89),0)</f>
        <v>0</v>
      </c>
      <c r="V89" s="70">
        <f t="shared" ref="V89:V91" si="198">IFERROR((O89-$M89), 0-$M89)</f>
        <v>0</v>
      </c>
      <c r="W89" s="80">
        <f t="shared" ref="W89:W91" si="199">IFERROR((Q89-$M89)/ABS($M89),0)</f>
        <v>0</v>
      </c>
      <c r="X89" s="70">
        <f t="shared" ref="X89:X91" si="200">IFERROR((Q89-$M89), 0 -$M89)</f>
        <v>0</v>
      </c>
      <c r="Y89" s="80">
        <f t="shared" ref="Y89:Y91" si="201">IFERROR((S89-$M89)/ABS($M89),0)</f>
        <v>0</v>
      </c>
      <c r="Z89" s="70">
        <f t="shared" ref="Z89:Z91" si="202">IFERROR((S89-$M89),0-$M89)</f>
        <v>0</v>
      </c>
      <c r="AA89" s="82"/>
      <c r="AC89" s="138">
        <v>0</v>
      </c>
      <c r="AD89" s="138">
        <v>0</v>
      </c>
      <c r="AE89" s="138">
        <v>0</v>
      </c>
      <c r="AF89" s="233"/>
      <c r="AG89" s="139"/>
      <c r="AH89" s="233"/>
      <c r="AI89" s="139"/>
      <c r="AK89" s="79">
        <v>0</v>
      </c>
      <c r="AL89" s="80">
        <f t="shared" si="93"/>
        <v>0</v>
      </c>
      <c r="AM89" s="79">
        <v>0</v>
      </c>
      <c r="AN89" s="80">
        <f t="shared" si="94"/>
        <v>0</v>
      </c>
      <c r="AO89" s="79">
        <v>0</v>
      </c>
      <c r="AP89" s="80">
        <f t="shared" si="95"/>
        <v>0</v>
      </c>
      <c r="AQ89" s="79">
        <v>0</v>
      </c>
      <c r="AR89" s="81">
        <f t="shared" si="96"/>
        <v>0</v>
      </c>
      <c r="AS89" s="80">
        <f t="shared" ref="AS89:AS91" si="203">IFERROR((AM89-$AK89)/ABS($AK89),0)</f>
        <v>0</v>
      </c>
      <c r="AT89" s="70">
        <f t="shared" ref="AT89:AT91" si="204">(AM89-$AK89)</f>
        <v>0</v>
      </c>
      <c r="AU89" s="80">
        <f t="shared" ref="AU89:AU91" si="205">IFERROR((AO89-$AK89)/ABS($AO89),0)</f>
        <v>0</v>
      </c>
      <c r="AV89" s="70">
        <f t="shared" ref="AV89:AV91" si="206">(AO89-$AK89)</f>
        <v>0</v>
      </c>
      <c r="AW89" s="80">
        <f t="shared" ref="AW89:AW91" si="207">IFERROR((AQ89-$AK89)/ABS($AK89),0)</f>
        <v>0</v>
      </c>
      <c r="AX89" s="70">
        <f t="shared" ref="AX89:AX91" si="208">(AQ89-$AK89)</f>
        <v>0</v>
      </c>
      <c r="AY89" s="82"/>
      <c r="BA89" s="79">
        <v>0</v>
      </c>
      <c r="BB89" s="80">
        <f t="shared" si="103"/>
        <v>0</v>
      </c>
      <c r="BC89" s="79">
        <v>0</v>
      </c>
      <c r="BD89" s="80">
        <f t="shared" si="104"/>
        <v>0</v>
      </c>
      <c r="BE89" s="79">
        <v>2680.43</v>
      </c>
      <c r="BF89" s="81">
        <f t="shared" si="105"/>
        <v>0</v>
      </c>
      <c r="BG89" s="80">
        <f t="shared" ref="BG89:BG91" si="209">IFERROR((BC89-$BA89)/ABS($BA89),0)</f>
        <v>0</v>
      </c>
      <c r="BH89" s="70">
        <f t="shared" ref="BH89:BH91" si="210">(BC89-$BA89)</f>
        <v>0</v>
      </c>
      <c r="BI89" s="80">
        <f t="shared" ref="BI89:BI91" si="211">IFERROR((BE89-$BA89)/ABS($BA89),0)</f>
        <v>0</v>
      </c>
      <c r="BJ89" s="70">
        <f t="shared" ref="BJ89:BJ91" si="212">(BE89-$BA89)</f>
        <v>2680.43</v>
      </c>
      <c r="BK89" s="82"/>
    </row>
    <row r="90" spans="2:63" ht="11.95" outlineLevel="2" thickBot="1" x14ac:dyDescent="0.3">
      <c r="B90" t="str">
        <f t="shared" si="196"/>
        <v>#showrow</v>
      </c>
      <c r="E90" s="3"/>
      <c r="F90" s="3"/>
      <c r="G90" s="3"/>
      <c r="H90" s="255" t="s">
        <v>154</v>
      </c>
      <c r="I90" s="18"/>
      <c r="J90" s="18"/>
      <c r="K90" s="18"/>
      <c r="L90" s="78"/>
      <c r="M90" s="79"/>
      <c r="N90" s="80">
        <f t="shared" ref="N90:N121" si="213">IFERROR(M90/SUMIFS(M:M, $H:$H, "Net Sales"),0)</f>
        <v>0</v>
      </c>
      <c r="O90" s="79">
        <v>2500</v>
      </c>
      <c r="P90" s="80">
        <f t="shared" ref="P90:P121" si="214">IFERROR(O90/SUMIFS(O:O, $H:$H, "Net Sales"),0)</f>
        <v>0</v>
      </c>
      <c r="Q90" s="79">
        <v>2500</v>
      </c>
      <c r="R90" s="80">
        <f t="shared" ref="R90:R121" si="215">IFERROR(Q90/SUMIFS(Q:Q, $H:$H, "Net Sales"),0)</f>
        <v>0</v>
      </c>
      <c r="S90" s="79"/>
      <c r="T90" s="81">
        <f t="shared" ref="T90:T121" si="216">IFERROR(S90/SUMIFS(S:S, $H:$H, "Net Sales"),0)</f>
        <v>0</v>
      </c>
      <c r="U90" s="80">
        <f t="shared" si="197"/>
        <v>0</v>
      </c>
      <c r="V90" s="70">
        <f t="shared" si="198"/>
        <v>2500</v>
      </c>
      <c r="W90" s="80">
        <f t="shared" si="199"/>
        <v>0</v>
      </c>
      <c r="X90" s="70">
        <f t="shared" si="200"/>
        <v>2500</v>
      </c>
      <c r="Y90" s="80">
        <f t="shared" si="201"/>
        <v>0</v>
      </c>
      <c r="Z90" s="70">
        <f t="shared" si="202"/>
        <v>0</v>
      </c>
      <c r="AA90" s="82"/>
      <c r="AC90" s="138">
        <v>0</v>
      </c>
      <c r="AD90" s="138">
        <v>0</v>
      </c>
      <c r="AE90" s="138">
        <v>2500</v>
      </c>
      <c r="AF90" s="233"/>
      <c r="AG90" s="139"/>
      <c r="AH90" s="233"/>
      <c r="AI90" s="139"/>
      <c r="AK90" s="79">
        <v>0</v>
      </c>
      <c r="AL90" s="80">
        <f t="shared" ref="AL90:AL121" si="217">IFERROR(AK90/SUMIFS(AK:AK, $H:$H, "Net Sales"),0)</f>
        <v>0</v>
      </c>
      <c r="AM90" s="79">
        <v>2500</v>
      </c>
      <c r="AN90" s="80">
        <f t="shared" ref="AN90:AN121" si="218">IFERROR(AM90/SUMIFS(AM:AM, $H:$H, "Net Sales"),0)</f>
        <v>0</v>
      </c>
      <c r="AO90" s="79">
        <v>2500</v>
      </c>
      <c r="AP90" s="80">
        <f t="shared" ref="AP90:AP121" si="219">IFERROR(AO90/SUMIFS(AO:AO, $H:$H, "Net Sales"),0)</f>
        <v>0</v>
      </c>
      <c r="AQ90" s="79">
        <v>0</v>
      </c>
      <c r="AR90" s="81">
        <f t="shared" ref="AR90:AR121" si="220">IFERROR(AQ90/SUMIFS(AQ:AQ, $H:$H, "Net Sales"),0)</f>
        <v>0</v>
      </c>
      <c r="AS90" s="80">
        <f t="shared" si="203"/>
        <v>0</v>
      </c>
      <c r="AT90" s="70">
        <f t="shared" si="204"/>
        <v>2500</v>
      </c>
      <c r="AU90" s="80">
        <f t="shared" si="205"/>
        <v>1</v>
      </c>
      <c r="AV90" s="70">
        <f t="shared" si="206"/>
        <v>2500</v>
      </c>
      <c r="AW90" s="80">
        <f t="shared" si="207"/>
        <v>0</v>
      </c>
      <c r="AX90" s="70">
        <f t="shared" si="208"/>
        <v>0</v>
      </c>
      <c r="AY90" s="82"/>
      <c r="BA90" s="79">
        <v>30000</v>
      </c>
      <c r="BB90" s="80">
        <f t="shared" ref="BB90:BB121" si="221">IFERROR(BA90/SUMIFS(BA:BA, $H:$H, "Net Sales"),0)</f>
        <v>0</v>
      </c>
      <c r="BC90" s="79">
        <v>30000</v>
      </c>
      <c r="BD90" s="80">
        <f t="shared" ref="BD90:BD121" si="222">IFERROR(BC90/SUMIFS(BC:BC, $H:$H, "Net Sales"),0)</f>
        <v>0</v>
      </c>
      <c r="BE90" s="79">
        <v>9509.1299999999992</v>
      </c>
      <c r="BF90" s="81">
        <f t="shared" ref="BF90:BF121" si="223">IFERROR(BE90/SUMIFS(BE:BE, $H:$H, "Net Sales"),0)</f>
        <v>0</v>
      </c>
      <c r="BG90" s="80">
        <f t="shared" si="209"/>
        <v>0</v>
      </c>
      <c r="BH90" s="70">
        <f t="shared" si="210"/>
        <v>0</v>
      </c>
      <c r="BI90" s="80">
        <f t="shared" si="211"/>
        <v>-0.68302900000000011</v>
      </c>
      <c r="BJ90" s="70">
        <f t="shared" si="212"/>
        <v>-20490.870000000003</v>
      </c>
      <c r="BK90" s="82"/>
    </row>
    <row r="91" spans="2:63" ht="11.95" outlineLevel="2" thickBot="1" x14ac:dyDescent="0.3">
      <c r="B91" t="str">
        <f t="shared" si="196"/>
        <v>#showrow</v>
      </c>
      <c r="E91" s="3"/>
      <c r="F91" s="3"/>
      <c r="G91" s="3"/>
      <c r="H91" s="255" t="s">
        <v>159</v>
      </c>
      <c r="I91" s="18"/>
      <c r="J91" s="18"/>
      <c r="K91" s="18"/>
      <c r="L91" s="78"/>
      <c r="M91" s="79"/>
      <c r="N91" s="80">
        <f t="shared" si="213"/>
        <v>0</v>
      </c>
      <c r="O91" s="79">
        <v>500</v>
      </c>
      <c r="P91" s="80">
        <f t="shared" si="214"/>
        <v>0</v>
      </c>
      <c r="Q91" s="79">
        <v>500</v>
      </c>
      <c r="R91" s="80">
        <f t="shared" si="215"/>
        <v>0</v>
      </c>
      <c r="S91" s="79"/>
      <c r="T91" s="81">
        <f t="shared" si="216"/>
        <v>0</v>
      </c>
      <c r="U91" s="80">
        <f t="shared" si="197"/>
        <v>0</v>
      </c>
      <c r="V91" s="70">
        <f t="shared" si="198"/>
        <v>500</v>
      </c>
      <c r="W91" s="80">
        <f t="shared" si="199"/>
        <v>0</v>
      </c>
      <c r="X91" s="70">
        <f t="shared" si="200"/>
        <v>500</v>
      </c>
      <c r="Y91" s="80">
        <f t="shared" si="201"/>
        <v>0</v>
      </c>
      <c r="Z91" s="70">
        <f t="shared" si="202"/>
        <v>0</v>
      </c>
      <c r="AA91" s="82"/>
      <c r="AC91" s="138">
        <v>0</v>
      </c>
      <c r="AD91" s="138">
        <v>0</v>
      </c>
      <c r="AE91" s="138">
        <v>500</v>
      </c>
      <c r="AF91" s="233"/>
      <c r="AG91" s="139"/>
      <c r="AH91" s="233"/>
      <c r="AI91" s="139"/>
      <c r="AK91" s="79">
        <v>0</v>
      </c>
      <c r="AL91" s="80">
        <f t="shared" si="217"/>
        <v>0</v>
      </c>
      <c r="AM91" s="79">
        <v>500</v>
      </c>
      <c r="AN91" s="80">
        <f t="shared" si="218"/>
        <v>0</v>
      </c>
      <c r="AO91" s="79">
        <v>500</v>
      </c>
      <c r="AP91" s="80">
        <f t="shared" si="219"/>
        <v>0</v>
      </c>
      <c r="AQ91" s="79">
        <v>0</v>
      </c>
      <c r="AR91" s="81">
        <f t="shared" si="220"/>
        <v>0</v>
      </c>
      <c r="AS91" s="80">
        <f t="shared" si="203"/>
        <v>0</v>
      </c>
      <c r="AT91" s="70">
        <f t="shared" si="204"/>
        <v>500</v>
      </c>
      <c r="AU91" s="80">
        <f t="shared" si="205"/>
        <v>1</v>
      </c>
      <c r="AV91" s="70">
        <f t="shared" si="206"/>
        <v>500</v>
      </c>
      <c r="AW91" s="80">
        <f t="shared" si="207"/>
        <v>0</v>
      </c>
      <c r="AX91" s="70">
        <f t="shared" si="208"/>
        <v>0</v>
      </c>
      <c r="AY91" s="82"/>
      <c r="BA91" s="79">
        <v>6000</v>
      </c>
      <c r="BB91" s="80">
        <f t="shared" si="221"/>
        <v>0</v>
      </c>
      <c r="BC91" s="79">
        <v>6000</v>
      </c>
      <c r="BD91" s="80">
        <f t="shared" si="222"/>
        <v>0</v>
      </c>
      <c r="BE91" s="79">
        <v>1584.93</v>
      </c>
      <c r="BF91" s="81">
        <f t="shared" si="223"/>
        <v>0</v>
      </c>
      <c r="BG91" s="80">
        <f t="shared" si="209"/>
        <v>0</v>
      </c>
      <c r="BH91" s="70">
        <f t="shared" si="210"/>
        <v>0</v>
      </c>
      <c r="BI91" s="80">
        <f t="shared" si="211"/>
        <v>-0.73584499999999997</v>
      </c>
      <c r="BJ91" s="70">
        <f t="shared" si="212"/>
        <v>-4415.07</v>
      </c>
      <c r="BK91" s="82"/>
    </row>
    <row r="92" spans="2:63" ht="11.95" outlineLevel="1" thickBot="1" x14ac:dyDescent="0.3">
      <c r="E92" s="3"/>
      <c r="F92" s="3"/>
      <c r="G92" s="3"/>
      <c r="H92" s="256" t="s">
        <v>110</v>
      </c>
      <c r="I92" s="18"/>
      <c r="J92" s="18"/>
      <c r="K92" s="18"/>
      <c r="L92" s="78"/>
      <c r="M92" s="79">
        <v>33589.99</v>
      </c>
      <c r="N92" s="80">
        <f t="shared" si="213"/>
        <v>0</v>
      </c>
      <c r="O92" s="79">
        <v>7000</v>
      </c>
      <c r="P92" s="80">
        <f t="shared" si="214"/>
        <v>0</v>
      </c>
      <c r="Q92" s="79">
        <v>7000</v>
      </c>
      <c r="R92" s="80">
        <f t="shared" si="215"/>
        <v>0</v>
      </c>
      <c r="S92" s="79">
        <v>0</v>
      </c>
      <c r="T92" s="81">
        <f t="shared" si="216"/>
        <v>0</v>
      </c>
      <c r="U92" s="80">
        <f t="shared" si="87"/>
        <v>-0.79160458219844665</v>
      </c>
      <c r="V92" s="70">
        <f t="shared" si="88"/>
        <v>-26589.989999999998</v>
      </c>
      <c r="W92" s="80">
        <f t="shared" si="89"/>
        <v>-0.79160458219844665</v>
      </c>
      <c r="X92" s="260">
        <f t="shared" si="90"/>
        <v>-26589.989999999998</v>
      </c>
      <c r="Y92" s="80">
        <f t="shared" si="91"/>
        <v>-1</v>
      </c>
      <c r="Z92" s="70">
        <f t="shared" si="92"/>
        <v>-33589.99</v>
      </c>
      <c r="AA92" s="82"/>
      <c r="AC92" s="138">
        <v>33589.99</v>
      </c>
      <c r="AD92" s="138">
        <v>0</v>
      </c>
      <c r="AE92" s="138">
        <v>7000</v>
      </c>
      <c r="AF92" s="233"/>
      <c r="AG92" s="139"/>
      <c r="AH92" s="233"/>
      <c r="AI92" s="139"/>
      <c r="AK92" s="79">
        <v>33589.99</v>
      </c>
      <c r="AL92" s="80">
        <f t="shared" si="217"/>
        <v>0</v>
      </c>
      <c r="AM92" s="79">
        <v>7000</v>
      </c>
      <c r="AN92" s="80">
        <f t="shared" si="218"/>
        <v>0</v>
      </c>
      <c r="AO92" s="79">
        <v>7000</v>
      </c>
      <c r="AP92" s="80">
        <f t="shared" si="219"/>
        <v>0</v>
      </c>
      <c r="AQ92" s="79">
        <v>0</v>
      </c>
      <c r="AR92" s="81">
        <f t="shared" si="220"/>
        <v>0</v>
      </c>
      <c r="AS92" s="80">
        <f t="shared" si="97"/>
        <v>-0.79160458219844665</v>
      </c>
      <c r="AT92" s="70">
        <f t="shared" si="98"/>
        <v>-26589.989999999998</v>
      </c>
      <c r="AU92" s="80">
        <f t="shared" si="99"/>
        <v>-3.7985699999999998</v>
      </c>
      <c r="AV92" s="70">
        <f t="shared" si="100"/>
        <v>-26589.989999999998</v>
      </c>
      <c r="AW92" s="80">
        <f t="shared" si="101"/>
        <v>-1</v>
      </c>
      <c r="AX92" s="70">
        <f t="shared" si="102"/>
        <v>-33589.99</v>
      </c>
      <c r="AY92" s="82"/>
      <c r="BA92" s="79">
        <v>84000</v>
      </c>
      <c r="BB92" s="80">
        <f t="shared" si="221"/>
        <v>0</v>
      </c>
      <c r="BC92" s="79">
        <v>84000</v>
      </c>
      <c r="BD92" s="80">
        <f t="shared" si="222"/>
        <v>0</v>
      </c>
      <c r="BE92" s="79">
        <v>59235.47</v>
      </c>
      <c r="BF92" s="81">
        <f t="shared" si="223"/>
        <v>0</v>
      </c>
      <c r="BG92" s="80">
        <f t="shared" si="106"/>
        <v>0</v>
      </c>
      <c r="BH92" s="70">
        <f t="shared" si="107"/>
        <v>0</v>
      </c>
      <c r="BI92" s="80">
        <f t="shared" si="108"/>
        <v>-0.29481583333333333</v>
      </c>
      <c r="BJ92" s="70">
        <f t="shared" si="109"/>
        <v>-24764.53</v>
      </c>
      <c r="BK92" s="82"/>
    </row>
    <row r="93" spans="2:63" ht="11.95" hidden="1" outlineLevel="2" thickBot="1" x14ac:dyDescent="0.3">
      <c r="B93" t="str">
        <f>IF(LEFT(H93,3)="Mul", "#hiderow", "#showrow")</f>
        <v>#hiderow</v>
      </c>
      <c r="E93" s="3"/>
      <c r="F93" s="3"/>
      <c r="G93" s="3"/>
      <c r="H93" s="255" t="s">
        <v>6</v>
      </c>
      <c r="I93" s="18"/>
      <c r="J93" s="18"/>
      <c r="K93" s="18"/>
      <c r="L93" s="78"/>
      <c r="M93" s="79"/>
      <c r="N93" s="80">
        <f t="shared" si="213"/>
        <v>0</v>
      </c>
      <c r="O93" s="79"/>
      <c r="P93" s="80">
        <f t="shared" si="214"/>
        <v>0</v>
      </c>
      <c r="Q93" s="79"/>
      <c r="R93" s="80">
        <f t="shared" si="215"/>
        <v>0</v>
      </c>
      <c r="S93" s="79"/>
      <c r="T93" s="81">
        <f t="shared" si="216"/>
        <v>0</v>
      </c>
      <c r="U93" s="80">
        <f t="shared" si="87"/>
        <v>0</v>
      </c>
      <c r="V93" s="70">
        <f t="shared" si="88"/>
        <v>0</v>
      </c>
      <c r="W93" s="80">
        <f t="shared" si="89"/>
        <v>0</v>
      </c>
      <c r="X93" s="70">
        <f t="shared" si="90"/>
        <v>0</v>
      </c>
      <c r="Y93" s="80">
        <f t="shared" si="91"/>
        <v>0</v>
      </c>
      <c r="Z93" s="70">
        <f t="shared" si="92"/>
        <v>0</v>
      </c>
      <c r="AA93" s="82"/>
      <c r="AC93" s="138"/>
      <c r="AD93" s="138"/>
      <c r="AE93" s="138"/>
      <c r="AF93" s="233"/>
      <c r="AG93" s="139"/>
      <c r="AH93" s="233"/>
      <c r="AI93" s="139"/>
      <c r="AK93" s="79"/>
      <c r="AL93" s="80">
        <f t="shared" si="217"/>
        <v>0</v>
      </c>
      <c r="AM93" s="79"/>
      <c r="AN93" s="80">
        <f t="shared" si="218"/>
        <v>0</v>
      </c>
      <c r="AO93" s="79"/>
      <c r="AP93" s="80">
        <f t="shared" si="219"/>
        <v>0</v>
      </c>
      <c r="AQ93" s="79"/>
      <c r="AR93" s="81">
        <f t="shared" si="220"/>
        <v>0</v>
      </c>
      <c r="AS93" s="80">
        <f t="shared" si="97"/>
        <v>0</v>
      </c>
      <c r="AT93" s="70">
        <f t="shared" si="98"/>
        <v>0</v>
      </c>
      <c r="AU93" s="80">
        <f t="shared" si="99"/>
        <v>0</v>
      </c>
      <c r="AV93" s="70">
        <f t="shared" si="100"/>
        <v>0</v>
      </c>
      <c r="AW93" s="80">
        <f t="shared" si="101"/>
        <v>0</v>
      </c>
      <c r="AX93" s="70">
        <f t="shared" si="102"/>
        <v>0</v>
      </c>
      <c r="AY93" s="82"/>
      <c r="BA93" s="79"/>
      <c r="BB93" s="80">
        <f t="shared" si="221"/>
        <v>0</v>
      </c>
      <c r="BC93" s="79"/>
      <c r="BD93" s="80">
        <f t="shared" si="222"/>
        <v>0</v>
      </c>
      <c r="BE93" s="79"/>
      <c r="BF93" s="81">
        <f t="shared" si="223"/>
        <v>0</v>
      </c>
      <c r="BG93" s="80">
        <f t="shared" si="106"/>
        <v>0</v>
      </c>
      <c r="BH93" s="70">
        <f t="shared" si="107"/>
        <v>0</v>
      </c>
      <c r="BI93" s="80">
        <f t="shared" si="108"/>
        <v>0</v>
      </c>
      <c r="BJ93" s="70">
        <f t="shared" si="109"/>
        <v>0</v>
      </c>
      <c r="BK93" s="82"/>
    </row>
    <row r="94" spans="2:63" ht="11.95" outlineLevel="2" thickBot="1" x14ac:dyDescent="0.3">
      <c r="B94" t="str">
        <f t="shared" ref="B94:B97" si="224">IF(LEFT(H94,3)="Mul", "#hiderow", "#showrow")</f>
        <v>#showrow</v>
      </c>
      <c r="E94" s="3"/>
      <c r="F94" s="3"/>
      <c r="G94" s="3"/>
      <c r="H94" s="255" t="s">
        <v>479</v>
      </c>
      <c r="I94" s="18"/>
      <c r="J94" s="18"/>
      <c r="K94" s="18"/>
      <c r="L94" s="78"/>
      <c r="M94" s="79">
        <v>17886.740000000002</v>
      </c>
      <c r="N94" s="80">
        <f t="shared" si="213"/>
        <v>0</v>
      </c>
      <c r="O94" s="79"/>
      <c r="P94" s="80">
        <f t="shared" si="214"/>
        <v>0</v>
      </c>
      <c r="Q94" s="79"/>
      <c r="R94" s="80">
        <f t="shared" si="215"/>
        <v>0</v>
      </c>
      <c r="S94" s="79"/>
      <c r="T94" s="81">
        <f t="shared" si="216"/>
        <v>0</v>
      </c>
      <c r="U94" s="80">
        <f t="shared" ref="U94:U97" si="225">IFERROR(($O94-M94)/ABS(M94),0)</f>
        <v>-1</v>
      </c>
      <c r="V94" s="70">
        <f t="shared" ref="V94:V97" si="226">IFERROR((O94-$M94), 0-$M94)</f>
        <v>-17886.740000000002</v>
      </c>
      <c r="W94" s="80">
        <f t="shared" ref="W94:W97" si="227">IFERROR((Q94-$M94)/ABS($M94),0)</f>
        <v>-1</v>
      </c>
      <c r="X94" s="70">
        <f t="shared" ref="X94:X97" si="228">IFERROR((Q94-$M94), 0 -$M94)</f>
        <v>-17886.740000000002</v>
      </c>
      <c r="Y94" s="80">
        <f t="shared" ref="Y94:Y97" si="229">IFERROR((S94-$M94)/ABS($M94),0)</f>
        <v>-1</v>
      </c>
      <c r="Z94" s="70">
        <f t="shared" ref="Z94:Z97" si="230">IFERROR((S94-$M94),0-$M94)</f>
        <v>-17886.740000000002</v>
      </c>
      <c r="AA94" s="82" t="s">
        <v>488</v>
      </c>
      <c r="AC94" s="138">
        <v>17886.740000000002</v>
      </c>
      <c r="AD94" s="138">
        <v>0</v>
      </c>
      <c r="AE94" s="138">
        <v>0</v>
      </c>
      <c r="AF94" s="233"/>
      <c r="AG94" s="139"/>
      <c r="AH94" s="233"/>
      <c r="AI94" s="139"/>
      <c r="AK94" s="79">
        <v>17886.740000000002</v>
      </c>
      <c r="AL94" s="80">
        <f t="shared" si="217"/>
        <v>0</v>
      </c>
      <c r="AM94" s="79">
        <v>0</v>
      </c>
      <c r="AN94" s="80">
        <f t="shared" si="218"/>
        <v>0</v>
      </c>
      <c r="AO94" s="79">
        <v>0</v>
      </c>
      <c r="AP94" s="80">
        <f t="shared" si="219"/>
        <v>0</v>
      </c>
      <c r="AQ94" s="79">
        <v>0</v>
      </c>
      <c r="AR94" s="81">
        <f t="shared" si="220"/>
        <v>0</v>
      </c>
      <c r="AS94" s="80">
        <f t="shared" ref="AS94:AS97" si="231">IFERROR((AM94-$AK94)/ABS($AK94),0)</f>
        <v>-1</v>
      </c>
      <c r="AT94" s="70">
        <f t="shared" ref="AT94:AT97" si="232">(AM94-$AK94)</f>
        <v>-17886.740000000002</v>
      </c>
      <c r="AU94" s="80">
        <f t="shared" ref="AU94:AU97" si="233">IFERROR((AO94-$AK94)/ABS($AO94),0)</f>
        <v>0</v>
      </c>
      <c r="AV94" s="70">
        <f t="shared" ref="AV94:AV97" si="234">(AO94-$AK94)</f>
        <v>-17886.740000000002</v>
      </c>
      <c r="AW94" s="80">
        <f t="shared" ref="AW94:AW97" si="235">IFERROR((AQ94-$AK94)/ABS($AK94),0)</f>
        <v>-1</v>
      </c>
      <c r="AX94" s="70">
        <f t="shared" ref="AX94:AX97" si="236">(AQ94-$AK94)</f>
        <v>-17886.740000000002</v>
      </c>
      <c r="AY94" s="82"/>
      <c r="BA94" s="79">
        <v>0</v>
      </c>
      <c r="BB94" s="80">
        <f t="shared" si="221"/>
        <v>0</v>
      </c>
      <c r="BC94" s="79">
        <v>0</v>
      </c>
      <c r="BD94" s="80">
        <f t="shared" si="222"/>
        <v>0</v>
      </c>
      <c r="BE94" s="79">
        <v>11386.7</v>
      </c>
      <c r="BF94" s="81">
        <f t="shared" si="223"/>
        <v>0</v>
      </c>
      <c r="BG94" s="80">
        <f t="shared" ref="BG94:BG97" si="237">IFERROR((BC94-$BA94)/ABS($BA94),0)</f>
        <v>0</v>
      </c>
      <c r="BH94" s="70">
        <f t="shared" ref="BH94:BH97" si="238">(BC94-$BA94)</f>
        <v>0</v>
      </c>
      <c r="BI94" s="80">
        <f t="shared" ref="BI94:BI97" si="239">IFERROR((BE94-$BA94)/ABS($BA94),0)</f>
        <v>0</v>
      </c>
      <c r="BJ94" s="70">
        <f t="shared" ref="BJ94:BJ97" si="240">(BE94-$BA94)</f>
        <v>11386.7</v>
      </c>
      <c r="BK94" s="82"/>
    </row>
    <row r="95" spans="2:63" ht="11.95" outlineLevel="2" thickBot="1" x14ac:dyDescent="0.3">
      <c r="B95" t="str">
        <f t="shared" si="224"/>
        <v>#showrow</v>
      </c>
      <c r="E95" s="3"/>
      <c r="F95" s="3"/>
      <c r="G95" s="3"/>
      <c r="H95" s="255" t="s">
        <v>142</v>
      </c>
      <c r="I95" s="18"/>
      <c r="J95" s="18"/>
      <c r="K95" s="18"/>
      <c r="L95" s="78"/>
      <c r="M95" s="79">
        <v>2628.25</v>
      </c>
      <c r="N95" s="80">
        <f t="shared" si="213"/>
        <v>0</v>
      </c>
      <c r="O95" s="79">
        <v>500</v>
      </c>
      <c r="P95" s="80">
        <f t="shared" si="214"/>
        <v>0</v>
      </c>
      <c r="Q95" s="79">
        <v>500</v>
      </c>
      <c r="R95" s="80">
        <f t="shared" si="215"/>
        <v>0</v>
      </c>
      <c r="S95" s="79"/>
      <c r="T95" s="81">
        <f t="shared" si="216"/>
        <v>0</v>
      </c>
      <c r="U95" s="80">
        <f t="shared" si="225"/>
        <v>-0.80975934557214879</v>
      </c>
      <c r="V95" s="70">
        <f t="shared" si="226"/>
        <v>-2128.25</v>
      </c>
      <c r="W95" s="80">
        <f t="shared" si="227"/>
        <v>-0.80975934557214879</v>
      </c>
      <c r="X95" s="70">
        <f t="shared" si="228"/>
        <v>-2128.25</v>
      </c>
      <c r="Y95" s="80">
        <f t="shared" si="229"/>
        <v>-1</v>
      </c>
      <c r="Z95" s="70">
        <f t="shared" si="230"/>
        <v>-2628.25</v>
      </c>
      <c r="AA95" s="82"/>
      <c r="AC95" s="138">
        <v>2628.25</v>
      </c>
      <c r="AD95" s="138">
        <v>0</v>
      </c>
      <c r="AE95" s="138">
        <v>500</v>
      </c>
      <c r="AF95" s="233"/>
      <c r="AG95" s="139"/>
      <c r="AH95" s="233"/>
      <c r="AI95" s="139"/>
      <c r="AK95" s="79">
        <v>2628.25</v>
      </c>
      <c r="AL95" s="80">
        <f t="shared" si="217"/>
        <v>0</v>
      </c>
      <c r="AM95" s="79">
        <v>500</v>
      </c>
      <c r="AN95" s="80">
        <f t="shared" si="218"/>
        <v>0</v>
      </c>
      <c r="AO95" s="79">
        <v>500</v>
      </c>
      <c r="AP95" s="80">
        <f t="shared" si="219"/>
        <v>0</v>
      </c>
      <c r="AQ95" s="79">
        <v>0</v>
      </c>
      <c r="AR95" s="81">
        <f t="shared" si="220"/>
        <v>0</v>
      </c>
      <c r="AS95" s="80">
        <f t="shared" si="231"/>
        <v>-0.80975934557214879</v>
      </c>
      <c r="AT95" s="70">
        <f t="shared" si="232"/>
        <v>-2128.25</v>
      </c>
      <c r="AU95" s="80">
        <f t="shared" si="233"/>
        <v>-4.2565</v>
      </c>
      <c r="AV95" s="70">
        <f t="shared" si="234"/>
        <v>-2128.25</v>
      </c>
      <c r="AW95" s="80">
        <f t="shared" si="235"/>
        <v>-1</v>
      </c>
      <c r="AX95" s="70">
        <f t="shared" si="236"/>
        <v>-2628.25</v>
      </c>
      <c r="AY95" s="82"/>
      <c r="BA95" s="79">
        <v>6000</v>
      </c>
      <c r="BB95" s="80">
        <f t="shared" si="221"/>
        <v>0</v>
      </c>
      <c r="BC95" s="79">
        <v>6000</v>
      </c>
      <c r="BD95" s="80">
        <f t="shared" si="222"/>
        <v>0</v>
      </c>
      <c r="BE95" s="79">
        <v>2348.77</v>
      </c>
      <c r="BF95" s="81">
        <f t="shared" si="223"/>
        <v>0</v>
      </c>
      <c r="BG95" s="80">
        <f t="shared" si="237"/>
        <v>0</v>
      </c>
      <c r="BH95" s="70">
        <f t="shared" si="238"/>
        <v>0</v>
      </c>
      <c r="BI95" s="80">
        <f t="shared" si="239"/>
        <v>-0.60853833333333329</v>
      </c>
      <c r="BJ95" s="70">
        <f t="shared" si="240"/>
        <v>-3651.23</v>
      </c>
      <c r="BK95" s="82"/>
    </row>
    <row r="96" spans="2:63" ht="11.95" outlineLevel="2" thickBot="1" x14ac:dyDescent="0.3">
      <c r="B96" t="str">
        <f t="shared" si="224"/>
        <v>#showrow</v>
      </c>
      <c r="E96" s="3"/>
      <c r="F96" s="3"/>
      <c r="G96" s="3"/>
      <c r="H96" s="255" t="s">
        <v>143</v>
      </c>
      <c r="I96" s="18"/>
      <c r="J96" s="18"/>
      <c r="K96" s="18"/>
      <c r="L96" s="78"/>
      <c r="M96" s="79">
        <v>6250</v>
      </c>
      <c r="N96" s="80">
        <f t="shared" si="213"/>
        <v>0</v>
      </c>
      <c r="O96" s="79"/>
      <c r="P96" s="80">
        <f t="shared" si="214"/>
        <v>0</v>
      </c>
      <c r="Q96" s="79"/>
      <c r="R96" s="80">
        <f t="shared" si="215"/>
        <v>0</v>
      </c>
      <c r="S96" s="79"/>
      <c r="T96" s="81">
        <f t="shared" si="216"/>
        <v>0</v>
      </c>
      <c r="U96" s="80">
        <f t="shared" si="225"/>
        <v>-1</v>
      </c>
      <c r="V96" s="70">
        <f t="shared" si="226"/>
        <v>-6250</v>
      </c>
      <c r="W96" s="80">
        <f t="shared" si="227"/>
        <v>-1</v>
      </c>
      <c r="X96" s="70">
        <f t="shared" si="228"/>
        <v>-6250</v>
      </c>
      <c r="Y96" s="80">
        <f t="shared" si="229"/>
        <v>-1</v>
      </c>
      <c r="Z96" s="70">
        <f t="shared" si="230"/>
        <v>-6250</v>
      </c>
      <c r="AA96" s="82"/>
      <c r="AC96" s="138">
        <v>6250</v>
      </c>
      <c r="AD96" s="138">
        <v>0</v>
      </c>
      <c r="AE96" s="138">
        <v>0</v>
      </c>
      <c r="AF96" s="233"/>
      <c r="AG96" s="139"/>
      <c r="AH96" s="233"/>
      <c r="AI96" s="139"/>
      <c r="AK96" s="79">
        <v>6250</v>
      </c>
      <c r="AL96" s="80">
        <f t="shared" si="217"/>
        <v>0</v>
      </c>
      <c r="AM96" s="79">
        <v>0</v>
      </c>
      <c r="AN96" s="80">
        <f t="shared" si="218"/>
        <v>0</v>
      </c>
      <c r="AO96" s="79">
        <v>0</v>
      </c>
      <c r="AP96" s="80">
        <f t="shared" si="219"/>
        <v>0</v>
      </c>
      <c r="AQ96" s="79">
        <v>0</v>
      </c>
      <c r="AR96" s="81">
        <f t="shared" si="220"/>
        <v>0</v>
      </c>
      <c r="AS96" s="80">
        <f t="shared" si="231"/>
        <v>-1</v>
      </c>
      <c r="AT96" s="70">
        <f t="shared" si="232"/>
        <v>-6250</v>
      </c>
      <c r="AU96" s="80">
        <f t="shared" si="233"/>
        <v>0</v>
      </c>
      <c r="AV96" s="70">
        <f t="shared" si="234"/>
        <v>-6250</v>
      </c>
      <c r="AW96" s="80">
        <f t="shared" si="235"/>
        <v>-1</v>
      </c>
      <c r="AX96" s="70">
        <f t="shared" si="236"/>
        <v>-6250</v>
      </c>
      <c r="AY96" s="82"/>
      <c r="BA96" s="79">
        <v>0</v>
      </c>
      <c r="BB96" s="80">
        <f t="shared" si="221"/>
        <v>0</v>
      </c>
      <c r="BC96" s="79">
        <v>0</v>
      </c>
      <c r="BD96" s="80">
        <f t="shared" si="222"/>
        <v>0</v>
      </c>
      <c r="BE96" s="79">
        <v>0</v>
      </c>
      <c r="BF96" s="81">
        <f t="shared" si="223"/>
        <v>0</v>
      </c>
      <c r="BG96" s="80">
        <f t="shared" si="237"/>
        <v>0</v>
      </c>
      <c r="BH96" s="70">
        <f t="shared" si="238"/>
        <v>0</v>
      </c>
      <c r="BI96" s="80">
        <f t="shared" si="239"/>
        <v>0</v>
      </c>
      <c r="BJ96" s="70">
        <f t="shared" si="240"/>
        <v>0</v>
      </c>
      <c r="BK96" s="82"/>
    </row>
    <row r="97" spans="2:63" ht="11.95" outlineLevel="2" thickBot="1" x14ac:dyDescent="0.3">
      <c r="B97" t="str">
        <f t="shared" si="224"/>
        <v>#showrow</v>
      </c>
      <c r="E97" s="3"/>
      <c r="F97" s="3"/>
      <c r="G97" s="3"/>
      <c r="H97" s="255" t="s">
        <v>145</v>
      </c>
      <c r="I97" s="18"/>
      <c r="J97" s="18"/>
      <c r="K97" s="18"/>
      <c r="L97" s="78"/>
      <c r="M97" s="79">
        <v>6825</v>
      </c>
      <c r="N97" s="80">
        <f t="shared" si="213"/>
        <v>0</v>
      </c>
      <c r="O97" s="79">
        <v>6500</v>
      </c>
      <c r="P97" s="80">
        <f t="shared" si="214"/>
        <v>0</v>
      </c>
      <c r="Q97" s="79">
        <v>6500</v>
      </c>
      <c r="R97" s="80">
        <f t="shared" si="215"/>
        <v>0</v>
      </c>
      <c r="S97" s="79"/>
      <c r="T97" s="81">
        <f t="shared" si="216"/>
        <v>0</v>
      </c>
      <c r="U97" s="80">
        <f t="shared" si="225"/>
        <v>-4.7619047619047616E-2</v>
      </c>
      <c r="V97" s="70">
        <f t="shared" si="226"/>
        <v>-325</v>
      </c>
      <c r="W97" s="80">
        <f t="shared" si="227"/>
        <v>-4.7619047619047616E-2</v>
      </c>
      <c r="X97" s="70">
        <f t="shared" si="228"/>
        <v>-325</v>
      </c>
      <c r="Y97" s="80">
        <f t="shared" si="229"/>
        <v>-1</v>
      </c>
      <c r="Z97" s="70">
        <f t="shared" si="230"/>
        <v>-6825</v>
      </c>
      <c r="AA97" s="82"/>
      <c r="AC97" s="138">
        <v>6825</v>
      </c>
      <c r="AD97" s="138">
        <v>0</v>
      </c>
      <c r="AE97" s="138">
        <v>6500</v>
      </c>
      <c r="AF97" s="233"/>
      <c r="AG97" s="139"/>
      <c r="AH97" s="233"/>
      <c r="AI97" s="139"/>
      <c r="AK97" s="79">
        <v>6825</v>
      </c>
      <c r="AL97" s="80">
        <f t="shared" si="217"/>
        <v>0</v>
      </c>
      <c r="AM97" s="79">
        <v>6500</v>
      </c>
      <c r="AN97" s="80">
        <f t="shared" si="218"/>
        <v>0</v>
      </c>
      <c r="AO97" s="79">
        <v>6500</v>
      </c>
      <c r="AP97" s="80">
        <f t="shared" si="219"/>
        <v>0</v>
      </c>
      <c r="AQ97" s="79">
        <v>0</v>
      </c>
      <c r="AR97" s="81">
        <f t="shared" si="220"/>
        <v>0</v>
      </c>
      <c r="AS97" s="80">
        <f t="shared" si="231"/>
        <v>-4.7619047619047616E-2</v>
      </c>
      <c r="AT97" s="70">
        <f t="shared" si="232"/>
        <v>-325</v>
      </c>
      <c r="AU97" s="80">
        <f t="shared" si="233"/>
        <v>-0.05</v>
      </c>
      <c r="AV97" s="70">
        <f t="shared" si="234"/>
        <v>-325</v>
      </c>
      <c r="AW97" s="80">
        <f t="shared" si="235"/>
        <v>-1</v>
      </c>
      <c r="AX97" s="70">
        <f t="shared" si="236"/>
        <v>-6825</v>
      </c>
      <c r="AY97" s="82"/>
      <c r="BA97" s="79">
        <v>78000</v>
      </c>
      <c r="BB97" s="80">
        <f t="shared" si="221"/>
        <v>0</v>
      </c>
      <c r="BC97" s="79">
        <v>78000</v>
      </c>
      <c r="BD97" s="80">
        <f t="shared" si="222"/>
        <v>0</v>
      </c>
      <c r="BE97" s="79">
        <v>45500</v>
      </c>
      <c r="BF97" s="81">
        <f t="shared" si="223"/>
        <v>0</v>
      </c>
      <c r="BG97" s="80">
        <f t="shared" si="237"/>
        <v>0</v>
      </c>
      <c r="BH97" s="70">
        <f t="shared" si="238"/>
        <v>0</v>
      </c>
      <c r="BI97" s="80">
        <f t="shared" si="239"/>
        <v>-0.41666666666666669</v>
      </c>
      <c r="BJ97" s="70">
        <f t="shared" si="240"/>
        <v>-32500</v>
      </c>
      <c r="BK97" s="82"/>
    </row>
    <row r="98" spans="2:63" ht="11.95" outlineLevel="1" thickBot="1" x14ac:dyDescent="0.3">
      <c r="E98" s="3"/>
      <c r="F98" s="3"/>
      <c r="G98" s="3"/>
      <c r="H98" s="256" t="s">
        <v>111</v>
      </c>
      <c r="I98" s="18"/>
      <c r="J98" s="18"/>
      <c r="K98" s="18"/>
      <c r="L98" s="78"/>
      <c r="M98" s="79">
        <v>20830</v>
      </c>
      <c r="N98" s="80">
        <f t="shared" si="213"/>
        <v>0</v>
      </c>
      <c r="O98" s="79">
        <v>33500</v>
      </c>
      <c r="P98" s="80">
        <f t="shared" si="214"/>
        <v>0</v>
      </c>
      <c r="Q98" s="79">
        <v>33500</v>
      </c>
      <c r="R98" s="80">
        <f t="shared" si="215"/>
        <v>0</v>
      </c>
      <c r="S98" s="79">
        <v>0</v>
      </c>
      <c r="T98" s="81">
        <f t="shared" si="216"/>
        <v>0</v>
      </c>
      <c r="U98" s="80">
        <f t="shared" si="87"/>
        <v>0.60825732117138742</v>
      </c>
      <c r="V98" s="70">
        <f t="shared" si="88"/>
        <v>12670</v>
      </c>
      <c r="W98" s="80">
        <f t="shared" si="89"/>
        <v>0.60825732117138742</v>
      </c>
      <c r="X98" s="70">
        <f t="shared" si="90"/>
        <v>12670</v>
      </c>
      <c r="Y98" s="80">
        <f t="shared" si="91"/>
        <v>-1</v>
      </c>
      <c r="Z98" s="70">
        <f t="shared" si="92"/>
        <v>-20830</v>
      </c>
      <c r="AA98" s="82"/>
      <c r="AC98" s="138">
        <v>20830</v>
      </c>
      <c r="AD98" s="138">
        <v>0</v>
      </c>
      <c r="AE98" s="138">
        <v>33500</v>
      </c>
      <c r="AF98" s="233"/>
      <c r="AG98" s="139"/>
      <c r="AH98" s="233"/>
      <c r="AI98" s="139"/>
      <c r="AK98" s="79">
        <v>20830</v>
      </c>
      <c r="AL98" s="80">
        <f t="shared" si="217"/>
        <v>0</v>
      </c>
      <c r="AM98" s="79">
        <v>33500</v>
      </c>
      <c r="AN98" s="80">
        <f t="shared" si="218"/>
        <v>0</v>
      </c>
      <c r="AO98" s="79">
        <v>33500</v>
      </c>
      <c r="AP98" s="80">
        <f t="shared" si="219"/>
        <v>0</v>
      </c>
      <c r="AQ98" s="79">
        <v>0</v>
      </c>
      <c r="AR98" s="81">
        <f t="shared" si="220"/>
        <v>0</v>
      </c>
      <c r="AS98" s="80">
        <f t="shared" si="97"/>
        <v>0.60825732117138742</v>
      </c>
      <c r="AT98" s="70">
        <f t="shared" si="98"/>
        <v>12670</v>
      </c>
      <c r="AU98" s="80">
        <f t="shared" si="99"/>
        <v>0.37820895522388059</v>
      </c>
      <c r="AV98" s="70">
        <f t="shared" si="100"/>
        <v>12670</v>
      </c>
      <c r="AW98" s="80">
        <f t="shared" si="101"/>
        <v>-1</v>
      </c>
      <c r="AX98" s="70">
        <f t="shared" si="102"/>
        <v>-20830</v>
      </c>
      <c r="AY98" s="82"/>
      <c r="BA98" s="79">
        <v>402000</v>
      </c>
      <c r="BB98" s="80">
        <f t="shared" si="221"/>
        <v>0</v>
      </c>
      <c r="BC98" s="79">
        <v>402000</v>
      </c>
      <c r="BD98" s="80">
        <f t="shared" si="222"/>
        <v>0</v>
      </c>
      <c r="BE98" s="79">
        <v>241895.53</v>
      </c>
      <c r="BF98" s="81">
        <f t="shared" si="223"/>
        <v>0</v>
      </c>
      <c r="BG98" s="80">
        <f t="shared" si="106"/>
        <v>0</v>
      </c>
      <c r="BH98" s="70">
        <f t="shared" si="107"/>
        <v>0</v>
      </c>
      <c r="BI98" s="80">
        <f t="shared" si="108"/>
        <v>-0.39826982587064674</v>
      </c>
      <c r="BJ98" s="70">
        <f t="shared" si="109"/>
        <v>-160104.47</v>
      </c>
      <c r="BK98" s="82"/>
    </row>
    <row r="99" spans="2:63" ht="11.95" hidden="1" outlineLevel="2" thickBot="1" x14ac:dyDescent="0.3">
      <c r="B99" t="str">
        <f>IF(LEFT(H99,3)="Mul", "#hiderow", "#showrow")</f>
        <v>#hiderow</v>
      </c>
      <c r="E99" s="3"/>
      <c r="F99" s="3"/>
      <c r="G99" s="3"/>
      <c r="H99" s="255" t="s">
        <v>6</v>
      </c>
      <c r="I99" s="18"/>
      <c r="J99" s="18"/>
      <c r="K99" s="18"/>
      <c r="L99" s="78"/>
      <c r="M99" s="79"/>
      <c r="N99" s="80">
        <f t="shared" si="213"/>
        <v>0</v>
      </c>
      <c r="O99" s="79"/>
      <c r="P99" s="80">
        <f t="shared" si="214"/>
        <v>0</v>
      </c>
      <c r="Q99" s="79"/>
      <c r="R99" s="80">
        <f t="shared" si="215"/>
        <v>0</v>
      </c>
      <c r="S99" s="79"/>
      <c r="T99" s="81">
        <f t="shared" si="216"/>
        <v>0</v>
      </c>
      <c r="U99" s="80">
        <f t="shared" si="87"/>
        <v>0</v>
      </c>
      <c r="V99" s="70">
        <f t="shared" si="88"/>
        <v>0</v>
      </c>
      <c r="W99" s="80">
        <f t="shared" si="89"/>
        <v>0</v>
      </c>
      <c r="X99" s="70">
        <f t="shared" si="90"/>
        <v>0</v>
      </c>
      <c r="Y99" s="80">
        <f t="shared" si="91"/>
        <v>0</v>
      </c>
      <c r="Z99" s="70">
        <f t="shared" si="92"/>
        <v>0</v>
      </c>
      <c r="AA99" s="82"/>
      <c r="AC99" s="138"/>
      <c r="AD99" s="138"/>
      <c r="AE99" s="138"/>
      <c r="AF99" s="233"/>
      <c r="AG99" s="139"/>
      <c r="AH99" s="233"/>
      <c r="AI99" s="139"/>
      <c r="AK99" s="79"/>
      <c r="AL99" s="80">
        <f t="shared" si="217"/>
        <v>0</v>
      </c>
      <c r="AM99" s="79"/>
      <c r="AN99" s="80">
        <f t="shared" si="218"/>
        <v>0</v>
      </c>
      <c r="AO99" s="79"/>
      <c r="AP99" s="80">
        <f t="shared" si="219"/>
        <v>0</v>
      </c>
      <c r="AQ99" s="79"/>
      <c r="AR99" s="81">
        <f t="shared" si="220"/>
        <v>0</v>
      </c>
      <c r="AS99" s="80">
        <f t="shared" si="97"/>
        <v>0</v>
      </c>
      <c r="AT99" s="70">
        <f t="shared" si="98"/>
        <v>0</v>
      </c>
      <c r="AU99" s="80">
        <f t="shared" si="99"/>
        <v>0</v>
      </c>
      <c r="AV99" s="70">
        <f t="shared" si="100"/>
        <v>0</v>
      </c>
      <c r="AW99" s="80">
        <f t="shared" si="101"/>
        <v>0</v>
      </c>
      <c r="AX99" s="70">
        <f t="shared" si="102"/>
        <v>0</v>
      </c>
      <c r="AY99" s="82"/>
      <c r="BA99" s="79"/>
      <c r="BB99" s="80">
        <f t="shared" si="221"/>
        <v>0</v>
      </c>
      <c r="BC99" s="79"/>
      <c r="BD99" s="80">
        <f t="shared" si="222"/>
        <v>0</v>
      </c>
      <c r="BE99" s="79"/>
      <c r="BF99" s="81">
        <f t="shared" si="223"/>
        <v>0</v>
      </c>
      <c r="BG99" s="80">
        <f t="shared" si="106"/>
        <v>0</v>
      </c>
      <c r="BH99" s="70">
        <f t="shared" si="107"/>
        <v>0</v>
      </c>
      <c r="BI99" s="80">
        <f t="shared" si="108"/>
        <v>0</v>
      </c>
      <c r="BJ99" s="70">
        <f t="shared" si="109"/>
        <v>0</v>
      </c>
      <c r="BK99" s="82"/>
    </row>
    <row r="100" spans="2:63" ht="11.95" outlineLevel="2" thickBot="1" x14ac:dyDescent="0.3">
      <c r="B100" t="str">
        <f t="shared" ref="B100:B103" si="241">IF(LEFT(H100,3)="Mul", "#hiderow", "#showrow")</f>
        <v>#showrow</v>
      </c>
      <c r="E100" s="3"/>
      <c r="F100" s="3"/>
      <c r="G100" s="3"/>
      <c r="H100" s="255" t="s">
        <v>483</v>
      </c>
      <c r="I100" s="18"/>
      <c r="J100" s="18"/>
      <c r="K100" s="18"/>
      <c r="L100" s="78"/>
      <c r="M100" s="79"/>
      <c r="N100" s="80">
        <f t="shared" si="213"/>
        <v>0</v>
      </c>
      <c r="O100" s="79"/>
      <c r="P100" s="80">
        <f t="shared" si="214"/>
        <v>0</v>
      </c>
      <c r="Q100" s="79"/>
      <c r="R100" s="80">
        <f t="shared" si="215"/>
        <v>0</v>
      </c>
      <c r="S100" s="79"/>
      <c r="T100" s="81">
        <f t="shared" si="216"/>
        <v>0</v>
      </c>
      <c r="U100" s="80">
        <f t="shared" ref="U100:U103" si="242">IFERROR(($O100-M100)/ABS(M100),0)</f>
        <v>0</v>
      </c>
      <c r="V100" s="70">
        <f t="shared" ref="V100:V103" si="243">IFERROR((O100-$M100), 0-$M100)</f>
        <v>0</v>
      </c>
      <c r="W100" s="80">
        <f t="shared" ref="W100:W103" si="244">IFERROR((Q100-$M100)/ABS($M100),0)</f>
        <v>0</v>
      </c>
      <c r="X100" s="70">
        <f t="shared" ref="X100:X103" si="245">IFERROR((Q100-$M100), 0 -$M100)</f>
        <v>0</v>
      </c>
      <c r="Y100" s="80">
        <f t="shared" ref="Y100:Y103" si="246">IFERROR((S100-$M100)/ABS($M100),0)</f>
        <v>0</v>
      </c>
      <c r="Z100" s="70">
        <f t="shared" ref="Z100:Z103" si="247">IFERROR((S100-$M100),0-$M100)</f>
        <v>0</v>
      </c>
      <c r="AA100" s="82"/>
      <c r="AC100" s="138">
        <v>0</v>
      </c>
      <c r="AD100" s="138">
        <v>0</v>
      </c>
      <c r="AE100" s="138">
        <v>0</v>
      </c>
      <c r="AF100" s="233"/>
      <c r="AG100" s="139"/>
      <c r="AH100" s="233"/>
      <c r="AI100" s="139"/>
      <c r="AK100" s="79">
        <v>0</v>
      </c>
      <c r="AL100" s="80">
        <f t="shared" si="217"/>
        <v>0</v>
      </c>
      <c r="AM100" s="79">
        <v>0</v>
      </c>
      <c r="AN100" s="80">
        <f t="shared" si="218"/>
        <v>0</v>
      </c>
      <c r="AO100" s="79">
        <v>0</v>
      </c>
      <c r="AP100" s="80">
        <f t="shared" si="219"/>
        <v>0</v>
      </c>
      <c r="AQ100" s="79">
        <v>0</v>
      </c>
      <c r="AR100" s="81">
        <f t="shared" si="220"/>
        <v>0</v>
      </c>
      <c r="AS100" s="80">
        <f t="shared" ref="AS100:AS103" si="248">IFERROR((AM100-$AK100)/ABS($AK100),0)</f>
        <v>0</v>
      </c>
      <c r="AT100" s="70">
        <f t="shared" ref="AT100:AT103" si="249">(AM100-$AK100)</f>
        <v>0</v>
      </c>
      <c r="AU100" s="80">
        <f t="shared" ref="AU100:AU103" si="250">IFERROR((AO100-$AK100)/ABS($AO100),0)</f>
        <v>0</v>
      </c>
      <c r="AV100" s="70">
        <f t="shared" ref="AV100:AV103" si="251">(AO100-$AK100)</f>
        <v>0</v>
      </c>
      <c r="AW100" s="80">
        <f t="shared" ref="AW100:AW103" si="252">IFERROR((AQ100-$AK100)/ABS($AK100),0)</f>
        <v>0</v>
      </c>
      <c r="AX100" s="70">
        <f t="shared" ref="AX100:AX103" si="253">(AQ100-$AK100)</f>
        <v>0</v>
      </c>
      <c r="AY100" s="82"/>
      <c r="BA100" s="79">
        <v>0</v>
      </c>
      <c r="BB100" s="80">
        <f t="shared" si="221"/>
        <v>0</v>
      </c>
      <c r="BC100" s="79">
        <v>0</v>
      </c>
      <c r="BD100" s="80">
        <f t="shared" si="222"/>
        <v>0</v>
      </c>
      <c r="BE100" s="79">
        <v>0.35</v>
      </c>
      <c r="BF100" s="81">
        <f t="shared" si="223"/>
        <v>0</v>
      </c>
      <c r="BG100" s="80">
        <f t="shared" ref="BG100:BG103" si="254">IFERROR((BC100-$BA100)/ABS($BA100),0)</f>
        <v>0</v>
      </c>
      <c r="BH100" s="70">
        <f t="shared" ref="BH100:BH103" si="255">(BC100-$BA100)</f>
        <v>0</v>
      </c>
      <c r="BI100" s="80">
        <f t="shared" ref="BI100:BI103" si="256">IFERROR((BE100-$BA100)/ABS($BA100),0)</f>
        <v>0</v>
      </c>
      <c r="BJ100" s="70">
        <f t="shared" ref="BJ100:BJ103" si="257">(BE100-$BA100)</f>
        <v>0.35</v>
      </c>
      <c r="BK100" s="82"/>
    </row>
    <row r="101" spans="2:63" ht="11.95" outlineLevel="2" thickBot="1" x14ac:dyDescent="0.3">
      <c r="B101" t="str">
        <f t="shared" si="241"/>
        <v>#showrow</v>
      </c>
      <c r="E101" s="3"/>
      <c r="F101" s="3"/>
      <c r="G101" s="3"/>
      <c r="H101" s="255" t="s">
        <v>160</v>
      </c>
      <c r="I101" s="18"/>
      <c r="J101" s="18"/>
      <c r="K101" s="18"/>
      <c r="L101" s="78"/>
      <c r="M101" s="79"/>
      <c r="N101" s="80">
        <f t="shared" si="213"/>
        <v>0</v>
      </c>
      <c r="O101" s="79"/>
      <c r="P101" s="80">
        <f t="shared" si="214"/>
        <v>0</v>
      </c>
      <c r="Q101" s="79"/>
      <c r="R101" s="80">
        <f t="shared" si="215"/>
        <v>0</v>
      </c>
      <c r="S101" s="79"/>
      <c r="T101" s="81">
        <f t="shared" si="216"/>
        <v>0</v>
      </c>
      <c r="U101" s="80">
        <f t="shared" si="242"/>
        <v>0</v>
      </c>
      <c r="V101" s="70">
        <f t="shared" si="243"/>
        <v>0</v>
      </c>
      <c r="W101" s="80">
        <f t="shared" si="244"/>
        <v>0</v>
      </c>
      <c r="X101" s="70">
        <f t="shared" si="245"/>
        <v>0</v>
      </c>
      <c r="Y101" s="80">
        <f t="shared" si="246"/>
        <v>0</v>
      </c>
      <c r="Z101" s="70">
        <f t="shared" si="247"/>
        <v>0</v>
      </c>
      <c r="AA101" s="82"/>
      <c r="AC101" s="138">
        <v>0</v>
      </c>
      <c r="AD101" s="138">
        <v>0</v>
      </c>
      <c r="AE101" s="138">
        <v>0</v>
      </c>
      <c r="AF101" s="233"/>
      <c r="AG101" s="139"/>
      <c r="AH101" s="233"/>
      <c r="AI101" s="139"/>
      <c r="AK101" s="79">
        <v>0</v>
      </c>
      <c r="AL101" s="80">
        <f t="shared" si="217"/>
        <v>0</v>
      </c>
      <c r="AM101" s="79">
        <v>0</v>
      </c>
      <c r="AN101" s="80">
        <f t="shared" si="218"/>
        <v>0</v>
      </c>
      <c r="AO101" s="79">
        <v>0</v>
      </c>
      <c r="AP101" s="80">
        <f t="shared" si="219"/>
        <v>0</v>
      </c>
      <c r="AQ101" s="79">
        <v>0</v>
      </c>
      <c r="AR101" s="81">
        <f t="shared" si="220"/>
        <v>0</v>
      </c>
      <c r="AS101" s="80">
        <f t="shared" si="248"/>
        <v>0</v>
      </c>
      <c r="AT101" s="70">
        <f t="shared" si="249"/>
        <v>0</v>
      </c>
      <c r="AU101" s="80">
        <f t="shared" si="250"/>
        <v>0</v>
      </c>
      <c r="AV101" s="70">
        <f t="shared" si="251"/>
        <v>0</v>
      </c>
      <c r="AW101" s="80">
        <f t="shared" si="252"/>
        <v>0</v>
      </c>
      <c r="AX101" s="70">
        <f t="shared" si="253"/>
        <v>0</v>
      </c>
      <c r="AY101" s="82"/>
      <c r="BA101" s="79">
        <v>0</v>
      </c>
      <c r="BB101" s="80">
        <f t="shared" si="221"/>
        <v>0</v>
      </c>
      <c r="BC101" s="79">
        <v>0</v>
      </c>
      <c r="BD101" s="80">
        <f t="shared" si="222"/>
        <v>0</v>
      </c>
      <c r="BE101" s="79">
        <v>500</v>
      </c>
      <c r="BF101" s="81">
        <f t="shared" si="223"/>
        <v>0</v>
      </c>
      <c r="BG101" s="80">
        <f t="shared" si="254"/>
        <v>0</v>
      </c>
      <c r="BH101" s="70">
        <f t="shared" si="255"/>
        <v>0</v>
      </c>
      <c r="BI101" s="80">
        <f t="shared" si="256"/>
        <v>0</v>
      </c>
      <c r="BJ101" s="70">
        <f t="shared" si="257"/>
        <v>500</v>
      </c>
      <c r="BK101" s="82"/>
    </row>
    <row r="102" spans="2:63" ht="11.95" outlineLevel="2" thickBot="1" x14ac:dyDescent="0.3">
      <c r="B102" t="str">
        <f t="shared" si="241"/>
        <v>#showrow</v>
      </c>
      <c r="E102" s="3"/>
      <c r="F102" s="3"/>
      <c r="G102" s="3"/>
      <c r="H102" s="255" t="s">
        <v>161</v>
      </c>
      <c r="I102" s="18"/>
      <c r="J102" s="18"/>
      <c r="K102" s="18"/>
      <c r="L102" s="78"/>
      <c r="M102" s="79">
        <v>20830</v>
      </c>
      <c r="N102" s="80">
        <f t="shared" si="213"/>
        <v>0</v>
      </c>
      <c r="O102" s="79">
        <v>33500</v>
      </c>
      <c r="P102" s="80">
        <f t="shared" si="214"/>
        <v>0</v>
      </c>
      <c r="Q102" s="79">
        <v>33500</v>
      </c>
      <c r="R102" s="80">
        <f t="shared" si="215"/>
        <v>0</v>
      </c>
      <c r="S102" s="79"/>
      <c r="T102" s="81">
        <f t="shared" si="216"/>
        <v>0</v>
      </c>
      <c r="U102" s="80">
        <f t="shared" si="242"/>
        <v>0.60825732117138742</v>
      </c>
      <c r="V102" s="70">
        <f t="shared" si="243"/>
        <v>12670</v>
      </c>
      <c r="W102" s="80">
        <f t="shared" si="244"/>
        <v>0.60825732117138742</v>
      </c>
      <c r="X102" s="259">
        <f t="shared" si="245"/>
        <v>12670</v>
      </c>
      <c r="Y102" s="80">
        <f t="shared" si="246"/>
        <v>-1</v>
      </c>
      <c r="Z102" s="70">
        <f t="shared" si="247"/>
        <v>-20830</v>
      </c>
      <c r="AA102" s="82"/>
      <c r="AC102" s="138">
        <v>20830</v>
      </c>
      <c r="AD102" s="138">
        <v>0</v>
      </c>
      <c r="AE102" s="138">
        <v>33500</v>
      </c>
      <c r="AF102" s="233"/>
      <c r="AG102" s="139"/>
      <c r="AH102" s="233"/>
      <c r="AI102" s="139"/>
      <c r="AK102" s="79">
        <v>20830</v>
      </c>
      <c r="AL102" s="80">
        <f t="shared" si="217"/>
        <v>0</v>
      </c>
      <c r="AM102" s="79">
        <v>33500</v>
      </c>
      <c r="AN102" s="80">
        <f t="shared" si="218"/>
        <v>0</v>
      </c>
      <c r="AO102" s="79">
        <v>33500</v>
      </c>
      <c r="AP102" s="80">
        <f t="shared" si="219"/>
        <v>0</v>
      </c>
      <c r="AQ102" s="79">
        <v>0</v>
      </c>
      <c r="AR102" s="81">
        <f t="shared" si="220"/>
        <v>0</v>
      </c>
      <c r="AS102" s="80">
        <f t="shared" si="248"/>
        <v>0.60825732117138742</v>
      </c>
      <c r="AT102" s="70">
        <f t="shared" si="249"/>
        <v>12670</v>
      </c>
      <c r="AU102" s="80">
        <f t="shared" si="250"/>
        <v>0.37820895522388059</v>
      </c>
      <c r="AV102" s="70">
        <f t="shared" si="251"/>
        <v>12670</v>
      </c>
      <c r="AW102" s="80">
        <f t="shared" si="252"/>
        <v>-1</v>
      </c>
      <c r="AX102" s="70">
        <f t="shared" si="253"/>
        <v>-20830</v>
      </c>
      <c r="AY102" s="82"/>
      <c r="BA102" s="79">
        <v>402000</v>
      </c>
      <c r="BB102" s="80">
        <f t="shared" si="221"/>
        <v>0</v>
      </c>
      <c r="BC102" s="79">
        <v>402000</v>
      </c>
      <c r="BD102" s="80">
        <f t="shared" si="222"/>
        <v>0</v>
      </c>
      <c r="BE102" s="79">
        <v>225802.58</v>
      </c>
      <c r="BF102" s="81">
        <f t="shared" si="223"/>
        <v>0</v>
      </c>
      <c r="BG102" s="80">
        <f t="shared" si="254"/>
        <v>0</v>
      </c>
      <c r="BH102" s="70">
        <f t="shared" si="255"/>
        <v>0</v>
      </c>
      <c r="BI102" s="80">
        <f t="shared" si="256"/>
        <v>-0.43830203980099508</v>
      </c>
      <c r="BJ102" s="70">
        <f t="shared" si="257"/>
        <v>-176197.42</v>
      </c>
      <c r="BK102" s="82"/>
    </row>
    <row r="103" spans="2:63" ht="11.95" outlineLevel="2" thickBot="1" x14ac:dyDescent="0.3">
      <c r="B103" t="str">
        <f t="shared" si="241"/>
        <v>#showrow</v>
      </c>
      <c r="E103" s="3"/>
      <c r="F103" s="3"/>
      <c r="G103" s="3"/>
      <c r="H103" s="255" t="s">
        <v>162</v>
      </c>
      <c r="I103" s="18"/>
      <c r="J103" s="18"/>
      <c r="K103" s="18"/>
      <c r="L103" s="78"/>
      <c r="M103" s="79"/>
      <c r="N103" s="80">
        <f t="shared" si="213"/>
        <v>0</v>
      </c>
      <c r="O103" s="79"/>
      <c r="P103" s="80">
        <f t="shared" si="214"/>
        <v>0</v>
      </c>
      <c r="Q103" s="79"/>
      <c r="R103" s="80">
        <f t="shared" si="215"/>
        <v>0</v>
      </c>
      <c r="S103" s="79"/>
      <c r="T103" s="81">
        <f t="shared" si="216"/>
        <v>0</v>
      </c>
      <c r="U103" s="80">
        <f t="shared" si="242"/>
        <v>0</v>
      </c>
      <c r="V103" s="70">
        <f t="shared" si="243"/>
        <v>0</v>
      </c>
      <c r="W103" s="80">
        <f t="shared" si="244"/>
        <v>0</v>
      </c>
      <c r="X103" s="70">
        <f t="shared" si="245"/>
        <v>0</v>
      </c>
      <c r="Y103" s="80">
        <f t="shared" si="246"/>
        <v>0</v>
      </c>
      <c r="Z103" s="70">
        <f t="shared" si="247"/>
        <v>0</v>
      </c>
      <c r="AA103" s="82"/>
      <c r="AC103" s="138">
        <v>0</v>
      </c>
      <c r="AD103" s="138">
        <v>0</v>
      </c>
      <c r="AE103" s="138">
        <v>0</v>
      </c>
      <c r="AF103" s="233"/>
      <c r="AG103" s="139"/>
      <c r="AH103" s="233"/>
      <c r="AI103" s="139"/>
      <c r="AK103" s="79">
        <v>0</v>
      </c>
      <c r="AL103" s="80">
        <f t="shared" si="217"/>
        <v>0</v>
      </c>
      <c r="AM103" s="79">
        <v>0</v>
      </c>
      <c r="AN103" s="80">
        <f t="shared" si="218"/>
        <v>0</v>
      </c>
      <c r="AO103" s="79">
        <v>0</v>
      </c>
      <c r="AP103" s="80">
        <f t="shared" si="219"/>
        <v>0</v>
      </c>
      <c r="AQ103" s="79">
        <v>0</v>
      </c>
      <c r="AR103" s="81">
        <f t="shared" si="220"/>
        <v>0</v>
      </c>
      <c r="AS103" s="80">
        <f t="shared" si="248"/>
        <v>0</v>
      </c>
      <c r="AT103" s="70">
        <f t="shared" si="249"/>
        <v>0</v>
      </c>
      <c r="AU103" s="80">
        <f t="shared" si="250"/>
        <v>0</v>
      </c>
      <c r="AV103" s="70">
        <f t="shared" si="251"/>
        <v>0</v>
      </c>
      <c r="AW103" s="80">
        <f t="shared" si="252"/>
        <v>0</v>
      </c>
      <c r="AX103" s="70">
        <f t="shared" si="253"/>
        <v>0</v>
      </c>
      <c r="AY103" s="82"/>
      <c r="BA103" s="79">
        <v>0</v>
      </c>
      <c r="BB103" s="80">
        <f t="shared" si="221"/>
        <v>0</v>
      </c>
      <c r="BC103" s="79">
        <v>0</v>
      </c>
      <c r="BD103" s="80">
        <f t="shared" si="222"/>
        <v>0</v>
      </c>
      <c r="BE103" s="79">
        <v>15592.6</v>
      </c>
      <c r="BF103" s="81">
        <f t="shared" si="223"/>
        <v>0</v>
      </c>
      <c r="BG103" s="80">
        <f t="shared" si="254"/>
        <v>0</v>
      </c>
      <c r="BH103" s="70">
        <f t="shared" si="255"/>
        <v>0</v>
      </c>
      <c r="BI103" s="80">
        <f t="shared" si="256"/>
        <v>0</v>
      </c>
      <c r="BJ103" s="70">
        <f t="shared" si="257"/>
        <v>15592.6</v>
      </c>
      <c r="BK103" s="82"/>
    </row>
    <row r="104" spans="2:63" ht="11.95" outlineLevel="1" thickBot="1" x14ac:dyDescent="0.3">
      <c r="E104" s="3"/>
      <c r="F104" s="3"/>
      <c r="G104" s="3"/>
      <c r="H104" s="256" t="s">
        <v>112</v>
      </c>
      <c r="I104" s="18"/>
      <c r="J104" s="18"/>
      <c r="K104" s="18"/>
      <c r="L104" s="78"/>
      <c r="M104" s="79">
        <v>0</v>
      </c>
      <c r="N104" s="80">
        <f t="shared" si="213"/>
        <v>0</v>
      </c>
      <c r="O104" s="79">
        <v>0</v>
      </c>
      <c r="P104" s="80">
        <f t="shared" si="214"/>
        <v>0</v>
      </c>
      <c r="Q104" s="79">
        <v>0</v>
      </c>
      <c r="R104" s="80">
        <f t="shared" si="215"/>
        <v>0</v>
      </c>
      <c r="S104" s="79">
        <v>0</v>
      </c>
      <c r="T104" s="81">
        <f t="shared" si="216"/>
        <v>0</v>
      </c>
      <c r="U104" s="80">
        <f t="shared" si="87"/>
        <v>0</v>
      </c>
      <c r="V104" s="70">
        <f t="shared" si="88"/>
        <v>0</v>
      </c>
      <c r="W104" s="80">
        <f t="shared" si="89"/>
        <v>0</v>
      </c>
      <c r="X104" s="70">
        <f t="shared" si="90"/>
        <v>0</v>
      </c>
      <c r="Y104" s="80">
        <f t="shared" si="91"/>
        <v>0</v>
      </c>
      <c r="Z104" s="70">
        <f t="shared" si="92"/>
        <v>0</v>
      </c>
      <c r="AA104" s="82"/>
      <c r="AC104" s="138">
        <v>0</v>
      </c>
      <c r="AD104" s="138">
        <v>0</v>
      </c>
      <c r="AE104" s="138">
        <v>0</v>
      </c>
      <c r="AF104" s="233"/>
      <c r="AG104" s="139"/>
      <c r="AH104" s="233"/>
      <c r="AI104" s="139"/>
      <c r="AK104" s="79">
        <v>0</v>
      </c>
      <c r="AL104" s="80">
        <f t="shared" si="217"/>
        <v>0</v>
      </c>
      <c r="AM104" s="79">
        <v>0</v>
      </c>
      <c r="AN104" s="80">
        <f t="shared" si="218"/>
        <v>0</v>
      </c>
      <c r="AO104" s="79">
        <v>0</v>
      </c>
      <c r="AP104" s="80">
        <f t="shared" si="219"/>
        <v>0</v>
      </c>
      <c r="AQ104" s="79">
        <v>0</v>
      </c>
      <c r="AR104" s="81">
        <f t="shared" si="220"/>
        <v>0</v>
      </c>
      <c r="AS104" s="80">
        <f t="shared" si="97"/>
        <v>0</v>
      </c>
      <c r="AT104" s="70">
        <f t="shared" si="98"/>
        <v>0</v>
      </c>
      <c r="AU104" s="80">
        <f t="shared" si="99"/>
        <v>0</v>
      </c>
      <c r="AV104" s="70">
        <f t="shared" si="100"/>
        <v>0</v>
      </c>
      <c r="AW104" s="80">
        <f t="shared" si="101"/>
        <v>0</v>
      </c>
      <c r="AX104" s="70">
        <f t="shared" si="102"/>
        <v>0</v>
      </c>
      <c r="AY104" s="82"/>
      <c r="BA104" s="79">
        <v>0</v>
      </c>
      <c r="BB104" s="80">
        <f t="shared" si="221"/>
        <v>0</v>
      </c>
      <c r="BC104" s="79">
        <v>0</v>
      </c>
      <c r="BD104" s="80">
        <f t="shared" si="222"/>
        <v>0</v>
      </c>
      <c r="BE104" s="79">
        <v>139</v>
      </c>
      <c r="BF104" s="81">
        <f t="shared" si="223"/>
        <v>0</v>
      </c>
      <c r="BG104" s="80">
        <f t="shared" si="106"/>
        <v>0</v>
      </c>
      <c r="BH104" s="70">
        <f t="shared" si="107"/>
        <v>0</v>
      </c>
      <c r="BI104" s="80">
        <f t="shared" si="108"/>
        <v>0</v>
      </c>
      <c r="BJ104" s="70">
        <f t="shared" si="109"/>
        <v>139</v>
      </c>
      <c r="BK104" s="82"/>
    </row>
    <row r="105" spans="2:63" ht="11.95" hidden="1" outlineLevel="2" thickBot="1" x14ac:dyDescent="0.3">
      <c r="B105" t="str">
        <f>IF(LEFT(H105,3)="Mul", "#hiderow", "#showrow")</f>
        <v>#hiderow</v>
      </c>
      <c r="E105" s="3"/>
      <c r="F105" s="3"/>
      <c r="G105" s="3"/>
      <c r="H105" s="255" t="s">
        <v>6</v>
      </c>
      <c r="I105" s="18"/>
      <c r="J105" s="18"/>
      <c r="K105" s="18"/>
      <c r="L105" s="78"/>
      <c r="M105" s="79"/>
      <c r="N105" s="80">
        <f t="shared" si="213"/>
        <v>0</v>
      </c>
      <c r="O105" s="79"/>
      <c r="P105" s="80">
        <f t="shared" si="214"/>
        <v>0</v>
      </c>
      <c r="Q105" s="79"/>
      <c r="R105" s="80">
        <f t="shared" si="215"/>
        <v>0</v>
      </c>
      <c r="S105" s="79"/>
      <c r="T105" s="81">
        <f t="shared" si="216"/>
        <v>0</v>
      </c>
      <c r="U105" s="80">
        <f t="shared" si="87"/>
        <v>0</v>
      </c>
      <c r="V105" s="70">
        <f t="shared" si="88"/>
        <v>0</v>
      </c>
      <c r="W105" s="80">
        <f t="shared" si="89"/>
        <v>0</v>
      </c>
      <c r="X105" s="70">
        <f t="shared" si="90"/>
        <v>0</v>
      </c>
      <c r="Y105" s="80">
        <f t="shared" si="91"/>
        <v>0</v>
      </c>
      <c r="Z105" s="70">
        <f t="shared" si="92"/>
        <v>0</v>
      </c>
      <c r="AA105" s="82"/>
      <c r="AC105" s="138"/>
      <c r="AD105" s="138"/>
      <c r="AE105" s="138"/>
      <c r="AF105" s="233"/>
      <c r="AG105" s="139"/>
      <c r="AH105" s="233"/>
      <c r="AI105" s="139"/>
      <c r="AK105" s="79"/>
      <c r="AL105" s="80">
        <f t="shared" si="217"/>
        <v>0</v>
      </c>
      <c r="AM105" s="79"/>
      <c r="AN105" s="80">
        <f t="shared" si="218"/>
        <v>0</v>
      </c>
      <c r="AO105" s="79"/>
      <c r="AP105" s="80">
        <f t="shared" si="219"/>
        <v>0</v>
      </c>
      <c r="AQ105" s="79"/>
      <c r="AR105" s="81">
        <f t="shared" si="220"/>
        <v>0</v>
      </c>
      <c r="AS105" s="80">
        <f t="shared" si="97"/>
        <v>0</v>
      </c>
      <c r="AT105" s="70">
        <f t="shared" si="98"/>
        <v>0</v>
      </c>
      <c r="AU105" s="80">
        <f t="shared" si="99"/>
        <v>0</v>
      </c>
      <c r="AV105" s="70">
        <f t="shared" si="100"/>
        <v>0</v>
      </c>
      <c r="AW105" s="80">
        <f t="shared" si="101"/>
        <v>0</v>
      </c>
      <c r="AX105" s="70">
        <f t="shared" si="102"/>
        <v>0</v>
      </c>
      <c r="AY105" s="82"/>
      <c r="BA105" s="79"/>
      <c r="BB105" s="80">
        <f t="shared" si="221"/>
        <v>0</v>
      </c>
      <c r="BC105" s="79"/>
      <c r="BD105" s="80">
        <f t="shared" si="222"/>
        <v>0</v>
      </c>
      <c r="BE105" s="79"/>
      <c r="BF105" s="81">
        <f t="shared" si="223"/>
        <v>0</v>
      </c>
      <c r="BG105" s="80">
        <f t="shared" si="106"/>
        <v>0</v>
      </c>
      <c r="BH105" s="70">
        <f t="shared" si="107"/>
        <v>0</v>
      </c>
      <c r="BI105" s="80">
        <f t="shared" si="108"/>
        <v>0</v>
      </c>
      <c r="BJ105" s="70">
        <f t="shared" si="109"/>
        <v>0</v>
      </c>
      <c r="BK105" s="82"/>
    </row>
    <row r="106" spans="2:63" ht="11.95" outlineLevel="2" thickBot="1" x14ac:dyDescent="0.3">
      <c r="B106" t="str">
        <f>IF(LEFT(H106,3)="Mul", "#hiderow", "#showrow")</f>
        <v>#showrow</v>
      </c>
      <c r="E106" s="3"/>
      <c r="F106" s="3"/>
      <c r="G106" s="3"/>
      <c r="H106" s="255" t="s">
        <v>485</v>
      </c>
      <c r="I106" s="18"/>
      <c r="J106" s="18"/>
      <c r="K106" s="18"/>
      <c r="L106" s="78"/>
      <c r="M106" s="79"/>
      <c r="N106" s="80">
        <f t="shared" si="213"/>
        <v>0</v>
      </c>
      <c r="O106" s="79"/>
      <c r="P106" s="80">
        <f t="shared" si="214"/>
        <v>0</v>
      </c>
      <c r="Q106" s="79"/>
      <c r="R106" s="80">
        <f t="shared" si="215"/>
        <v>0</v>
      </c>
      <c r="S106" s="79"/>
      <c r="T106" s="81">
        <f t="shared" si="216"/>
        <v>0</v>
      </c>
      <c r="U106" s="80">
        <f t="shared" ref="U106" si="258">IFERROR(($O106-M106)/ABS(M106),0)</f>
        <v>0</v>
      </c>
      <c r="V106" s="70">
        <f t="shared" ref="V106" si="259">IFERROR((O106-$M106), 0-$M106)</f>
        <v>0</v>
      </c>
      <c r="W106" s="80">
        <f t="shared" ref="W106" si="260">IFERROR((Q106-$M106)/ABS($M106),0)</f>
        <v>0</v>
      </c>
      <c r="X106" s="70">
        <f t="shared" ref="X106" si="261">IFERROR((Q106-$M106), 0 -$M106)</f>
        <v>0</v>
      </c>
      <c r="Y106" s="80">
        <f t="shared" ref="Y106" si="262">IFERROR((S106-$M106)/ABS($M106),0)</f>
        <v>0</v>
      </c>
      <c r="Z106" s="70">
        <f t="shared" ref="Z106" si="263">IFERROR((S106-$M106),0-$M106)</f>
        <v>0</v>
      </c>
      <c r="AA106" s="82"/>
      <c r="AC106" s="138">
        <v>0</v>
      </c>
      <c r="AD106" s="138">
        <v>0</v>
      </c>
      <c r="AE106" s="138">
        <v>0</v>
      </c>
      <c r="AF106" s="233"/>
      <c r="AG106" s="139"/>
      <c r="AH106" s="233"/>
      <c r="AI106" s="139"/>
      <c r="AK106" s="79">
        <v>0</v>
      </c>
      <c r="AL106" s="80">
        <f t="shared" si="217"/>
        <v>0</v>
      </c>
      <c r="AM106" s="79">
        <v>0</v>
      </c>
      <c r="AN106" s="80">
        <f t="shared" si="218"/>
        <v>0</v>
      </c>
      <c r="AO106" s="79">
        <v>0</v>
      </c>
      <c r="AP106" s="80">
        <f t="shared" si="219"/>
        <v>0</v>
      </c>
      <c r="AQ106" s="79">
        <v>0</v>
      </c>
      <c r="AR106" s="81">
        <f t="shared" si="220"/>
        <v>0</v>
      </c>
      <c r="AS106" s="80">
        <f t="shared" ref="AS106" si="264">IFERROR((AM106-$AK106)/ABS($AK106),0)</f>
        <v>0</v>
      </c>
      <c r="AT106" s="70">
        <f t="shared" ref="AT106" si="265">(AM106-$AK106)</f>
        <v>0</v>
      </c>
      <c r="AU106" s="80">
        <f t="shared" ref="AU106" si="266">IFERROR((AO106-$AK106)/ABS($AO106),0)</f>
        <v>0</v>
      </c>
      <c r="AV106" s="70">
        <f t="shared" ref="AV106" si="267">(AO106-$AK106)</f>
        <v>0</v>
      </c>
      <c r="AW106" s="80">
        <f t="shared" ref="AW106" si="268">IFERROR((AQ106-$AK106)/ABS($AK106),0)</f>
        <v>0</v>
      </c>
      <c r="AX106" s="70">
        <f t="shared" ref="AX106" si="269">(AQ106-$AK106)</f>
        <v>0</v>
      </c>
      <c r="AY106" s="82"/>
      <c r="BA106" s="79">
        <v>0</v>
      </c>
      <c r="BB106" s="80">
        <f t="shared" si="221"/>
        <v>0</v>
      </c>
      <c r="BC106" s="79">
        <v>0</v>
      </c>
      <c r="BD106" s="80">
        <f t="shared" si="222"/>
        <v>0</v>
      </c>
      <c r="BE106" s="79">
        <v>139</v>
      </c>
      <c r="BF106" s="81">
        <f t="shared" si="223"/>
        <v>0</v>
      </c>
      <c r="BG106" s="80">
        <f t="shared" ref="BG106" si="270">IFERROR((BC106-$BA106)/ABS($BA106),0)</f>
        <v>0</v>
      </c>
      <c r="BH106" s="70">
        <f t="shared" ref="BH106" si="271">(BC106-$BA106)</f>
        <v>0</v>
      </c>
      <c r="BI106" s="80">
        <f t="shared" ref="BI106" si="272">IFERROR((BE106-$BA106)/ABS($BA106),0)</f>
        <v>0</v>
      </c>
      <c r="BJ106" s="70">
        <f t="shared" ref="BJ106" si="273">(BE106-$BA106)</f>
        <v>139</v>
      </c>
      <c r="BK106" s="82"/>
    </row>
    <row r="107" spans="2:63" ht="11.95" outlineLevel="1" thickBot="1" x14ac:dyDescent="0.3">
      <c r="E107" s="3"/>
      <c r="F107" s="3"/>
      <c r="G107" s="3"/>
      <c r="H107" s="256" t="s">
        <v>113</v>
      </c>
      <c r="I107" s="18"/>
      <c r="J107" s="18"/>
      <c r="K107" s="18"/>
      <c r="L107" s="78"/>
      <c r="M107" s="79">
        <v>0</v>
      </c>
      <c r="N107" s="80">
        <f t="shared" si="213"/>
        <v>0</v>
      </c>
      <c r="O107" s="79">
        <v>6000</v>
      </c>
      <c r="P107" s="80">
        <f t="shared" si="214"/>
        <v>0</v>
      </c>
      <c r="Q107" s="79">
        <v>6000</v>
      </c>
      <c r="R107" s="80">
        <f t="shared" si="215"/>
        <v>0</v>
      </c>
      <c r="S107" s="79">
        <v>0</v>
      </c>
      <c r="T107" s="81">
        <f t="shared" si="216"/>
        <v>0</v>
      </c>
      <c r="U107" s="80">
        <f t="shared" si="87"/>
        <v>0</v>
      </c>
      <c r="V107" s="70">
        <f t="shared" si="88"/>
        <v>6000</v>
      </c>
      <c r="W107" s="80">
        <f t="shared" si="89"/>
        <v>0</v>
      </c>
      <c r="X107" s="70">
        <f t="shared" si="90"/>
        <v>6000</v>
      </c>
      <c r="Y107" s="80">
        <f t="shared" si="91"/>
        <v>0</v>
      </c>
      <c r="Z107" s="70">
        <f t="shared" si="92"/>
        <v>0</v>
      </c>
      <c r="AA107" s="82"/>
      <c r="AC107" s="138">
        <v>0</v>
      </c>
      <c r="AD107" s="138">
        <v>0</v>
      </c>
      <c r="AE107" s="138">
        <v>6000</v>
      </c>
      <c r="AF107" s="233"/>
      <c r="AG107" s="139"/>
      <c r="AH107" s="233"/>
      <c r="AI107" s="139"/>
      <c r="AK107" s="79">
        <v>0</v>
      </c>
      <c r="AL107" s="80">
        <f t="shared" si="217"/>
        <v>0</v>
      </c>
      <c r="AM107" s="79">
        <v>6000</v>
      </c>
      <c r="AN107" s="80">
        <f t="shared" si="218"/>
        <v>0</v>
      </c>
      <c r="AO107" s="79">
        <v>6000</v>
      </c>
      <c r="AP107" s="80">
        <f t="shared" si="219"/>
        <v>0</v>
      </c>
      <c r="AQ107" s="79">
        <v>0</v>
      </c>
      <c r="AR107" s="81">
        <f t="shared" si="220"/>
        <v>0</v>
      </c>
      <c r="AS107" s="80">
        <f t="shared" si="97"/>
        <v>0</v>
      </c>
      <c r="AT107" s="70">
        <f t="shared" si="98"/>
        <v>6000</v>
      </c>
      <c r="AU107" s="80">
        <f t="shared" si="99"/>
        <v>1</v>
      </c>
      <c r="AV107" s="70">
        <f t="shared" si="100"/>
        <v>6000</v>
      </c>
      <c r="AW107" s="80">
        <f t="shared" si="101"/>
        <v>0</v>
      </c>
      <c r="AX107" s="70">
        <f t="shared" si="102"/>
        <v>0</v>
      </c>
      <c r="AY107" s="82"/>
      <c r="BA107" s="79">
        <v>72000</v>
      </c>
      <c r="BB107" s="80">
        <f t="shared" si="221"/>
        <v>0</v>
      </c>
      <c r="BC107" s="79">
        <v>72000</v>
      </c>
      <c r="BD107" s="80">
        <f t="shared" si="222"/>
        <v>0</v>
      </c>
      <c r="BE107" s="79">
        <v>8110.92</v>
      </c>
      <c r="BF107" s="81">
        <f t="shared" si="223"/>
        <v>0</v>
      </c>
      <c r="BG107" s="80">
        <f t="shared" si="106"/>
        <v>0</v>
      </c>
      <c r="BH107" s="70">
        <f t="shared" si="107"/>
        <v>0</v>
      </c>
      <c r="BI107" s="80">
        <f t="shared" si="108"/>
        <v>-0.88734833333333341</v>
      </c>
      <c r="BJ107" s="70">
        <f t="shared" si="109"/>
        <v>-63889.08</v>
      </c>
      <c r="BK107" s="82"/>
    </row>
    <row r="108" spans="2:63" ht="11.95" hidden="1" outlineLevel="2" thickBot="1" x14ac:dyDescent="0.3">
      <c r="B108" t="str">
        <f>IF(LEFT(H108,3)="Mul", "#hiderow", "#showrow")</f>
        <v>#hiderow</v>
      </c>
      <c r="E108" s="3"/>
      <c r="F108" s="3"/>
      <c r="G108" s="3"/>
      <c r="H108" s="255" t="s">
        <v>6</v>
      </c>
      <c r="I108" s="18"/>
      <c r="J108" s="18"/>
      <c r="K108" s="18"/>
      <c r="L108" s="78"/>
      <c r="M108" s="79"/>
      <c r="N108" s="80">
        <f t="shared" si="213"/>
        <v>0</v>
      </c>
      <c r="O108" s="79"/>
      <c r="P108" s="80">
        <f t="shared" si="214"/>
        <v>0</v>
      </c>
      <c r="Q108" s="79"/>
      <c r="R108" s="80">
        <f t="shared" si="215"/>
        <v>0</v>
      </c>
      <c r="S108" s="79"/>
      <c r="T108" s="81">
        <f t="shared" si="216"/>
        <v>0</v>
      </c>
      <c r="U108" s="80">
        <f t="shared" si="87"/>
        <v>0</v>
      </c>
      <c r="V108" s="70">
        <f t="shared" si="88"/>
        <v>0</v>
      </c>
      <c r="W108" s="80">
        <f t="shared" si="89"/>
        <v>0</v>
      </c>
      <c r="X108" s="70">
        <f t="shared" si="90"/>
        <v>0</v>
      </c>
      <c r="Y108" s="80">
        <f t="shared" si="91"/>
        <v>0</v>
      </c>
      <c r="Z108" s="70">
        <f t="shared" si="92"/>
        <v>0</v>
      </c>
      <c r="AA108" s="82"/>
      <c r="AC108" s="138"/>
      <c r="AD108" s="138"/>
      <c r="AE108" s="138"/>
      <c r="AF108" s="233"/>
      <c r="AG108" s="139"/>
      <c r="AH108" s="233"/>
      <c r="AI108" s="139"/>
      <c r="AK108" s="79"/>
      <c r="AL108" s="80">
        <f t="shared" si="217"/>
        <v>0</v>
      </c>
      <c r="AM108" s="79"/>
      <c r="AN108" s="80">
        <f t="shared" si="218"/>
        <v>0</v>
      </c>
      <c r="AO108" s="79"/>
      <c r="AP108" s="80">
        <f t="shared" si="219"/>
        <v>0</v>
      </c>
      <c r="AQ108" s="79"/>
      <c r="AR108" s="81">
        <f t="shared" si="220"/>
        <v>0</v>
      </c>
      <c r="AS108" s="80">
        <f t="shared" si="97"/>
        <v>0</v>
      </c>
      <c r="AT108" s="70">
        <f t="shared" si="98"/>
        <v>0</v>
      </c>
      <c r="AU108" s="80">
        <f t="shared" si="99"/>
        <v>0</v>
      </c>
      <c r="AV108" s="70">
        <f t="shared" si="100"/>
        <v>0</v>
      </c>
      <c r="AW108" s="80">
        <f t="shared" si="101"/>
        <v>0</v>
      </c>
      <c r="AX108" s="70">
        <f t="shared" si="102"/>
        <v>0</v>
      </c>
      <c r="AY108" s="82"/>
      <c r="BA108" s="79"/>
      <c r="BB108" s="80">
        <f t="shared" si="221"/>
        <v>0</v>
      </c>
      <c r="BC108" s="79"/>
      <c r="BD108" s="80">
        <f t="shared" si="222"/>
        <v>0</v>
      </c>
      <c r="BE108" s="79"/>
      <c r="BF108" s="81">
        <f t="shared" si="223"/>
        <v>0</v>
      </c>
      <c r="BG108" s="80">
        <f t="shared" si="106"/>
        <v>0</v>
      </c>
      <c r="BH108" s="70">
        <f t="shared" si="107"/>
        <v>0</v>
      </c>
      <c r="BI108" s="80">
        <f t="shared" si="108"/>
        <v>0</v>
      </c>
      <c r="BJ108" s="70">
        <f t="shared" si="109"/>
        <v>0</v>
      </c>
      <c r="BK108" s="82"/>
    </row>
    <row r="109" spans="2:63" ht="11.95" outlineLevel="2" thickBot="1" x14ac:dyDescent="0.3">
      <c r="B109" t="str">
        <f>IF(LEFT(H109,3)="Mul", "#hiderow", "#showrow")</f>
        <v>#showrow</v>
      </c>
      <c r="E109" s="3"/>
      <c r="F109" s="3"/>
      <c r="G109" s="3"/>
      <c r="H109" s="255" t="s">
        <v>180</v>
      </c>
      <c r="I109" s="18"/>
      <c r="J109" s="18"/>
      <c r="K109" s="18"/>
      <c r="L109" s="78"/>
      <c r="M109" s="79"/>
      <c r="N109" s="80">
        <f t="shared" si="213"/>
        <v>0</v>
      </c>
      <c r="O109" s="79">
        <v>6000</v>
      </c>
      <c r="P109" s="80">
        <f t="shared" si="214"/>
        <v>0</v>
      </c>
      <c r="Q109" s="79">
        <v>6000</v>
      </c>
      <c r="R109" s="80">
        <f t="shared" si="215"/>
        <v>0</v>
      </c>
      <c r="S109" s="79"/>
      <c r="T109" s="81">
        <f t="shared" si="216"/>
        <v>0</v>
      </c>
      <c r="U109" s="80">
        <f t="shared" ref="U109" si="274">IFERROR(($O109-M109)/ABS(M109),0)</f>
        <v>0</v>
      </c>
      <c r="V109" s="70">
        <f t="shared" ref="V109" si="275">IFERROR((O109-$M109), 0-$M109)</f>
        <v>6000</v>
      </c>
      <c r="W109" s="80">
        <f t="shared" ref="W109" si="276">IFERROR((Q109-$M109)/ABS($M109),0)</f>
        <v>0</v>
      </c>
      <c r="X109" s="70">
        <f t="shared" ref="X109" si="277">IFERROR((Q109-$M109), 0 -$M109)</f>
        <v>6000</v>
      </c>
      <c r="Y109" s="80">
        <f t="shared" ref="Y109" si="278">IFERROR((S109-$M109)/ABS($M109),0)</f>
        <v>0</v>
      </c>
      <c r="Z109" s="70">
        <f t="shared" ref="Z109" si="279">IFERROR((S109-$M109),0-$M109)</f>
        <v>0</v>
      </c>
      <c r="AA109" s="82"/>
      <c r="AC109" s="138">
        <v>0</v>
      </c>
      <c r="AD109" s="138">
        <v>0</v>
      </c>
      <c r="AE109" s="138">
        <v>6000</v>
      </c>
      <c r="AF109" s="233"/>
      <c r="AG109" s="139"/>
      <c r="AH109" s="233"/>
      <c r="AI109" s="139"/>
      <c r="AK109" s="79">
        <v>0</v>
      </c>
      <c r="AL109" s="80">
        <f t="shared" si="217"/>
        <v>0</v>
      </c>
      <c r="AM109" s="79">
        <v>6000</v>
      </c>
      <c r="AN109" s="80">
        <f t="shared" si="218"/>
        <v>0</v>
      </c>
      <c r="AO109" s="79">
        <v>6000</v>
      </c>
      <c r="AP109" s="80">
        <f t="shared" si="219"/>
        <v>0</v>
      </c>
      <c r="AQ109" s="79">
        <v>0</v>
      </c>
      <c r="AR109" s="81">
        <f t="shared" si="220"/>
        <v>0</v>
      </c>
      <c r="AS109" s="80">
        <f t="shared" ref="AS109" si="280">IFERROR((AM109-$AK109)/ABS($AK109),0)</f>
        <v>0</v>
      </c>
      <c r="AT109" s="70">
        <f t="shared" ref="AT109" si="281">(AM109-$AK109)</f>
        <v>6000</v>
      </c>
      <c r="AU109" s="80">
        <f t="shared" ref="AU109" si="282">IFERROR((AO109-$AK109)/ABS($AO109),0)</f>
        <v>1</v>
      </c>
      <c r="AV109" s="70">
        <f t="shared" ref="AV109" si="283">(AO109-$AK109)</f>
        <v>6000</v>
      </c>
      <c r="AW109" s="80">
        <f t="shared" ref="AW109" si="284">IFERROR((AQ109-$AK109)/ABS($AK109),0)</f>
        <v>0</v>
      </c>
      <c r="AX109" s="70">
        <f t="shared" ref="AX109" si="285">(AQ109-$AK109)</f>
        <v>0</v>
      </c>
      <c r="AY109" s="82"/>
      <c r="BA109" s="79">
        <v>72000</v>
      </c>
      <c r="BB109" s="80">
        <f t="shared" si="221"/>
        <v>0</v>
      </c>
      <c r="BC109" s="79">
        <v>72000</v>
      </c>
      <c r="BD109" s="80">
        <f t="shared" si="222"/>
        <v>0</v>
      </c>
      <c r="BE109" s="79">
        <v>8110.92</v>
      </c>
      <c r="BF109" s="81">
        <f t="shared" si="223"/>
        <v>0</v>
      </c>
      <c r="BG109" s="80">
        <f t="shared" ref="BG109" si="286">IFERROR((BC109-$BA109)/ABS($BA109),0)</f>
        <v>0</v>
      </c>
      <c r="BH109" s="70">
        <f t="shared" ref="BH109" si="287">(BC109-$BA109)</f>
        <v>0</v>
      </c>
      <c r="BI109" s="80">
        <f t="shared" ref="BI109" si="288">IFERROR((BE109-$BA109)/ABS($BA109),0)</f>
        <v>-0.88734833333333341</v>
      </c>
      <c r="BJ109" s="70">
        <f t="shared" ref="BJ109" si="289">(BE109-$BA109)</f>
        <v>-63889.08</v>
      </c>
      <c r="BK109" s="82"/>
    </row>
    <row r="110" spans="2:63" ht="11.95" outlineLevel="1" collapsed="1" thickBot="1" x14ac:dyDescent="0.3">
      <c r="E110" s="3"/>
      <c r="F110" s="3"/>
      <c r="G110" s="3"/>
      <c r="H110" s="256" t="s">
        <v>114</v>
      </c>
      <c r="I110" s="18"/>
      <c r="J110" s="18"/>
      <c r="K110" s="18"/>
      <c r="L110" s="78"/>
      <c r="M110" s="79">
        <v>0</v>
      </c>
      <c r="N110" s="80">
        <f t="shared" si="213"/>
        <v>0</v>
      </c>
      <c r="O110" s="79">
        <v>0</v>
      </c>
      <c r="P110" s="80">
        <f t="shared" si="214"/>
        <v>0</v>
      </c>
      <c r="Q110" s="79">
        <v>0</v>
      </c>
      <c r="R110" s="80">
        <f t="shared" si="215"/>
        <v>0</v>
      </c>
      <c r="S110" s="79">
        <v>0</v>
      </c>
      <c r="T110" s="81">
        <f t="shared" si="216"/>
        <v>0</v>
      </c>
      <c r="U110" s="80">
        <f t="shared" si="87"/>
        <v>0</v>
      </c>
      <c r="V110" s="70">
        <f t="shared" si="88"/>
        <v>0</v>
      </c>
      <c r="W110" s="80">
        <f t="shared" si="89"/>
        <v>0</v>
      </c>
      <c r="X110" s="70">
        <f t="shared" si="90"/>
        <v>0</v>
      </c>
      <c r="Y110" s="80">
        <f t="shared" si="91"/>
        <v>0</v>
      </c>
      <c r="Z110" s="70">
        <f t="shared" si="92"/>
        <v>0</v>
      </c>
      <c r="AA110" s="82"/>
      <c r="AC110" s="138">
        <v>0</v>
      </c>
      <c r="AD110" s="138">
        <v>0</v>
      </c>
      <c r="AE110" s="138">
        <v>0</v>
      </c>
      <c r="AF110" s="233"/>
      <c r="AG110" s="139"/>
      <c r="AH110" s="233"/>
      <c r="AI110" s="139"/>
      <c r="AK110" s="79">
        <v>0</v>
      </c>
      <c r="AL110" s="80">
        <f t="shared" si="217"/>
        <v>0</v>
      </c>
      <c r="AM110" s="79">
        <v>0</v>
      </c>
      <c r="AN110" s="80">
        <f t="shared" si="218"/>
        <v>0</v>
      </c>
      <c r="AO110" s="79">
        <v>0</v>
      </c>
      <c r="AP110" s="80">
        <f t="shared" si="219"/>
        <v>0</v>
      </c>
      <c r="AQ110" s="79">
        <v>0</v>
      </c>
      <c r="AR110" s="81">
        <f t="shared" si="220"/>
        <v>0</v>
      </c>
      <c r="AS110" s="80">
        <f t="shared" si="97"/>
        <v>0</v>
      </c>
      <c r="AT110" s="70">
        <f t="shared" si="98"/>
        <v>0</v>
      </c>
      <c r="AU110" s="80">
        <f t="shared" si="99"/>
        <v>0</v>
      </c>
      <c r="AV110" s="70">
        <f t="shared" si="100"/>
        <v>0</v>
      </c>
      <c r="AW110" s="80">
        <f t="shared" si="101"/>
        <v>0</v>
      </c>
      <c r="AX110" s="70">
        <f t="shared" si="102"/>
        <v>0</v>
      </c>
      <c r="AY110" s="82"/>
      <c r="BA110" s="79">
        <v>0</v>
      </c>
      <c r="BB110" s="80">
        <f t="shared" si="221"/>
        <v>0</v>
      </c>
      <c r="BC110" s="79">
        <v>0</v>
      </c>
      <c r="BD110" s="80">
        <f t="shared" si="222"/>
        <v>0</v>
      </c>
      <c r="BE110" s="79">
        <v>0</v>
      </c>
      <c r="BF110" s="81">
        <f t="shared" si="223"/>
        <v>0</v>
      </c>
      <c r="BG110" s="80">
        <f t="shared" si="106"/>
        <v>0</v>
      </c>
      <c r="BH110" s="70">
        <f t="shared" si="107"/>
        <v>0</v>
      </c>
      <c r="BI110" s="80">
        <f t="shared" si="108"/>
        <v>0</v>
      </c>
      <c r="BJ110" s="70">
        <f t="shared" si="109"/>
        <v>0</v>
      </c>
      <c r="BK110" s="82"/>
    </row>
    <row r="111" spans="2:63" ht="11.95" hidden="1" outlineLevel="2" thickBot="1" x14ac:dyDescent="0.3">
      <c r="B111" t="str">
        <f>IF(LEFT(H111,3)="Mul", "#hiderow", "#showrow")</f>
        <v>#hiderow</v>
      </c>
      <c r="E111" s="3"/>
      <c r="F111" s="3"/>
      <c r="G111" s="3"/>
      <c r="H111" s="255" t="s">
        <v>6</v>
      </c>
      <c r="I111" s="18"/>
      <c r="J111" s="18"/>
      <c r="K111" s="18"/>
      <c r="L111" s="78"/>
      <c r="M111" s="79"/>
      <c r="N111" s="80">
        <f t="shared" si="213"/>
        <v>0</v>
      </c>
      <c r="O111" s="79"/>
      <c r="P111" s="80">
        <f t="shared" si="214"/>
        <v>0</v>
      </c>
      <c r="Q111" s="79"/>
      <c r="R111" s="80">
        <f t="shared" si="215"/>
        <v>0</v>
      </c>
      <c r="S111" s="79"/>
      <c r="T111" s="81">
        <f t="shared" si="216"/>
        <v>0</v>
      </c>
      <c r="U111" s="80">
        <f t="shared" si="87"/>
        <v>0</v>
      </c>
      <c r="V111" s="70">
        <f t="shared" si="88"/>
        <v>0</v>
      </c>
      <c r="W111" s="80">
        <f t="shared" si="89"/>
        <v>0</v>
      </c>
      <c r="X111" s="70">
        <f t="shared" si="90"/>
        <v>0</v>
      </c>
      <c r="Y111" s="80">
        <f t="shared" si="91"/>
        <v>0</v>
      </c>
      <c r="Z111" s="70">
        <f t="shared" si="92"/>
        <v>0</v>
      </c>
      <c r="AA111" s="82"/>
      <c r="AC111" s="138"/>
      <c r="AD111" s="138"/>
      <c r="AE111" s="138"/>
      <c r="AF111" s="233"/>
      <c r="AG111" s="139"/>
      <c r="AH111" s="233"/>
      <c r="AI111" s="139"/>
      <c r="AK111" s="79"/>
      <c r="AL111" s="80">
        <f t="shared" si="217"/>
        <v>0</v>
      </c>
      <c r="AM111" s="79"/>
      <c r="AN111" s="80">
        <f t="shared" si="218"/>
        <v>0</v>
      </c>
      <c r="AO111" s="79"/>
      <c r="AP111" s="80">
        <f t="shared" si="219"/>
        <v>0</v>
      </c>
      <c r="AQ111" s="79"/>
      <c r="AR111" s="81">
        <f t="shared" si="220"/>
        <v>0</v>
      </c>
      <c r="AS111" s="80">
        <f t="shared" si="97"/>
        <v>0</v>
      </c>
      <c r="AT111" s="70">
        <f t="shared" si="98"/>
        <v>0</v>
      </c>
      <c r="AU111" s="80">
        <f t="shared" si="99"/>
        <v>0</v>
      </c>
      <c r="AV111" s="70">
        <f t="shared" si="100"/>
        <v>0</v>
      </c>
      <c r="AW111" s="80">
        <f t="shared" si="101"/>
        <v>0</v>
      </c>
      <c r="AX111" s="70">
        <f t="shared" si="102"/>
        <v>0</v>
      </c>
      <c r="AY111" s="82"/>
      <c r="BA111" s="79"/>
      <c r="BB111" s="80">
        <f t="shared" si="221"/>
        <v>0</v>
      </c>
      <c r="BC111" s="79"/>
      <c r="BD111" s="80">
        <f t="shared" si="222"/>
        <v>0</v>
      </c>
      <c r="BE111" s="79"/>
      <c r="BF111" s="81">
        <f t="shared" si="223"/>
        <v>0</v>
      </c>
      <c r="BG111" s="80">
        <f t="shared" si="106"/>
        <v>0</v>
      </c>
      <c r="BH111" s="70">
        <f t="shared" si="107"/>
        <v>0</v>
      </c>
      <c r="BI111" s="80">
        <f t="shared" si="108"/>
        <v>0</v>
      </c>
      <c r="BJ111" s="70">
        <f t="shared" si="109"/>
        <v>0</v>
      </c>
      <c r="BK111" s="82"/>
    </row>
    <row r="112" spans="2:63" ht="11.95" x14ac:dyDescent="0.25">
      <c r="B112" t="str">
        <f>B57</f>
        <v>#showrow</v>
      </c>
      <c r="E112" s="19"/>
      <c r="F112" s="19"/>
      <c r="G112" s="19"/>
      <c r="H112" s="19" t="s">
        <v>81</v>
      </c>
      <c r="I112" s="85"/>
      <c r="J112" s="85"/>
      <c r="K112" s="85"/>
      <c r="L112" s="144">
        <v>-1</v>
      </c>
      <c r="M112" s="85">
        <f>SUMIFS(M58:M111,$I58:$I111,"&lt;&gt;"&amp;$I$29,$E58:$E111,"&lt;&gt;*[-]*",$F58:$F111,"&lt;&gt;*[-]*",$G58:$G111,"&lt;&gt;*[-]*", $H58:$H111, "Operating Expenses")</f>
        <v>0</v>
      </c>
      <c r="N112" s="86">
        <f t="shared" si="213"/>
        <v>0</v>
      </c>
      <c r="O112" s="85">
        <f>SUMIFS(O58:O111,$I58:$I111,"&lt;&gt;"&amp;$I$29,$E58:$E111,"&lt;&gt;*[-]*",$F58:$F111,"&lt;&gt;*[-]*",$G58:$G111,"&lt;&gt;*[-]*", $H58:$H111, "Operating Expenses")</f>
        <v>3.9999999999999998E-11</v>
      </c>
      <c r="P112" s="86">
        <f t="shared" si="214"/>
        <v>0</v>
      </c>
      <c r="Q112" s="85">
        <f>SUMIFS(Q58:Q111,$I58:$I111,"&lt;&gt;"&amp;$I$29,$E58:$E111,"&lt;&gt;*[-]*",$F58:$F111,"&lt;&gt;*[-]*",$G58:$G111,"&lt;&gt;*[-]*", $H58:$H111, "Operating Expenses")</f>
        <v>3.9999999999999998E-11</v>
      </c>
      <c r="R112" s="86">
        <f t="shared" si="215"/>
        <v>0</v>
      </c>
      <c r="S112" s="85">
        <f>SUMIFS(S58:S111,$I58:$I111,"&lt;&gt;"&amp;$I$29,$E58:$E111,"&lt;&gt;*[-]*",$F58:$F111,"&lt;&gt;*[-]*",$G58:$G111,"&lt;&gt;*[-]*", $H58:$H111, "Operating Expenses")</f>
        <v>0</v>
      </c>
      <c r="T112" s="86">
        <f t="shared" si="216"/>
        <v>0</v>
      </c>
      <c r="U112" s="86">
        <f>IFERROR(($O112-M112)/ABS(M112),0)</f>
        <v>0</v>
      </c>
      <c r="V112" s="87">
        <f>IFERROR((O112-$M112), 0-$M112)</f>
        <v>3.9999999999999998E-11</v>
      </c>
      <c r="W112" s="86">
        <f>IFERROR((Q112-$M112)/ABS($M112),0)</f>
        <v>0</v>
      </c>
      <c r="X112" s="87">
        <f>IFERROR((Q112-$M112), 0 -$M112)</f>
        <v>3.9999999999999998E-11</v>
      </c>
      <c r="Y112" s="86">
        <f>IFERROR((S112-$M112)/ABS($M112),0)</f>
        <v>0</v>
      </c>
      <c r="Z112" s="87">
        <f>IFERROR((S112-$M112),0-$M112)</f>
        <v>0</v>
      </c>
      <c r="AA112" s="88"/>
      <c r="AC112" s="142">
        <f>SUMIFS(AC58:AC111,$I58:$I111,"&lt;&gt;"&amp;$I$29,$E58:$E111,"&lt;&gt;*[-]*",$F58:$F111,"&lt;&gt;*[-]*",$G58:$G111,"&lt;&gt;*[-]*", $H58:$H111, "Operating Expenses")</f>
        <v>0</v>
      </c>
      <c r="AD112" s="142">
        <f>SUMIFS(AD58:AD111,$I58:$I111,"&lt;&gt;"&amp;$I$29,$E58:$E111,"&lt;&gt;*[-]*",$F58:$F111,"&lt;&gt;*[-]*",$G58:$G111,"&lt;&gt;*[-]*", $H58:$H111, "Operating Expenses")</f>
        <v>0</v>
      </c>
      <c r="AE112" s="142">
        <f>SUMIFS(AE58:AE111,$I58:$I111,"&lt;&gt;"&amp;$I$29,$E58:$E111,"&lt;&gt;*[-]*",$F58:$F111,"&lt;&gt;*[-]*",$G58:$G111,"&lt;&gt;*[-]*", $H58:$H111, "Operating Expenses")</f>
        <v>3.9999999999999998E-11</v>
      </c>
      <c r="AF112" s="173">
        <f>IFERROR((AD112-$AC112)/ABS($AC112),0)</f>
        <v>0</v>
      </c>
      <c r="AG112" s="143">
        <f>(AD112-$AC112)</f>
        <v>0</v>
      </c>
      <c r="AH112" s="173">
        <f>IFERROR((AE112-$AC112)/ABS($AC112),0)</f>
        <v>0</v>
      </c>
      <c r="AI112" s="143">
        <f>(AE112-$AC112)</f>
        <v>3.9999999999999998E-11</v>
      </c>
      <c r="AK112" s="85">
        <f>SUMIFS(AK58:AK111,$I58:$I111,"&lt;&gt;"&amp;$I$29,$E58:$E111,"&lt;&gt;*[-]*",$F58:$F111,"&lt;&gt;*[-]*",$G58:$G111,"&lt;&gt;*[-]*", $H58:$H111, "Operating Expenses")</f>
        <v>0</v>
      </c>
      <c r="AL112" s="86">
        <f t="shared" si="217"/>
        <v>0</v>
      </c>
      <c r="AM112" s="85">
        <f>SUMIFS(AM58:AM111,$I58:$I111,"&lt;&gt;"&amp;$I$29,$E58:$E111,"&lt;&gt;*[-]*",$F58:$F111,"&lt;&gt;*[-]*",$G58:$G111,"&lt;&gt;*[-]*", $H58:$H111, "Operating Expenses")</f>
        <v>3.9999999999999998E-11</v>
      </c>
      <c r="AN112" s="86">
        <f t="shared" si="218"/>
        <v>0</v>
      </c>
      <c r="AO112" s="85">
        <f>SUMIFS(AO58:AO111,$I58:$I111,"&lt;&gt;"&amp;$I$29,$E58:$E111,"&lt;&gt;*[-]*",$F58:$F111,"&lt;&gt;*[-]*",$G58:$G111,"&lt;&gt;*[-]*", $H58:$H111, "Operating Expenses")</f>
        <v>3.9999999999999998E-11</v>
      </c>
      <c r="AP112" s="86">
        <f t="shared" si="219"/>
        <v>0</v>
      </c>
      <c r="AQ112" s="85">
        <f>SUMIFS(AQ58:AQ111,$I58:$I111,"&lt;&gt;"&amp;$I$29,$E58:$E111,"&lt;&gt;*[-]*",$F58:$F111,"&lt;&gt;*[-]*",$G58:$G111,"&lt;&gt;*[-]*", $H58:$H111, "Operating Expenses")</f>
        <v>0</v>
      </c>
      <c r="AR112" s="86">
        <f t="shared" si="220"/>
        <v>0</v>
      </c>
      <c r="AS112" s="86">
        <f>IFERROR((AM112-$AK112)/ABS($AK112),0)</f>
        <v>0</v>
      </c>
      <c r="AT112" s="87">
        <f>(AM112-$AK112)</f>
        <v>3.9999999999999998E-11</v>
      </c>
      <c r="AU112" s="86">
        <f>IFERROR((AO112-$AK112)/ABS($AO112),0)</f>
        <v>1</v>
      </c>
      <c r="AV112" s="87">
        <f>(AO112-$AK112)</f>
        <v>3.9999999999999998E-11</v>
      </c>
      <c r="AW112" s="86">
        <f>IFERROR((AQ112-$AK112)/ABS($AK112),0)</f>
        <v>0</v>
      </c>
      <c r="AX112" s="87">
        <f>(AQ112-$AK112)</f>
        <v>0</v>
      </c>
      <c r="AY112" s="88"/>
      <c r="BA112" s="85">
        <f>SUMIFS(BA58:BA111,$I58:$I111,"&lt;&gt;"&amp;$I$29,$E58:$E111,"&lt;&gt;*[-]*",$F58:$F111,"&lt;&gt;*[-]*",$G58:$G111,"&lt;&gt;*[-]*", $H58:$H111, "Operating Expenses")</f>
        <v>4.0000000000000001E-10</v>
      </c>
      <c r="BB112" s="86">
        <f t="shared" si="221"/>
        <v>0</v>
      </c>
      <c r="BC112" s="85">
        <f>SUMIFS(BC58:BC111,$I58:$I111,"&lt;&gt;"&amp;$I$29,$E58:$E111,"&lt;&gt;*[-]*",$F58:$F111,"&lt;&gt;*[-]*",$G58:$G111,"&lt;&gt;*[-]*", $H58:$H111, "Operating Expenses")</f>
        <v>4.0000000000000001E-10</v>
      </c>
      <c r="BD112" s="86">
        <f t="shared" si="222"/>
        <v>0</v>
      </c>
      <c r="BE112" s="85">
        <f>SUMIFS(BE58:BE111,$I58:$I111,"&lt;&gt;"&amp;$I$29,$E58:$E111,"&lt;&gt;*[-]*",$F58:$F111,"&lt;&gt;*[-]*",$G58:$G111,"&lt;&gt;*[-]*", $H58:$H111, "Operating Expenses")</f>
        <v>0</v>
      </c>
      <c r="BF112" s="86">
        <f t="shared" si="223"/>
        <v>0</v>
      </c>
      <c r="BG112" s="86">
        <f>IFERROR((BC112-$BA112)/ABS($BA112),0)</f>
        <v>0</v>
      </c>
      <c r="BH112" s="87">
        <f>(BC112-$BA112)</f>
        <v>0</v>
      </c>
      <c r="BI112" s="86">
        <f>IFERROR((BE112-$BA112)/ABS($BA112),0)</f>
        <v>-1</v>
      </c>
      <c r="BJ112" s="87">
        <f>(BE112-$BA112)</f>
        <v>-4.0000000000000001E-10</v>
      </c>
      <c r="BK112" s="88"/>
    </row>
    <row r="113" spans="2:63" x14ac:dyDescent="0.25">
      <c r="N113" s="145"/>
      <c r="P113" s="145"/>
      <c r="R113" s="145"/>
      <c r="T113" s="145"/>
      <c r="U113" s="145"/>
      <c r="V113" s="84"/>
      <c r="W113" s="145"/>
      <c r="X113" s="84"/>
      <c r="Y113" s="145"/>
      <c r="Z113" s="84"/>
      <c r="AA113" s="84"/>
      <c r="AF113" s="169"/>
      <c r="AG113" s="140"/>
      <c r="AH113" s="169"/>
      <c r="AI113" s="140"/>
      <c r="AL113" s="145"/>
      <c r="AN113" s="145"/>
      <c r="AP113" s="145"/>
      <c r="AR113" s="145"/>
      <c r="AS113" s="145"/>
      <c r="AT113" s="84"/>
      <c r="AU113" s="145"/>
      <c r="AV113" s="84"/>
      <c r="AW113" s="145"/>
      <c r="AX113" s="84"/>
      <c r="AY113" s="84"/>
      <c r="BB113" s="145"/>
      <c r="BD113" s="145"/>
      <c r="BF113" s="145"/>
      <c r="BG113" s="145"/>
      <c r="BH113" s="84"/>
      <c r="BI113" s="145"/>
      <c r="BJ113" s="84"/>
      <c r="BK113" s="84"/>
    </row>
    <row r="114" spans="2:63" x14ac:dyDescent="0.25">
      <c r="B114" s="24" t="str">
        <f>B112</f>
        <v>#showrow</v>
      </c>
      <c r="C114" s="24"/>
      <c r="D114" s="24"/>
      <c r="E114" s="24"/>
      <c r="F114" s="24"/>
      <c r="G114" s="24"/>
      <c r="H114" s="24" t="s">
        <v>32</v>
      </c>
      <c r="I114" s="24"/>
      <c r="J114" s="24"/>
      <c r="K114" s="24"/>
      <c r="L114" s="24"/>
      <c r="M114" s="26">
        <f>M54-M112-M124</f>
        <v>-84749.62</v>
      </c>
      <c r="N114" s="153">
        <f>IFERROR(M114/SUMIFS(M:M, $H:$H, "Net Sales"),0)</f>
        <v>0</v>
      </c>
      <c r="O114" s="26">
        <f>O54-O112-O124</f>
        <v>-78394.942538461546</v>
      </c>
      <c r="P114" s="153">
        <f>IFERROR(O114/SUMIFS(O:O, $H:$H, "Net Sales"),0)</f>
        <v>0</v>
      </c>
      <c r="Q114" s="26">
        <f>Q54-Q112-Q124</f>
        <v>-78394.942538461546</v>
      </c>
      <c r="R114" s="153">
        <f>IFERROR(Q114/SUMIFS(Q:Q, $H:$H, "Net Sales"),0)</f>
        <v>0</v>
      </c>
      <c r="S114" s="26">
        <f>S54-S112-S124</f>
        <v>0</v>
      </c>
      <c r="T114" s="153">
        <f>IFERROR(S114/SUMIFS(S:S, $H:$H, "Net Sales"),0)</f>
        <v>0</v>
      </c>
      <c r="U114" s="153">
        <f>IFERROR((M114-$O114)/ABS($O114),0)</f>
        <v>-8.1059788498738475E-2</v>
      </c>
      <c r="V114" s="92">
        <f>(M114-$O114)</f>
        <v>-6354.6774615384493</v>
      </c>
      <c r="W114" s="153">
        <f>IFERROR(($M114-Q114)/ABS(Q114),0)</f>
        <v>-8.1059788498738475E-2</v>
      </c>
      <c r="X114" s="92">
        <f>($M114-Q114)</f>
        <v>-6354.6774615384493</v>
      </c>
      <c r="Y114" s="153">
        <f>IFERROR(($M114-S114)/ABS(S114),0)</f>
        <v>0</v>
      </c>
      <c r="Z114" s="92">
        <f>($M114-S114)</f>
        <v>-84749.62</v>
      </c>
      <c r="AA114" s="88"/>
      <c r="AC114" s="234">
        <f>AC54-AC112-AC124</f>
        <v>-84749.62</v>
      </c>
      <c r="AD114" s="234">
        <f>AD54-AD112-AD124</f>
        <v>0</v>
      </c>
      <c r="AE114" s="234">
        <f>AE54-AE112-AE124</f>
        <v>-78394.942538461546</v>
      </c>
      <c r="AF114" s="235">
        <f>IFERROR((AC114-$AD114)/ABS($AD114),0)</f>
        <v>0</v>
      </c>
      <c r="AG114" s="238">
        <f>(AC114-$AD114)</f>
        <v>-84749.62</v>
      </c>
      <c r="AH114" s="233">
        <f>IFERROR(($AC114-AD114)/ABS(AD114),0)</f>
        <v>0</v>
      </c>
      <c r="AI114" s="238">
        <f>($AC114-AE114)</f>
        <v>-6354.6774615384493</v>
      </c>
      <c r="AK114" s="26">
        <f>AK54-AK112-AK124</f>
        <v>-84749.62</v>
      </c>
      <c r="AL114" s="153">
        <f>IFERROR(AK114/SUMIFS(AK:AK, $H:$H, "Net Sales"),0)</f>
        <v>0</v>
      </c>
      <c r="AM114" s="26">
        <f>AM54-AM112-AM124</f>
        <v>-78394.942538461546</v>
      </c>
      <c r="AN114" s="153">
        <f>IFERROR(AM114/SUMIFS(AM:AM, $H:$H, "Net Sales"),0)</f>
        <v>0</v>
      </c>
      <c r="AO114" s="26">
        <f>AO54-AO112-AO124</f>
        <v>-78394.942538461546</v>
      </c>
      <c r="AP114" s="153">
        <f>IFERROR(AO114/SUMIFS(AO:AO, $H:$H, "Net Sales"),0)</f>
        <v>0</v>
      </c>
      <c r="AQ114" s="26">
        <f>AQ54-AQ112-AQ124</f>
        <v>0</v>
      </c>
      <c r="AR114" s="153">
        <f>IFERROR(AQ114/SUMIFS(AQ:AQ, $H:$H, "Net Sales"),0)</f>
        <v>0</v>
      </c>
      <c r="AS114" s="153">
        <f>IFERROR((AK114-$AM114)/ABS($AM114),0)</f>
        <v>-8.1059788498738475E-2</v>
      </c>
      <c r="AT114" s="92">
        <f>(AK114-$AM114)</f>
        <v>-6354.6774615384493</v>
      </c>
      <c r="AU114" s="153">
        <f>IFERROR(($AK114-AO114)/ABS(AO114),0)</f>
        <v>-8.1059788498738475E-2</v>
      </c>
      <c r="AV114" s="92">
        <f>($AK114-AO114)</f>
        <v>-6354.6774615384493</v>
      </c>
      <c r="AW114" s="153">
        <f>IFERROR(($AK114-AQ114)/ABS(AQ114),0)</f>
        <v>0</v>
      </c>
      <c r="AX114" s="92">
        <f>($AK114-AQ114)</f>
        <v>-84749.62</v>
      </c>
      <c r="AY114" s="88"/>
      <c r="BA114" s="26">
        <f>BA54-BA112-BA124</f>
        <v>-963434.25299999933</v>
      </c>
      <c r="BB114" s="153">
        <f>IFERROR(BA114/SUMIFS(BA:BA, $H:$H, "Net Sales"),0)</f>
        <v>0</v>
      </c>
      <c r="BC114" s="26">
        <f>BC54-BC112-BC124</f>
        <v>-963434.25299999933</v>
      </c>
      <c r="BD114" s="153">
        <f>IFERROR(BC114/SUMIFS(BC:BC, $H:$H, "Net Sales"),0)</f>
        <v>0</v>
      </c>
      <c r="BE114" s="26">
        <f>BE54-BE112-BE124</f>
        <v>-615295.55000000005</v>
      </c>
      <c r="BF114" s="153">
        <f>IFERROR(BE114/SUMIFS(BE:BE, $H:$H, "Net Sales"),0)</f>
        <v>0</v>
      </c>
      <c r="BG114" s="153">
        <f>IFERROR((BA114-$BC114)/ABS($BC114),0)</f>
        <v>0</v>
      </c>
      <c r="BH114" s="92">
        <f>(BA114-$BC114)</f>
        <v>0</v>
      </c>
      <c r="BI114" s="153">
        <f>IFERROR(($BA114-BE114)/ABS(BE114),0)</f>
        <v>-0.56580728237023536</v>
      </c>
      <c r="BJ114" s="92">
        <f>($BA114-BE114)</f>
        <v>-348138.70299999928</v>
      </c>
      <c r="BK114" s="104"/>
    </row>
    <row r="115" spans="2:63" x14ac:dyDescent="0.25">
      <c r="H115" s="27" t="s">
        <v>33</v>
      </c>
      <c r="M115" s="96" t="str">
        <f>IFERROR(M114/M38,"")</f>
        <v/>
      </c>
      <c r="N115" s="105"/>
      <c r="O115" s="96" t="str">
        <f>IFERROR(O114/O38,"")</f>
        <v/>
      </c>
      <c r="P115" s="105"/>
      <c r="Q115" s="96" t="str">
        <f>IFERROR(Q114/Q38,"")</f>
        <v/>
      </c>
      <c r="R115" s="105"/>
      <c r="S115" s="96" t="str">
        <f>IFERROR(S114/S38,"")</f>
        <v/>
      </c>
      <c r="T115" s="105"/>
      <c r="U115" s="105"/>
      <c r="V115" s="106"/>
      <c r="W115" s="105"/>
      <c r="X115" s="106"/>
      <c r="Y115" s="105"/>
      <c r="Z115" s="106"/>
      <c r="AA115" s="106"/>
      <c r="AC115" s="239" t="str">
        <f>IFERROR(AC114/AC38,"")</f>
        <v/>
      </c>
      <c r="AD115" s="239" t="str">
        <f>IFERROR(AD114/AD38,"")</f>
        <v/>
      </c>
      <c r="AE115" s="239" t="str">
        <f>IFERROR(AE114/AE38,"")</f>
        <v/>
      </c>
      <c r="AF115" s="169"/>
      <c r="AG115" s="140"/>
      <c r="AH115" s="169"/>
      <c r="AI115" s="140"/>
      <c r="AK115" s="96" t="str">
        <f>IFERROR(AK114/AK38,"")</f>
        <v/>
      </c>
      <c r="AL115" s="105"/>
      <c r="AM115" s="96" t="str">
        <f>IFERROR(AM114/AM38,"")</f>
        <v/>
      </c>
      <c r="AN115" s="105"/>
      <c r="AO115" s="96" t="str">
        <f>IFERROR(AO114/AO38,"")</f>
        <v/>
      </c>
      <c r="AP115" s="105"/>
      <c r="AQ115" s="96" t="str">
        <f>IFERROR(AQ114/AQ38,"")</f>
        <v/>
      </c>
      <c r="AR115" s="105"/>
      <c r="AS115" s="105"/>
      <c r="AT115" s="106"/>
      <c r="AU115" s="105"/>
      <c r="AV115" s="106"/>
      <c r="AW115" s="105"/>
      <c r="AX115" s="106"/>
      <c r="AY115" s="106"/>
      <c r="BA115" s="96" t="str">
        <f>IFERROR(BA114/BA38,"")</f>
        <v/>
      </c>
      <c r="BB115" s="105"/>
      <c r="BC115" s="96" t="str">
        <f>IFERROR(BC114/BC38,"")</f>
        <v/>
      </c>
      <c r="BD115" s="105"/>
      <c r="BE115" s="96" t="str">
        <f>IFERROR(BE114/BE38,"")</f>
        <v/>
      </c>
      <c r="BF115" s="105"/>
      <c r="BG115" s="105"/>
      <c r="BH115" s="106"/>
      <c r="BI115" s="105"/>
      <c r="BJ115" s="106"/>
      <c r="BK115" s="109"/>
    </row>
    <row r="116" spans="2:63" x14ac:dyDescent="0.25">
      <c r="N116" s="145"/>
      <c r="P116" s="145"/>
      <c r="R116" s="145"/>
      <c r="T116" s="145"/>
      <c r="U116" s="145"/>
      <c r="V116" s="84"/>
      <c r="W116" s="145"/>
      <c r="X116" s="84"/>
      <c r="Y116" s="145"/>
      <c r="Z116" s="84"/>
      <c r="AA116" s="84"/>
      <c r="AF116" s="169"/>
      <c r="AG116" s="140"/>
      <c r="AH116" s="169"/>
      <c r="AI116" s="140"/>
      <c r="AL116" s="145"/>
      <c r="AN116" s="145"/>
      <c r="AP116" s="145"/>
      <c r="AR116" s="145"/>
      <c r="AS116" s="145"/>
      <c r="AT116" s="84"/>
      <c r="AU116" s="145"/>
      <c r="AV116" s="84"/>
      <c r="AW116" s="145"/>
      <c r="AX116" s="84"/>
      <c r="AY116" s="84"/>
      <c r="BB116" s="145"/>
      <c r="BD116" s="145"/>
      <c r="BF116" s="145"/>
      <c r="BG116" s="145"/>
      <c r="BH116" s="84"/>
      <c r="BI116" s="145"/>
      <c r="BJ116" s="84"/>
      <c r="BK116" s="84"/>
    </row>
    <row r="117" spans="2:63" ht="12.45" thickBot="1" x14ac:dyDescent="0.3">
      <c r="E117" s="4"/>
      <c r="F117" s="4"/>
      <c r="G117" s="4"/>
      <c r="H117" s="4" t="s">
        <v>18</v>
      </c>
      <c r="I117" s="4"/>
      <c r="J117" s="5"/>
      <c r="K117" s="5"/>
      <c r="L117" s="5"/>
      <c r="M117" s="5"/>
      <c r="N117" s="152"/>
      <c r="O117" s="5"/>
      <c r="P117" s="152"/>
      <c r="Q117" s="5"/>
      <c r="R117" s="152"/>
      <c r="S117" s="5"/>
      <c r="T117" s="152"/>
      <c r="U117" s="152"/>
      <c r="V117" s="75"/>
      <c r="W117" s="152"/>
      <c r="X117" s="75"/>
      <c r="Y117" s="152"/>
      <c r="Z117" s="75"/>
      <c r="AA117" s="75"/>
      <c r="AC117" s="133"/>
      <c r="AD117" s="133"/>
      <c r="AE117" s="133"/>
      <c r="AF117" s="171"/>
      <c r="AG117" s="134"/>
      <c r="AH117" s="171"/>
      <c r="AI117" s="134"/>
      <c r="AK117" s="5"/>
      <c r="AL117" s="152"/>
      <c r="AM117" s="5"/>
      <c r="AN117" s="152"/>
      <c r="AO117" s="5"/>
      <c r="AP117" s="152"/>
      <c r="AQ117" s="5"/>
      <c r="AR117" s="152"/>
      <c r="AS117" s="152"/>
      <c r="AT117" s="75"/>
      <c r="AU117" s="152"/>
      <c r="AV117" s="75"/>
      <c r="AW117" s="152"/>
      <c r="AX117" s="75"/>
      <c r="AY117" s="75"/>
      <c r="BA117" s="5"/>
      <c r="BB117" s="152"/>
      <c r="BC117" s="5"/>
      <c r="BD117" s="152"/>
      <c r="BE117" s="5"/>
      <c r="BF117" s="152"/>
      <c r="BG117" s="152"/>
      <c r="BH117" s="75"/>
      <c r="BI117" s="152"/>
      <c r="BJ117" s="75"/>
      <c r="BK117" s="75"/>
    </row>
    <row r="118" spans="2:63" ht="11.95" hidden="1" thickBot="1" x14ac:dyDescent="0.3">
      <c r="B118" t="s">
        <v>1</v>
      </c>
      <c r="E118" s="3"/>
      <c r="F118" s="3"/>
      <c r="G118" s="3"/>
      <c r="H118" s="3"/>
      <c r="I118" s="18"/>
      <c r="J118" s="18"/>
      <c r="K118" s="18"/>
      <c r="L118" s="78"/>
      <c r="M118" s="79"/>
      <c r="N118" s="80">
        <f t="shared" ref="N118:N123" si="290">IFERROR(M118/SUMIFS(M:M, $H:$H, "Net Sales"),0)</f>
        <v>0</v>
      </c>
      <c r="O118" s="79"/>
      <c r="P118" s="80">
        <f t="shared" ref="P118:P123" si="291">IFERROR(O118/SUMIFS(O:O, $H:$H, "Net Sales"),0)</f>
        <v>0</v>
      </c>
      <c r="Q118" s="79"/>
      <c r="R118" s="80">
        <f t="shared" ref="R118:R123" si="292">IFERROR(Q118/SUMIFS(Q:Q, $H:$H, "Net Sales"),0)</f>
        <v>0</v>
      </c>
      <c r="S118" s="79"/>
      <c r="T118" s="81">
        <f t="shared" ref="T118:T124" si="293">IFERROR(S118/SUMIFS(S:S, $H:$H, "Net Sales"),0)</f>
        <v>0</v>
      </c>
      <c r="U118" s="80">
        <f t="shared" ref="U118:U123" si="294">IFERROR(($O118-M118)/ABS(M118),0)</f>
        <v>0</v>
      </c>
      <c r="V118" s="70">
        <f t="shared" ref="V118:V123" si="295">IFERROR((O118-$M118), 0-$M118)</f>
        <v>0</v>
      </c>
      <c r="W118" s="80">
        <f t="shared" ref="W118:W123" si="296">IFERROR((Q118-$M118)/ABS($M118),0)</f>
        <v>0</v>
      </c>
      <c r="X118" s="70">
        <f t="shared" ref="X118:X123" si="297">IFERROR((Q118-$M118), 0 -$M118)</f>
        <v>0</v>
      </c>
      <c r="Y118" s="80">
        <f t="shared" ref="Y118:Y123" si="298">IFERROR((S118-$M118)/ABS($M118),0)</f>
        <v>0</v>
      </c>
      <c r="Z118" s="70">
        <f t="shared" ref="Z118:Z123" si="299">IFERROR((S118-$M118),0-$M118)</f>
        <v>0</v>
      </c>
      <c r="AA118" s="82"/>
      <c r="AC118" s="138"/>
      <c r="AD118" s="138"/>
      <c r="AE118" s="138"/>
      <c r="AF118" s="172"/>
      <c r="AG118" s="139"/>
      <c r="AH118" s="172"/>
      <c r="AI118" s="139"/>
      <c r="AK118" s="79"/>
      <c r="AL118" s="80">
        <f t="shared" ref="AL118:AL124" si="300">IFERROR(AK118/SUMIFS(AK:AK, $H:$H, "Net Sales"),0)</f>
        <v>0</v>
      </c>
      <c r="AM118" s="79"/>
      <c r="AN118" s="80">
        <f t="shared" ref="AN118:AN124" si="301">IFERROR(AM118/SUMIFS(AM:AM, $H:$H, "Net Sales"),0)</f>
        <v>0</v>
      </c>
      <c r="AO118" s="79"/>
      <c r="AP118" s="80">
        <f t="shared" ref="AP118:AP124" si="302">IFERROR(AO118/SUMIFS(AO:AO, $H:$H, "Net Sales"),0)</f>
        <v>0</v>
      </c>
      <c r="AQ118" s="79"/>
      <c r="AR118" s="81">
        <f t="shared" ref="AR118:AR124" si="303">IFERROR(AQ118/SUMIFS(AQ:AQ, $H:$H, "Net Sales"),0)</f>
        <v>0</v>
      </c>
      <c r="AS118" s="80">
        <f t="shared" ref="AS118:AS123" si="304">IFERROR((AM118-$AK118)/ABS($AK118),0)</f>
        <v>0</v>
      </c>
      <c r="AT118" s="70">
        <f t="shared" ref="AT118:AT123" si="305">(AM118-$AK118)</f>
        <v>0</v>
      </c>
      <c r="AU118" s="80">
        <f t="shared" ref="AU118:AU123" si="306">IFERROR((AO118-$AK118)/ABS($AO118),0)</f>
        <v>0</v>
      </c>
      <c r="AV118" s="70">
        <f t="shared" ref="AV118:AV123" si="307">(AO118-$AK118)</f>
        <v>0</v>
      </c>
      <c r="AW118" s="80">
        <f t="shared" ref="AW118:AW123" si="308">IFERROR((AQ118-$AK118)/ABS($AK118),0)</f>
        <v>0</v>
      </c>
      <c r="AX118" s="70">
        <f t="shared" ref="AX118:AX123" si="309">(AQ118-$AK118)</f>
        <v>0</v>
      </c>
      <c r="AY118" s="82"/>
      <c r="BA118" s="79"/>
      <c r="BB118" s="80">
        <f t="shared" ref="BB118:BB124" si="310">IFERROR(BA118/SUMIFS(BA:BA, $H:$H, "Net Sales"),0)</f>
        <v>0</v>
      </c>
      <c r="BC118" s="79"/>
      <c r="BD118" s="80">
        <f t="shared" ref="BD118:BD124" si="311">IFERROR(BC118/SUMIFS(BC:BC, $H:$H, "Net Sales"),0)</f>
        <v>0</v>
      </c>
      <c r="BE118" s="79"/>
      <c r="BF118" s="81">
        <f t="shared" ref="BF118:BF124" si="312">IFERROR(BE118/SUMIFS(BE:BE, $H:$H, "Net Sales"),0)</f>
        <v>0</v>
      </c>
      <c r="BG118" s="80">
        <f t="shared" ref="BG118:BG123" si="313">IFERROR((BC118-$BA118)/ABS($BA118),0)</f>
        <v>0</v>
      </c>
      <c r="BH118" s="70">
        <f t="shared" ref="BH118:BH123" si="314">(BC118-$BA118)</f>
        <v>0</v>
      </c>
      <c r="BI118" s="80">
        <f t="shared" ref="BI118:BI123" si="315">IFERROR((BE118-$BA118)/ABS($BA118),0)</f>
        <v>0</v>
      </c>
      <c r="BJ118" s="70">
        <f t="shared" ref="BJ118:BJ123" si="316">(BE118-$BA118)</f>
        <v>0</v>
      </c>
      <c r="BK118" s="82"/>
    </row>
    <row r="119" spans="2:63" ht="11.95" thickBot="1" x14ac:dyDescent="0.3">
      <c r="E119" s="3"/>
      <c r="F119" s="3"/>
      <c r="G119" s="3"/>
      <c r="H119" s="253" t="s">
        <v>18</v>
      </c>
      <c r="I119" s="18"/>
      <c r="J119" s="18"/>
      <c r="K119" s="18"/>
      <c r="L119" s="78"/>
      <c r="M119" s="79">
        <v>0</v>
      </c>
      <c r="N119" s="80">
        <f t="shared" si="290"/>
        <v>0</v>
      </c>
      <c r="O119" s="79">
        <v>0</v>
      </c>
      <c r="P119" s="80">
        <f t="shared" si="291"/>
        <v>0</v>
      </c>
      <c r="Q119" s="79">
        <v>0</v>
      </c>
      <c r="R119" s="80">
        <f t="shared" si="292"/>
        <v>0</v>
      </c>
      <c r="S119" s="79">
        <v>0</v>
      </c>
      <c r="T119" s="81">
        <f t="shared" si="293"/>
        <v>0</v>
      </c>
      <c r="U119" s="80">
        <f t="shared" si="294"/>
        <v>0</v>
      </c>
      <c r="V119" s="70">
        <f t="shared" si="295"/>
        <v>0</v>
      </c>
      <c r="W119" s="80">
        <f t="shared" si="296"/>
        <v>0</v>
      </c>
      <c r="X119" s="70">
        <f t="shared" si="297"/>
        <v>0</v>
      </c>
      <c r="Y119" s="80">
        <f t="shared" si="298"/>
        <v>0</v>
      </c>
      <c r="Z119" s="70">
        <f t="shared" si="299"/>
        <v>0</v>
      </c>
      <c r="AA119" s="70"/>
      <c r="AC119" s="138">
        <v>0</v>
      </c>
      <c r="AD119" s="138">
        <v>0</v>
      </c>
      <c r="AE119" s="138">
        <v>0</v>
      </c>
      <c r="AF119" s="172">
        <f t="shared" ref="AF119" si="317">IFERROR(($AC119-AD119)/ABS(AD119),0)</f>
        <v>0</v>
      </c>
      <c r="AG119" s="139">
        <f>($AC119-AD119)</f>
        <v>0</v>
      </c>
      <c r="AH119" s="172">
        <f>IFERROR(($AC119-AE119)/ABS(AE119),0)</f>
        <v>0</v>
      </c>
      <c r="AI119" s="139">
        <f>($AC119-AE119)</f>
        <v>0</v>
      </c>
      <c r="AK119" s="79">
        <v>0</v>
      </c>
      <c r="AL119" s="80">
        <f t="shared" si="300"/>
        <v>0</v>
      </c>
      <c r="AM119" s="79">
        <v>0</v>
      </c>
      <c r="AN119" s="80">
        <f t="shared" si="301"/>
        <v>0</v>
      </c>
      <c r="AO119" s="79">
        <v>0</v>
      </c>
      <c r="AP119" s="80">
        <f t="shared" si="302"/>
        <v>0</v>
      </c>
      <c r="AQ119" s="79">
        <v>0</v>
      </c>
      <c r="AR119" s="81">
        <f t="shared" si="303"/>
        <v>0</v>
      </c>
      <c r="AS119" s="80">
        <f t="shared" si="304"/>
        <v>0</v>
      </c>
      <c r="AT119" s="70">
        <f t="shared" si="305"/>
        <v>0</v>
      </c>
      <c r="AU119" s="80">
        <f t="shared" si="306"/>
        <v>0</v>
      </c>
      <c r="AV119" s="70">
        <f t="shared" si="307"/>
        <v>0</v>
      </c>
      <c r="AW119" s="80">
        <f t="shared" si="308"/>
        <v>0</v>
      </c>
      <c r="AX119" s="70">
        <f t="shared" si="309"/>
        <v>0</v>
      </c>
      <c r="AY119" s="70"/>
      <c r="BA119" s="79">
        <v>0</v>
      </c>
      <c r="BB119" s="80">
        <f t="shared" si="310"/>
        <v>0</v>
      </c>
      <c r="BC119" s="79">
        <v>0</v>
      </c>
      <c r="BD119" s="80">
        <f t="shared" si="311"/>
        <v>0</v>
      </c>
      <c r="BE119" s="79">
        <v>0</v>
      </c>
      <c r="BF119" s="81">
        <f t="shared" si="312"/>
        <v>0</v>
      </c>
      <c r="BG119" s="80">
        <f t="shared" si="313"/>
        <v>0</v>
      </c>
      <c r="BH119" s="70">
        <f t="shared" si="314"/>
        <v>0</v>
      </c>
      <c r="BI119" s="80">
        <f t="shared" si="315"/>
        <v>0</v>
      </c>
      <c r="BJ119" s="70">
        <f t="shared" si="316"/>
        <v>0</v>
      </c>
      <c r="BK119" s="70"/>
    </row>
    <row r="120" spans="2:63" ht="11.95" outlineLevel="1" collapsed="1" thickBot="1" x14ac:dyDescent="0.3">
      <c r="E120" s="3"/>
      <c r="F120" s="3"/>
      <c r="G120" s="3"/>
      <c r="H120" s="256" t="s">
        <v>115</v>
      </c>
      <c r="I120" s="18"/>
      <c r="J120" s="18"/>
      <c r="K120" s="18"/>
      <c r="L120" s="78"/>
      <c r="M120" s="79">
        <v>0</v>
      </c>
      <c r="N120" s="80">
        <f t="shared" si="290"/>
        <v>0</v>
      </c>
      <c r="O120" s="79">
        <v>0</v>
      </c>
      <c r="P120" s="80">
        <f t="shared" si="291"/>
        <v>0</v>
      </c>
      <c r="Q120" s="79">
        <v>0</v>
      </c>
      <c r="R120" s="80">
        <f t="shared" si="292"/>
        <v>0</v>
      </c>
      <c r="S120" s="79">
        <v>0</v>
      </c>
      <c r="T120" s="81">
        <f t="shared" si="293"/>
        <v>0</v>
      </c>
      <c r="U120" s="80">
        <f t="shared" si="294"/>
        <v>0</v>
      </c>
      <c r="V120" s="70">
        <f t="shared" si="295"/>
        <v>0</v>
      </c>
      <c r="W120" s="80">
        <f t="shared" si="296"/>
        <v>0</v>
      </c>
      <c r="X120" s="70">
        <f t="shared" si="297"/>
        <v>0</v>
      </c>
      <c r="Y120" s="80">
        <f t="shared" si="298"/>
        <v>0</v>
      </c>
      <c r="Z120" s="70">
        <f t="shared" si="299"/>
        <v>0</v>
      </c>
      <c r="AA120" s="70"/>
      <c r="AC120" s="138">
        <v>0</v>
      </c>
      <c r="AD120" s="138">
        <v>0</v>
      </c>
      <c r="AE120" s="138">
        <v>0</v>
      </c>
      <c r="AF120" s="233"/>
      <c r="AG120" s="139"/>
      <c r="AH120" s="233"/>
      <c r="AI120" s="139"/>
      <c r="AK120" s="79">
        <v>0</v>
      </c>
      <c r="AL120" s="80">
        <f t="shared" si="300"/>
        <v>0</v>
      </c>
      <c r="AM120" s="79">
        <v>0</v>
      </c>
      <c r="AN120" s="80">
        <f t="shared" si="301"/>
        <v>0</v>
      </c>
      <c r="AO120" s="79">
        <v>0</v>
      </c>
      <c r="AP120" s="80">
        <f t="shared" si="302"/>
        <v>0</v>
      </c>
      <c r="AQ120" s="79">
        <v>0</v>
      </c>
      <c r="AR120" s="81">
        <f t="shared" si="303"/>
        <v>0</v>
      </c>
      <c r="AS120" s="80">
        <f t="shared" si="304"/>
        <v>0</v>
      </c>
      <c r="AT120" s="70">
        <f t="shared" si="305"/>
        <v>0</v>
      </c>
      <c r="AU120" s="80">
        <f t="shared" si="306"/>
        <v>0</v>
      </c>
      <c r="AV120" s="70">
        <f t="shared" si="307"/>
        <v>0</v>
      </c>
      <c r="AW120" s="80">
        <f t="shared" si="308"/>
        <v>0</v>
      </c>
      <c r="AX120" s="70">
        <f t="shared" si="309"/>
        <v>0</v>
      </c>
      <c r="AY120" s="70"/>
      <c r="BA120" s="79">
        <v>0</v>
      </c>
      <c r="BB120" s="80">
        <f t="shared" si="310"/>
        <v>0</v>
      </c>
      <c r="BC120" s="79">
        <v>0</v>
      </c>
      <c r="BD120" s="80">
        <f t="shared" si="311"/>
        <v>0</v>
      </c>
      <c r="BE120" s="79">
        <v>0</v>
      </c>
      <c r="BF120" s="81">
        <f t="shared" si="312"/>
        <v>0</v>
      </c>
      <c r="BG120" s="80">
        <f t="shared" si="313"/>
        <v>0</v>
      </c>
      <c r="BH120" s="70">
        <f t="shared" si="314"/>
        <v>0</v>
      </c>
      <c r="BI120" s="80">
        <f t="shared" si="315"/>
        <v>0</v>
      </c>
      <c r="BJ120" s="70">
        <f t="shared" si="316"/>
        <v>0</v>
      </c>
      <c r="BK120" s="70"/>
    </row>
    <row r="121" spans="2:63" ht="11.95" hidden="1" outlineLevel="2" thickBot="1" x14ac:dyDescent="0.3">
      <c r="B121" t="str">
        <f>IF(LEFT(H121,3)="Mul", "#hiderow", "#showrow")</f>
        <v>#hiderow</v>
      </c>
      <c r="E121" s="3"/>
      <c r="F121" s="3"/>
      <c r="G121" s="3"/>
      <c r="H121" s="255" t="s">
        <v>6</v>
      </c>
      <c r="I121" s="18"/>
      <c r="J121" s="18"/>
      <c r="K121" s="18"/>
      <c r="L121" s="78"/>
      <c r="M121" s="79"/>
      <c r="N121" s="80">
        <f t="shared" si="290"/>
        <v>0</v>
      </c>
      <c r="O121" s="79"/>
      <c r="P121" s="80">
        <f t="shared" si="291"/>
        <v>0</v>
      </c>
      <c r="Q121" s="79"/>
      <c r="R121" s="80">
        <f t="shared" si="292"/>
        <v>0</v>
      </c>
      <c r="S121" s="79"/>
      <c r="T121" s="81">
        <f t="shared" si="293"/>
        <v>0</v>
      </c>
      <c r="U121" s="80">
        <f t="shared" si="294"/>
        <v>0</v>
      </c>
      <c r="V121" s="70">
        <f t="shared" si="295"/>
        <v>0</v>
      </c>
      <c r="W121" s="80">
        <f t="shared" si="296"/>
        <v>0</v>
      </c>
      <c r="X121" s="70">
        <f t="shared" si="297"/>
        <v>0</v>
      </c>
      <c r="Y121" s="80">
        <f t="shared" si="298"/>
        <v>0</v>
      </c>
      <c r="Z121" s="70">
        <f t="shared" si="299"/>
        <v>0</v>
      </c>
      <c r="AA121" s="70"/>
      <c r="AC121" s="138"/>
      <c r="AD121" s="138"/>
      <c r="AE121" s="138"/>
      <c r="AF121" s="233"/>
      <c r="AG121" s="139"/>
      <c r="AH121" s="233"/>
      <c r="AI121" s="139"/>
      <c r="AK121" s="79"/>
      <c r="AL121" s="80">
        <f t="shared" si="300"/>
        <v>0</v>
      </c>
      <c r="AM121" s="79"/>
      <c r="AN121" s="80">
        <f t="shared" si="301"/>
        <v>0</v>
      </c>
      <c r="AO121" s="79"/>
      <c r="AP121" s="80">
        <f t="shared" si="302"/>
        <v>0</v>
      </c>
      <c r="AQ121" s="79"/>
      <c r="AR121" s="81">
        <f t="shared" si="303"/>
        <v>0</v>
      </c>
      <c r="AS121" s="80">
        <f t="shared" si="304"/>
        <v>0</v>
      </c>
      <c r="AT121" s="70">
        <f t="shared" si="305"/>
        <v>0</v>
      </c>
      <c r="AU121" s="80">
        <f t="shared" si="306"/>
        <v>0</v>
      </c>
      <c r="AV121" s="70">
        <f t="shared" si="307"/>
        <v>0</v>
      </c>
      <c r="AW121" s="80">
        <f t="shared" si="308"/>
        <v>0</v>
      </c>
      <c r="AX121" s="70">
        <f t="shared" si="309"/>
        <v>0</v>
      </c>
      <c r="AY121" s="70"/>
      <c r="BA121" s="79"/>
      <c r="BB121" s="80">
        <f t="shared" si="310"/>
        <v>0</v>
      </c>
      <c r="BC121" s="79"/>
      <c r="BD121" s="80">
        <f t="shared" si="311"/>
        <v>0</v>
      </c>
      <c r="BE121" s="79"/>
      <c r="BF121" s="81">
        <f t="shared" si="312"/>
        <v>0</v>
      </c>
      <c r="BG121" s="80">
        <f t="shared" si="313"/>
        <v>0</v>
      </c>
      <c r="BH121" s="70">
        <f t="shared" si="314"/>
        <v>0</v>
      </c>
      <c r="BI121" s="80">
        <f t="shared" si="315"/>
        <v>0</v>
      </c>
      <c r="BJ121" s="70">
        <f t="shared" si="316"/>
        <v>0</v>
      </c>
      <c r="BK121" s="70"/>
    </row>
    <row r="122" spans="2:63" ht="11.95" outlineLevel="1" collapsed="1" thickBot="1" x14ac:dyDescent="0.3">
      <c r="E122" s="3"/>
      <c r="F122" s="3"/>
      <c r="G122" s="3"/>
      <c r="H122" s="256" t="s">
        <v>116</v>
      </c>
      <c r="I122" s="18"/>
      <c r="J122" s="18"/>
      <c r="K122" s="18"/>
      <c r="L122" s="78"/>
      <c r="M122" s="79">
        <v>0</v>
      </c>
      <c r="N122" s="80">
        <f t="shared" si="290"/>
        <v>0</v>
      </c>
      <c r="O122" s="79">
        <v>0</v>
      </c>
      <c r="P122" s="80">
        <f t="shared" si="291"/>
        <v>0</v>
      </c>
      <c r="Q122" s="79">
        <v>0</v>
      </c>
      <c r="R122" s="80">
        <f t="shared" si="292"/>
        <v>0</v>
      </c>
      <c r="S122" s="79">
        <v>0</v>
      </c>
      <c r="T122" s="81">
        <f t="shared" si="293"/>
        <v>0</v>
      </c>
      <c r="U122" s="80">
        <f t="shared" si="294"/>
        <v>0</v>
      </c>
      <c r="V122" s="70">
        <f t="shared" si="295"/>
        <v>0</v>
      </c>
      <c r="W122" s="80">
        <f t="shared" si="296"/>
        <v>0</v>
      </c>
      <c r="X122" s="70">
        <f t="shared" si="297"/>
        <v>0</v>
      </c>
      <c r="Y122" s="80">
        <f t="shared" si="298"/>
        <v>0</v>
      </c>
      <c r="Z122" s="70">
        <f t="shared" si="299"/>
        <v>0</v>
      </c>
      <c r="AA122" s="70"/>
      <c r="AC122" s="138">
        <v>0</v>
      </c>
      <c r="AD122" s="138">
        <v>0</v>
      </c>
      <c r="AE122" s="138">
        <v>0</v>
      </c>
      <c r="AF122" s="233"/>
      <c r="AG122" s="139"/>
      <c r="AH122" s="233"/>
      <c r="AI122" s="139"/>
      <c r="AK122" s="79">
        <v>0</v>
      </c>
      <c r="AL122" s="80">
        <f t="shared" si="300"/>
        <v>0</v>
      </c>
      <c r="AM122" s="79">
        <v>0</v>
      </c>
      <c r="AN122" s="80">
        <f t="shared" si="301"/>
        <v>0</v>
      </c>
      <c r="AO122" s="79">
        <v>0</v>
      </c>
      <c r="AP122" s="80">
        <f t="shared" si="302"/>
        <v>0</v>
      </c>
      <c r="AQ122" s="79">
        <v>0</v>
      </c>
      <c r="AR122" s="81">
        <f t="shared" si="303"/>
        <v>0</v>
      </c>
      <c r="AS122" s="80">
        <f t="shared" si="304"/>
        <v>0</v>
      </c>
      <c r="AT122" s="70">
        <f t="shared" si="305"/>
        <v>0</v>
      </c>
      <c r="AU122" s="80">
        <f t="shared" si="306"/>
        <v>0</v>
      </c>
      <c r="AV122" s="70">
        <f t="shared" si="307"/>
        <v>0</v>
      </c>
      <c r="AW122" s="80">
        <f t="shared" si="308"/>
        <v>0</v>
      </c>
      <c r="AX122" s="70">
        <f t="shared" si="309"/>
        <v>0</v>
      </c>
      <c r="AY122" s="70"/>
      <c r="BA122" s="79">
        <v>0</v>
      </c>
      <c r="BB122" s="80">
        <f t="shared" si="310"/>
        <v>0</v>
      </c>
      <c r="BC122" s="79">
        <v>0</v>
      </c>
      <c r="BD122" s="80">
        <f t="shared" si="311"/>
        <v>0</v>
      </c>
      <c r="BE122" s="79">
        <v>0</v>
      </c>
      <c r="BF122" s="81">
        <f t="shared" si="312"/>
        <v>0</v>
      </c>
      <c r="BG122" s="80">
        <f t="shared" si="313"/>
        <v>0</v>
      </c>
      <c r="BH122" s="70">
        <f t="shared" si="314"/>
        <v>0</v>
      </c>
      <c r="BI122" s="80">
        <f t="shared" si="315"/>
        <v>0</v>
      </c>
      <c r="BJ122" s="70">
        <f t="shared" si="316"/>
        <v>0</v>
      </c>
      <c r="BK122" s="70"/>
    </row>
    <row r="123" spans="2:63" ht="11.95" hidden="1" outlineLevel="2" thickBot="1" x14ac:dyDescent="0.3">
      <c r="B123" t="str">
        <f>IF(LEFT(H123,3)="Mul", "#hiderow", "#showrow")</f>
        <v>#hiderow</v>
      </c>
      <c r="E123" s="3"/>
      <c r="F123" s="3"/>
      <c r="G123" s="3"/>
      <c r="H123" s="255" t="s">
        <v>6</v>
      </c>
      <c r="I123" s="18"/>
      <c r="J123" s="18"/>
      <c r="K123" s="18"/>
      <c r="L123" s="78"/>
      <c r="M123" s="79"/>
      <c r="N123" s="80">
        <f t="shared" si="290"/>
        <v>0</v>
      </c>
      <c r="O123" s="79"/>
      <c r="P123" s="80">
        <f t="shared" si="291"/>
        <v>0</v>
      </c>
      <c r="Q123" s="79"/>
      <c r="R123" s="80">
        <f t="shared" si="292"/>
        <v>0</v>
      </c>
      <c r="S123" s="79"/>
      <c r="T123" s="81">
        <f t="shared" si="293"/>
        <v>0</v>
      </c>
      <c r="U123" s="80">
        <f t="shared" si="294"/>
        <v>0</v>
      </c>
      <c r="V123" s="70">
        <f t="shared" si="295"/>
        <v>0</v>
      </c>
      <c r="W123" s="80">
        <f t="shared" si="296"/>
        <v>0</v>
      </c>
      <c r="X123" s="70">
        <f t="shared" si="297"/>
        <v>0</v>
      </c>
      <c r="Y123" s="80">
        <f t="shared" si="298"/>
        <v>0</v>
      </c>
      <c r="Z123" s="70">
        <f t="shared" si="299"/>
        <v>0</v>
      </c>
      <c r="AA123" s="70"/>
      <c r="AC123" s="138"/>
      <c r="AD123" s="138"/>
      <c r="AE123" s="138"/>
      <c r="AF123" s="233"/>
      <c r="AG123" s="139"/>
      <c r="AH123" s="233"/>
      <c r="AI123" s="139"/>
      <c r="AK123" s="79"/>
      <c r="AL123" s="80">
        <f t="shared" si="300"/>
        <v>0</v>
      </c>
      <c r="AM123" s="79"/>
      <c r="AN123" s="80">
        <f t="shared" si="301"/>
        <v>0</v>
      </c>
      <c r="AO123" s="79"/>
      <c r="AP123" s="80">
        <f t="shared" si="302"/>
        <v>0</v>
      </c>
      <c r="AQ123" s="79"/>
      <c r="AR123" s="81">
        <f t="shared" si="303"/>
        <v>0</v>
      </c>
      <c r="AS123" s="80">
        <f t="shared" si="304"/>
        <v>0</v>
      </c>
      <c r="AT123" s="70">
        <f t="shared" si="305"/>
        <v>0</v>
      </c>
      <c r="AU123" s="80">
        <f t="shared" si="306"/>
        <v>0</v>
      </c>
      <c r="AV123" s="70">
        <f t="shared" si="307"/>
        <v>0</v>
      </c>
      <c r="AW123" s="80">
        <f t="shared" si="308"/>
        <v>0</v>
      </c>
      <c r="AX123" s="70">
        <f t="shared" si="309"/>
        <v>0</v>
      </c>
      <c r="AY123" s="70"/>
      <c r="BA123" s="79"/>
      <c r="BB123" s="80">
        <f t="shared" si="310"/>
        <v>0</v>
      </c>
      <c r="BC123" s="79"/>
      <c r="BD123" s="80">
        <f t="shared" si="311"/>
        <v>0</v>
      </c>
      <c r="BE123" s="79"/>
      <c r="BF123" s="81">
        <f t="shared" si="312"/>
        <v>0</v>
      </c>
      <c r="BG123" s="80">
        <f t="shared" si="313"/>
        <v>0</v>
      </c>
      <c r="BH123" s="70">
        <f t="shared" si="314"/>
        <v>0</v>
      </c>
      <c r="BI123" s="80">
        <f t="shared" si="315"/>
        <v>0</v>
      </c>
      <c r="BJ123" s="70">
        <f t="shared" si="316"/>
        <v>0</v>
      </c>
      <c r="BK123" s="70"/>
    </row>
    <row r="124" spans="2:63" ht="11.95" x14ac:dyDescent="0.25">
      <c r="E124" s="19"/>
      <c r="F124" s="19"/>
      <c r="G124" s="19"/>
      <c r="H124" s="19" t="s">
        <v>82</v>
      </c>
      <c r="I124" s="85"/>
      <c r="J124" s="85"/>
      <c r="K124" s="85"/>
      <c r="L124" s="144">
        <v>-1</v>
      </c>
      <c r="M124" s="85">
        <f>SUMIFS(M119:M123,$I119:$I123,"&lt;&gt;"&amp;$I$29,$E119:$E123,"&lt;&gt;*[-]*",$F119:$F123,"&lt;&gt;*[-]*",$G119:$G123,"&lt;&gt;*[-]*",$H119:$H123,"Other Income/Expense")</f>
        <v>0</v>
      </c>
      <c r="N124" s="86"/>
      <c r="O124" s="85">
        <f>SUMIFS(O119:O123,$I119:$I123,"&lt;&gt;"&amp;$I$29,$E119:$E123,"&lt;&gt;*[-]*",$F119:$F123,"&lt;&gt;*[-]*",$G119:$G123,"&lt;&gt;*[-]*",$H119:$H123,"Other Income/Expense")</f>
        <v>0</v>
      </c>
      <c r="P124" s="86"/>
      <c r="Q124" s="85">
        <f>SUMIFS(Q119:Q123,$I119:$I123,"&lt;&gt;"&amp;$I$29,$E119:$E123,"&lt;&gt;*[-]*",$F119:$F123,"&lt;&gt;*[-]*",$G119:$G123,"&lt;&gt;*[-]*",$H119:$H123,"Other Income/Expense")</f>
        <v>0</v>
      </c>
      <c r="R124" s="86"/>
      <c r="S124" s="85">
        <f>SUMIFS(S119:S123,$I119:$I123,"&lt;&gt;"&amp;$I$29,$E119:$E123,"&lt;&gt;*[-]*",$F119:$F123,"&lt;&gt;*[-]*",$G119:$G123,"&lt;&gt;*[-]*",$H119:$H123,"Other Income/Expense")</f>
        <v>0</v>
      </c>
      <c r="T124" s="86">
        <f t="shared" si="293"/>
        <v>0</v>
      </c>
      <c r="U124" s="86">
        <f>IFERROR(($O124-M124)/ABS(M124),0)</f>
        <v>0</v>
      </c>
      <c r="V124" s="87">
        <f>IFERROR((O124-$M124), 0-$M124)</f>
        <v>0</v>
      </c>
      <c r="W124" s="86">
        <f>IFERROR((Q124-$M124)/ABS($M124),0)</f>
        <v>0</v>
      </c>
      <c r="X124" s="87">
        <f>IFERROR((Q124-$M124), 0 -$M124)</f>
        <v>0</v>
      </c>
      <c r="Y124" s="86">
        <f>IFERROR((S124-$M124)/ABS($M124),0)</f>
        <v>0</v>
      </c>
      <c r="Z124" s="87">
        <f>IFERROR((S124-$M124),0-$M124)</f>
        <v>0</v>
      </c>
      <c r="AA124" s="87"/>
      <c r="AC124" s="142">
        <f>SUMIFS(AC119:AC123,$I119:$I123,"&lt;&gt;"&amp;$I$29,$E119:$E123,"&lt;&gt;*[-]*",$F119:$F123,"&lt;&gt;*[-]*",$G119:$G123,"&lt;&gt;*[-]*",$H119:$H123,"Other Income/Expense")</f>
        <v>0</v>
      </c>
      <c r="AD124" s="142">
        <f>SUMIFS(AD119:AD123,$I119:$I123,"&lt;&gt;"&amp;$I$29,$E119:$E123,"&lt;&gt;*[-]*",$F119:$F123,"&lt;&gt;*[-]*",$G119:$G123,"&lt;&gt;*[-]*",$H119:$H123,"Other Income/Expense")</f>
        <v>0</v>
      </c>
      <c r="AE124" s="142">
        <f>SUMIFS(AE119:AE123,$I119:$I123,"&lt;&gt;"&amp;$I$29,$E119:$E123,"&lt;&gt;*[-]*",$F119:$F123,"&lt;&gt;*[-]*",$G119:$G123,"&lt;&gt;*[-]*",$H119:$H123,"Other Income/Expense")</f>
        <v>0</v>
      </c>
      <c r="AF124" s="173">
        <f t="shared" ref="AF124" si="318">IFERROR(($AC124-AD124)/ABS(AD124),0)</f>
        <v>0</v>
      </c>
      <c r="AG124" s="143">
        <f>($AC124-AD124)</f>
        <v>0</v>
      </c>
      <c r="AH124" s="173">
        <f>IFERROR(($AC124-AE124)/ABS(AE124),0)</f>
        <v>0</v>
      </c>
      <c r="AI124" s="143">
        <f>($AC124-AE124)</f>
        <v>0</v>
      </c>
      <c r="AK124" s="85">
        <f>SUMIFS(AK119:AK123,$I119:$I123,"&lt;&gt;"&amp;$I$29,$E119:$E123,"&lt;&gt;*[-]*",$F119:$F123,"&lt;&gt;*[-]*",$G119:$G123,"&lt;&gt;*[-]*",$H119:$H123,"Other Income/Expense")</f>
        <v>0</v>
      </c>
      <c r="AL124" s="86">
        <f t="shared" si="300"/>
        <v>0</v>
      </c>
      <c r="AM124" s="85">
        <f>SUMIFS(AM119:AM123,$I119:$I123,"&lt;&gt;"&amp;$I$29,$E119:$E123,"&lt;&gt;*[-]*",$F119:$F123,"&lt;&gt;*[-]*",$G119:$G123,"&lt;&gt;*[-]*",$H119:$H123,"Other Income/Expense")</f>
        <v>0</v>
      </c>
      <c r="AN124" s="86">
        <f t="shared" si="301"/>
        <v>0</v>
      </c>
      <c r="AO124" s="85">
        <f>SUMIFS(AO119:AO123,$I119:$I123,"&lt;&gt;"&amp;$I$29,$E119:$E123,"&lt;&gt;*[-]*",$F119:$F123,"&lt;&gt;*[-]*",$G119:$G123,"&lt;&gt;*[-]*",$H119:$H123,"Other Income/Expense")</f>
        <v>0</v>
      </c>
      <c r="AP124" s="86">
        <f t="shared" si="302"/>
        <v>0</v>
      </c>
      <c r="AQ124" s="85">
        <f>SUMIFS(AQ119:AQ123,$I119:$I123,"&lt;&gt;"&amp;$I$29,$E119:$E123,"&lt;&gt;*[-]*",$F119:$F123,"&lt;&gt;*[-]*",$G119:$G123,"&lt;&gt;*[-]*",$H119:$H123,"Other Income/Expense")</f>
        <v>0</v>
      </c>
      <c r="AR124" s="86">
        <f t="shared" si="303"/>
        <v>0</v>
      </c>
      <c r="AS124" s="86">
        <f>IFERROR((AM124-$AK124)/ABS($AK124),0)</f>
        <v>0</v>
      </c>
      <c r="AT124" s="87">
        <f>(AM124-$AK124)</f>
        <v>0</v>
      </c>
      <c r="AU124" s="86">
        <f>IFERROR((AO124-$AK124)/ABS($AO124),0)</f>
        <v>0</v>
      </c>
      <c r="AV124" s="87">
        <f>(AO124-$AK124)</f>
        <v>0</v>
      </c>
      <c r="AW124" s="86">
        <f>IFERROR((AQ124-$AK124)/ABS($AK124),0)</f>
        <v>0</v>
      </c>
      <c r="AX124" s="87">
        <f>(AQ124-$AK124)</f>
        <v>0</v>
      </c>
      <c r="AY124" s="87"/>
      <c r="BA124" s="85">
        <f>SUMIFS(BA119:BA123,$I119:$I123,"&lt;&gt;"&amp;$I$29,$E119:$E123,"&lt;&gt;*[-]*",$F119:$F123,"&lt;&gt;*[-]*",$G119:$G123,"&lt;&gt;*[-]*",$H119:$H123,"Other Income/Expense")</f>
        <v>0</v>
      </c>
      <c r="BB124" s="86">
        <f t="shared" si="310"/>
        <v>0</v>
      </c>
      <c r="BC124" s="85">
        <f>SUMIFS(BC119:BC123,$I119:$I123,"&lt;&gt;"&amp;$I$29,$E119:$E123,"&lt;&gt;*[-]*",$F119:$F123,"&lt;&gt;*[-]*",$G119:$G123,"&lt;&gt;*[-]*",$H119:$H123,"Other Income/Expense")</f>
        <v>0</v>
      </c>
      <c r="BD124" s="86">
        <f t="shared" si="311"/>
        <v>0</v>
      </c>
      <c r="BE124" s="85">
        <f>SUMIFS(BE119:BE123,$I119:$I123,"&lt;&gt;"&amp;$I$29,$E119:$E123,"&lt;&gt;*[-]*",$F119:$F123,"&lt;&gt;*[-]*",$G119:$G123,"&lt;&gt;*[-]*",$H119:$H123,"Other Income/Expense")</f>
        <v>0</v>
      </c>
      <c r="BF124" s="86">
        <f t="shared" si="312"/>
        <v>0</v>
      </c>
      <c r="BG124" s="86">
        <f>IFERROR((BC124-$BA124)/ABS($BA124),0)</f>
        <v>0</v>
      </c>
      <c r="BH124" s="87">
        <f>(BC124-$BA124)</f>
        <v>0</v>
      </c>
      <c r="BI124" s="86">
        <f>IFERROR((BE124-$BA124)/ABS($BA124),0)</f>
        <v>0</v>
      </c>
      <c r="BJ124" s="87">
        <f>(BE124-$BA124)</f>
        <v>0</v>
      </c>
      <c r="BK124" s="87"/>
    </row>
    <row r="125" spans="2:63" x14ac:dyDescent="0.25">
      <c r="N125" s="145"/>
      <c r="P125" s="145"/>
      <c r="R125" s="145"/>
      <c r="T125" s="145"/>
      <c r="U125" s="145"/>
      <c r="V125" s="84"/>
      <c r="W125" s="145"/>
      <c r="X125" s="84"/>
      <c r="Y125" s="145"/>
      <c r="Z125" s="84"/>
      <c r="AA125" s="84"/>
      <c r="AF125" s="169"/>
      <c r="AG125" s="140"/>
      <c r="AH125" s="169"/>
      <c r="AI125" s="140"/>
      <c r="AL125" s="145"/>
      <c r="AN125" s="145"/>
      <c r="AP125" s="145"/>
      <c r="AR125" s="145"/>
      <c r="AS125" s="145"/>
      <c r="AT125" s="84"/>
      <c r="AU125" s="145"/>
      <c r="AV125" s="84"/>
      <c r="AW125" s="145"/>
      <c r="AX125" s="84"/>
      <c r="AY125" s="84"/>
      <c r="BB125" s="145"/>
      <c r="BD125" s="145"/>
      <c r="BF125" s="145"/>
      <c r="BG125" s="145"/>
      <c r="BH125" s="84"/>
      <c r="BI125" s="145"/>
      <c r="BJ125" s="84"/>
      <c r="BK125" s="84"/>
    </row>
    <row r="126" spans="2:63" ht="12.45" thickBot="1" x14ac:dyDescent="0.3">
      <c r="E126" s="4"/>
      <c r="F126" s="4"/>
      <c r="G126" s="4"/>
      <c r="H126" s="4" t="s">
        <v>19</v>
      </c>
      <c r="I126" s="4"/>
      <c r="J126" s="5"/>
      <c r="K126" s="5"/>
      <c r="L126" s="5"/>
      <c r="M126" s="5"/>
      <c r="N126" s="152"/>
      <c r="O126" s="5"/>
      <c r="P126" s="152"/>
      <c r="Q126" s="5"/>
      <c r="R126" s="152"/>
      <c r="S126" s="5"/>
      <c r="T126" s="152"/>
      <c r="U126" s="152"/>
      <c r="V126" s="75"/>
      <c r="W126" s="152"/>
      <c r="X126" s="75"/>
      <c r="Y126" s="152"/>
      <c r="Z126" s="75"/>
      <c r="AA126" s="75"/>
      <c r="AC126" s="133"/>
      <c r="AD126" s="133"/>
      <c r="AE126" s="133"/>
      <c r="AF126" s="171"/>
      <c r="AG126" s="134"/>
      <c r="AH126" s="171"/>
      <c r="AI126" s="134"/>
      <c r="AK126" s="23"/>
      <c r="AL126" s="152"/>
      <c r="AM126" s="23"/>
      <c r="AN126" s="152"/>
      <c r="AO126" s="23"/>
      <c r="AP126" s="152"/>
      <c r="AQ126" s="5"/>
      <c r="AR126" s="152"/>
      <c r="AS126" s="152"/>
      <c r="AT126" s="75"/>
      <c r="AU126" s="152"/>
      <c r="AV126" s="75"/>
      <c r="AW126" s="152"/>
      <c r="AX126" s="75"/>
      <c r="AY126" s="75"/>
      <c r="BA126" s="5"/>
      <c r="BB126" s="152"/>
      <c r="BC126" s="5"/>
      <c r="BD126" s="152"/>
      <c r="BE126" s="5"/>
      <c r="BF126" s="152"/>
      <c r="BG126" s="152"/>
      <c r="BH126" s="75"/>
      <c r="BI126" s="152"/>
      <c r="BJ126" s="75"/>
      <c r="BK126" s="75"/>
    </row>
    <row r="127" spans="2:63" ht="11.95" hidden="1" thickBot="1" x14ac:dyDescent="0.3">
      <c r="B127" t="s">
        <v>1</v>
      </c>
      <c r="E127" s="3"/>
      <c r="F127" s="3"/>
      <c r="G127" s="3"/>
      <c r="H127" s="3" t="s">
        <v>19</v>
      </c>
      <c r="I127" s="18"/>
      <c r="J127" s="18"/>
      <c r="K127" s="18"/>
      <c r="L127" s="78"/>
      <c r="M127" s="79">
        <v>0</v>
      </c>
      <c r="N127" s="80">
        <f>IFERROR(M127/SUMIFS(M:M, $H:$H, "Net Sales"),0)</f>
        <v>0</v>
      </c>
      <c r="O127" s="79">
        <v>0</v>
      </c>
      <c r="P127" s="80">
        <f>IFERROR(O127/SUMIFS(O:O, $H:$H, "Net Sales"),0)</f>
        <v>0</v>
      </c>
      <c r="Q127" s="79">
        <v>0</v>
      </c>
      <c r="R127" s="80">
        <f>IFERROR(Q127/SUMIFS(Q:Q, $H:$H, "Net Sales"),0)</f>
        <v>0</v>
      </c>
      <c r="S127" s="79">
        <v>0</v>
      </c>
      <c r="T127" s="81">
        <f>IFERROR(S127/SUMIFS(S:S, $H:$H, "Net Sales"),0)</f>
        <v>0</v>
      </c>
      <c r="U127" s="80">
        <f t="shared" ref="U127:U128" si="319">IFERROR(($O127-M127)/ABS(M127),0)</f>
        <v>0</v>
      </c>
      <c r="V127" s="70">
        <f t="shared" ref="V127:V128" si="320">IFERROR((O127-$M127), 0-$M127)</f>
        <v>0</v>
      </c>
      <c r="W127" s="80">
        <f t="shared" ref="W127:W128" si="321">IFERROR((Q127-$M127)/ABS($M127),0)</f>
        <v>0</v>
      </c>
      <c r="X127" s="70">
        <f t="shared" ref="X127:X128" si="322">IFERROR((Q127-$M127), 0 -$M127)</f>
        <v>0</v>
      </c>
      <c r="Y127" s="80">
        <f t="shared" ref="Y127:Y128" si="323">IFERROR((S127-$M127)/ABS($M127),0)</f>
        <v>0</v>
      </c>
      <c r="Z127" s="70">
        <f t="shared" ref="Z127:Z128" si="324">IFERROR((S127-$M127),0-$M127)</f>
        <v>0</v>
      </c>
      <c r="AA127" s="70"/>
      <c r="AC127" s="138">
        <v>0</v>
      </c>
      <c r="AD127" s="138">
        <v>0</v>
      </c>
      <c r="AE127" s="138">
        <v>0</v>
      </c>
      <c r="AF127" s="172"/>
      <c r="AG127" s="139"/>
      <c r="AH127" s="172"/>
      <c r="AI127" s="139"/>
      <c r="AK127" s="79">
        <v>0</v>
      </c>
      <c r="AL127" s="80">
        <f>IFERROR(AK127/SUMIFS(AK:AK, $H:$H, "Net Sales"),0)</f>
        <v>0</v>
      </c>
      <c r="AM127" s="79">
        <v>0</v>
      </c>
      <c r="AN127" s="80">
        <f>IFERROR(AM127/SUMIFS(AM:AM, $H:$H, "Net Sales"),0)</f>
        <v>0</v>
      </c>
      <c r="AO127" s="79">
        <v>0</v>
      </c>
      <c r="AP127" s="80">
        <f>IFERROR(AO127/SUMIFS(AO:AO, $H:$H, "Net Sales"),0)</f>
        <v>0</v>
      </c>
      <c r="AQ127" s="79">
        <v>0</v>
      </c>
      <c r="AR127" s="81">
        <f>IFERROR(AQ127/SUMIFS(AQ:AQ, $H:$H, "Net Sales"),0)</f>
        <v>0</v>
      </c>
      <c r="AS127" s="80">
        <f t="shared" ref="AS127:AS128" si="325">IFERROR((AM127-$AK127)/ABS($AK127),0)</f>
        <v>0</v>
      </c>
      <c r="AT127" s="70">
        <f t="shared" ref="AT127:AT128" si="326">(AM127-$AK127)</f>
        <v>0</v>
      </c>
      <c r="AU127" s="80">
        <f t="shared" ref="AU127:AU128" si="327">IFERROR((AO127-$AK127)/ABS($AO127),0)</f>
        <v>0</v>
      </c>
      <c r="AV127" s="70">
        <f t="shared" ref="AV127:AV128" si="328">(AO127-$AK127)</f>
        <v>0</v>
      </c>
      <c r="AW127" s="80">
        <f t="shared" ref="AW127:AW128" si="329">IFERROR((AQ127-$AK127)/ABS($AK127),0)</f>
        <v>0</v>
      </c>
      <c r="AX127" s="70">
        <f t="shared" ref="AX127:AX128" si="330">(AQ127-$AK127)</f>
        <v>0</v>
      </c>
      <c r="AY127" s="70"/>
      <c r="BA127" s="79">
        <v>0</v>
      </c>
      <c r="BB127" s="80">
        <f>IFERROR(BA127/SUMIFS(BA:BA, $H:$H, "Net Sales"),0)</f>
        <v>0</v>
      </c>
      <c r="BC127" s="79">
        <v>0</v>
      </c>
      <c r="BD127" s="80">
        <f>IFERROR(BC127/SUMIFS(BC:BC, $H:$H, "Net Sales"),0)</f>
        <v>0</v>
      </c>
      <c r="BE127" s="79">
        <v>0</v>
      </c>
      <c r="BF127" s="81">
        <f>IFERROR(BE127/SUMIFS(BE:BE, $H:$H, "Net Sales"),0)</f>
        <v>0</v>
      </c>
      <c r="BG127" s="80">
        <f t="shared" ref="BG127:BG128" si="331">IFERROR((BC127-$BA127)/ABS($BA127),0)</f>
        <v>0</v>
      </c>
      <c r="BH127" s="70">
        <f t="shared" ref="BH127:BH128" si="332">(BC127-$BA127)</f>
        <v>0</v>
      </c>
      <c r="BI127" s="80">
        <f t="shared" ref="BI127:BI128" si="333">IFERROR((BE127-$BA127)/ABS($BA127),0)</f>
        <v>0</v>
      </c>
      <c r="BJ127" s="70">
        <f t="shared" ref="BJ127:BJ128" si="334">(BE127-$BA127)</f>
        <v>0</v>
      </c>
      <c r="BK127" s="70"/>
    </row>
    <row r="128" spans="2:63" ht="11.95" hidden="1" thickBot="1" x14ac:dyDescent="0.3">
      <c r="B128" t="str">
        <f>IF(LEFT(H128,3)="Mul", "#hiderow", "#showrow")</f>
        <v>#hiderow</v>
      </c>
      <c r="E128" s="3"/>
      <c r="F128" s="3"/>
      <c r="G128" s="3"/>
      <c r="H128" s="255" t="s">
        <v>6</v>
      </c>
      <c r="I128" s="18"/>
      <c r="J128" s="18"/>
      <c r="K128" s="18"/>
      <c r="L128" s="78"/>
      <c r="M128" s="79"/>
      <c r="N128" s="80">
        <f>IFERROR(M128/SUMIFS(M:M, $H:$H, "Net Sales"),0)</f>
        <v>0</v>
      </c>
      <c r="O128" s="79">
        <v>0</v>
      </c>
      <c r="P128" s="80">
        <f>IFERROR(O128/SUMIFS(O:O, $H:$H, "Net Sales"),0)</f>
        <v>0</v>
      </c>
      <c r="Q128" s="79">
        <v>0</v>
      </c>
      <c r="R128" s="80">
        <f>IFERROR(Q128/SUMIFS(Q:Q, $H:$H, "Net Sales"),0)</f>
        <v>0</v>
      </c>
      <c r="S128" s="79"/>
      <c r="T128" s="81">
        <f>IFERROR(S128/SUMIFS(S:S, $H:$H, "Net Sales"),0)</f>
        <v>0</v>
      </c>
      <c r="U128" s="80">
        <f t="shared" si="319"/>
        <v>0</v>
      </c>
      <c r="V128" s="70">
        <f t="shared" si="320"/>
        <v>0</v>
      </c>
      <c r="W128" s="80">
        <f t="shared" si="321"/>
        <v>0</v>
      </c>
      <c r="X128" s="70">
        <f t="shared" si="322"/>
        <v>0</v>
      </c>
      <c r="Y128" s="80">
        <f t="shared" si="323"/>
        <v>0</v>
      </c>
      <c r="Z128" s="70">
        <f t="shared" si="324"/>
        <v>0</v>
      </c>
      <c r="AA128" s="70"/>
      <c r="AC128" s="138"/>
      <c r="AD128" s="138"/>
      <c r="AE128" s="138"/>
      <c r="AF128" s="172">
        <f t="shared" ref="AF128:AF129" si="335">IFERROR(($AC128-AD128)/ABS(AD128),0)</f>
        <v>0</v>
      </c>
      <c r="AG128" s="139">
        <f>($AC128-AD128)</f>
        <v>0</v>
      </c>
      <c r="AH128" s="172">
        <f>IFERROR(($AC128-AE128)/ABS(AE128),0)</f>
        <v>0</v>
      </c>
      <c r="AI128" s="139">
        <f>($AC128-AE128)</f>
        <v>0</v>
      </c>
      <c r="AK128" s="79"/>
      <c r="AL128" s="80">
        <f>IFERROR(AK128/SUMIFS(AK:AK, $H:$H, "Net Sales"),0)</f>
        <v>0</v>
      </c>
      <c r="AM128" s="79"/>
      <c r="AN128" s="80">
        <f>IFERROR(AM128/SUMIFS(AM:AM, $H:$H, "Net Sales"),0)</f>
        <v>0</v>
      </c>
      <c r="AO128" s="79"/>
      <c r="AP128" s="80">
        <f>IFERROR(AO128/SUMIFS(AO:AO, $H:$H, "Net Sales"),0)</f>
        <v>0</v>
      </c>
      <c r="AQ128" s="79"/>
      <c r="AR128" s="81">
        <f>IFERROR(AQ128/SUMIFS(AQ:AQ, $H:$H, "Net Sales"),0)</f>
        <v>0</v>
      </c>
      <c r="AS128" s="80">
        <f t="shared" si="325"/>
        <v>0</v>
      </c>
      <c r="AT128" s="70">
        <f t="shared" si="326"/>
        <v>0</v>
      </c>
      <c r="AU128" s="80">
        <f t="shared" si="327"/>
        <v>0</v>
      </c>
      <c r="AV128" s="70">
        <f t="shared" si="328"/>
        <v>0</v>
      </c>
      <c r="AW128" s="80">
        <f t="shared" si="329"/>
        <v>0</v>
      </c>
      <c r="AX128" s="70">
        <f t="shared" si="330"/>
        <v>0</v>
      </c>
      <c r="AY128" s="70"/>
      <c r="BA128" s="79"/>
      <c r="BB128" s="80">
        <f>IFERROR(BA128/SUMIFS(BA:BA, $H:$H, "Net Sales"),0)</f>
        <v>0</v>
      </c>
      <c r="BC128" s="79"/>
      <c r="BD128" s="80">
        <f>IFERROR(BC128/SUMIFS(BC:BC, $H:$H, "Net Sales"),0)</f>
        <v>0</v>
      </c>
      <c r="BE128" s="79"/>
      <c r="BF128" s="81">
        <f>IFERROR(BE128/SUMIFS(BE:BE, $H:$H, "Net Sales"),0)</f>
        <v>0</v>
      </c>
      <c r="BG128" s="80">
        <f t="shared" si="331"/>
        <v>0</v>
      </c>
      <c r="BH128" s="70">
        <f t="shared" si="332"/>
        <v>0</v>
      </c>
      <c r="BI128" s="80">
        <f t="shared" si="333"/>
        <v>0</v>
      </c>
      <c r="BJ128" s="70">
        <f t="shared" si="334"/>
        <v>0</v>
      </c>
      <c r="BK128" s="70"/>
    </row>
    <row r="129" spans="2:63" ht="11.95" x14ac:dyDescent="0.25">
      <c r="E129" s="19"/>
      <c r="F129" s="19"/>
      <c r="G129" s="19"/>
      <c r="H129" s="19" t="s">
        <v>83</v>
      </c>
      <c r="I129" s="85"/>
      <c r="J129" s="85"/>
      <c r="K129" s="85"/>
      <c r="L129" s="144">
        <v>-1</v>
      </c>
      <c r="M129" s="85">
        <f>SUMIFS(M127:M128,$I127:$I128,"&lt;&gt;"&amp;$I$29,$E127:$E128,"&lt;&gt;*[-]*",$F127:$F128,"&lt;&gt;*[-]*",$G127:$G128,"&lt;&gt;*[-]*",$H127:$H128,"Income Tax Expense/Benefit")</f>
        <v>0</v>
      </c>
      <c r="N129" s="86"/>
      <c r="O129" s="85">
        <f>SUMIFS(O127:O128,$I127:$I128,"&lt;&gt;"&amp;$I$29,$E127:$E128,"&lt;&gt;*[-]*",$F127:$F128,"&lt;&gt;*[-]*",$G127:$G128,"&lt;&gt;*[-]*",$H127:$H128,"Income Tax Expense/Benefit")</f>
        <v>0</v>
      </c>
      <c r="P129" s="86"/>
      <c r="Q129" s="85">
        <f>SUMIFS(Q127:Q128,$I127:$I128,"&lt;&gt;"&amp;$I$29,$E127:$E128,"&lt;&gt;*[-]*",$F127:$F128,"&lt;&gt;*[-]*",$G127:$G128,"&lt;&gt;*[-]*",$H127:$H128,"Income Tax Expense/Benefit")</f>
        <v>0</v>
      </c>
      <c r="R129" s="86"/>
      <c r="S129" s="85">
        <f>SUMIFS(S127:S128,$I127:$I128,"&lt;&gt;"&amp;$I$29,$E127:$E128,"&lt;&gt;*[-]*",$F127:$F128,"&lt;&gt;*[-]*",$G127:$G128,"&lt;&gt;*[-]*",$H127:$H128,"Income Tax Expense/Benefit")</f>
        <v>0</v>
      </c>
      <c r="T129" s="86">
        <f>IFERROR(S129/SUMIFS(S:S, $H:$H, "Net Sales"),0)</f>
        <v>0</v>
      </c>
      <c r="U129" s="86">
        <f>IFERROR(($O129-M129)/ABS(M129),0)</f>
        <v>0</v>
      </c>
      <c r="V129" s="87">
        <f>IFERROR((O129-$M129), 0-$M129)</f>
        <v>0</v>
      </c>
      <c r="W129" s="86">
        <f>IFERROR((Q129-$M129)/ABS($M129),0)</f>
        <v>0</v>
      </c>
      <c r="X129" s="87">
        <f>IFERROR((Q129-$M129), 0 -$M129)</f>
        <v>0</v>
      </c>
      <c r="Y129" s="86">
        <f>IFERROR((S129-$M129)/ABS($M129),0)</f>
        <v>0</v>
      </c>
      <c r="Z129" s="87">
        <f>IFERROR((S129-$M129),0-$M129)</f>
        <v>0</v>
      </c>
      <c r="AA129" s="87"/>
      <c r="AC129" s="142">
        <f>SUMIFS(AC127:AC128,$I127:$I128,"&lt;&gt;"&amp;$I$29,$E127:$E128,"&lt;&gt;*[-]*",$F127:$F128,"&lt;&gt;*[-]*",$G127:$G128,"&lt;&gt;*[-]*",$H127:$H128,"Income Tax Expense/Benefit")</f>
        <v>0</v>
      </c>
      <c r="AD129" s="142">
        <f>SUMIFS(AD127:AD128,$I127:$I128,"&lt;&gt;"&amp;$I$29,$E127:$E128,"&lt;&gt;*[-]*",$F127:$F128,"&lt;&gt;*[-]*",$G127:$G128,"&lt;&gt;*[-]*",$H127:$H128,"Income Tax Expense/Benefit")</f>
        <v>0</v>
      </c>
      <c r="AE129" s="142">
        <f>SUMIFS(AE127:AE128,$I127:$I128,"&lt;&gt;"&amp;$I$29,$E127:$E128,"&lt;&gt;*[-]*",$F127:$F128,"&lt;&gt;*[-]*",$G127:$G128,"&lt;&gt;*[-]*",$H127:$H128,"Income Tax Expense/Benefit")</f>
        <v>0</v>
      </c>
      <c r="AF129" s="173">
        <f t="shared" si="335"/>
        <v>0</v>
      </c>
      <c r="AG129" s="143">
        <f>($AC129-AD129)</f>
        <v>0</v>
      </c>
      <c r="AH129" s="173">
        <f>IFERROR(($AC129-AE129)/ABS(AE129),0)</f>
        <v>0</v>
      </c>
      <c r="AI129" s="143">
        <f>($AC129-AE129)</f>
        <v>0</v>
      </c>
      <c r="AK129" s="85">
        <f>SUMIFS(AK127:AK128,$I127:$I128,"&lt;&gt;"&amp;$I$29,$E127:$E128,"&lt;&gt;*[-]*",$F127:$F128,"&lt;&gt;*[-]*",$G127:$G128,"&lt;&gt;*[-]*",$H127:$H128,"Income Tax Expense/Benefit")</f>
        <v>0</v>
      </c>
      <c r="AL129" s="86">
        <f>IFERROR(AK129/SUMIFS(AK:AK, $H:$H, "Net Sales"),0)</f>
        <v>0</v>
      </c>
      <c r="AM129" s="85">
        <f>SUMIFS(AM127:AM128,$I127:$I128,"&lt;&gt;"&amp;$I$29,$E127:$E128,"&lt;&gt;*[-]*",$F127:$F128,"&lt;&gt;*[-]*",$G127:$G128,"&lt;&gt;*[-]*",$H127:$H128,"Income Tax Expense/Benefit")</f>
        <v>0</v>
      </c>
      <c r="AN129" s="86">
        <f>IFERROR(AM129/SUMIFS(AM:AM, $H:$H, "Net Sales"),0)</f>
        <v>0</v>
      </c>
      <c r="AO129" s="85">
        <f>SUMIFS(AO127:AO128,$I127:$I128,"&lt;&gt;"&amp;$I$29,$E127:$E128,"&lt;&gt;*[-]*",$F127:$F128,"&lt;&gt;*[-]*",$G127:$G128,"&lt;&gt;*[-]*",$H127:$H128,"Income Tax Expense/Benefit")</f>
        <v>0</v>
      </c>
      <c r="AP129" s="86">
        <f>IFERROR(AO129/SUMIFS(AO:AO, $H:$H, "Net Sales"),0)</f>
        <v>0</v>
      </c>
      <c r="AQ129" s="85">
        <f>SUMIFS(AQ127:AQ128,$I127:$I128,"&lt;&gt;"&amp;$I$29,$E127:$E128,"&lt;&gt;*[-]*",$F127:$F128,"&lt;&gt;*[-]*",$G127:$G128,"&lt;&gt;*[-]*",$H127:$H128,"Income Tax Expense/Benefit")</f>
        <v>0</v>
      </c>
      <c r="AR129" s="86">
        <f>IFERROR(AQ129/SUMIFS(AQ:AQ, $H:$H, "Net Sales"),0)</f>
        <v>0</v>
      </c>
      <c r="AS129" s="86">
        <f>IFERROR((AM129-$AK129)/ABS($AK129),0)</f>
        <v>0</v>
      </c>
      <c r="AT129" s="87">
        <f>(AM129-$AK129)</f>
        <v>0</v>
      </c>
      <c r="AU129" s="86">
        <f>IFERROR((AO129-$AK129)/ABS($AO129),0)</f>
        <v>0</v>
      </c>
      <c r="AV129" s="87">
        <f>(AO129-$AK129)</f>
        <v>0</v>
      </c>
      <c r="AW129" s="86">
        <f>IFERROR((AQ129-$AK129)/ABS($AK129),0)</f>
        <v>0</v>
      </c>
      <c r="AX129" s="87">
        <f>(AQ129-$AK129)</f>
        <v>0</v>
      </c>
      <c r="AY129" s="87"/>
      <c r="BA129" s="85">
        <f>SUMIFS(BA127:BA128,$I127:$I128,"&lt;&gt;"&amp;$I$29,$E127:$E128,"&lt;&gt;*[-]*",$F127:$F128,"&lt;&gt;*[-]*",$G127:$G128,"&lt;&gt;*[-]*",$H127:$H128,"Income Tax Expense/Benefit")</f>
        <v>0</v>
      </c>
      <c r="BB129" s="86">
        <f>IFERROR(BA129/SUMIFS(BA:BA, $H:$H, "Net Sales"),0)</f>
        <v>0</v>
      </c>
      <c r="BC129" s="85">
        <f>SUMIFS(BC127:BC128,$I127:$I128,"&lt;&gt;"&amp;$I$29,$E127:$E128,"&lt;&gt;*[-]*",$F127:$F128,"&lt;&gt;*[-]*",$G127:$G128,"&lt;&gt;*[-]*",$H127:$H128,"Income Tax Expense/Benefit")</f>
        <v>0</v>
      </c>
      <c r="BD129" s="86">
        <f>IFERROR(BC129/SUMIFS(BC:BC, $H:$H, "Net Sales"),0)</f>
        <v>0</v>
      </c>
      <c r="BE129" s="85">
        <f>SUMIFS(BE127:BE128,$I127:$I128,"&lt;&gt;"&amp;$I$29,$E127:$E128,"&lt;&gt;*[-]*",$F127:$F128,"&lt;&gt;*[-]*",$G127:$G128,"&lt;&gt;*[-]*",$H127:$H128,"Income Tax Expense/Benefit")</f>
        <v>0</v>
      </c>
      <c r="BF129" s="86">
        <f>IFERROR(BE129/SUMIFS(BE:BE, $H:$H, "Net Sales"),0)</f>
        <v>0</v>
      </c>
      <c r="BG129" s="86">
        <f>IFERROR((BC129-$BA129)/ABS($BA129),0)</f>
        <v>0</v>
      </c>
      <c r="BH129" s="87">
        <f>(BC129-$BA129)</f>
        <v>0</v>
      </c>
      <c r="BI129" s="86">
        <f>IFERROR((BE129-$BA129)/ABS($BA129),0)</f>
        <v>0</v>
      </c>
      <c r="BJ129" s="87">
        <f>(BE129-$BA129)</f>
        <v>0</v>
      </c>
      <c r="BK129" s="87"/>
    </row>
    <row r="130" spans="2:63" x14ac:dyDescent="0.25">
      <c r="N130" s="145"/>
      <c r="P130" s="145"/>
      <c r="R130" s="145"/>
      <c r="T130" s="145"/>
      <c r="U130" s="145"/>
      <c r="V130" s="84"/>
      <c r="W130" s="145"/>
      <c r="X130" s="84"/>
      <c r="Y130" s="145"/>
      <c r="Z130" s="84"/>
      <c r="AA130" s="84"/>
      <c r="AF130" s="169"/>
      <c r="AG130" s="140"/>
      <c r="AH130" s="169"/>
      <c r="AI130" s="140"/>
      <c r="AL130" s="145"/>
      <c r="AN130" s="145"/>
      <c r="AP130" s="145"/>
      <c r="AR130" s="145"/>
      <c r="AS130" s="145"/>
      <c r="AT130" s="84"/>
      <c r="AU130" s="145"/>
      <c r="AV130" s="84"/>
      <c r="AW130" s="145"/>
      <c r="AX130" s="84"/>
      <c r="AY130" s="84"/>
      <c r="BB130" s="145"/>
      <c r="BD130" s="145"/>
      <c r="BF130" s="145"/>
      <c r="BG130" s="145"/>
      <c r="BH130" s="84"/>
      <c r="BI130" s="145"/>
      <c r="BJ130" s="84"/>
      <c r="BK130" s="84"/>
    </row>
    <row r="131" spans="2:63" ht="12.45" thickBot="1" x14ac:dyDescent="0.3">
      <c r="E131" s="4"/>
      <c r="F131" s="4"/>
      <c r="G131" s="4"/>
      <c r="H131" s="4" t="s">
        <v>28</v>
      </c>
      <c r="I131" s="4"/>
      <c r="J131" s="5"/>
      <c r="K131" s="5"/>
      <c r="L131" s="5"/>
      <c r="M131" s="5"/>
      <c r="N131" s="152"/>
      <c r="O131" s="5"/>
      <c r="P131" s="152"/>
      <c r="Q131" s="5"/>
      <c r="R131" s="152"/>
      <c r="S131" s="5"/>
      <c r="T131" s="152"/>
      <c r="U131" s="152"/>
      <c r="V131" s="75"/>
      <c r="W131" s="152"/>
      <c r="X131" s="75"/>
      <c r="Y131" s="152"/>
      <c r="Z131" s="75"/>
      <c r="AA131" s="75"/>
      <c r="AC131" s="133"/>
      <c r="AD131" s="133"/>
      <c r="AE131" s="133"/>
      <c r="AF131" s="171"/>
      <c r="AG131" s="134"/>
      <c r="AH131" s="171"/>
      <c r="AI131" s="134"/>
      <c r="AK131" s="5"/>
      <c r="AL131" s="152"/>
      <c r="AM131" s="5"/>
      <c r="AN131" s="152"/>
      <c r="AO131" s="5"/>
      <c r="AP131" s="152"/>
      <c r="AQ131" s="5"/>
      <c r="AR131" s="152"/>
      <c r="AS131" s="152"/>
      <c r="AT131" s="75"/>
      <c r="AU131" s="152"/>
      <c r="AV131" s="75"/>
      <c r="AW131" s="152"/>
      <c r="AX131" s="75"/>
      <c r="AY131" s="75"/>
      <c r="BA131" s="5"/>
      <c r="BB131" s="152"/>
      <c r="BC131" s="5"/>
      <c r="BD131" s="152"/>
      <c r="BE131" s="5"/>
      <c r="BF131" s="152"/>
      <c r="BG131" s="152"/>
      <c r="BH131" s="75"/>
      <c r="BI131" s="152"/>
      <c r="BJ131" s="75"/>
      <c r="BK131" s="75"/>
    </row>
    <row r="132" spans="2:63" ht="11.95" hidden="1" thickBot="1" x14ac:dyDescent="0.3">
      <c r="B132" t="s">
        <v>1</v>
      </c>
      <c r="E132" s="3"/>
      <c r="F132" s="3"/>
      <c r="G132" s="3"/>
      <c r="H132" s="3" t="s">
        <v>28</v>
      </c>
      <c r="I132" s="18"/>
      <c r="J132" s="18"/>
      <c r="K132" s="18"/>
      <c r="L132" s="78"/>
      <c r="M132" s="79">
        <v>0</v>
      </c>
      <c r="N132" s="80">
        <f>IFERROR(M132/SUMIFS(M:M, $H:$H, "Net Sales"),0)</f>
        <v>0</v>
      </c>
      <c r="O132" s="79">
        <v>0</v>
      </c>
      <c r="P132" s="80">
        <f>IFERROR(O132/SUMIFS(O:O, $H:$H, "Net Sales"),0)</f>
        <v>0</v>
      </c>
      <c r="Q132" s="79">
        <v>0</v>
      </c>
      <c r="R132" s="80">
        <f>IFERROR(Q132/SUMIFS(Q:Q, $H:$H, "Net Sales"),0)</f>
        <v>0</v>
      </c>
      <c r="S132" s="79">
        <v>0</v>
      </c>
      <c r="T132" s="81">
        <f>IFERROR(S132/SUMIFS(S:S, $H:$H, "Net Sales"),0)</f>
        <v>0</v>
      </c>
      <c r="U132" s="80">
        <f t="shared" ref="U132:U133" si="336">IFERROR(($O132-M132)/ABS(M132),0)</f>
        <v>0</v>
      </c>
      <c r="V132" s="70">
        <f t="shared" ref="V132:V133" si="337">IFERROR((O132-$M132), 0-$M132)</f>
        <v>0</v>
      </c>
      <c r="W132" s="80">
        <f t="shared" ref="W132:W133" si="338">IFERROR((Q132-$M132)/ABS($M132),0)</f>
        <v>0</v>
      </c>
      <c r="X132" s="70">
        <f t="shared" ref="X132:X133" si="339">IFERROR((Q132-$M132), 0 -$M132)</f>
        <v>0</v>
      </c>
      <c r="Y132" s="80">
        <f t="shared" ref="Y132:Y133" si="340">IFERROR((S132-$M132)/ABS($M132),0)</f>
        <v>0</v>
      </c>
      <c r="Z132" s="70">
        <f t="shared" ref="Z132:Z133" si="341">IFERROR((S132-$M132),0-$M132)</f>
        <v>0</v>
      </c>
      <c r="AA132" s="70"/>
      <c r="AC132" s="138">
        <v>0</v>
      </c>
      <c r="AD132" s="138">
        <v>0</v>
      </c>
      <c r="AE132" s="138">
        <v>0</v>
      </c>
      <c r="AF132" s="172"/>
      <c r="AG132" s="139"/>
      <c r="AH132" s="172"/>
      <c r="AI132" s="139"/>
      <c r="AK132" s="79">
        <v>0</v>
      </c>
      <c r="AL132" s="80">
        <f>IFERROR(AK132/SUMIFS(AK:AK, $H:$H, "Net Sales"),0)</f>
        <v>0</v>
      </c>
      <c r="AM132" s="79">
        <v>0</v>
      </c>
      <c r="AN132" s="80">
        <f>IFERROR(AM132/SUMIFS(AM:AM, $H:$H, "Net Sales"),0)</f>
        <v>0</v>
      </c>
      <c r="AO132" s="79">
        <v>0</v>
      </c>
      <c r="AP132" s="80">
        <f>IFERROR(AO132/SUMIFS(AO:AO, $H:$H, "Net Sales"),0)</f>
        <v>0</v>
      </c>
      <c r="AQ132" s="79">
        <v>0</v>
      </c>
      <c r="AR132" s="81">
        <f>IFERROR(AQ132/SUMIFS(AQ:AQ, $H:$H, "Net Sales"),0)</f>
        <v>0</v>
      </c>
      <c r="AS132" s="80">
        <f t="shared" ref="AS132:AS133" si="342">IFERROR((AM132-$AK132)/ABS($AK132),0)</f>
        <v>0</v>
      </c>
      <c r="AT132" s="70">
        <f t="shared" ref="AT132:AT133" si="343">(AM132-$AK132)</f>
        <v>0</v>
      </c>
      <c r="AU132" s="80">
        <f t="shared" ref="AU132:AU133" si="344">IFERROR((AO132-$AK132)/ABS($AO132),0)</f>
        <v>0</v>
      </c>
      <c r="AV132" s="70">
        <f t="shared" ref="AV132:AV133" si="345">(AO132-$AK132)</f>
        <v>0</v>
      </c>
      <c r="AW132" s="80">
        <f t="shared" ref="AW132:AW133" si="346">IFERROR((AQ132-$AK132)/ABS($AK132),0)</f>
        <v>0</v>
      </c>
      <c r="AX132" s="70">
        <f t="shared" ref="AX132:AX133" si="347">(AQ132-$AK132)</f>
        <v>0</v>
      </c>
      <c r="AY132" s="70"/>
      <c r="BA132" s="79">
        <v>0</v>
      </c>
      <c r="BB132" s="80">
        <f>IFERROR(BA132/SUMIFS(BA:BA, $H:$H, "Net Sales"),0)</f>
        <v>0</v>
      </c>
      <c r="BC132" s="79">
        <v>0</v>
      </c>
      <c r="BD132" s="80">
        <f>IFERROR(BC132/SUMIFS(BC:BC, $H:$H, "Net Sales"),0)</f>
        <v>0</v>
      </c>
      <c r="BE132" s="79">
        <v>0</v>
      </c>
      <c r="BF132" s="81">
        <f>IFERROR(BE132/SUMIFS(BE:BE, $H:$H, "Net Sales"),0)</f>
        <v>0</v>
      </c>
      <c r="BG132" s="80">
        <f t="shared" ref="BG132:BG133" si="348">IFERROR((BC132-$BA132)/ABS($BA132),0)</f>
        <v>0</v>
      </c>
      <c r="BH132" s="70">
        <f t="shared" ref="BH132:BH133" si="349">(BC132-$BA132)</f>
        <v>0</v>
      </c>
      <c r="BI132" s="80">
        <f t="shared" ref="BI132:BI133" si="350">IFERROR((BE132-$BA132)/ABS($BA132),0)</f>
        <v>0</v>
      </c>
      <c r="BJ132" s="70">
        <f t="shared" ref="BJ132:BJ133" si="351">(BE132-$BA132)</f>
        <v>0</v>
      </c>
      <c r="BK132" s="70"/>
    </row>
    <row r="133" spans="2:63" ht="11.95" hidden="1" thickBot="1" x14ac:dyDescent="0.3">
      <c r="B133" t="str">
        <f>IF(LEFT(H133,3)="Mul", "#hiderow", "#showrow")</f>
        <v>#hiderow</v>
      </c>
      <c r="E133" s="3"/>
      <c r="F133" s="3"/>
      <c r="G133" s="3"/>
      <c r="H133" s="255" t="s">
        <v>6</v>
      </c>
      <c r="I133" s="18"/>
      <c r="J133" s="18"/>
      <c r="K133" s="18"/>
      <c r="L133" s="78"/>
      <c r="M133" s="79"/>
      <c r="N133" s="80">
        <f>IFERROR(M133/SUMIFS(M:M, $H:$H, "Net Sales"),0)</f>
        <v>0</v>
      </c>
      <c r="O133" s="79">
        <v>0</v>
      </c>
      <c r="P133" s="80">
        <f>IFERROR(O133/SUMIFS(O:O, $H:$H, "Net Sales"),0)</f>
        <v>0</v>
      </c>
      <c r="Q133" s="79">
        <v>0</v>
      </c>
      <c r="R133" s="80">
        <f>IFERROR(Q133/SUMIFS(Q:Q, $H:$H, "Net Sales"),0)</f>
        <v>0</v>
      </c>
      <c r="S133" s="79"/>
      <c r="T133" s="81">
        <f>IFERROR(S133/SUMIFS(S:S, $H:$H, "Net Sales"),0)</f>
        <v>0</v>
      </c>
      <c r="U133" s="80">
        <f t="shared" si="336"/>
        <v>0</v>
      </c>
      <c r="V133" s="70">
        <f t="shared" si="337"/>
        <v>0</v>
      </c>
      <c r="W133" s="80">
        <f t="shared" si="338"/>
        <v>0</v>
      </c>
      <c r="X133" s="70">
        <f t="shared" si="339"/>
        <v>0</v>
      </c>
      <c r="Y133" s="80">
        <f t="shared" si="340"/>
        <v>0</v>
      </c>
      <c r="Z133" s="70">
        <f t="shared" si="341"/>
        <v>0</v>
      </c>
      <c r="AA133" s="70"/>
      <c r="AC133" s="138"/>
      <c r="AD133" s="138"/>
      <c r="AE133" s="138"/>
      <c r="AF133" s="172">
        <f t="shared" ref="AF133:AF134" si="352">IFERROR(($AC133-AD133)/ABS(AD133),0)</f>
        <v>0</v>
      </c>
      <c r="AG133" s="139">
        <f>($AC133-AD133)</f>
        <v>0</v>
      </c>
      <c r="AH133" s="172">
        <f>IFERROR(($AC133-AE133)/ABS(AE133),0)</f>
        <v>0</v>
      </c>
      <c r="AI133" s="139">
        <f>($AC133-AE133)</f>
        <v>0</v>
      </c>
      <c r="AK133" s="79"/>
      <c r="AL133" s="80">
        <f>IFERROR(AK133/SUMIFS(AK:AK, $H:$H, "Net Sales"),0)</f>
        <v>0</v>
      </c>
      <c r="AM133" s="79"/>
      <c r="AN133" s="80">
        <f>IFERROR(AM133/SUMIFS(AM:AM, $H:$H, "Net Sales"),0)</f>
        <v>0</v>
      </c>
      <c r="AO133" s="79"/>
      <c r="AP133" s="80">
        <f>IFERROR(AO133/SUMIFS(AO:AO, $H:$H, "Net Sales"),0)</f>
        <v>0</v>
      </c>
      <c r="AQ133" s="79"/>
      <c r="AR133" s="81">
        <f>IFERROR(AQ133/SUMIFS(AQ:AQ, $H:$H, "Net Sales"),0)</f>
        <v>0</v>
      </c>
      <c r="AS133" s="80">
        <f t="shared" si="342"/>
        <v>0</v>
      </c>
      <c r="AT133" s="70">
        <f t="shared" si="343"/>
        <v>0</v>
      </c>
      <c r="AU133" s="80">
        <f t="shared" si="344"/>
        <v>0</v>
      </c>
      <c r="AV133" s="70">
        <f t="shared" si="345"/>
        <v>0</v>
      </c>
      <c r="AW133" s="80">
        <f t="shared" si="346"/>
        <v>0</v>
      </c>
      <c r="AX133" s="70">
        <f t="shared" si="347"/>
        <v>0</v>
      </c>
      <c r="AY133" s="70"/>
      <c r="BA133" s="79"/>
      <c r="BB133" s="80">
        <f>IFERROR(BA133/SUMIFS(BA:BA, $H:$H, "Net Sales"),0)</f>
        <v>0</v>
      </c>
      <c r="BC133" s="79"/>
      <c r="BD133" s="80">
        <f>IFERROR(BC133/SUMIFS(BC:BC, $H:$H, "Net Sales"),0)</f>
        <v>0</v>
      </c>
      <c r="BE133" s="79"/>
      <c r="BF133" s="81">
        <f>IFERROR(BE133/SUMIFS(BE:BE, $H:$H, "Net Sales"),0)</f>
        <v>0</v>
      </c>
      <c r="BG133" s="80">
        <f t="shared" si="348"/>
        <v>0</v>
      </c>
      <c r="BH133" s="70">
        <f t="shared" si="349"/>
        <v>0</v>
      </c>
      <c r="BI133" s="80">
        <f t="shared" si="350"/>
        <v>0</v>
      </c>
      <c r="BJ133" s="70">
        <f t="shared" si="351"/>
        <v>0</v>
      </c>
      <c r="BK133" s="70"/>
    </row>
    <row r="134" spans="2:63" ht="11.95" x14ac:dyDescent="0.25">
      <c r="E134" s="19"/>
      <c r="F134" s="19"/>
      <c r="G134" s="19"/>
      <c r="H134" s="19" t="s">
        <v>84</v>
      </c>
      <c r="I134" s="85"/>
      <c r="J134" s="85"/>
      <c r="K134" s="85"/>
      <c r="L134" s="144">
        <v>-1</v>
      </c>
      <c r="M134" s="85">
        <f>SUMIFS(M132:M133,$I132:$I133,"&lt;&gt;"&amp;$I$29,$E132:$E133,"&lt;&gt;*[-]*",$F132:$F133,"&lt;&gt;*[-]*",$G132:$G133,"&lt;&gt;*[-]*",$H132:$H133,"Depreciation &amp; Amortization")</f>
        <v>0</v>
      </c>
      <c r="N134" s="86"/>
      <c r="O134" s="85">
        <f>SUMIFS(O132:O133,$I132:$I133,"&lt;&gt;"&amp;$I$29,$E132:$E133,"&lt;&gt;*[-]*",$F132:$F133,"&lt;&gt;*[-]*",$G132:$G133,"&lt;&gt;*[-]*",$H132:$H133,"Depreciation &amp; Amortization")</f>
        <v>0</v>
      </c>
      <c r="P134" s="86"/>
      <c r="Q134" s="85">
        <f>SUMIFS(Q132:Q133,$I132:$I133,"&lt;&gt;"&amp;$I$29,$E132:$E133,"&lt;&gt;*[-]*",$F132:$F133,"&lt;&gt;*[-]*",$G132:$G133,"&lt;&gt;*[-]*",$H132:$H133,"Depreciation &amp; Amortization")</f>
        <v>0</v>
      </c>
      <c r="R134" s="86"/>
      <c r="S134" s="85">
        <f>SUMIFS(S132:S133,$I132:$I133,"&lt;&gt;"&amp;$I$29,$E132:$E133,"&lt;&gt;*[-]*",$F132:$F133,"&lt;&gt;*[-]*",$G132:$G133,"&lt;&gt;*[-]*",$H132:$H133,"Depreciation &amp; Amortization")</f>
        <v>0</v>
      </c>
      <c r="T134" s="86">
        <f>IFERROR(S134/SUMIFS(S:S, $H:$H, "Net Sales"),0)</f>
        <v>0</v>
      </c>
      <c r="U134" s="86">
        <f>IFERROR(($O134-M134)/ABS(M134),0)</f>
        <v>0</v>
      </c>
      <c r="V134" s="87">
        <f>IFERROR((O134-$M134), 0-$M134)</f>
        <v>0</v>
      </c>
      <c r="W134" s="86">
        <f>IFERROR((Q134-$M134)/ABS($M134),0)</f>
        <v>0</v>
      </c>
      <c r="X134" s="87">
        <f>IFERROR((Q134-$M134), 0 -$M134)</f>
        <v>0</v>
      </c>
      <c r="Y134" s="86">
        <f>IFERROR((S134-$M134)/ABS($M134),0)</f>
        <v>0</v>
      </c>
      <c r="Z134" s="87">
        <f>IFERROR((S134-$M134),0-$M134)</f>
        <v>0</v>
      </c>
      <c r="AA134" s="87"/>
      <c r="AC134" s="142">
        <f>SUMIFS(AC132:AC133,$I132:$I133,"&lt;&gt;"&amp;$I$29,$E132:$E133,"&lt;&gt;*[-]*",$F132:$F133,"&lt;&gt;*[-]*",$G132:$G133,"&lt;&gt;*[-]*",$H132:$H133,"Depreciation &amp; Amortization")</f>
        <v>0</v>
      </c>
      <c r="AD134" s="142">
        <f>SUMIFS(AD132:AD133,$I132:$I133,"&lt;&gt;"&amp;$I$29,$E132:$E133,"&lt;&gt;*[-]*",$F132:$F133,"&lt;&gt;*[-]*",$G132:$G133,"&lt;&gt;*[-]*",$H132:$H133,"Depreciation &amp; Amortization")</f>
        <v>0</v>
      </c>
      <c r="AE134" s="142">
        <f>SUMIFS(AE132:AE133,$I132:$I133,"&lt;&gt;"&amp;$I$29,$E132:$E133,"&lt;&gt;*[-]*",$F132:$F133,"&lt;&gt;*[-]*",$G132:$G133,"&lt;&gt;*[-]*",$H132:$H133,"Depreciation &amp; Amortization")</f>
        <v>0</v>
      </c>
      <c r="AF134" s="173">
        <f t="shared" si="352"/>
        <v>0</v>
      </c>
      <c r="AG134" s="143">
        <f>($AC134-AD134)</f>
        <v>0</v>
      </c>
      <c r="AH134" s="173">
        <f>IFERROR(($AC134-AE134)/ABS(AE134),0)</f>
        <v>0</v>
      </c>
      <c r="AI134" s="143">
        <f>($AC134-AE134)</f>
        <v>0</v>
      </c>
      <c r="AK134" s="85">
        <f>SUMIFS(AK132:AK133,$I132:$I133,"&lt;&gt;"&amp;$I$29,$E132:$E133,"&lt;&gt;*[-]*",$F132:$F133,"&lt;&gt;*[-]*",$G132:$G133,"&lt;&gt;*[-]*",$H132:$H133,"Depreciation &amp; Amortization")</f>
        <v>0</v>
      </c>
      <c r="AL134" s="86">
        <f>IFERROR(AK134/SUMIFS(AK:AK, $H:$H, "Net Sales"),0)</f>
        <v>0</v>
      </c>
      <c r="AM134" s="85">
        <f>SUMIFS(AM132:AM133,$I132:$I133,"&lt;&gt;"&amp;$I$29,$E132:$E133,"&lt;&gt;*[-]*",$F132:$F133,"&lt;&gt;*[-]*",$G132:$G133,"&lt;&gt;*[-]*",$H132:$H133,"Depreciation &amp; Amortization")</f>
        <v>0</v>
      </c>
      <c r="AN134" s="86">
        <f>IFERROR(AM134/SUMIFS(AM:AM, $H:$H, "Net Sales"),0)</f>
        <v>0</v>
      </c>
      <c r="AO134" s="85">
        <f>SUMIFS(AO132:AO133,$I132:$I133,"&lt;&gt;"&amp;$I$29,$E132:$E133,"&lt;&gt;*[-]*",$F132:$F133,"&lt;&gt;*[-]*",$G132:$G133,"&lt;&gt;*[-]*",$H132:$H133,"Depreciation &amp; Amortization")</f>
        <v>0</v>
      </c>
      <c r="AP134" s="86">
        <f>IFERROR(AO134/SUMIFS(AO:AO, $H:$H, "Net Sales"),0)</f>
        <v>0</v>
      </c>
      <c r="AQ134" s="85">
        <f>SUMIFS(AQ132:AQ133,$I132:$I133,"&lt;&gt;"&amp;$I$29,$E132:$E133,"&lt;&gt;*[-]*",$F132:$F133,"&lt;&gt;*[-]*",$G132:$G133,"&lt;&gt;*[-]*",$H132:$H133,"Depreciation &amp; Amortization")</f>
        <v>0</v>
      </c>
      <c r="AR134" s="86">
        <f>IFERROR(AQ134/SUMIFS(AQ:AQ, $H:$H, "Net Sales"),0)</f>
        <v>0</v>
      </c>
      <c r="AS134" s="86">
        <f>IFERROR((AM134-$AK134)/ABS($AK134),0)</f>
        <v>0</v>
      </c>
      <c r="AT134" s="87">
        <f>(AM134-$AK134)</f>
        <v>0</v>
      </c>
      <c r="AU134" s="86">
        <f>IFERROR((AO134-$AK134)/ABS($AO134),0)</f>
        <v>0</v>
      </c>
      <c r="AV134" s="87">
        <f>(AO134-$AK134)</f>
        <v>0</v>
      </c>
      <c r="AW134" s="86">
        <f>IFERROR((AQ134-$AK134)/ABS($AK134),0)</f>
        <v>0</v>
      </c>
      <c r="AX134" s="87">
        <f>(AQ134-$AK134)</f>
        <v>0</v>
      </c>
      <c r="AY134" s="87"/>
      <c r="BA134" s="85">
        <f>SUMIFS(BA132:BA133,$I132:$I133,"&lt;&gt;"&amp;$I$29,$E132:$E133,"&lt;&gt;*[-]*",$F132:$F133,"&lt;&gt;*[-]*",$G132:$G133,"&lt;&gt;*[-]*",$H132:$H133,"Depreciation &amp; Amortization")</f>
        <v>0</v>
      </c>
      <c r="BB134" s="86">
        <f>IFERROR(BA134/SUMIFS(BA:BA, $H:$H, "Net Sales"),0)</f>
        <v>0</v>
      </c>
      <c r="BC134" s="85">
        <f>SUMIFS(BC132:BC133,$I132:$I133,"&lt;&gt;"&amp;$I$29,$E132:$E133,"&lt;&gt;*[-]*",$F132:$F133,"&lt;&gt;*[-]*",$G132:$G133,"&lt;&gt;*[-]*",$H132:$H133,"Depreciation &amp; Amortization")</f>
        <v>0</v>
      </c>
      <c r="BD134" s="86">
        <f>IFERROR(BC134/SUMIFS(BC:BC, $H:$H, "Net Sales"),0)</f>
        <v>0</v>
      </c>
      <c r="BE134" s="85">
        <f>SUMIFS(BE132:BE133,$I132:$I133,"&lt;&gt;"&amp;$I$29,$E132:$E133,"&lt;&gt;*[-]*",$F132:$F133,"&lt;&gt;*[-]*",$G132:$G133,"&lt;&gt;*[-]*",$H132:$H133,"Depreciation &amp; Amortization")</f>
        <v>0</v>
      </c>
      <c r="BF134" s="86">
        <f>IFERROR(BE134/SUMIFS(BE:BE, $H:$H, "Net Sales"),0)</f>
        <v>0</v>
      </c>
      <c r="BG134" s="86">
        <f>IFERROR((BC134-$BA134)/ABS($BA134),0)</f>
        <v>0</v>
      </c>
      <c r="BH134" s="87">
        <f>(BC134-$BA134)</f>
        <v>0</v>
      </c>
      <c r="BI134" s="86">
        <f>IFERROR((BE134-$BA134)/ABS($BA134),0)</f>
        <v>0</v>
      </c>
      <c r="BJ134" s="87">
        <f>(BE134-$BA134)</f>
        <v>0</v>
      </c>
      <c r="BK134" s="87"/>
    </row>
    <row r="135" spans="2:63" x14ac:dyDescent="0.25">
      <c r="N135" s="145"/>
      <c r="P135" s="145"/>
      <c r="R135" s="145"/>
      <c r="T135" s="145"/>
      <c r="U135" s="145"/>
      <c r="V135" s="84"/>
      <c r="W135" s="145"/>
      <c r="X135" s="84"/>
      <c r="Y135" s="145"/>
      <c r="Z135" s="84"/>
      <c r="AA135" s="84"/>
      <c r="AF135" s="169"/>
      <c r="AG135" s="140"/>
      <c r="AH135" s="169"/>
      <c r="AI135" s="140"/>
      <c r="AL135" s="145"/>
      <c r="AN135" s="145"/>
      <c r="AP135" s="145"/>
      <c r="AR135" s="145"/>
      <c r="AS135" s="145"/>
      <c r="AT135" s="84"/>
      <c r="AU135" s="145"/>
      <c r="AV135" s="84"/>
      <c r="AW135" s="145"/>
      <c r="AX135" s="84"/>
      <c r="AY135" s="84"/>
      <c r="BB135" s="145"/>
      <c r="BD135" s="145"/>
      <c r="BF135" s="145"/>
      <c r="BG135" s="145"/>
      <c r="BH135" s="84"/>
      <c r="BI135" s="145"/>
      <c r="BJ135" s="84"/>
      <c r="BK135" s="84"/>
    </row>
    <row r="136" spans="2:63" ht="12.45" thickBot="1" x14ac:dyDescent="0.3">
      <c r="E136" s="4"/>
      <c r="F136" s="4"/>
      <c r="G136" s="4"/>
      <c r="H136" s="4" t="s">
        <v>29</v>
      </c>
      <c r="I136" s="4"/>
      <c r="J136" s="5"/>
      <c r="K136" s="5"/>
      <c r="L136" s="5"/>
      <c r="M136" s="5"/>
      <c r="N136" s="152"/>
      <c r="O136" s="5"/>
      <c r="P136" s="152"/>
      <c r="Q136" s="5"/>
      <c r="R136" s="152"/>
      <c r="S136" s="5"/>
      <c r="T136" s="152"/>
      <c r="U136" s="152"/>
      <c r="V136" s="75"/>
      <c r="W136" s="152"/>
      <c r="X136" s="75"/>
      <c r="Y136" s="152"/>
      <c r="Z136" s="75"/>
      <c r="AA136" s="75"/>
      <c r="AC136" s="133"/>
      <c r="AD136" s="133"/>
      <c r="AE136" s="133"/>
      <c r="AF136" s="171"/>
      <c r="AG136" s="134"/>
      <c r="AH136" s="171"/>
      <c r="AI136" s="134"/>
      <c r="AK136" s="5"/>
      <c r="AL136" s="152"/>
      <c r="AM136" s="5"/>
      <c r="AN136" s="152"/>
      <c r="AO136" s="5"/>
      <c r="AP136" s="152"/>
      <c r="AQ136" s="5"/>
      <c r="AR136" s="152"/>
      <c r="AS136" s="152"/>
      <c r="AT136" s="75"/>
      <c r="AU136" s="152"/>
      <c r="AV136" s="75"/>
      <c r="AW136" s="152"/>
      <c r="AX136" s="75"/>
      <c r="AY136" s="75"/>
      <c r="BA136" s="5"/>
      <c r="BB136" s="152"/>
      <c r="BC136" s="5"/>
      <c r="BD136" s="152"/>
      <c r="BE136" s="5"/>
      <c r="BF136" s="152"/>
      <c r="BG136" s="152"/>
      <c r="BH136" s="75"/>
      <c r="BI136" s="152"/>
      <c r="BJ136" s="75"/>
      <c r="BK136" s="75"/>
    </row>
    <row r="137" spans="2:63" ht="11.95" hidden="1" thickBot="1" x14ac:dyDescent="0.3">
      <c r="B137" t="s">
        <v>1</v>
      </c>
      <c r="E137" s="3"/>
      <c r="F137" s="3"/>
      <c r="G137" s="3"/>
      <c r="H137" s="3" t="s">
        <v>119</v>
      </c>
      <c r="I137" s="18"/>
      <c r="J137" s="18"/>
      <c r="K137" s="18"/>
      <c r="L137" s="78"/>
      <c r="M137" s="79">
        <v>0</v>
      </c>
      <c r="N137" s="80">
        <f>IFERROR(M137/SUMIFS(M:M, $H:$H, "Net Sales"),0)</f>
        <v>0</v>
      </c>
      <c r="O137" s="79">
        <v>0</v>
      </c>
      <c r="P137" s="80">
        <f>IFERROR(O137/SUMIFS(O:O, $H:$H, "Net Sales"),0)</f>
        <v>0</v>
      </c>
      <c r="Q137" s="79">
        <v>0</v>
      </c>
      <c r="R137" s="80">
        <f>IFERROR(Q137/SUMIFS(Q:Q, $H:$H, "Net Sales"),0)</f>
        <v>0</v>
      </c>
      <c r="S137" s="79">
        <v>0</v>
      </c>
      <c r="T137" s="81">
        <f>IFERROR(S137/SUMIFS(S:S, $H:$H, "Net Sales"),0)</f>
        <v>0</v>
      </c>
      <c r="U137" s="80">
        <f t="shared" ref="U137:U138" si="353">IFERROR(($O137-M137)/ABS(M137),0)</f>
        <v>0</v>
      </c>
      <c r="V137" s="70">
        <f t="shared" ref="V137:V138" si="354">IFERROR((O137-$M137), 0-$M137)</f>
        <v>0</v>
      </c>
      <c r="W137" s="80">
        <f t="shared" ref="W137:W138" si="355">IFERROR((Q137-$M137)/ABS($M137),0)</f>
        <v>0</v>
      </c>
      <c r="X137" s="70">
        <f t="shared" ref="X137:X138" si="356">IFERROR((Q137-$M137), 0 -$M137)</f>
        <v>0</v>
      </c>
      <c r="Y137" s="80">
        <f t="shared" ref="Y137:Y138" si="357">IFERROR((S137-$M137)/ABS($M137),0)</f>
        <v>0</v>
      </c>
      <c r="Z137" s="70">
        <f t="shared" ref="Z137:Z138" si="358">IFERROR((S137-$M137),0-$M137)</f>
        <v>0</v>
      </c>
      <c r="AA137" s="70"/>
      <c r="AC137" s="138">
        <v>0</v>
      </c>
      <c r="AD137" s="138">
        <v>0</v>
      </c>
      <c r="AE137" s="138">
        <v>0</v>
      </c>
      <c r="AF137" s="172"/>
      <c r="AG137" s="139"/>
      <c r="AH137" s="172"/>
      <c r="AI137" s="139"/>
      <c r="AK137" s="79">
        <v>0</v>
      </c>
      <c r="AL137" s="80">
        <f>IFERROR(AK137/SUMIFS(AK:AK, $H:$H, "Net Sales"),0)</f>
        <v>0</v>
      </c>
      <c r="AM137" s="79">
        <v>0</v>
      </c>
      <c r="AN137" s="80">
        <f>IFERROR(AM137/SUMIFS(AM:AM, $H:$H, "Net Sales"),0)</f>
        <v>0</v>
      </c>
      <c r="AO137" s="79">
        <v>0</v>
      </c>
      <c r="AP137" s="80">
        <f>IFERROR(AO137/SUMIFS(AO:AO, $H:$H, "Net Sales"),0)</f>
        <v>0</v>
      </c>
      <c r="AQ137" s="79">
        <v>0</v>
      </c>
      <c r="AR137" s="81">
        <f>IFERROR(AQ137/SUMIFS(AQ:AQ, $H:$H, "Net Sales"),0)</f>
        <v>0</v>
      </c>
      <c r="AS137" s="80">
        <f t="shared" ref="AS137:AS138" si="359">IFERROR((AM137-$AK137)/ABS($AK137),0)</f>
        <v>0</v>
      </c>
      <c r="AT137" s="70">
        <f t="shared" ref="AT137:AT138" si="360">(AM137-$AK137)</f>
        <v>0</v>
      </c>
      <c r="AU137" s="80">
        <f t="shared" ref="AU137:AU138" si="361">IFERROR((AO137-$AK137)/ABS($AO137),0)</f>
        <v>0</v>
      </c>
      <c r="AV137" s="70">
        <f t="shared" ref="AV137:AV138" si="362">(AO137-$AK137)</f>
        <v>0</v>
      </c>
      <c r="AW137" s="80">
        <f t="shared" ref="AW137:AW138" si="363">IFERROR((AQ137-$AK137)/ABS($AK137),0)</f>
        <v>0</v>
      </c>
      <c r="AX137" s="70">
        <f t="shared" ref="AX137:AX138" si="364">(AQ137-$AK137)</f>
        <v>0</v>
      </c>
      <c r="AY137" s="70"/>
      <c r="BA137" s="79">
        <v>0</v>
      </c>
      <c r="BB137" s="80">
        <f>IFERROR(BA137/SUMIFS(BA:BA, $H:$H, "Net Sales"),0)</f>
        <v>0</v>
      </c>
      <c r="BC137" s="79">
        <v>0</v>
      </c>
      <c r="BD137" s="80">
        <f>IFERROR(BC137/SUMIFS(BC:BC, $H:$H, "Net Sales"),0)</f>
        <v>0</v>
      </c>
      <c r="BE137" s="79">
        <v>0</v>
      </c>
      <c r="BF137" s="81">
        <f>IFERROR(BE137/SUMIFS(BE:BE, $H:$H, "Net Sales"),0)</f>
        <v>0</v>
      </c>
      <c r="BG137" s="80">
        <f t="shared" ref="BG137:BG138" si="365">IFERROR((BC137-$BA137)/ABS($BA137),0)</f>
        <v>0</v>
      </c>
      <c r="BH137" s="70">
        <f t="shared" ref="BH137:BH138" si="366">(BC137-$BA137)</f>
        <v>0</v>
      </c>
      <c r="BI137" s="80">
        <f t="shared" ref="BI137:BI138" si="367">IFERROR((BE137-$BA137)/ABS($BA137),0)</f>
        <v>0</v>
      </c>
      <c r="BJ137" s="70">
        <f t="shared" ref="BJ137:BJ138" si="368">(BE137-$BA137)</f>
        <v>0</v>
      </c>
      <c r="BK137" s="70"/>
    </row>
    <row r="138" spans="2:63" ht="11.95" hidden="1" thickBot="1" x14ac:dyDescent="0.3">
      <c r="B138" t="str">
        <f>IF(LEFT(H138,3)="Mul", "#hiderow", "#showrow")</f>
        <v>#hiderow</v>
      </c>
      <c r="E138" s="3"/>
      <c r="F138" s="3"/>
      <c r="G138" s="3"/>
      <c r="H138" s="255" t="s">
        <v>6</v>
      </c>
      <c r="I138" s="18"/>
      <c r="J138" s="18"/>
      <c r="K138" s="18"/>
      <c r="L138" s="78"/>
      <c r="M138" s="79"/>
      <c r="N138" s="80">
        <f>IFERROR(M138/SUMIFS(M:M, $H:$H, "Net Sales"),0)</f>
        <v>0</v>
      </c>
      <c r="O138" s="79">
        <v>0</v>
      </c>
      <c r="P138" s="80">
        <f>IFERROR(O138/SUMIFS(O:O, $H:$H, "Net Sales"),0)</f>
        <v>0</v>
      </c>
      <c r="Q138" s="79">
        <v>0</v>
      </c>
      <c r="R138" s="80">
        <f>IFERROR(Q138/SUMIFS(Q:Q, $H:$H, "Net Sales"),0)</f>
        <v>0</v>
      </c>
      <c r="S138" s="79"/>
      <c r="T138" s="81">
        <f>IFERROR(S138/SUMIFS(S:S, $H:$H, "Net Sales"),0)</f>
        <v>0</v>
      </c>
      <c r="U138" s="80">
        <f t="shared" si="353"/>
        <v>0</v>
      </c>
      <c r="V138" s="70">
        <f t="shared" si="354"/>
        <v>0</v>
      </c>
      <c r="W138" s="80">
        <f t="shared" si="355"/>
        <v>0</v>
      </c>
      <c r="X138" s="70">
        <f t="shared" si="356"/>
        <v>0</v>
      </c>
      <c r="Y138" s="80">
        <f t="shared" si="357"/>
        <v>0</v>
      </c>
      <c r="Z138" s="70">
        <f t="shared" si="358"/>
        <v>0</v>
      </c>
      <c r="AA138" s="70"/>
      <c r="AC138" s="138"/>
      <c r="AD138" s="138"/>
      <c r="AE138" s="138"/>
      <c r="AF138" s="172">
        <f t="shared" ref="AF138:AF139" si="369">IFERROR(($AC138-AD138)/ABS(AD138),0)</f>
        <v>0</v>
      </c>
      <c r="AG138" s="139">
        <f>($AC138-AD138)</f>
        <v>0</v>
      </c>
      <c r="AH138" s="172">
        <f>IFERROR(($AC138-AE138)/ABS(AE138),0)</f>
        <v>0</v>
      </c>
      <c r="AI138" s="139">
        <f>($AC138-AE138)</f>
        <v>0</v>
      </c>
      <c r="AK138" s="79"/>
      <c r="AL138" s="80">
        <f>IFERROR(AK138/SUMIFS(AK:AK, $H:$H, "Net Sales"),0)</f>
        <v>0</v>
      </c>
      <c r="AM138" s="79"/>
      <c r="AN138" s="80">
        <f>IFERROR(AM138/SUMIFS(AM:AM, $H:$H, "Net Sales"),0)</f>
        <v>0</v>
      </c>
      <c r="AO138" s="79"/>
      <c r="AP138" s="80">
        <f>IFERROR(AO138/SUMIFS(AO:AO, $H:$H, "Net Sales"),0)</f>
        <v>0</v>
      </c>
      <c r="AQ138" s="79"/>
      <c r="AR138" s="81">
        <f>IFERROR(AQ138/SUMIFS(AQ:AQ, $H:$H, "Net Sales"),0)</f>
        <v>0</v>
      </c>
      <c r="AS138" s="80">
        <f t="shared" si="359"/>
        <v>0</v>
      </c>
      <c r="AT138" s="70">
        <f t="shared" si="360"/>
        <v>0</v>
      </c>
      <c r="AU138" s="80">
        <f t="shared" si="361"/>
        <v>0</v>
      </c>
      <c r="AV138" s="70">
        <f t="shared" si="362"/>
        <v>0</v>
      </c>
      <c r="AW138" s="80">
        <f t="shared" si="363"/>
        <v>0</v>
      </c>
      <c r="AX138" s="70">
        <f t="shared" si="364"/>
        <v>0</v>
      </c>
      <c r="AY138" s="70"/>
      <c r="BA138" s="79"/>
      <c r="BB138" s="80">
        <f>IFERROR(BA138/SUMIFS(BA:BA, $H:$H, "Net Sales"),0)</f>
        <v>0</v>
      </c>
      <c r="BC138" s="79"/>
      <c r="BD138" s="80">
        <f>IFERROR(BC138/SUMIFS(BC:BC, $H:$H, "Net Sales"),0)</f>
        <v>0</v>
      </c>
      <c r="BE138" s="79"/>
      <c r="BF138" s="81">
        <f>IFERROR(BE138/SUMIFS(BE:BE, $H:$H, "Net Sales"),0)</f>
        <v>0</v>
      </c>
      <c r="BG138" s="80">
        <f t="shared" si="365"/>
        <v>0</v>
      </c>
      <c r="BH138" s="70">
        <f t="shared" si="366"/>
        <v>0</v>
      </c>
      <c r="BI138" s="80">
        <f t="shared" si="367"/>
        <v>0</v>
      </c>
      <c r="BJ138" s="70">
        <f t="shared" si="368"/>
        <v>0</v>
      </c>
      <c r="BK138" s="70"/>
    </row>
    <row r="139" spans="2:63" ht="11.95" x14ac:dyDescent="0.25">
      <c r="E139" s="19"/>
      <c r="F139" s="19"/>
      <c r="G139" s="19"/>
      <c r="H139" s="19" t="s">
        <v>85</v>
      </c>
      <c r="I139" s="85"/>
      <c r="J139" s="85"/>
      <c r="K139" s="85"/>
      <c r="L139" s="144">
        <v>-1</v>
      </c>
      <c r="M139" s="85">
        <f>SUMIFS(M137:M138,$I137:$I138,"&lt;&gt;"&amp;$I$29,$E137:$E138,"&lt;&gt;*[-]*",$F137:$F138,"&lt;&gt;*[-]*",$G137:$G138,"&lt;&gt;*[-]*",$H137:$H138,"Restructuring")</f>
        <v>0</v>
      </c>
      <c r="N139" s="86"/>
      <c r="O139" s="85">
        <f>SUMIFS(O137:O138,$I137:$I138,"&lt;&gt;"&amp;$I$29,$E137:$E138,"&lt;&gt;*[-]*",$F137:$F138,"&lt;&gt;*[-]*",$G137:$G138,"&lt;&gt;*[-]*",$H137:$H138,"Restructuring")</f>
        <v>0</v>
      </c>
      <c r="P139" s="86"/>
      <c r="Q139" s="85">
        <f>SUMIFS(Q137:Q138,$I137:$I138,"&lt;&gt;"&amp;$I$29,$E137:$E138,"&lt;&gt;*[-]*",$F137:$F138,"&lt;&gt;*[-]*",$G137:$G138,"&lt;&gt;*[-]*",$H137:$H138,"Restructuring")</f>
        <v>0</v>
      </c>
      <c r="R139" s="86"/>
      <c r="S139" s="85">
        <f>SUMIFS(S137:S138,$I137:$I138,"&lt;&gt;"&amp;$I$29,$E137:$E138,"&lt;&gt;*[-]*",$F137:$F138,"&lt;&gt;*[-]*",$G137:$G138,"&lt;&gt;*[-]*",$H137:$H138,"Restructuring")</f>
        <v>0</v>
      </c>
      <c r="T139" s="86">
        <f>IFERROR(S139/SUMIFS(S:S, $H:$H, "Net Sales"),0)</f>
        <v>0</v>
      </c>
      <c r="U139" s="86">
        <f>IFERROR(($O139-M139)/ABS(M139),0)</f>
        <v>0</v>
      </c>
      <c r="V139" s="87">
        <f>IFERROR((O139-$M139), 0-$M139)</f>
        <v>0</v>
      </c>
      <c r="W139" s="86">
        <f>IFERROR((Q139-$M139)/ABS($M139),0)</f>
        <v>0</v>
      </c>
      <c r="X139" s="87">
        <f>IFERROR((Q139-$M139), 0 -$M139)</f>
        <v>0</v>
      </c>
      <c r="Y139" s="86">
        <f>IFERROR((S139-$M139)/ABS($M139),0)</f>
        <v>0</v>
      </c>
      <c r="Z139" s="87">
        <f>IFERROR((S139-$M139),0-$M139)</f>
        <v>0</v>
      </c>
      <c r="AA139" s="87"/>
      <c r="AC139" s="142">
        <f>SUMIFS(AC138:AC138,$I138:$I138,"&lt;&gt;"&amp;$I$29,$E138:$E138,"&lt;&gt;*[-]*",$F138:$F138,"&lt;&gt;*[-]*",$G138:$G138,"&lt;&gt;*[-]*",$H138:$H138,"*Restructuring*")</f>
        <v>0</v>
      </c>
      <c r="AD139" s="142">
        <f>SUMIFS(AD138:AD138,$I138:$I138,"&lt;&gt;"&amp;$I$29,$E138:$E138,"&lt;&gt;*[-]*",$F138:$F138,"&lt;&gt;*[-]*",$G138:$G138,"&lt;&gt;*[-]*",$H138:$H138,"*Restructuring*")</f>
        <v>0</v>
      </c>
      <c r="AE139" s="142">
        <f>SUMIFS(AE138:AE138,$I138:$I138,"&lt;&gt;"&amp;$I$29,$E138:$E138,"&lt;&gt;*[-]*",$F138:$F138,"&lt;&gt;*[-]*",$G138:$G138,"&lt;&gt;*[-]*",$H138:$H138,"*Restructuring*")</f>
        <v>0</v>
      </c>
      <c r="AF139" s="173">
        <f t="shared" si="369"/>
        <v>0</v>
      </c>
      <c r="AG139" s="143">
        <f>($AC139-AD139)</f>
        <v>0</v>
      </c>
      <c r="AH139" s="173">
        <f>IFERROR(($AC139-AE139)/ABS(AE139),0)</f>
        <v>0</v>
      </c>
      <c r="AI139" s="143">
        <f>($AC139-AE139)</f>
        <v>0</v>
      </c>
      <c r="AK139" s="85">
        <f>SUMIFS(AK137:AK138,$I137:$I138,"&lt;&gt;"&amp;$I$29,$E137:$E138,"&lt;&gt;*[-]*",$F137:$F138,"&lt;&gt;*[-]*",$G137:$G138,"&lt;&gt;*[-]*",$H137:$H138,"Restructuring")</f>
        <v>0</v>
      </c>
      <c r="AL139" s="86">
        <f>IFERROR(AK139/SUMIFS(AK:AK, $H:$H, "Net Sales"),0)</f>
        <v>0</v>
      </c>
      <c r="AM139" s="85">
        <f>SUMIFS(AM137:AM138,$I137:$I138,"&lt;&gt;"&amp;$I$29,$E137:$E138,"&lt;&gt;*[-]*",$F137:$F138,"&lt;&gt;*[-]*",$G137:$G138,"&lt;&gt;*[-]*",$H137:$H138,"Restructuring")</f>
        <v>0</v>
      </c>
      <c r="AN139" s="86">
        <f>IFERROR(AM139/SUMIFS(AM:AM, $H:$H, "Net Sales"),0)</f>
        <v>0</v>
      </c>
      <c r="AO139" s="85">
        <f>SUMIFS(AO137:AO138,$I137:$I138,"&lt;&gt;"&amp;$I$29,$E137:$E138,"&lt;&gt;*[-]*",$F137:$F138,"&lt;&gt;*[-]*",$G137:$G138,"&lt;&gt;*[-]*",$H137:$H138,"Restructuring")</f>
        <v>0</v>
      </c>
      <c r="AP139" s="86">
        <f>IFERROR(AO139/SUMIFS(AO:AO, $H:$H, "Net Sales"),0)</f>
        <v>0</v>
      </c>
      <c r="AQ139" s="85">
        <f>SUMIFS(AQ137:AQ138,$I137:$I138,"&lt;&gt;"&amp;$I$29,$E137:$E138,"&lt;&gt;*[-]*",$F137:$F138,"&lt;&gt;*[-]*",$G137:$G138,"&lt;&gt;*[-]*",$H137:$H138,"Restructuring")</f>
        <v>0</v>
      </c>
      <c r="AR139" s="86">
        <f>IFERROR(AQ139/SUMIFS(AQ:AQ, $H:$H, "Net Sales"),0)</f>
        <v>0</v>
      </c>
      <c r="AS139" s="86">
        <f>IFERROR((AM139-$AK139)/ABS($AK139),0)</f>
        <v>0</v>
      </c>
      <c r="AT139" s="87">
        <f>(AM139-$AK139)</f>
        <v>0</v>
      </c>
      <c r="AU139" s="86">
        <f>IFERROR((AO139-$AK139)/ABS($AO139),0)</f>
        <v>0</v>
      </c>
      <c r="AV139" s="87">
        <f>(AO139-$AK139)</f>
        <v>0</v>
      </c>
      <c r="AW139" s="86">
        <f>IFERROR((AQ139-$AK139)/ABS($AK139),0)</f>
        <v>0</v>
      </c>
      <c r="AX139" s="87">
        <f>(AQ139-$AK139)</f>
        <v>0</v>
      </c>
      <c r="AY139" s="87"/>
      <c r="BA139" s="85">
        <f>SUMIFS(BA137:BA138,$I137:$I138,"&lt;&gt;"&amp;$I$29,$E137:$E138,"&lt;&gt;*[-]*",$F137:$F138,"&lt;&gt;*[-]*",$G137:$G138,"&lt;&gt;*[-]*",$H137:$H138,"Restructuring")</f>
        <v>0</v>
      </c>
      <c r="BB139" s="86">
        <f>IFERROR(BA139/SUMIFS(BA:BA, $H:$H, "Net Sales"),0)</f>
        <v>0</v>
      </c>
      <c r="BC139" s="85">
        <f>SUMIFS(BC137:BC138,$I137:$I138,"&lt;&gt;"&amp;$I$29,$E137:$E138,"&lt;&gt;*[-]*",$F137:$F138,"&lt;&gt;*[-]*",$G137:$G138,"&lt;&gt;*[-]*",$H137:$H138,"Restructuring")</f>
        <v>0</v>
      </c>
      <c r="BD139" s="86">
        <f>IFERROR(BC139/SUMIFS(BC:BC, $H:$H, "Net Sales"),0)</f>
        <v>0</v>
      </c>
      <c r="BE139" s="85">
        <f>SUMIFS(BE137:BE138,$I137:$I138,"&lt;&gt;"&amp;$I$29,$E137:$E138,"&lt;&gt;*[-]*",$F137:$F138,"&lt;&gt;*[-]*",$G137:$G138,"&lt;&gt;*[-]*",$H137:$H138,"Restructuring")</f>
        <v>0</v>
      </c>
      <c r="BF139" s="86">
        <f>IFERROR(BE139/SUMIFS(BE:BE, $H:$H, "Net Sales"),0)</f>
        <v>0</v>
      </c>
      <c r="BG139" s="86">
        <f>IFERROR((BC139-$BA139)/ABS($BA139),0)</f>
        <v>0</v>
      </c>
      <c r="BH139" s="87">
        <f>(BC139-$BA139)</f>
        <v>0</v>
      </c>
      <c r="BI139" s="86">
        <f>IFERROR((BE139-$BA139)/ABS($BA139),0)</f>
        <v>0</v>
      </c>
      <c r="BJ139" s="87">
        <f>(BE139-$BA139)</f>
        <v>0</v>
      </c>
      <c r="BK139" s="87"/>
    </row>
    <row r="140" spans="2:63" x14ac:dyDescent="0.25">
      <c r="N140" s="145"/>
      <c r="P140" s="145"/>
      <c r="R140" s="145"/>
      <c r="T140" s="145"/>
      <c r="U140" s="145"/>
      <c r="V140" s="84"/>
      <c r="W140" s="145"/>
      <c r="X140" s="84"/>
      <c r="Y140" s="145"/>
      <c r="Z140" s="84"/>
      <c r="AA140" s="84"/>
      <c r="AF140" s="169"/>
      <c r="AG140" s="140"/>
      <c r="AH140" s="169"/>
      <c r="AI140" s="140"/>
      <c r="AL140" s="145"/>
      <c r="AN140" s="145"/>
      <c r="AP140" s="145"/>
      <c r="AR140" s="145"/>
      <c r="AS140" s="145"/>
      <c r="AT140" s="84"/>
      <c r="AU140" s="145"/>
      <c r="AV140" s="84"/>
      <c r="AW140" s="145"/>
      <c r="AX140" s="84"/>
      <c r="AY140" s="84"/>
      <c r="BB140" s="145"/>
      <c r="BD140" s="145"/>
      <c r="BF140" s="145"/>
      <c r="BG140" s="145"/>
      <c r="BH140" s="84"/>
      <c r="BI140" s="145"/>
      <c r="BJ140" s="84"/>
      <c r="BK140" s="84"/>
    </row>
    <row r="141" spans="2:63" ht="12.45" thickBot="1" x14ac:dyDescent="0.3">
      <c r="E141" s="4"/>
      <c r="F141" s="4"/>
      <c r="G141" s="4"/>
      <c r="H141" s="4" t="s">
        <v>30</v>
      </c>
      <c r="I141" s="4"/>
      <c r="J141" s="5"/>
      <c r="K141" s="5"/>
      <c r="L141" s="5"/>
      <c r="M141" s="5"/>
      <c r="N141" s="152"/>
      <c r="O141" s="5"/>
      <c r="P141" s="152"/>
      <c r="Q141" s="5"/>
      <c r="R141" s="152"/>
      <c r="S141" s="5"/>
      <c r="T141" s="152"/>
      <c r="U141" s="152"/>
      <c r="V141" s="75"/>
      <c r="W141" s="152"/>
      <c r="X141" s="75"/>
      <c r="Y141" s="152"/>
      <c r="Z141" s="75"/>
      <c r="AA141" s="75"/>
      <c r="AC141" s="133"/>
      <c r="AD141" s="133"/>
      <c r="AE141" s="133"/>
      <c r="AF141" s="171"/>
      <c r="AG141" s="134"/>
      <c r="AH141" s="171"/>
      <c r="AI141" s="134"/>
      <c r="AK141" s="5"/>
      <c r="AL141" s="152"/>
      <c r="AM141" s="5"/>
      <c r="AN141" s="152"/>
      <c r="AO141" s="5"/>
      <c r="AP141" s="152"/>
      <c r="AQ141" s="5"/>
      <c r="AR141" s="152"/>
      <c r="AS141" s="152"/>
      <c r="AT141" s="75"/>
      <c r="AU141" s="152"/>
      <c r="AV141" s="75"/>
      <c r="AW141" s="152"/>
      <c r="AX141" s="75"/>
      <c r="AY141" s="75"/>
      <c r="BA141" s="5"/>
      <c r="BB141" s="152"/>
      <c r="BC141" s="5"/>
      <c r="BD141" s="152"/>
      <c r="BE141" s="5"/>
      <c r="BF141" s="152"/>
      <c r="BG141" s="152"/>
      <c r="BH141" s="75"/>
      <c r="BI141" s="152"/>
      <c r="BJ141" s="75"/>
      <c r="BK141" s="75"/>
    </row>
    <row r="142" spans="2:63" ht="11.95" hidden="1" thickBot="1" x14ac:dyDescent="0.3">
      <c r="B142" t="s">
        <v>1</v>
      </c>
      <c r="E142" s="3"/>
      <c r="F142" s="3"/>
      <c r="G142" s="3"/>
      <c r="H142" s="3" t="s">
        <v>30</v>
      </c>
      <c r="I142" s="18"/>
      <c r="J142" s="18"/>
      <c r="K142" s="18"/>
      <c r="L142" s="78"/>
      <c r="M142" s="79">
        <v>0</v>
      </c>
      <c r="N142" s="80">
        <f>IFERROR(M142/SUMIFS(M:M, $H:$H, "Net Sales"),0)</f>
        <v>0</v>
      </c>
      <c r="O142" s="79">
        <v>0</v>
      </c>
      <c r="P142" s="80">
        <f>IFERROR(O142/SUMIFS(O:O, $H:$H, "Net Sales"),0)</f>
        <v>0</v>
      </c>
      <c r="Q142" s="79">
        <v>0</v>
      </c>
      <c r="R142" s="80">
        <f>IFERROR(Q142/SUMIFS(Q:Q, $H:$H, "Net Sales"),0)</f>
        <v>0</v>
      </c>
      <c r="S142" s="79">
        <v>0</v>
      </c>
      <c r="T142" s="81">
        <f>IFERROR(S142/SUMIFS(S:S, $H:$H, "Net Sales"),0)</f>
        <v>0</v>
      </c>
      <c r="U142" s="80">
        <f t="shared" ref="U142:U143" si="370">IFERROR(($O142-M142)/ABS(M142),0)</f>
        <v>0</v>
      </c>
      <c r="V142" s="70">
        <f t="shared" ref="V142:V143" si="371">IFERROR((O142-$M142), 0-$M142)</f>
        <v>0</v>
      </c>
      <c r="W142" s="80">
        <f t="shared" ref="W142:W143" si="372">IFERROR((Q142-$M142)/ABS($M142),0)</f>
        <v>0</v>
      </c>
      <c r="X142" s="70">
        <f t="shared" ref="X142:X143" si="373">IFERROR((Q142-$M142), 0 -$M142)</f>
        <v>0</v>
      </c>
      <c r="Y142" s="80">
        <f t="shared" ref="Y142:Y143" si="374">IFERROR((S142-$M142)/ABS($M142),0)</f>
        <v>0</v>
      </c>
      <c r="Z142" s="70">
        <f t="shared" ref="Z142:Z143" si="375">IFERROR((S142-$M142),0-$M142)</f>
        <v>0</v>
      </c>
      <c r="AA142" s="70"/>
      <c r="AC142" s="138">
        <v>0</v>
      </c>
      <c r="AD142" s="138">
        <v>0</v>
      </c>
      <c r="AE142" s="138">
        <v>0</v>
      </c>
      <c r="AF142" s="172"/>
      <c r="AG142" s="139"/>
      <c r="AH142" s="172"/>
      <c r="AI142" s="139"/>
      <c r="AK142" s="79">
        <v>0</v>
      </c>
      <c r="AL142" s="80">
        <f>IFERROR(AK142/SUMIFS(AK:AK, $H:$H, "Net Sales"),0)</f>
        <v>0</v>
      </c>
      <c r="AM142" s="79">
        <v>0</v>
      </c>
      <c r="AN142" s="80">
        <f>IFERROR(AM142/SUMIFS(AM:AM, $H:$H, "Net Sales"),0)</f>
        <v>0</v>
      </c>
      <c r="AO142" s="79">
        <v>0</v>
      </c>
      <c r="AP142" s="80">
        <f>IFERROR(AO142/SUMIFS(AO:AO, $H:$H, "Net Sales"),0)</f>
        <v>0</v>
      </c>
      <c r="AQ142" s="79">
        <v>0</v>
      </c>
      <c r="AR142" s="81">
        <f>IFERROR(AQ142/SUMIFS(AQ:AQ, $H:$H, "Net Sales"),0)</f>
        <v>0</v>
      </c>
      <c r="AS142" s="80">
        <f t="shared" ref="AS142:AS143" si="376">IFERROR((AM142-$AK142)/ABS($AK142),0)</f>
        <v>0</v>
      </c>
      <c r="AT142" s="70">
        <f t="shared" ref="AT142:AT143" si="377">(AM142-$AK142)</f>
        <v>0</v>
      </c>
      <c r="AU142" s="80">
        <f t="shared" ref="AU142:AU143" si="378">IFERROR((AO142-$AK142)/ABS($AO142),0)</f>
        <v>0</v>
      </c>
      <c r="AV142" s="70">
        <f t="shared" ref="AV142:AV143" si="379">(AO142-$AK142)</f>
        <v>0</v>
      </c>
      <c r="AW142" s="80">
        <f t="shared" ref="AW142:AW143" si="380">IFERROR((AQ142-$AK142)/ABS($AK142),0)</f>
        <v>0</v>
      </c>
      <c r="AX142" s="70">
        <f t="shared" ref="AX142:AX143" si="381">(AQ142-$AK142)</f>
        <v>0</v>
      </c>
      <c r="AY142" s="70"/>
      <c r="BA142" s="79">
        <v>0</v>
      </c>
      <c r="BB142" s="80">
        <f>IFERROR(BA142/SUMIFS(BA:BA, $H:$H, "Net Sales"),0)</f>
        <v>0</v>
      </c>
      <c r="BC142" s="79">
        <v>0</v>
      </c>
      <c r="BD142" s="80">
        <f>IFERROR(BC142/SUMIFS(BC:BC, $H:$H, "Net Sales"),0)</f>
        <v>0</v>
      </c>
      <c r="BE142" s="79">
        <v>0</v>
      </c>
      <c r="BF142" s="81">
        <f>IFERROR(BE142/SUMIFS(BE:BE, $H:$H, "Net Sales"),0)</f>
        <v>0</v>
      </c>
      <c r="BG142" s="80">
        <f t="shared" ref="BG142:BG143" si="382">IFERROR((BC142-$BA142)/ABS($BA142),0)</f>
        <v>0</v>
      </c>
      <c r="BH142" s="70">
        <f t="shared" ref="BH142:BH143" si="383">(BC142-$BA142)</f>
        <v>0</v>
      </c>
      <c r="BI142" s="80">
        <f t="shared" ref="BI142:BI143" si="384">IFERROR((BE142-$BA142)/ABS($BA142),0)</f>
        <v>0</v>
      </c>
      <c r="BJ142" s="70">
        <f t="shared" ref="BJ142:BJ143" si="385">(BE142-$BA142)</f>
        <v>0</v>
      </c>
      <c r="BK142" s="70"/>
    </row>
    <row r="143" spans="2:63" ht="11.95" hidden="1" thickBot="1" x14ac:dyDescent="0.3">
      <c r="B143" t="str">
        <f>IF(LEFT(H143,3)="Mul", "#hiderow", "#showrow")</f>
        <v>#hiderow</v>
      </c>
      <c r="E143" s="3"/>
      <c r="F143" s="3"/>
      <c r="G143" s="3"/>
      <c r="H143" s="255" t="s">
        <v>6</v>
      </c>
      <c r="I143" s="18"/>
      <c r="J143" s="18"/>
      <c r="K143" s="18"/>
      <c r="L143" s="78"/>
      <c r="M143" s="79"/>
      <c r="N143" s="80">
        <f>IFERROR(M143/SUMIFS(M:M, $H:$H, "Net Sales"),0)</f>
        <v>0</v>
      </c>
      <c r="O143" s="79">
        <v>0</v>
      </c>
      <c r="P143" s="80">
        <f>IFERROR(O143/SUMIFS(O:O, $H:$H, "Net Sales"),0)</f>
        <v>0</v>
      </c>
      <c r="Q143" s="79">
        <v>0</v>
      </c>
      <c r="R143" s="80">
        <f>IFERROR(Q143/SUMIFS(Q:Q, $H:$H, "Net Sales"),0)</f>
        <v>0</v>
      </c>
      <c r="S143" s="79"/>
      <c r="T143" s="81">
        <f>IFERROR(S143/SUMIFS(S:S, $H:$H, "Net Sales"),0)</f>
        <v>0</v>
      </c>
      <c r="U143" s="80">
        <f t="shared" si="370"/>
        <v>0</v>
      </c>
      <c r="V143" s="70">
        <f t="shared" si="371"/>
        <v>0</v>
      </c>
      <c r="W143" s="80">
        <f t="shared" si="372"/>
        <v>0</v>
      </c>
      <c r="X143" s="70">
        <f t="shared" si="373"/>
        <v>0</v>
      </c>
      <c r="Y143" s="80">
        <f t="shared" si="374"/>
        <v>0</v>
      </c>
      <c r="Z143" s="70">
        <f t="shared" si="375"/>
        <v>0</v>
      </c>
      <c r="AA143" s="70"/>
      <c r="AC143" s="138"/>
      <c r="AD143" s="138"/>
      <c r="AE143" s="138"/>
      <c r="AF143" s="172">
        <f t="shared" ref="AF143:AF144" si="386">IFERROR(($AC143-AD143)/ABS(AD143),0)</f>
        <v>0</v>
      </c>
      <c r="AG143" s="139">
        <f>($AC143-AD143)</f>
        <v>0</v>
      </c>
      <c r="AH143" s="172">
        <f>IFERROR(($AC143-AE143)/ABS(AE143),0)</f>
        <v>0</v>
      </c>
      <c r="AI143" s="139">
        <f>($AC143-AE143)</f>
        <v>0</v>
      </c>
      <c r="AK143" s="79"/>
      <c r="AL143" s="80">
        <f>IFERROR(AK143/SUMIFS(AK:AK, $H:$H, "Net Sales"),0)</f>
        <v>0</v>
      </c>
      <c r="AM143" s="79"/>
      <c r="AN143" s="80">
        <f>IFERROR(AM143/SUMIFS(AM:AM, $H:$H, "Net Sales"),0)</f>
        <v>0</v>
      </c>
      <c r="AO143" s="79"/>
      <c r="AP143" s="80">
        <f>IFERROR(AO143/SUMIFS(AO:AO, $H:$H, "Net Sales"),0)</f>
        <v>0</v>
      </c>
      <c r="AQ143" s="79"/>
      <c r="AR143" s="81">
        <f>IFERROR(AQ143/SUMIFS(AQ:AQ, $H:$H, "Net Sales"),0)</f>
        <v>0</v>
      </c>
      <c r="AS143" s="80">
        <f t="shared" si="376"/>
        <v>0</v>
      </c>
      <c r="AT143" s="70">
        <f t="shared" si="377"/>
        <v>0</v>
      </c>
      <c r="AU143" s="80">
        <f t="shared" si="378"/>
        <v>0</v>
      </c>
      <c r="AV143" s="70">
        <f t="shared" si="379"/>
        <v>0</v>
      </c>
      <c r="AW143" s="80">
        <f t="shared" si="380"/>
        <v>0</v>
      </c>
      <c r="AX143" s="70">
        <f t="shared" si="381"/>
        <v>0</v>
      </c>
      <c r="AY143" s="70"/>
      <c r="BA143" s="79"/>
      <c r="BB143" s="80">
        <f>IFERROR(BA143/SUMIFS(BA:BA, $H:$H, "Net Sales"),0)</f>
        <v>0</v>
      </c>
      <c r="BC143" s="79"/>
      <c r="BD143" s="80">
        <f>IFERROR(BC143/SUMIFS(BC:BC, $H:$H, "Net Sales"),0)</f>
        <v>0</v>
      </c>
      <c r="BE143" s="79"/>
      <c r="BF143" s="81">
        <f>IFERROR(BE143/SUMIFS(BE:BE, $H:$H, "Net Sales"),0)</f>
        <v>0</v>
      </c>
      <c r="BG143" s="80">
        <f t="shared" si="382"/>
        <v>0</v>
      </c>
      <c r="BH143" s="70">
        <f t="shared" si="383"/>
        <v>0</v>
      </c>
      <c r="BI143" s="80">
        <f t="shared" si="384"/>
        <v>0</v>
      </c>
      <c r="BJ143" s="70">
        <f t="shared" si="385"/>
        <v>0</v>
      </c>
      <c r="BK143" s="70"/>
    </row>
    <row r="144" spans="2:63" ht="11.95" x14ac:dyDescent="0.25">
      <c r="E144" s="19"/>
      <c r="F144" s="19"/>
      <c r="G144" s="19"/>
      <c r="H144" s="19" t="s">
        <v>86</v>
      </c>
      <c r="I144" s="85"/>
      <c r="J144" s="85"/>
      <c r="K144" s="85"/>
      <c r="L144" s="144">
        <v>-1</v>
      </c>
      <c r="M144" s="85">
        <f>SUMIFS(M142:M143,$I142:$I143,"&lt;&gt;"&amp;$I$29,$E142:$E143,"&lt;&gt;*[-]*",$F142:$F143,"&lt;&gt;*[-]*",$G142:$G143,"&lt;&gt;*[-]*",$H142:$H143,"Pension")</f>
        <v>0</v>
      </c>
      <c r="N144" s="86"/>
      <c r="O144" s="85">
        <f>SUMIFS(O142:O143,$I142:$I143,"&lt;&gt;"&amp;$I$29,$E142:$E143,"&lt;&gt;*[-]*",$F142:$F143,"&lt;&gt;*[-]*",$G142:$G143,"&lt;&gt;*[-]*",$H142:$H143,"Pension")</f>
        <v>0</v>
      </c>
      <c r="P144" s="86"/>
      <c r="Q144" s="85">
        <f>SUMIFS(Q142:Q143,$I142:$I143,"&lt;&gt;"&amp;$I$29,$E142:$E143,"&lt;&gt;*[-]*",$F142:$F143,"&lt;&gt;*[-]*",$G142:$G143,"&lt;&gt;*[-]*",$H142:$H143,"Pension")</f>
        <v>0</v>
      </c>
      <c r="R144" s="86"/>
      <c r="S144" s="85">
        <f>SUMIFS(S142:S143,$I142:$I143,"&lt;&gt;"&amp;$I$29,$E142:$E143,"&lt;&gt;*[-]*",$F142:$F143,"&lt;&gt;*[-]*",$G142:$G143,"&lt;&gt;*[-]*",$H142:$H143,"Pension")</f>
        <v>0</v>
      </c>
      <c r="T144" s="86">
        <f>IFERROR(S144/SUMIFS(S:S, $H:$H, "Net Sales"),0)</f>
        <v>0</v>
      </c>
      <c r="U144" s="86">
        <f>IFERROR(($O144-M144)/ABS(M144),0)</f>
        <v>0</v>
      </c>
      <c r="V144" s="87">
        <f>IFERROR((O144-$M144), 0-$M144)</f>
        <v>0</v>
      </c>
      <c r="W144" s="86">
        <f>IFERROR((Q144-$M144)/ABS($M144),0)</f>
        <v>0</v>
      </c>
      <c r="X144" s="87">
        <f>IFERROR((Q144-$M144), 0 -$M144)</f>
        <v>0</v>
      </c>
      <c r="Y144" s="86">
        <f>IFERROR((S144-$M144)/ABS($M144),0)</f>
        <v>0</v>
      </c>
      <c r="Z144" s="87">
        <f>IFERROR((S144-$M144),0-$M144)</f>
        <v>0</v>
      </c>
      <c r="AA144" s="87"/>
      <c r="AC144" s="142">
        <f>SUMIFS(AC143:AC143,$I143:$I143,"&lt;&gt;"&amp;$I$29,$E143:$E143,"&lt;&gt;*[-]*",$F143:$F143,"&lt;&gt;*[-]*",$G143:$G143,"&lt;&gt;*[-]*",$H143:$H143,"Pension")</f>
        <v>0</v>
      </c>
      <c r="AD144" s="142">
        <f>SUMIFS(AD143:AD143,$I143:$I143,"&lt;&gt;"&amp;$I$29,$E143:$E143,"&lt;&gt;*[-]*",$F143:$F143,"&lt;&gt;*[-]*",$G143:$G143,"&lt;&gt;*[-]*",$H143:$H143,"Pension")</f>
        <v>0</v>
      </c>
      <c r="AE144" s="142">
        <f>SUMIFS(AE143:AE143,$I143:$I143,"&lt;&gt;"&amp;$I$29,$E143:$E143,"&lt;&gt;*[-]*",$F143:$F143,"&lt;&gt;*[-]*",$G143:$G143,"&lt;&gt;*[-]*",$H143:$H143,"Pension")</f>
        <v>0</v>
      </c>
      <c r="AF144" s="173">
        <f t="shared" si="386"/>
        <v>0</v>
      </c>
      <c r="AG144" s="143">
        <f>($AC144-AD144)</f>
        <v>0</v>
      </c>
      <c r="AH144" s="173">
        <f>IFERROR(($AC144-AE144)/ABS(AE144),0)</f>
        <v>0</v>
      </c>
      <c r="AI144" s="143">
        <f>($AC144-AE144)</f>
        <v>0</v>
      </c>
      <c r="AK144" s="85">
        <f>SUMIFS(AK142:AK143,$I142:$I143,"&lt;&gt;"&amp;$I$29,$E142:$E143,"&lt;&gt;*[-]*",$F142:$F143,"&lt;&gt;*[-]*",$G142:$G143,"&lt;&gt;*[-]*",$H142:$H143,"Pension")</f>
        <v>0</v>
      </c>
      <c r="AL144" s="86">
        <f>IFERROR(AK144/SUMIFS(AK:AK, $H:$H, "Net Sales"),0)</f>
        <v>0</v>
      </c>
      <c r="AM144" s="85">
        <f>SUMIFS(AM142:AM143,$I142:$I143,"&lt;&gt;"&amp;$I$29,$E142:$E143,"&lt;&gt;*[-]*",$F142:$F143,"&lt;&gt;*[-]*",$G142:$G143,"&lt;&gt;*[-]*",$H142:$H143,"Pension")</f>
        <v>0</v>
      </c>
      <c r="AN144" s="86">
        <f>IFERROR(AM144/SUMIFS(AM:AM, $H:$H, "Net Sales"),0)</f>
        <v>0</v>
      </c>
      <c r="AO144" s="85">
        <f>SUMIFS(AO142:AO143,$I142:$I143,"&lt;&gt;"&amp;$I$29,$E142:$E143,"&lt;&gt;*[-]*",$F142:$F143,"&lt;&gt;*[-]*",$G142:$G143,"&lt;&gt;*[-]*",$H142:$H143,"Pension")</f>
        <v>0</v>
      </c>
      <c r="AP144" s="86">
        <f>IFERROR(AO144/SUMIFS(AO:AO, $H:$H, "Net Sales"),0)</f>
        <v>0</v>
      </c>
      <c r="AQ144" s="85">
        <f>SUMIFS(AQ142:AQ143,$I142:$I143,"&lt;&gt;"&amp;$I$29,$E142:$E143,"&lt;&gt;*[-]*",$F142:$F143,"&lt;&gt;*[-]*",$G142:$G143,"&lt;&gt;*[-]*",$H142:$H143,"Pension")</f>
        <v>0</v>
      </c>
      <c r="AR144" s="86">
        <f>IFERROR(AQ144/SUMIFS(AQ:AQ, $H:$H, "Net Sales"),0)</f>
        <v>0</v>
      </c>
      <c r="AS144" s="86">
        <f>IFERROR((AM144-$AK144)/ABS($AK144),0)</f>
        <v>0</v>
      </c>
      <c r="AT144" s="87">
        <f>(AM144-$AK144)</f>
        <v>0</v>
      </c>
      <c r="AU144" s="86">
        <f>IFERROR((AO144-$AK144)/ABS($AO144),0)</f>
        <v>0</v>
      </c>
      <c r="AV144" s="87">
        <f>(AO144-$AK144)</f>
        <v>0</v>
      </c>
      <c r="AW144" s="86">
        <f>IFERROR((AQ144-$AK144)/ABS($AK144),0)</f>
        <v>0</v>
      </c>
      <c r="AX144" s="87">
        <f>(AQ144-$AK144)</f>
        <v>0</v>
      </c>
      <c r="AY144" s="87"/>
      <c r="BA144" s="85">
        <f>SUMIFS(BA142:BA143,$I142:$I143,"&lt;&gt;"&amp;$I$29,$E142:$E143,"&lt;&gt;*[-]*",$F142:$F143,"&lt;&gt;*[-]*",$G142:$G143,"&lt;&gt;*[-]*",$H142:$H143,"Pension")</f>
        <v>0</v>
      </c>
      <c r="BB144" s="86">
        <f>IFERROR(BA144/SUMIFS(BA:BA, $H:$H, "Net Sales"),0)</f>
        <v>0</v>
      </c>
      <c r="BC144" s="85">
        <f>SUMIFS(BC142:BC143,$I142:$I143,"&lt;&gt;"&amp;$I$29,$E142:$E143,"&lt;&gt;*[-]*",$F142:$F143,"&lt;&gt;*[-]*",$G142:$G143,"&lt;&gt;*[-]*",$H142:$H143,"Pension")</f>
        <v>0</v>
      </c>
      <c r="BD144" s="86">
        <f>IFERROR(BC144/SUMIFS(BC:BC, $H:$H, "Net Sales"),0)</f>
        <v>0</v>
      </c>
      <c r="BE144" s="85">
        <f>SUMIFS(BE142:BE143,$I142:$I143,"&lt;&gt;"&amp;$I$29,$E142:$E143,"&lt;&gt;*[-]*",$F142:$F143,"&lt;&gt;*[-]*",$G142:$G143,"&lt;&gt;*[-]*",$H142:$H143,"Pension")</f>
        <v>0</v>
      </c>
      <c r="BF144" s="86">
        <f>IFERROR(BE144/SUMIFS(BE:BE, $H:$H, "Net Sales"),0)</f>
        <v>0</v>
      </c>
      <c r="BG144" s="86">
        <f>IFERROR((BC144-$BA144)/ABS($BA144),0)</f>
        <v>0</v>
      </c>
      <c r="BH144" s="87">
        <f>(BC144-$BA144)</f>
        <v>0</v>
      </c>
      <c r="BI144" s="86">
        <f>IFERROR((BE144-$BA144)/ABS($BA144),0)</f>
        <v>0</v>
      </c>
      <c r="BJ144" s="87">
        <f>(BE144-$BA144)</f>
        <v>0</v>
      </c>
      <c r="BK144" s="87"/>
    </row>
    <row r="145" spans="1:72" x14ac:dyDescent="0.25">
      <c r="N145" s="145"/>
      <c r="P145" s="145"/>
      <c r="R145" s="145"/>
      <c r="T145" s="145"/>
      <c r="U145" s="145"/>
      <c r="V145" s="84"/>
      <c r="W145" s="145"/>
      <c r="X145" s="84"/>
      <c r="Y145" s="145"/>
      <c r="Z145" s="84"/>
      <c r="AA145" s="84"/>
      <c r="AF145" s="169"/>
      <c r="AG145" s="140"/>
      <c r="AH145" s="169"/>
      <c r="AI145" s="140"/>
      <c r="AL145" s="145"/>
      <c r="AN145" s="145"/>
      <c r="AP145" s="145"/>
      <c r="AR145" s="145"/>
      <c r="AS145" s="145"/>
      <c r="AT145" s="84"/>
      <c r="AU145" s="145"/>
      <c r="AV145" s="84"/>
      <c r="AW145" s="145"/>
      <c r="AX145" s="84"/>
      <c r="AY145" s="84"/>
      <c r="BB145" s="145"/>
      <c r="BD145" s="145"/>
      <c r="BF145" s="145"/>
      <c r="BG145" s="145"/>
      <c r="BH145" s="84"/>
      <c r="BI145" s="145"/>
      <c r="BJ145" s="84"/>
      <c r="BK145" s="84"/>
    </row>
    <row r="146" spans="1:72" ht="12.45" thickBot="1" x14ac:dyDescent="0.3">
      <c r="E146" s="4"/>
      <c r="F146" s="4"/>
      <c r="G146" s="4"/>
      <c r="H146" s="4" t="s">
        <v>45</v>
      </c>
      <c r="I146" s="4"/>
      <c r="J146" s="5"/>
      <c r="K146" s="5"/>
      <c r="L146" s="5"/>
      <c r="M146" s="5"/>
      <c r="N146" s="152"/>
      <c r="O146" s="5"/>
      <c r="P146" s="152"/>
      <c r="Q146" s="5"/>
      <c r="R146" s="152"/>
      <c r="S146" s="5"/>
      <c r="T146" s="152"/>
      <c r="U146" s="152"/>
      <c r="V146" s="75"/>
      <c r="W146" s="152"/>
      <c r="X146" s="75"/>
      <c r="Y146" s="152"/>
      <c r="Z146" s="75"/>
      <c r="AA146" s="75"/>
      <c r="AC146" s="133"/>
      <c r="AD146" s="133"/>
      <c r="AE146" s="133"/>
      <c r="AF146" s="171"/>
      <c r="AG146" s="134"/>
      <c r="AH146" s="171"/>
      <c r="AI146" s="134"/>
      <c r="AK146" s="5"/>
      <c r="AL146" s="152"/>
      <c r="AM146" s="5"/>
      <c r="AN146" s="152"/>
      <c r="AO146" s="5"/>
      <c r="AP146" s="152"/>
      <c r="AQ146" s="5"/>
      <c r="AR146" s="152"/>
      <c r="AS146" s="152"/>
      <c r="AT146" s="75"/>
      <c r="AU146" s="152"/>
      <c r="AV146" s="75"/>
      <c r="AW146" s="152"/>
      <c r="AX146" s="75"/>
      <c r="AY146" s="75"/>
      <c r="BA146" s="5"/>
      <c r="BB146" s="152"/>
      <c r="BC146" s="5"/>
      <c r="BD146" s="152"/>
      <c r="BE146" s="5"/>
      <c r="BF146" s="152"/>
      <c r="BG146" s="152"/>
      <c r="BH146" s="75"/>
      <c r="BI146" s="152"/>
      <c r="BJ146" s="75"/>
      <c r="BK146" s="75"/>
    </row>
    <row r="147" spans="1:72" ht="11.95" hidden="1" thickBot="1" x14ac:dyDescent="0.3">
      <c r="B147" t="s">
        <v>1</v>
      </c>
      <c r="E147" s="3"/>
      <c r="F147" s="3"/>
      <c r="G147" s="3"/>
      <c r="H147" s="3" t="s">
        <v>45</v>
      </c>
      <c r="I147" s="18"/>
      <c r="J147" s="18"/>
      <c r="K147" s="18"/>
      <c r="L147" s="78"/>
      <c r="M147" s="79">
        <v>0</v>
      </c>
      <c r="N147" s="80">
        <f>IFERROR(M147/SUMIFS(M:M, $H:$H, "Net Sales"),0)</f>
        <v>0</v>
      </c>
      <c r="O147" s="79">
        <v>0</v>
      </c>
      <c r="P147" s="80">
        <f>IFERROR(O147/SUMIFS(O:O, $H:$H, "Net Sales"),0)</f>
        <v>0</v>
      </c>
      <c r="Q147" s="79">
        <v>0</v>
      </c>
      <c r="R147" s="80">
        <f>IFERROR(Q147/SUMIFS(Q:Q, $H:$H, "Net Sales"),0)</f>
        <v>0</v>
      </c>
      <c r="S147" s="79">
        <v>0</v>
      </c>
      <c r="T147" s="81">
        <f>IFERROR(S147/SUMIFS(S:S, $H:$H, "Net Sales"),0)</f>
        <v>0</v>
      </c>
      <c r="U147" s="80">
        <f t="shared" ref="U147:U148" si="387">IFERROR(($O147-M147)/ABS(M147),0)</f>
        <v>0</v>
      </c>
      <c r="V147" s="70">
        <f t="shared" ref="V147:V148" si="388">IFERROR((O147-$M147), 0-$M147)</f>
        <v>0</v>
      </c>
      <c r="W147" s="80">
        <f t="shared" ref="W147:W148" si="389">IFERROR((Q147-$M147)/ABS($M147),0)</f>
        <v>0</v>
      </c>
      <c r="X147" s="70">
        <f t="shared" ref="X147:X148" si="390">IFERROR((Q147-$M147), 0 -$M147)</f>
        <v>0</v>
      </c>
      <c r="Y147" s="80">
        <f t="shared" ref="Y147:Y148" si="391">IFERROR((S147-$M147)/ABS($M147),0)</f>
        <v>0</v>
      </c>
      <c r="Z147" s="70">
        <f t="shared" ref="Z147:Z148" si="392">IFERROR((S147-$M147),0-$M147)</f>
        <v>0</v>
      </c>
      <c r="AA147" s="70"/>
      <c r="AC147" s="138">
        <v>0</v>
      </c>
      <c r="AD147" s="138">
        <v>0</v>
      </c>
      <c r="AE147" s="138">
        <v>0</v>
      </c>
      <c r="AF147" s="172"/>
      <c r="AG147" s="139"/>
      <c r="AH147" s="172"/>
      <c r="AI147" s="139"/>
      <c r="AK147" s="79">
        <v>0</v>
      </c>
      <c r="AL147" s="80">
        <f>IFERROR(AK147/SUMIFS(AK:AK, $H:$H, "Net Sales"),0)</f>
        <v>0</v>
      </c>
      <c r="AM147" s="79">
        <v>0</v>
      </c>
      <c r="AN147" s="80">
        <f>IFERROR(AM147/SUMIFS(AM:AM, $H:$H, "Net Sales"),0)</f>
        <v>0</v>
      </c>
      <c r="AO147" s="79">
        <v>0</v>
      </c>
      <c r="AP147" s="80">
        <f>IFERROR(AO147/SUMIFS(AO:AO, $H:$H, "Net Sales"),0)</f>
        <v>0</v>
      </c>
      <c r="AQ147" s="79">
        <v>0</v>
      </c>
      <c r="AR147" s="81">
        <f>IFERROR(AQ147/SUMIFS(AQ:AQ, $H:$H, "Net Sales"),0)</f>
        <v>0</v>
      </c>
      <c r="AS147" s="80">
        <f t="shared" ref="AS147:AS148" si="393">IFERROR((AM147-$AK147)/ABS($AK147),0)</f>
        <v>0</v>
      </c>
      <c r="AT147" s="70">
        <f t="shared" ref="AT147:AT148" si="394">(AM147-$AK147)</f>
        <v>0</v>
      </c>
      <c r="AU147" s="80">
        <f t="shared" ref="AU147:AU148" si="395">IFERROR((AO147-$AK147)/ABS($AO147),0)</f>
        <v>0</v>
      </c>
      <c r="AV147" s="70">
        <f t="shared" ref="AV147:AV148" si="396">(AO147-$AK147)</f>
        <v>0</v>
      </c>
      <c r="AW147" s="80">
        <f t="shared" ref="AW147:AW148" si="397">IFERROR((AQ147-$AK147)/ABS($AK147),0)</f>
        <v>0</v>
      </c>
      <c r="AX147" s="70">
        <f t="shared" ref="AX147:AX148" si="398">(AQ147-$AK147)</f>
        <v>0</v>
      </c>
      <c r="AY147" s="70"/>
      <c r="BA147" s="79">
        <v>0</v>
      </c>
      <c r="BB147" s="80">
        <f>IFERROR(BA147/SUMIFS(BA:BA, $H:$H, "Net Sales"),0)</f>
        <v>0</v>
      </c>
      <c r="BC147" s="79">
        <v>0</v>
      </c>
      <c r="BD147" s="80">
        <f>IFERROR(BC147/SUMIFS(BC:BC, $H:$H, "Net Sales"),0)</f>
        <v>0</v>
      </c>
      <c r="BE147" s="79">
        <v>0</v>
      </c>
      <c r="BF147" s="81">
        <f>IFERROR(BE147/SUMIFS(BE:BE, $H:$H, "Net Sales"),0)</f>
        <v>0</v>
      </c>
      <c r="BG147" s="80">
        <f t="shared" ref="BG147:BG148" si="399">IFERROR((BC147-$BA147)/ABS($BA147),0)</f>
        <v>0</v>
      </c>
      <c r="BH147" s="70">
        <f t="shared" ref="BH147:BH148" si="400">(BC147-$BA147)</f>
        <v>0</v>
      </c>
      <c r="BI147" s="80">
        <f t="shared" ref="BI147:BI148" si="401">IFERROR((BE147-$BA147)/ABS($BA147),0)</f>
        <v>0</v>
      </c>
      <c r="BJ147" s="70">
        <f t="shared" ref="BJ147:BJ148" si="402">(BE147-$BA147)</f>
        <v>0</v>
      </c>
      <c r="BK147" s="70"/>
    </row>
    <row r="148" spans="1:72" ht="11.95" hidden="1" thickBot="1" x14ac:dyDescent="0.3">
      <c r="B148" t="str">
        <f>IF(LEFT(H148,3)="Mul", "#hiderow", "#showrow")</f>
        <v>#hiderow</v>
      </c>
      <c r="E148" s="3"/>
      <c r="F148" s="3"/>
      <c r="G148" s="3"/>
      <c r="H148" s="255" t="s">
        <v>6</v>
      </c>
      <c r="I148" s="18"/>
      <c r="J148" s="18"/>
      <c r="K148" s="18"/>
      <c r="L148" s="78"/>
      <c r="M148" s="79"/>
      <c r="N148" s="80">
        <f>IFERROR(M148/SUMIFS(M:M, $H:$H, "Net Sales"),0)</f>
        <v>0</v>
      </c>
      <c r="O148" s="79">
        <v>0</v>
      </c>
      <c r="P148" s="80">
        <f>IFERROR(O148/SUMIFS(O:O, $H:$H, "Net Sales"),0)</f>
        <v>0</v>
      </c>
      <c r="Q148" s="79">
        <v>0</v>
      </c>
      <c r="R148" s="80">
        <f>IFERROR(Q148/SUMIFS(Q:Q, $H:$H, "Net Sales"),0)</f>
        <v>0</v>
      </c>
      <c r="S148" s="79"/>
      <c r="T148" s="81">
        <f>IFERROR(S148/SUMIFS(S:S, $H:$H, "Net Sales"),0)</f>
        <v>0</v>
      </c>
      <c r="U148" s="80">
        <f t="shared" si="387"/>
        <v>0</v>
      </c>
      <c r="V148" s="70">
        <f t="shared" si="388"/>
        <v>0</v>
      </c>
      <c r="W148" s="80">
        <f t="shared" si="389"/>
        <v>0</v>
      </c>
      <c r="X148" s="70">
        <f t="shared" si="390"/>
        <v>0</v>
      </c>
      <c r="Y148" s="80">
        <f t="shared" si="391"/>
        <v>0</v>
      </c>
      <c r="Z148" s="70">
        <f t="shared" si="392"/>
        <v>0</v>
      </c>
      <c r="AA148" s="70"/>
      <c r="AC148" s="138"/>
      <c r="AD148" s="138"/>
      <c r="AE148" s="138"/>
      <c r="AF148" s="172">
        <f t="shared" ref="AF148:AF149" si="403">IFERROR(($AC148-AD148)/ABS(AD148),0)</f>
        <v>0</v>
      </c>
      <c r="AG148" s="139">
        <f>($AC148-AD148)</f>
        <v>0</v>
      </c>
      <c r="AH148" s="172">
        <f>IFERROR(($AC148-AE148)/ABS(AE148),0)</f>
        <v>0</v>
      </c>
      <c r="AI148" s="139">
        <f>($AC148-AE148)</f>
        <v>0</v>
      </c>
      <c r="AK148" s="79"/>
      <c r="AL148" s="80">
        <f>IFERROR(AK148/SUMIFS(AK:AK, $H:$H, "Net Sales"),0)</f>
        <v>0</v>
      </c>
      <c r="AM148" s="79"/>
      <c r="AN148" s="80">
        <f>IFERROR(AM148/SUMIFS(AM:AM, $H:$H, "Net Sales"),0)</f>
        <v>0</v>
      </c>
      <c r="AO148" s="79"/>
      <c r="AP148" s="80">
        <f>IFERROR(AO148/SUMIFS(AO:AO, $H:$H, "Net Sales"),0)</f>
        <v>0</v>
      </c>
      <c r="AQ148" s="79"/>
      <c r="AR148" s="81">
        <f>IFERROR(AQ148/SUMIFS(AQ:AQ, $H:$H, "Net Sales"),0)</f>
        <v>0</v>
      </c>
      <c r="AS148" s="80">
        <f t="shared" si="393"/>
        <v>0</v>
      </c>
      <c r="AT148" s="70">
        <f t="shared" si="394"/>
        <v>0</v>
      </c>
      <c r="AU148" s="80">
        <f t="shared" si="395"/>
        <v>0</v>
      </c>
      <c r="AV148" s="70">
        <f t="shared" si="396"/>
        <v>0</v>
      </c>
      <c r="AW148" s="80">
        <f t="shared" si="397"/>
        <v>0</v>
      </c>
      <c r="AX148" s="70">
        <f t="shared" si="398"/>
        <v>0</v>
      </c>
      <c r="AY148" s="70"/>
      <c r="BA148" s="79"/>
      <c r="BB148" s="80">
        <f>IFERROR(BA148/SUMIFS(BA:BA, $H:$H, "Net Sales"),0)</f>
        <v>0</v>
      </c>
      <c r="BC148" s="79"/>
      <c r="BD148" s="80">
        <f>IFERROR(BC148/SUMIFS(BC:BC, $H:$H, "Net Sales"),0)</f>
        <v>0</v>
      </c>
      <c r="BE148" s="79"/>
      <c r="BF148" s="81">
        <f>IFERROR(BE148/SUMIFS(BE:BE, $H:$H, "Net Sales"),0)</f>
        <v>0</v>
      </c>
      <c r="BG148" s="80">
        <f t="shared" si="399"/>
        <v>0</v>
      </c>
      <c r="BH148" s="70">
        <f t="shared" si="400"/>
        <v>0</v>
      </c>
      <c r="BI148" s="80">
        <f t="shared" si="401"/>
        <v>0</v>
      </c>
      <c r="BJ148" s="70">
        <f t="shared" si="402"/>
        <v>0</v>
      </c>
      <c r="BK148" s="70"/>
    </row>
    <row r="149" spans="1:72" ht="11.95" x14ac:dyDescent="0.25">
      <c r="E149" s="19"/>
      <c r="F149" s="19"/>
      <c r="G149" s="19"/>
      <c r="H149" s="19" t="s">
        <v>87</v>
      </c>
      <c r="I149" s="85"/>
      <c r="J149" s="85"/>
      <c r="K149" s="85"/>
      <c r="L149" s="144">
        <v>-1</v>
      </c>
      <c r="M149" s="85">
        <f>SUMIFS(M147:M148,$I147:$I148,"&lt;&gt;"&amp;$I$29,$E147:$E148,"&lt;&gt;*[-]*",$F147:$F148,"&lt;&gt;*[-]*",$G147:$G148,"&lt;&gt;*[-]*",$H147:$H148,"Interest Expense")</f>
        <v>0</v>
      </c>
      <c r="N149" s="86"/>
      <c r="O149" s="85">
        <f>SUMIFS(O147:O148,$I147:$I148,"&lt;&gt;"&amp;$I$29,$E147:$E148,"&lt;&gt;*[-]*",$F147:$F148,"&lt;&gt;*[-]*",$G147:$G148,"&lt;&gt;*[-]*",$H147:$H148,"Interest Expense")</f>
        <v>0</v>
      </c>
      <c r="P149" s="86"/>
      <c r="Q149" s="85">
        <f>SUMIFS(Q147:Q148,$I147:$I148,"&lt;&gt;"&amp;$I$29,$E147:$E148,"&lt;&gt;*[-]*",$F147:$F148,"&lt;&gt;*[-]*",$G147:$G148,"&lt;&gt;*[-]*",$H147:$H148,"Interest Expense")</f>
        <v>0</v>
      </c>
      <c r="R149" s="86"/>
      <c r="S149" s="85">
        <f>SUMIFS(S147:S148,$I147:$I148,"&lt;&gt;"&amp;$I$29,$E147:$E148,"&lt;&gt;*[-]*",$F147:$F148,"&lt;&gt;*[-]*",$G147:$G148,"&lt;&gt;*[-]*",$H147:$H148,"Interest Expense")</f>
        <v>0</v>
      </c>
      <c r="T149" s="86">
        <f>IFERROR(S149/SUMIFS(S:S, $H:$H, "Net Sales"),0)</f>
        <v>0</v>
      </c>
      <c r="U149" s="86">
        <f>IFERROR(($O149-M149)/ABS(M149),0)</f>
        <v>0</v>
      </c>
      <c r="V149" s="87">
        <f>IFERROR((O149-$M149), 0-$M149)</f>
        <v>0</v>
      </c>
      <c r="W149" s="86">
        <f>IFERROR((Q149-$M149)/ABS($M149),0)</f>
        <v>0</v>
      </c>
      <c r="X149" s="87">
        <f>IFERROR((Q149-$M149), 0 -$M149)</f>
        <v>0</v>
      </c>
      <c r="Y149" s="86">
        <f>IFERROR((S149-$M149)/ABS($M149),0)</f>
        <v>0</v>
      </c>
      <c r="Z149" s="87">
        <f>IFERROR((S149-$M149),0-$M149)</f>
        <v>0</v>
      </c>
      <c r="AA149" s="87"/>
      <c r="AC149" s="142">
        <f>SUMIFS(AC147:AC148,$I147:$I148,"&lt;&gt;"&amp;$I$29,$E147:$E148,"&lt;&gt;*[-]*",$F147:$F148,"&lt;&gt;*[-]*",$G147:$G148,"&lt;&gt;*[-]*",$H147:$H148,"Interest Expense")</f>
        <v>0</v>
      </c>
      <c r="AD149" s="142">
        <f>SUMIFS(AD147:AD148,$I147:$I148,"&lt;&gt;"&amp;$I$29,$E147:$E148,"&lt;&gt;*[-]*",$F147:$F148,"&lt;&gt;*[-]*",$G147:$G148,"&lt;&gt;*[-]*",$H147:$H148,"Interest Expense")</f>
        <v>0</v>
      </c>
      <c r="AE149" s="142">
        <f>SUMIFS(AE147:AE148,$I147:$I148,"&lt;&gt;"&amp;$I$29,$E147:$E148,"&lt;&gt;*[-]*",$F147:$F148,"&lt;&gt;*[-]*",$G147:$G148,"&lt;&gt;*[-]*",$H147:$H148,"Interest Expense")</f>
        <v>0</v>
      </c>
      <c r="AF149" s="173">
        <f t="shared" si="403"/>
        <v>0</v>
      </c>
      <c r="AG149" s="143">
        <f>($AC149-AD149)</f>
        <v>0</v>
      </c>
      <c r="AH149" s="173">
        <f>IFERROR(($AC149-AE149)/ABS(AE149),0)</f>
        <v>0</v>
      </c>
      <c r="AI149" s="143">
        <f>($AC149-AE149)</f>
        <v>0</v>
      </c>
      <c r="AK149" s="85">
        <f>SUMIFS(AK147:AK148,$I147:$I148,"&lt;&gt;"&amp;$I$29,$E147:$E148,"&lt;&gt;*[-]*",$F147:$F148,"&lt;&gt;*[-]*",$G147:$G148,"&lt;&gt;*[-]*",$H147:$H148,"Interest Expense")</f>
        <v>0</v>
      </c>
      <c r="AL149" s="86">
        <f>IFERROR(AK149/SUMIFS(AK:AK, $H:$H, "Net Sales"),0)</f>
        <v>0</v>
      </c>
      <c r="AM149" s="85">
        <f>SUMIFS(AM147:AM148,$I147:$I148,"&lt;&gt;"&amp;$I$29,$E147:$E148,"&lt;&gt;*[-]*",$F147:$F148,"&lt;&gt;*[-]*",$G147:$G148,"&lt;&gt;*[-]*",$H147:$H148,"Interest Expense")</f>
        <v>0</v>
      </c>
      <c r="AN149" s="86">
        <f>IFERROR(AM149/SUMIFS(AM:AM, $H:$H, "Net Sales"),0)</f>
        <v>0</v>
      </c>
      <c r="AO149" s="85">
        <f>SUMIFS(AO147:AO148,$I147:$I148,"&lt;&gt;"&amp;$I$29,$E147:$E148,"&lt;&gt;*[-]*",$F147:$F148,"&lt;&gt;*[-]*",$G147:$G148,"&lt;&gt;*[-]*",$H147:$H148,"Interest Expense")</f>
        <v>0</v>
      </c>
      <c r="AP149" s="86">
        <f>IFERROR(AO149/SUMIFS(AO:AO, $H:$H, "Net Sales"),0)</f>
        <v>0</v>
      </c>
      <c r="AQ149" s="85">
        <f>SUMIFS(AQ147:AQ148,$I147:$I148,"&lt;&gt;"&amp;$I$29,$E147:$E148,"&lt;&gt;*[-]*",$F147:$F148,"&lt;&gt;*[-]*",$G147:$G148,"&lt;&gt;*[-]*",$H147:$H148,"Interest Expense")</f>
        <v>0</v>
      </c>
      <c r="AR149" s="86">
        <f>IFERROR(AQ149/SUMIFS(AQ:AQ, $H:$H, "Net Sales"),0)</f>
        <v>0</v>
      </c>
      <c r="AS149" s="86">
        <f>IFERROR((AM149-$AK149)/ABS($AK149),0)</f>
        <v>0</v>
      </c>
      <c r="AT149" s="87">
        <f>(AM149-$AK149)</f>
        <v>0</v>
      </c>
      <c r="AU149" s="86">
        <f>IFERROR((AO149-$AK149)/ABS($AO149),0)</f>
        <v>0</v>
      </c>
      <c r="AV149" s="87">
        <f>(AO149-$AK149)</f>
        <v>0</v>
      </c>
      <c r="AW149" s="86">
        <f>IFERROR((AQ149-$AK149)/ABS($AK149),0)</f>
        <v>0</v>
      </c>
      <c r="AX149" s="87">
        <f>(AQ149-$AK149)</f>
        <v>0</v>
      </c>
      <c r="AY149" s="87"/>
      <c r="BA149" s="85">
        <f>SUMIFS(BA147:BA148,$I147:$I148,"&lt;&gt;"&amp;$I$29,$E147:$E148,"&lt;&gt;*[-]*",$F147:$F148,"&lt;&gt;*[-]*",$G147:$G148,"&lt;&gt;*[-]*",$H147:$H148,"Interest Expense")</f>
        <v>0</v>
      </c>
      <c r="BB149" s="86">
        <f>IFERROR(BA149/SUMIFS(BA:BA, $H:$H, "Net Sales"),0)</f>
        <v>0</v>
      </c>
      <c r="BC149" s="85">
        <f>SUMIFS(BC147:BC148,$I147:$I148,"&lt;&gt;"&amp;$I$29,$E147:$E148,"&lt;&gt;*[-]*",$F147:$F148,"&lt;&gt;*[-]*",$G147:$G148,"&lt;&gt;*[-]*",$H147:$H148,"Interest Expense")</f>
        <v>0</v>
      </c>
      <c r="BD149" s="86">
        <f>IFERROR(BC149/SUMIFS(BC:BC, $H:$H, "Net Sales"),0)</f>
        <v>0</v>
      </c>
      <c r="BE149" s="85">
        <f>SUMIFS(BE147:BE148,$I147:$I148,"&lt;&gt;"&amp;$I$29,$E147:$E148,"&lt;&gt;*[-]*",$F147:$F148,"&lt;&gt;*[-]*",$G147:$G148,"&lt;&gt;*[-]*",$H147:$H148,"Interest Expense")</f>
        <v>0</v>
      </c>
      <c r="BF149" s="86">
        <f>IFERROR(BE149/SUMIFS(BE:BE, $H:$H, "Net Sales"),0)</f>
        <v>0</v>
      </c>
      <c r="BG149" s="86">
        <f>IFERROR((BC149-$BA149)/ABS($BA149),0)</f>
        <v>0</v>
      </c>
      <c r="BH149" s="87">
        <f>(BC149-$BA149)</f>
        <v>0</v>
      </c>
      <c r="BI149" s="86">
        <f>IFERROR((BE149-$BA149)/ABS($BA149),0)</f>
        <v>0</v>
      </c>
      <c r="BJ149" s="87">
        <f>(BE149-$BA149)</f>
        <v>0</v>
      </c>
      <c r="BK149" s="87"/>
    </row>
    <row r="150" spans="1:72" x14ac:dyDescent="0.25">
      <c r="N150" s="145"/>
      <c r="P150" s="145"/>
      <c r="R150" s="145"/>
      <c r="T150" s="145"/>
      <c r="U150" s="145"/>
      <c r="V150" s="84"/>
      <c r="W150" s="145"/>
      <c r="X150" s="84"/>
      <c r="Y150" s="145"/>
      <c r="Z150" s="84"/>
      <c r="AA150" s="84"/>
      <c r="AF150" s="169"/>
      <c r="AG150" s="140"/>
      <c r="AH150" s="169"/>
      <c r="AI150" s="140"/>
      <c r="AL150" s="145"/>
      <c r="AN150" s="145"/>
      <c r="AP150" s="145"/>
      <c r="AR150" s="145"/>
      <c r="AS150" s="145"/>
      <c r="AT150" s="84"/>
      <c r="AU150" s="145"/>
      <c r="AV150" s="84"/>
      <c r="AW150" s="145"/>
      <c r="AX150" s="84"/>
      <c r="AY150" s="84"/>
      <c r="BB150" s="145"/>
      <c r="BD150" s="145"/>
      <c r="BF150" s="145"/>
      <c r="BG150" s="145"/>
      <c r="BH150" s="84"/>
      <c r="BI150" s="145"/>
      <c r="BJ150" s="84"/>
      <c r="BK150" s="84"/>
    </row>
    <row r="151" spans="1:72" ht="12.45" thickBot="1" x14ac:dyDescent="0.3">
      <c r="E151" s="4"/>
      <c r="F151" s="4"/>
      <c r="G151" s="4"/>
      <c r="H151" s="4" t="s">
        <v>117</v>
      </c>
      <c r="I151" s="4"/>
      <c r="J151" s="5"/>
      <c r="K151" s="5"/>
      <c r="L151" s="5"/>
      <c r="M151" s="5"/>
      <c r="N151" s="152"/>
      <c r="O151" s="5"/>
      <c r="P151" s="152"/>
      <c r="Q151" s="5"/>
      <c r="R151" s="152"/>
      <c r="S151" s="5"/>
      <c r="T151" s="152"/>
      <c r="U151" s="152"/>
      <c r="V151" s="75"/>
      <c r="W151" s="152"/>
      <c r="X151" s="75"/>
      <c r="Y151" s="152"/>
      <c r="Z151" s="75"/>
      <c r="AA151" s="75"/>
      <c r="AC151" s="133"/>
      <c r="AD151" s="133"/>
      <c r="AE151" s="133"/>
      <c r="AF151" s="171"/>
      <c r="AG151" s="134"/>
      <c r="AH151" s="171"/>
      <c r="AI151" s="134"/>
      <c r="AK151" s="5"/>
      <c r="AL151" s="152"/>
      <c r="AM151" s="5"/>
      <c r="AN151" s="152"/>
      <c r="AO151" s="5"/>
      <c r="AP151" s="152"/>
      <c r="AQ151" s="5"/>
      <c r="AR151" s="152"/>
      <c r="AS151" s="152"/>
      <c r="AT151" s="75"/>
      <c r="AU151" s="152"/>
      <c r="AV151" s="75"/>
      <c r="AW151" s="152"/>
      <c r="AX151" s="75"/>
      <c r="AY151" s="75"/>
      <c r="BA151" s="5"/>
      <c r="BB151" s="152"/>
      <c r="BC151" s="5"/>
      <c r="BD151" s="152"/>
      <c r="BE151" s="5"/>
      <c r="BF151" s="152"/>
      <c r="BG151" s="152"/>
      <c r="BH151" s="75"/>
      <c r="BI151" s="152"/>
      <c r="BJ151" s="75"/>
      <c r="BK151" s="75"/>
    </row>
    <row r="152" spans="1:72" ht="11.95" hidden="1" thickBot="1" x14ac:dyDescent="0.3">
      <c r="B152" t="s">
        <v>1</v>
      </c>
      <c r="E152" s="3"/>
      <c r="F152" s="3"/>
      <c r="G152" s="3"/>
      <c r="H152" s="3" t="s">
        <v>117</v>
      </c>
      <c r="I152" s="18"/>
      <c r="J152" s="18"/>
      <c r="K152" s="18"/>
      <c r="L152" s="78"/>
      <c r="M152" s="79">
        <v>0</v>
      </c>
      <c r="N152" s="80">
        <f>IFERROR(M152/SUMIFS(M:M, $H:$H, "Net Sales"),0)</f>
        <v>0</v>
      </c>
      <c r="O152" s="79">
        <v>0</v>
      </c>
      <c r="P152" s="80">
        <f>IFERROR(O152/SUMIFS(O:O, $H:$H, "Net Sales"),0)</f>
        <v>0</v>
      </c>
      <c r="Q152" s="79">
        <v>0</v>
      </c>
      <c r="R152" s="80">
        <f>IFERROR(Q152/SUMIFS(Q:Q, $H:$H, "Net Sales"),0)</f>
        <v>0</v>
      </c>
      <c r="S152" s="79">
        <v>0</v>
      </c>
      <c r="T152" s="81">
        <f>IFERROR(S152/SUMIFS(S:S, $H:$H, "Net Sales"),0)</f>
        <v>0</v>
      </c>
      <c r="U152" s="80">
        <f t="shared" ref="U152:U153" si="404">IFERROR(($O152-M152)/ABS(M152),0)</f>
        <v>0</v>
      </c>
      <c r="V152" s="70">
        <f t="shared" ref="V152:V153" si="405">IFERROR((O152-$M152), 0-$M152)</f>
        <v>0</v>
      </c>
      <c r="W152" s="80">
        <f t="shared" ref="W152:W153" si="406">IFERROR((Q152-$M152)/ABS($M152),0)</f>
        <v>0</v>
      </c>
      <c r="X152" s="70">
        <f t="shared" ref="X152:X153" si="407">IFERROR((Q152-$M152), 0 -$M152)</f>
        <v>0</v>
      </c>
      <c r="Y152" s="80">
        <f t="shared" ref="Y152:Y153" si="408">IFERROR((S152-$M152)/ABS($M152),0)</f>
        <v>0</v>
      </c>
      <c r="Z152" s="70">
        <f t="shared" ref="Z152:Z153" si="409">IFERROR((S152-$M152),0-$M152)</f>
        <v>0</v>
      </c>
      <c r="AA152" s="70"/>
      <c r="AC152" s="138">
        <v>0</v>
      </c>
      <c r="AD152" s="138">
        <v>0</v>
      </c>
      <c r="AE152" s="138">
        <v>0</v>
      </c>
      <c r="AF152" s="172"/>
      <c r="AG152" s="139"/>
      <c r="AH152" s="172"/>
      <c r="AI152" s="139"/>
      <c r="AK152" s="79">
        <v>0</v>
      </c>
      <c r="AL152" s="80">
        <f>IFERROR(AK152/SUMIFS(AK:AK, $H:$H, "Net Sales"),0)</f>
        <v>0</v>
      </c>
      <c r="AM152" s="79">
        <v>0</v>
      </c>
      <c r="AN152" s="80">
        <f>IFERROR(AM152/SUMIFS(AM:AM, $H:$H, "Net Sales"),0)</f>
        <v>0</v>
      </c>
      <c r="AO152" s="79">
        <v>0</v>
      </c>
      <c r="AP152" s="80">
        <f>IFERROR(AO152/SUMIFS(AO:AO, $H:$H, "Net Sales"),0)</f>
        <v>0</v>
      </c>
      <c r="AQ152" s="79">
        <v>0</v>
      </c>
      <c r="AR152" s="81">
        <f>IFERROR(AQ152/SUMIFS(AQ:AQ, $H:$H, "Net Sales"),0)</f>
        <v>0</v>
      </c>
      <c r="AS152" s="80">
        <f t="shared" ref="AS152:AS153" si="410">IFERROR((AM152-$AK152)/ABS($AK152),0)</f>
        <v>0</v>
      </c>
      <c r="AT152" s="70">
        <f t="shared" ref="AT152:AT153" si="411">(AM152-$AK152)</f>
        <v>0</v>
      </c>
      <c r="AU152" s="80">
        <f t="shared" ref="AU152:AU153" si="412">IFERROR((AO152-$AK152)/ABS($AO152),0)</f>
        <v>0</v>
      </c>
      <c r="AV152" s="70">
        <f t="shared" ref="AV152:AV153" si="413">(AO152-$AK152)</f>
        <v>0</v>
      </c>
      <c r="AW152" s="80">
        <f t="shared" ref="AW152:AW153" si="414">IFERROR((AQ152-$AK152)/ABS($AK152),0)</f>
        <v>0</v>
      </c>
      <c r="AX152" s="70">
        <f t="shared" ref="AX152:AX153" si="415">(AQ152-$AK152)</f>
        <v>0</v>
      </c>
      <c r="AY152" s="70"/>
      <c r="BA152" s="79">
        <v>0</v>
      </c>
      <c r="BB152" s="80">
        <f>IFERROR(BA152/SUMIFS(BA:BA, $H:$H, "Net Sales"),0)</f>
        <v>0</v>
      </c>
      <c r="BC152" s="79">
        <v>0</v>
      </c>
      <c r="BD152" s="80">
        <f>IFERROR(BC152/SUMIFS(BC:BC, $H:$H, "Net Sales"),0)</f>
        <v>0</v>
      </c>
      <c r="BE152" s="79">
        <v>0</v>
      </c>
      <c r="BF152" s="81">
        <f>IFERROR(BE152/SUMIFS(BE:BE, $H:$H, "Net Sales"),0)</f>
        <v>0</v>
      </c>
      <c r="BG152" s="80">
        <f t="shared" ref="BG152:BG153" si="416">IFERROR((BC152-$BA152)/ABS($BA152),0)</f>
        <v>0</v>
      </c>
      <c r="BH152" s="70">
        <f t="shared" ref="BH152:BH153" si="417">(BC152-$BA152)</f>
        <v>0</v>
      </c>
      <c r="BI152" s="80">
        <f t="shared" ref="BI152:BI153" si="418">IFERROR((BE152-$BA152)/ABS($BA152),0)</f>
        <v>0</v>
      </c>
      <c r="BJ152" s="70">
        <f t="shared" ref="BJ152:BJ153" si="419">(BE152-$BA152)</f>
        <v>0</v>
      </c>
      <c r="BK152" s="70"/>
    </row>
    <row r="153" spans="1:72" ht="11.95" hidden="1" thickBot="1" x14ac:dyDescent="0.3">
      <c r="B153" t="str">
        <f>IF(LEFT(H153,3)="Mul", "#hiderow", "#showrow")</f>
        <v>#hiderow</v>
      </c>
      <c r="E153" s="3"/>
      <c r="F153" s="3"/>
      <c r="G153" s="3"/>
      <c r="H153" s="255" t="s">
        <v>6</v>
      </c>
      <c r="I153" s="18"/>
      <c r="J153" s="18"/>
      <c r="K153" s="18"/>
      <c r="L153" s="78"/>
      <c r="M153" s="79"/>
      <c r="N153" s="80">
        <f>IFERROR(M153/SUMIFS(M:M, $H:$H, "Net Sales"),0)</f>
        <v>0</v>
      </c>
      <c r="O153" s="79">
        <v>0</v>
      </c>
      <c r="P153" s="80">
        <f>IFERROR(O153/SUMIFS(O:O, $H:$H, "Net Sales"),0)</f>
        <v>0</v>
      </c>
      <c r="Q153" s="79">
        <v>0</v>
      </c>
      <c r="R153" s="80">
        <f>IFERROR(Q153/SUMIFS(Q:Q, $H:$H, "Net Sales"),0)</f>
        <v>0</v>
      </c>
      <c r="S153" s="79"/>
      <c r="T153" s="81">
        <f>IFERROR(S153/SUMIFS(S:S, $H:$H, "Net Sales"),0)</f>
        <v>0</v>
      </c>
      <c r="U153" s="80">
        <f t="shared" si="404"/>
        <v>0</v>
      </c>
      <c r="V153" s="70">
        <f t="shared" si="405"/>
        <v>0</v>
      </c>
      <c r="W153" s="80">
        <f t="shared" si="406"/>
        <v>0</v>
      </c>
      <c r="X153" s="70">
        <f t="shared" si="407"/>
        <v>0</v>
      </c>
      <c r="Y153" s="80">
        <f t="shared" si="408"/>
        <v>0</v>
      </c>
      <c r="Z153" s="70">
        <f t="shared" si="409"/>
        <v>0</v>
      </c>
      <c r="AA153" s="70"/>
      <c r="AC153" s="138"/>
      <c r="AD153" s="138"/>
      <c r="AE153" s="138"/>
      <c r="AF153" s="172">
        <f t="shared" ref="AF153:AF154" si="420">IFERROR(($AC153-AD153)/ABS(AD153),0)</f>
        <v>0</v>
      </c>
      <c r="AG153" s="139">
        <f>($AC153-AD153)</f>
        <v>0</v>
      </c>
      <c r="AH153" s="172">
        <f>IFERROR(($AC153-AE153)/ABS(AE153),0)</f>
        <v>0</v>
      </c>
      <c r="AI153" s="139">
        <f>($AC153-AE153)</f>
        <v>0</v>
      </c>
      <c r="AK153" s="79"/>
      <c r="AL153" s="80">
        <f>IFERROR(AK153/SUMIFS(AK:AK, $H:$H, "Net Sales"),0)</f>
        <v>0</v>
      </c>
      <c r="AM153" s="79"/>
      <c r="AN153" s="80">
        <f>IFERROR(AM153/SUMIFS(AM:AM, $H:$H, "Net Sales"),0)</f>
        <v>0</v>
      </c>
      <c r="AO153" s="79"/>
      <c r="AP153" s="80">
        <f>IFERROR(AO153/SUMIFS(AO:AO, $H:$H, "Net Sales"),0)</f>
        <v>0</v>
      </c>
      <c r="AQ153" s="79"/>
      <c r="AR153" s="81">
        <f>IFERROR(AQ153/SUMIFS(AQ:AQ, $H:$H, "Net Sales"),0)</f>
        <v>0</v>
      </c>
      <c r="AS153" s="80">
        <f t="shared" si="410"/>
        <v>0</v>
      </c>
      <c r="AT153" s="70">
        <f t="shared" si="411"/>
        <v>0</v>
      </c>
      <c r="AU153" s="80">
        <f t="shared" si="412"/>
        <v>0</v>
      </c>
      <c r="AV153" s="70">
        <f t="shared" si="413"/>
        <v>0</v>
      </c>
      <c r="AW153" s="80">
        <f t="shared" si="414"/>
        <v>0</v>
      </c>
      <c r="AX153" s="70">
        <f t="shared" si="415"/>
        <v>0</v>
      </c>
      <c r="AY153" s="70"/>
      <c r="BA153" s="79"/>
      <c r="BB153" s="80">
        <f>IFERROR(BA153/SUMIFS(BA:BA, $H:$H, "Net Sales"),0)</f>
        <v>0</v>
      </c>
      <c r="BC153" s="79"/>
      <c r="BD153" s="80">
        <f>IFERROR(BC153/SUMIFS(BC:BC, $H:$H, "Net Sales"),0)</f>
        <v>0</v>
      </c>
      <c r="BE153" s="79"/>
      <c r="BF153" s="81">
        <f>IFERROR(BE153/SUMIFS(BE:BE, $H:$H, "Net Sales"),0)</f>
        <v>0</v>
      </c>
      <c r="BG153" s="80">
        <f t="shared" si="416"/>
        <v>0</v>
      </c>
      <c r="BH153" s="70">
        <f t="shared" si="417"/>
        <v>0</v>
      </c>
      <c r="BI153" s="80">
        <f t="shared" si="418"/>
        <v>0</v>
      </c>
      <c r="BJ153" s="70">
        <f t="shared" si="419"/>
        <v>0</v>
      </c>
      <c r="BK153" s="70"/>
    </row>
    <row r="154" spans="1:72" ht="11.95" x14ac:dyDescent="0.25">
      <c r="E154" s="19"/>
      <c r="F154" s="19"/>
      <c r="G154" s="19"/>
      <c r="H154" s="19" t="s">
        <v>118</v>
      </c>
      <c r="I154" s="85"/>
      <c r="J154" s="85"/>
      <c r="K154" s="85"/>
      <c r="L154" s="144">
        <v>-1</v>
      </c>
      <c r="M154" s="85">
        <f>SUMIFS(M152:M153,$I152:$I153,"&lt;&gt;"&amp;$I$29,$E152:$E153,"&lt;&gt;*[-]*",$F152:$F153,"&lt;&gt;*[-]*",$G152:$G153,"&lt;&gt;*[-]*",$H152:$H153,"Gain/Loss on Swap MTM")</f>
        <v>0</v>
      </c>
      <c r="N154" s="86"/>
      <c r="O154" s="85">
        <f>SUMIFS(O152:O153,$I152:$I153,"&lt;&gt;"&amp;$I$29,$E152:$E153,"&lt;&gt;*[-]*",$F152:$F153,"&lt;&gt;*[-]*",$G152:$G153,"&lt;&gt;*[-]*",$H152:$H153,"Gain/Loss on Swap MTM")</f>
        <v>0</v>
      </c>
      <c r="P154" s="86"/>
      <c r="Q154" s="85">
        <f>SUMIFS(Q152:Q153,$I152:$I153,"&lt;&gt;"&amp;$I$29,$E152:$E153,"&lt;&gt;*[-]*",$F152:$F153,"&lt;&gt;*[-]*",$G152:$G153,"&lt;&gt;*[-]*",$H152:$H153,"Gain/Loss on Swap MTM")</f>
        <v>0</v>
      </c>
      <c r="R154" s="86"/>
      <c r="S154" s="85">
        <f>SUMIFS(S152:S153,$I152:$I153,"&lt;&gt;"&amp;$I$29,$E152:$E153,"&lt;&gt;*[-]*",$F152:$F153,"&lt;&gt;*[-]*",$G152:$G153,"&lt;&gt;*[-]*",$H152:$H153,"Gain/Loss on Swap MTM")</f>
        <v>0</v>
      </c>
      <c r="T154" s="86">
        <f>IFERROR(S154/SUMIFS(S:S, $H:$H, "Net Sales"),0)</f>
        <v>0</v>
      </c>
      <c r="U154" s="86">
        <f>IFERROR(($O154-M154)/ABS(M154),0)</f>
        <v>0</v>
      </c>
      <c r="V154" s="87">
        <f>IFERROR((O154-$M154), 0-$M154)</f>
        <v>0</v>
      </c>
      <c r="W154" s="86">
        <f>IFERROR((Q154-$M154)/ABS($M154),0)</f>
        <v>0</v>
      </c>
      <c r="X154" s="87">
        <f>IFERROR((Q154-$M154), 0 -$M154)</f>
        <v>0</v>
      </c>
      <c r="Y154" s="86">
        <f>IFERROR((S154-$M154)/ABS($M154),0)</f>
        <v>0</v>
      </c>
      <c r="Z154" s="87">
        <f>IFERROR((S154-$M154),0-$M154)</f>
        <v>0</v>
      </c>
      <c r="AA154" s="87"/>
      <c r="AC154" s="142">
        <f>SUMIFS(AC153:AC153,$I153:$I153,"&lt;&gt;"&amp;$I$29,$E153:$E153,"&lt;&gt;*[-]*",$F153:$F153,"&lt;&gt;*[-]*",$G153:$G153,"&lt;&gt;*[-]*",$H153:$H153,"Gain/Loss on Swap MTM")</f>
        <v>0</v>
      </c>
      <c r="AD154" s="142">
        <f>SUMIFS(AD153:AD153,$I153:$I153,"&lt;&gt;"&amp;$I$29,$E153:$E153,"&lt;&gt;*[-]*",$F153:$F153,"&lt;&gt;*[-]*",$G153:$G153,"&lt;&gt;*[-]*",$H153:$H153,"Gain/Loss on Swap MTM")</f>
        <v>0</v>
      </c>
      <c r="AE154" s="142">
        <f>SUMIFS(AE153:AE153,$I153:$I153,"&lt;&gt;"&amp;$I$29,$E153:$E153,"&lt;&gt;*[-]*",$F153:$F153,"&lt;&gt;*[-]*",$G153:$G153,"&lt;&gt;*[-]*",$H153:$H153,"Gain/Loss on Swap MTM")</f>
        <v>0</v>
      </c>
      <c r="AF154" s="173">
        <f t="shared" si="420"/>
        <v>0</v>
      </c>
      <c r="AG154" s="143">
        <f>($AC154-AD154)</f>
        <v>0</v>
      </c>
      <c r="AH154" s="173">
        <f>IFERROR(($AC154-AE154)/ABS(AE154),0)</f>
        <v>0</v>
      </c>
      <c r="AI154" s="143">
        <f>($AC154-AE154)</f>
        <v>0</v>
      </c>
      <c r="AK154" s="85">
        <f>SUMIFS(AK152:AK153,$I152:$I153,"&lt;&gt;"&amp;$I$29,$E152:$E153,"&lt;&gt;*[-]*",$F152:$F153,"&lt;&gt;*[-]*",$G152:$G153,"&lt;&gt;*[-]*",$H152:$H153,"Gain/Loss on Swap MTM")</f>
        <v>0</v>
      </c>
      <c r="AL154" s="86">
        <f>IFERROR(AK154/SUMIFS(AK:AK, $H:$H, "Net Sales"),0)</f>
        <v>0</v>
      </c>
      <c r="AM154" s="85">
        <f>SUMIFS(AM152:AM153,$I152:$I153,"&lt;&gt;"&amp;$I$29,$E152:$E153,"&lt;&gt;*[-]*",$F152:$F153,"&lt;&gt;*[-]*",$G152:$G153,"&lt;&gt;*[-]*",$H152:$H153,"Gain/Loss on Swap MTM")</f>
        <v>0</v>
      </c>
      <c r="AN154" s="86">
        <f>IFERROR(AM154/SUMIFS(AM:AM, $H:$H, "Net Sales"),0)</f>
        <v>0</v>
      </c>
      <c r="AO154" s="85">
        <f>SUMIFS(AO152:AO153,$I152:$I153,"&lt;&gt;"&amp;$I$29,$E152:$E153,"&lt;&gt;*[-]*",$F152:$F153,"&lt;&gt;*[-]*",$G152:$G153,"&lt;&gt;*[-]*",$H152:$H153,"Gain/Loss on Swap MTM")</f>
        <v>0</v>
      </c>
      <c r="AP154" s="86">
        <f>IFERROR(AO154/SUMIFS(AO:AO, $H:$H, "Net Sales"),0)</f>
        <v>0</v>
      </c>
      <c r="AQ154" s="85">
        <f>SUMIFS(AQ152:AQ153,$I152:$I153,"&lt;&gt;"&amp;$I$29,$E152:$E153,"&lt;&gt;*[-]*",$F152:$F153,"&lt;&gt;*[-]*",$G152:$G153,"&lt;&gt;*[-]*",$H152:$H153,"Gain/Loss on Swap MTM")</f>
        <v>0</v>
      </c>
      <c r="AR154" s="86">
        <f>IFERROR(AQ154/SUMIFS(AQ:AQ, $H:$H, "Net Sales"),0)</f>
        <v>0</v>
      </c>
      <c r="AS154" s="86">
        <f>IFERROR((AM154-$AK154)/ABS($AK154),0)</f>
        <v>0</v>
      </c>
      <c r="AT154" s="87">
        <f>(AM154-$AK154)</f>
        <v>0</v>
      </c>
      <c r="AU154" s="86">
        <f>IFERROR((AO154-$AK154)/ABS($AO154),0)</f>
        <v>0</v>
      </c>
      <c r="AV154" s="87">
        <f>(AO154-$AK154)</f>
        <v>0</v>
      </c>
      <c r="AW154" s="86">
        <f>IFERROR((AQ154-$AK154)/ABS($AK154),0)</f>
        <v>0</v>
      </c>
      <c r="AX154" s="87">
        <f>(AQ154-$AK154)</f>
        <v>0</v>
      </c>
      <c r="AY154" s="87"/>
      <c r="BA154" s="85">
        <f>SUMIFS(BA152:BA153,$I152:$I153,"&lt;&gt;"&amp;$I$29,$E152:$E153,"&lt;&gt;*[-]*",$F152:$F153,"&lt;&gt;*[-]*",$G152:$G153,"&lt;&gt;*[-]*",$H152:$H153,"Gain/Loss on Swap MTM")</f>
        <v>0</v>
      </c>
      <c r="BB154" s="86">
        <f>IFERROR(BA154/SUMIFS(BA:BA, $H:$H, "Net Sales"),0)</f>
        <v>0</v>
      </c>
      <c r="BC154" s="85">
        <f>SUMIFS(BC152:BC153,$I152:$I153,"&lt;&gt;"&amp;$I$29,$E152:$E153,"&lt;&gt;*[-]*",$F152:$F153,"&lt;&gt;*[-]*",$G152:$G153,"&lt;&gt;*[-]*",$H152:$H153,"Gain/Loss on Swap MTM")</f>
        <v>0</v>
      </c>
      <c r="BD154" s="86">
        <f>IFERROR(BC154/SUMIFS(BC:BC, $H:$H, "Net Sales"),0)</f>
        <v>0</v>
      </c>
      <c r="BE154" s="85">
        <f>SUMIFS(BE152:BE153,$I152:$I153,"&lt;&gt;"&amp;$I$29,$E152:$E153,"&lt;&gt;*[-]*",$F152:$F153,"&lt;&gt;*[-]*",$G152:$G153,"&lt;&gt;*[-]*",$H152:$H153,"Gain/Loss on Swap MTM")</f>
        <v>0</v>
      </c>
      <c r="BF154" s="86">
        <f>IFERROR(BE154/SUMIFS(BE:BE, $H:$H, "Net Sales"),0)</f>
        <v>0</v>
      </c>
      <c r="BG154" s="86">
        <f>IFERROR((BC154-$BA154)/ABS($BA154),0)</f>
        <v>0</v>
      </c>
      <c r="BH154" s="87">
        <f>(BC154-$BA154)</f>
        <v>0</v>
      </c>
      <c r="BI154" s="86">
        <f>IFERROR((BE154-$BA154)/ABS($BA154),0)</f>
        <v>0</v>
      </c>
      <c r="BJ154" s="87">
        <f>(BE154-$BA154)</f>
        <v>0</v>
      </c>
      <c r="BK154" s="87"/>
    </row>
    <row r="155" spans="1:72" x14ac:dyDescent="0.25">
      <c r="N155" s="145"/>
      <c r="P155" s="145"/>
      <c r="R155" s="145"/>
      <c r="T155" s="145"/>
      <c r="U155" s="145"/>
      <c r="V155" s="84"/>
      <c r="W155" s="145"/>
      <c r="X155" s="84"/>
      <c r="Y155" s="145"/>
      <c r="Z155" s="84"/>
      <c r="AA155" s="84"/>
      <c r="AF155" s="169"/>
      <c r="AG155" s="140"/>
      <c r="AH155" s="169"/>
      <c r="AI155" s="140"/>
      <c r="AL155" s="145"/>
      <c r="AN155" s="145"/>
      <c r="AP155" s="145"/>
      <c r="AR155" s="145"/>
      <c r="AS155" s="145"/>
      <c r="AT155" s="84"/>
      <c r="AU155" s="145"/>
      <c r="AV155" s="84"/>
      <c r="AW155" s="145"/>
      <c r="AX155" s="84"/>
      <c r="AY155" s="84"/>
      <c r="BB155" s="145"/>
      <c r="BD155" s="145"/>
      <c r="BF155" s="145"/>
      <c r="BG155" s="145"/>
      <c r="BH155" s="84"/>
      <c r="BI155" s="145"/>
      <c r="BJ155" s="84"/>
      <c r="BK155" s="84"/>
    </row>
    <row r="156" spans="1:72" s="47" customFormat="1" ht="12.45" hidden="1" thickBot="1" x14ac:dyDescent="0.3">
      <c r="A156"/>
      <c r="B156" s="47" t="s">
        <v>1</v>
      </c>
      <c r="E156" s="132"/>
      <c r="F156" s="132"/>
      <c r="G156" s="132"/>
      <c r="H156" s="132" t="s">
        <v>117</v>
      </c>
      <c r="I156" s="132"/>
      <c r="J156" s="133"/>
      <c r="K156" s="133"/>
      <c r="L156" s="133"/>
      <c r="M156" s="133"/>
      <c r="N156" s="154"/>
      <c r="O156" s="133"/>
      <c r="P156" s="154"/>
      <c r="Q156" s="133"/>
      <c r="R156" s="154"/>
      <c r="S156" s="133"/>
      <c r="T156" s="154"/>
      <c r="U156" s="154"/>
      <c r="V156" s="134"/>
      <c r="W156" s="154"/>
      <c r="X156" s="134"/>
      <c r="Y156" s="154"/>
      <c r="Z156" s="134"/>
      <c r="AA156" s="134"/>
      <c r="AC156" s="133"/>
      <c r="AD156" s="133"/>
      <c r="AE156" s="133"/>
      <c r="AF156" s="171"/>
      <c r="AG156" s="134"/>
      <c r="AH156" s="171"/>
      <c r="AI156" s="134"/>
      <c r="AJ156"/>
      <c r="AK156" s="133"/>
      <c r="AL156" s="154"/>
      <c r="AM156" s="133"/>
      <c r="AN156" s="154"/>
      <c r="AO156" s="133"/>
      <c r="AP156" s="154"/>
      <c r="AQ156" s="133"/>
      <c r="AR156" s="154"/>
      <c r="AS156" s="154"/>
      <c r="AT156" s="134"/>
      <c r="AU156" s="154"/>
      <c r="AV156" s="134"/>
      <c r="AW156" s="154"/>
      <c r="AX156" s="134"/>
      <c r="AY156" s="134"/>
      <c r="AZ156"/>
      <c r="BA156" s="133"/>
      <c r="BB156" s="154"/>
      <c r="BC156" s="133"/>
      <c r="BD156" s="154"/>
      <c r="BE156" s="133"/>
      <c r="BF156" s="154"/>
      <c r="BG156" s="154"/>
      <c r="BH156" s="134"/>
      <c r="BI156" s="154"/>
      <c r="BJ156" s="134"/>
      <c r="BK156" s="134"/>
      <c r="BL156"/>
      <c r="BM156"/>
      <c r="BN156"/>
      <c r="BO156"/>
      <c r="BP156"/>
      <c r="BQ156"/>
      <c r="BR156"/>
      <c r="BS156"/>
      <c r="BT156"/>
    </row>
    <row r="157" spans="1:72" s="47" customFormat="1" ht="11.95" hidden="1" thickBot="1" x14ac:dyDescent="0.3">
      <c r="A157"/>
      <c r="B157" s="47" t="s">
        <v>1</v>
      </c>
      <c r="E157" s="135"/>
      <c r="F157" s="135"/>
      <c r="G157" s="135"/>
      <c r="H157" s="135" t="s">
        <v>6</v>
      </c>
      <c r="I157" s="136"/>
      <c r="J157" s="136"/>
      <c r="K157" s="136"/>
      <c r="L157" s="137"/>
      <c r="M157" s="138"/>
      <c r="N157" s="155"/>
      <c r="O157" s="138"/>
      <c r="P157" s="155"/>
      <c r="Q157" s="138"/>
      <c r="R157" s="155"/>
      <c r="S157" s="138"/>
      <c r="T157" s="155"/>
      <c r="U157" s="155">
        <f>IFERROR(($O157-M157)/ABS(M157),0)</f>
        <v>0</v>
      </c>
      <c r="V157" s="139">
        <f>($O157-M157)</f>
        <v>0</v>
      </c>
      <c r="W157" s="155">
        <f>IFERROR(($M157-Q157)/ABS(Q157),0)</f>
        <v>0</v>
      </c>
      <c r="X157" s="139">
        <f>($M157-Q157)</f>
        <v>0</v>
      </c>
      <c r="Y157" s="155">
        <f>IFERROR(($M157-S157)/ABS(S157),0)</f>
        <v>0</v>
      </c>
      <c r="Z157" s="139">
        <f>($M157-S157)</f>
        <v>0</v>
      </c>
      <c r="AA157" s="139"/>
      <c r="AC157" s="138"/>
      <c r="AD157" s="138"/>
      <c r="AE157" s="138"/>
      <c r="AF157" s="172">
        <f t="shared" ref="AF157" si="421">IFERROR(($AC157-AD157)/ABS(AD157),0)</f>
        <v>0</v>
      </c>
      <c r="AG157" s="139">
        <f>($AC157-AD157)</f>
        <v>0</v>
      </c>
      <c r="AH157" s="172">
        <f>IFERROR(($AC157-AE157)/ABS(AE157),0)</f>
        <v>0</v>
      </c>
      <c r="AI157" s="139">
        <f>($AC157-AE157)</f>
        <v>0</v>
      </c>
      <c r="AJ157"/>
      <c r="AK157" s="138"/>
      <c r="AL157" s="155"/>
      <c r="AM157" s="138"/>
      <c r="AN157" s="155"/>
      <c r="AO157" s="138"/>
      <c r="AP157" s="155"/>
      <c r="AQ157" s="138"/>
      <c r="AR157" s="155"/>
      <c r="AS157" s="155">
        <f>IFERROR(($O157-AK157)/ABS(AK157),0)</f>
        <v>0</v>
      </c>
      <c r="AT157" s="139">
        <f>($AK157-AM157)</f>
        <v>0</v>
      </c>
      <c r="AU157" s="155">
        <f>IFERROR(($M157-AO157)/ABS(AO157),0)</f>
        <v>0</v>
      </c>
      <c r="AV157" s="139">
        <f>($AK157-AO157)</f>
        <v>0</v>
      </c>
      <c r="AW157" s="155">
        <f>IFERROR(($M157-AQ157)/ABS(AQ157),0)</f>
        <v>0</v>
      </c>
      <c r="AX157" s="139">
        <f>($AK157-AQ157)</f>
        <v>0</v>
      </c>
      <c r="AY157" s="139"/>
      <c r="AZ157"/>
      <c r="BA157" s="138"/>
      <c r="BB157" s="155"/>
      <c r="BC157" s="138"/>
      <c r="BD157" s="155"/>
      <c r="BE157" s="138"/>
      <c r="BF157" s="155"/>
      <c r="BG157" s="155">
        <f>IFERROR(($BA157-BC157)/ABS(BC157),0)</f>
        <v>0</v>
      </c>
      <c r="BH157" s="139">
        <f>($BA157-BC157)</f>
        <v>0</v>
      </c>
      <c r="BI157" s="155">
        <f>IFERROR(($BA157-BE157)/ABS(BE157),0)</f>
        <v>0</v>
      </c>
      <c r="BJ157" s="139">
        <f>($BA157-BE157)</f>
        <v>0</v>
      </c>
      <c r="BK157" s="139"/>
      <c r="BL157"/>
      <c r="BM157"/>
      <c r="BN157"/>
      <c r="BO157"/>
      <c r="BP157"/>
      <c r="BQ157"/>
      <c r="BR157"/>
      <c r="BS157"/>
      <c r="BT157"/>
    </row>
    <row r="158" spans="1:72" s="47" customFormat="1" ht="11.95" hidden="1" thickBot="1" x14ac:dyDescent="0.3">
      <c r="A158"/>
      <c r="B158" s="47" t="s">
        <v>1</v>
      </c>
      <c r="N158" s="156"/>
      <c r="P158" s="156"/>
      <c r="R158" s="156"/>
      <c r="T158" s="156"/>
      <c r="U158" s="156"/>
      <c r="V158" s="140"/>
      <c r="W158" s="156"/>
      <c r="X158" s="140"/>
      <c r="Y158" s="156"/>
      <c r="Z158" s="140"/>
      <c r="AA158" s="140"/>
      <c r="AF158" s="169"/>
      <c r="AG158" s="140"/>
      <c r="AH158" s="169"/>
      <c r="AI158" s="140"/>
      <c r="AJ158"/>
      <c r="AL158" s="156"/>
      <c r="AN158" s="156"/>
      <c r="AP158" s="156"/>
      <c r="AR158" s="156"/>
      <c r="AS158" s="156"/>
      <c r="AT158" s="140"/>
      <c r="AU158" s="156"/>
      <c r="AV158" s="140"/>
      <c r="AW158" s="156"/>
      <c r="AX158" s="140"/>
      <c r="AY158" s="140"/>
      <c r="AZ158"/>
      <c r="BB158" s="156"/>
      <c r="BD158" s="156"/>
      <c r="BF158" s="156"/>
      <c r="BG158" s="156"/>
      <c r="BH158" s="140"/>
      <c r="BI158" s="156"/>
      <c r="BJ158" s="140"/>
      <c r="BK158" s="140"/>
      <c r="BL158"/>
      <c r="BM158"/>
      <c r="BN158"/>
      <c r="BO158"/>
      <c r="BP158"/>
      <c r="BQ158"/>
      <c r="BR158"/>
      <c r="BS158"/>
      <c r="BT158"/>
    </row>
    <row r="159" spans="1:72" s="47" customFormat="1" ht="11.95" hidden="1" x14ac:dyDescent="0.25">
      <c r="A159"/>
      <c r="B159" s="47" t="s">
        <v>1</v>
      </c>
      <c r="E159" s="141"/>
      <c r="F159" s="141"/>
      <c r="G159" s="141"/>
      <c r="H159" s="141" t="s">
        <v>89</v>
      </c>
      <c r="I159" s="142"/>
      <c r="J159" s="142"/>
      <c r="K159" s="142"/>
      <c r="L159" s="142">
        <v>1</v>
      </c>
      <c r="M159" s="142">
        <f>SUMIFS(M157:M158,$I157:$I158,"&lt;&gt;"&amp;$I$29,$E157:$E158,"&lt;&gt;*[-]*",$F157:$F158,"&lt;&gt;*[-]*",$G157:$G158,"&lt;&gt;*[-]*",$H157:$H158,"*[+]*")</f>
        <v>0</v>
      </c>
      <c r="N159" s="157"/>
      <c r="O159" s="142">
        <f>SUMIFS(O157:O158,$I157:$I158,"&lt;&gt;"&amp;$I$29,$E157:$E158,"&lt;&gt;*[-]*",$F157:$F158,"&lt;&gt;*[-]*",$G157:$G158,"&lt;&gt;*[-]*",$H157:$H158,"*[+]*")</f>
        <v>0</v>
      </c>
      <c r="P159" s="157"/>
      <c r="Q159" s="142">
        <f>SUMIFS(Q157:Q158,$I157:$I158,"&lt;&gt;"&amp;$I$29,$E157:$E158,"&lt;&gt;*[-]*",$F157:$F158,"&lt;&gt;*[-]*",$G157:$G158,"&lt;&gt;*[-]*",$H157:$H158,"*[+]*")</f>
        <v>0</v>
      </c>
      <c r="R159" s="157"/>
      <c r="S159" s="142">
        <f>SUMIFS(S157:S158,$I157:$I158,"&lt;&gt;"&amp;$I$29,$E157:$E158,"&lt;&gt;*[-]*",$F157:$F158,"&lt;&gt;*[-]*",$G157:$G158,"&lt;&gt;*[-]*",$H157:$H158,"*[+]*")</f>
        <v>0</v>
      </c>
      <c r="T159" s="157"/>
      <c r="U159" s="157">
        <f>IFERROR(($O159-M159)/ABS(M159),0)</f>
        <v>0</v>
      </c>
      <c r="V159" s="143">
        <f>($O159-M159)</f>
        <v>0</v>
      </c>
      <c r="W159" s="157">
        <f>IFERROR(($M159-Q159)/ABS(Q159),0)</f>
        <v>0</v>
      </c>
      <c r="X159" s="143">
        <f>($M159-Q159)</f>
        <v>0</v>
      </c>
      <c r="Y159" s="157">
        <f>IFERROR(($M159-S159)/ABS(S159),0)</f>
        <v>0</v>
      </c>
      <c r="Z159" s="143">
        <f>($M159-S159)</f>
        <v>0</v>
      </c>
      <c r="AA159" s="143"/>
      <c r="AC159" s="142">
        <f>SUMIFS(AC157:AC158,$I157:$I158,"&lt;&gt;"&amp;$I$29,$E157:$E158,"&lt;&gt;*[-]*",$F157:$F158,"&lt;&gt;*[-]*",$G157:$G158,"&lt;&gt;*[-]*",$H157:$H158,"&lt;&gt;*[-]*")</f>
        <v>0</v>
      </c>
      <c r="AD159" s="142">
        <f>SUMIFS(AD157:AD158,$I157:$I158,"&lt;&gt;"&amp;$I$29,$E157:$E158,"&lt;&gt;*[-]*",$F157:$F158,"&lt;&gt;*[-]*",$G157:$G158,"&lt;&gt;*[-]*",$H157:$H158,"&lt;&gt;*[-]*")</f>
        <v>0</v>
      </c>
      <c r="AE159" s="142">
        <f>SUMIFS(AE157:AE158,$I157:$I158,"&lt;&gt;"&amp;$I$29,$E157:$E158,"&lt;&gt;*[-]*",$F157:$F158,"&lt;&gt;*[-]*",$G157:$G158,"&lt;&gt;*[-]*",$H157:$H158,"&lt;&gt;*[-]*")</f>
        <v>0</v>
      </c>
      <c r="AF159" s="173">
        <f t="shared" ref="AF159" si="422">IFERROR(($AC159-AD159)/ABS(AD159),0)</f>
        <v>0</v>
      </c>
      <c r="AG159" s="143">
        <f>($AC159-AD159)</f>
        <v>0</v>
      </c>
      <c r="AH159" s="173">
        <f>IFERROR(($AC159-AE159)/ABS(AE159),0)</f>
        <v>0</v>
      </c>
      <c r="AI159" s="143">
        <f>($AC159-AE159)</f>
        <v>0</v>
      </c>
      <c r="AJ159"/>
      <c r="AK159" s="142">
        <f>SUMIFS(AK157:AK158,$I157:$I158,"&lt;&gt;"&amp;$I$29,$E157:$E158,"&lt;&gt;*[-]*",$F157:$F158,"&lt;&gt;*[-]*",$G157:$G158,"&lt;&gt;*[-]*",$H157:$H158,"*[+]*")</f>
        <v>0</v>
      </c>
      <c r="AL159" s="157"/>
      <c r="AM159" s="142"/>
      <c r="AN159" s="157"/>
      <c r="AO159" s="142"/>
      <c r="AP159" s="157"/>
      <c r="AQ159" s="142">
        <f>SUMIFS(AQ157:AQ158,$I157:$I158,"&lt;&gt;"&amp;$I$29,$E157:$E158,"&lt;&gt;*[-]*",$F157:$F158,"&lt;&gt;*[-]*",$G157:$G158,"&lt;&gt;*[-]*",$H157:$H158,"*[+]*")</f>
        <v>0</v>
      </c>
      <c r="AR159" s="157"/>
      <c r="AS159" s="157">
        <f>IFERROR(($O159-AK159)/ABS(AK159),0)</f>
        <v>0</v>
      </c>
      <c r="AT159" s="143">
        <f>($AK159-AM159)</f>
        <v>0</v>
      </c>
      <c r="AU159" s="157">
        <f>IFERROR(($M159-AO159)/ABS(AO159),0)</f>
        <v>0</v>
      </c>
      <c r="AV159" s="143">
        <f>($AK159-AO159)</f>
        <v>0</v>
      </c>
      <c r="AW159" s="157">
        <f>IFERROR(($M159-AQ159)/ABS(AQ159),0)</f>
        <v>0</v>
      </c>
      <c r="AX159" s="143">
        <f>($AK159-AQ159)</f>
        <v>0</v>
      </c>
      <c r="AY159" s="143"/>
      <c r="AZ159"/>
      <c r="BA159" s="142">
        <f>SUMIFS(BA157:BA158,$I157:$I158,"&lt;&gt;"&amp;$I$29,$E157:$E158,"&lt;&gt;*[-]*",$F157:$F158,"&lt;&gt;*[-]*",$G157:$G158,"&lt;&gt;*[-]*",$H157:$H158,"*[+]*")</f>
        <v>0</v>
      </c>
      <c r="BB159" s="157"/>
      <c r="BC159" s="142">
        <f>SUMIFS(BC157:BC158,$I157:$I158,"&lt;&gt;"&amp;$I$29,$E157:$E158,"&lt;&gt;*[-]*",$F157:$F158,"&lt;&gt;*[-]*",$G157:$G158,"&lt;&gt;*[-]*",$H157:$H158,"*[+]*")</f>
        <v>0</v>
      </c>
      <c r="BD159" s="157"/>
      <c r="BE159" s="142">
        <f>SUMIFS(BE157:BE158,$I157:$I158,"&lt;&gt;"&amp;$I$29,$E157:$E158,"&lt;&gt;*[-]*",$F157:$F158,"&lt;&gt;*[-]*",$G157:$G158,"&lt;&gt;*[-]*",$H157:$H158,"*[+]*")</f>
        <v>0</v>
      </c>
      <c r="BF159" s="157"/>
      <c r="BG159" s="157">
        <f>IFERROR(($BA159-BC159)/ABS(BC159),0)</f>
        <v>0</v>
      </c>
      <c r="BH159" s="143">
        <f>($BA159-BC159)</f>
        <v>0</v>
      </c>
      <c r="BI159" s="157">
        <f>IFERROR(($BA159-BE159)/ABS(BE159),0)</f>
        <v>0</v>
      </c>
      <c r="BJ159" s="143">
        <f>($BA159-BE159)</f>
        <v>0</v>
      </c>
      <c r="BK159" s="143"/>
      <c r="BL159"/>
      <c r="BM159"/>
      <c r="BN159"/>
      <c r="BO159"/>
      <c r="BP159"/>
      <c r="BQ159"/>
      <c r="BR159"/>
      <c r="BS159"/>
      <c r="BT159"/>
    </row>
    <row r="160" spans="1:72" s="47" customFormat="1" hidden="1" x14ac:dyDescent="0.25">
      <c r="A160"/>
      <c r="B160" s="47" t="s">
        <v>1</v>
      </c>
      <c r="N160" s="156"/>
      <c r="P160" s="156"/>
      <c r="R160" s="156"/>
      <c r="T160" s="156"/>
      <c r="U160" s="156"/>
      <c r="V160" s="140"/>
      <c r="W160" s="156"/>
      <c r="X160" s="140"/>
      <c r="Y160" s="156"/>
      <c r="Z160" s="140"/>
      <c r="AA160" s="140"/>
      <c r="AF160" s="169"/>
      <c r="AG160" s="140"/>
      <c r="AH160" s="169"/>
      <c r="AI160" s="140"/>
      <c r="AJ160"/>
      <c r="AL160" s="156"/>
      <c r="AN160" s="156"/>
      <c r="AP160" s="156"/>
      <c r="AR160" s="156"/>
      <c r="AS160" s="156"/>
      <c r="AT160" s="140"/>
      <c r="AU160" s="156"/>
      <c r="AV160" s="140"/>
      <c r="AW160" s="156"/>
      <c r="AX160" s="140"/>
      <c r="AY160" s="140"/>
      <c r="AZ160"/>
      <c r="BB160" s="156"/>
      <c r="BD160" s="156"/>
      <c r="BF160" s="156"/>
      <c r="BG160" s="156"/>
      <c r="BH160" s="140"/>
      <c r="BI160" s="156"/>
      <c r="BJ160" s="140"/>
      <c r="BK160" s="140"/>
      <c r="BL160"/>
      <c r="BM160"/>
      <c r="BN160"/>
      <c r="BO160"/>
      <c r="BP160"/>
      <c r="BQ160"/>
      <c r="BR160"/>
      <c r="BS160"/>
      <c r="BT160"/>
    </row>
    <row r="161" spans="1:72" s="47" customFormat="1" ht="12.45" hidden="1" thickBot="1" x14ac:dyDescent="0.3">
      <c r="A161"/>
      <c r="B161" s="47" t="s">
        <v>1</v>
      </c>
      <c r="E161" s="132"/>
      <c r="F161" s="132"/>
      <c r="G161" s="132"/>
      <c r="H161" s="132" t="s">
        <v>117</v>
      </c>
      <c r="I161" s="132"/>
      <c r="J161" s="133"/>
      <c r="K161" s="133"/>
      <c r="L161" s="133"/>
      <c r="M161" s="133"/>
      <c r="N161" s="154"/>
      <c r="O161" s="133"/>
      <c r="P161" s="154"/>
      <c r="Q161" s="133"/>
      <c r="R161" s="154"/>
      <c r="S161" s="133"/>
      <c r="T161" s="154"/>
      <c r="U161" s="154"/>
      <c r="V161" s="134"/>
      <c r="W161" s="154"/>
      <c r="X161" s="134"/>
      <c r="Y161" s="154"/>
      <c r="Z161" s="134"/>
      <c r="AA161" s="134"/>
      <c r="AC161" s="133"/>
      <c r="AD161" s="133"/>
      <c r="AE161" s="133"/>
      <c r="AF161" s="171"/>
      <c r="AG161" s="134"/>
      <c r="AH161" s="171"/>
      <c r="AI161" s="134"/>
      <c r="AJ161"/>
      <c r="AK161" s="133"/>
      <c r="AL161" s="154"/>
      <c r="AM161" s="133"/>
      <c r="AN161" s="154"/>
      <c r="AO161" s="133"/>
      <c r="AP161" s="154"/>
      <c r="AQ161" s="133"/>
      <c r="AR161" s="154"/>
      <c r="AS161" s="154"/>
      <c r="AT161" s="134"/>
      <c r="AU161" s="154"/>
      <c r="AV161" s="134"/>
      <c r="AW161" s="154"/>
      <c r="AX161" s="134"/>
      <c r="AY161" s="134"/>
      <c r="AZ161"/>
      <c r="BA161" s="133"/>
      <c r="BB161" s="154"/>
      <c r="BC161" s="133"/>
      <c r="BD161" s="154"/>
      <c r="BE161" s="133"/>
      <c r="BF161" s="154"/>
      <c r="BG161" s="154"/>
      <c r="BH161" s="134"/>
      <c r="BI161" s="154"/>
      <c r="BJ161" s="134"/>
      <c r="BK161" s="134"/>
      <c r="BL161"/>
      <c r="BM161"/>
      <c r="BN161"/>
      <c r="BO161"/>
      <c r="BP161"/>
      <c r="BQ161"/>
      <c r="BR161"/>
      <c r="BS161"/>
      <c r="BT161"/>
    </row>
    <row r="162" spans="1:72" s="47" customFormat="1" ht="11.95" hidden="1" thickBot="1" x14ac:dyDescent="0.3">
      <c r="A162"/>
      <c r="B162" s="47" t="s">
        <v>1</v>
      </c>
      <c r="E162" s="135"/>
      <c r="F162" s="135"/>
      <c r="G162" s="135"/>
      <c r="H162" s="135" t="s">
        <v>6</v>
      </c>
      <c r="I162" s="136"/>
      <c r="J162" s="136"/>
      <c r="K162" s="136"/>
      <c r="L162" s="137"/>
      <c r="M162" s="138"/>
      <c r="N162" s="155"/>
      <c r="O162" s="138"/>
      <c r="P162" s="155"/>
      <c r="Q162" s="138"/>
      <c r="R162" s="155"/>
      <c r="S162" s="138"/>
      <c r="T162" s="155"/>
      <c r="U162" s="155">
        <f>IFERROR(($O162-M162)/ABS(M162),0)</f>
        <v>0</v>
      </c>
      <c r="V162" s="139">
        <f>($O162-M162)</f>
        <v>0</v>
      </c>
      <c r="W162" s="155">
        <f>IFERROR(($M162-Q162)/ABS(Q162),0)</f>
        <v>0</v>
      </c>
      <c r="X162" s="139">
        <f>($M162-Q162)</f>
        <v>0</v>
      </c>
      <c r="Y162" s="155">
        <f>IFERROR(($M162-S162)/ABS(S162),0)</f>
        <v>0</v>
      </c>
      <c r="Z162" s="139">
        <f>($M162-S162)</f>
        <v>0</v>
      </c>
      <c r="AA162" s="139"/>
      <c r="AC162" s="138"/>
      <c r="AD162" s="138"/>
      <c r="AE162" s="138"/>
      <c r="AF162" s="172">
        <f t="shared" ref="AF162" si="423">IFERROR(($AC162-AD162)/ABS(AD162),0)</f>
        <v>0</v>
      </c>
      <c r="AG162" s="139">
        <f>($AC162-AD162)</f>
        <v>0</v>
      </c>
      <c r="AH162" s="172">
        <f>IFERROR(($AC162-AE162)/ABS(AE162),0)</f>
        <v>0</v>
      </c>
      <c r="AI162" s="139">
        <f>($AC162-AE162)</f>
        <v>0</v>
      </c>
      <c r="AJ162"/>
      <c r="AK162" s="138"/>
      <c r="AL162" s="155"/>
      <c r="AM162" s="138"/>
      <c r="AN162" s="155"/>
      <c r="AO162" s="138"/>
      <c r="AP162" s="155"/>
      <c r="AQ162" s="138"/>
      <c r="AR162" s="155"/>
      <c r="AS162" s="155">
        <f>IFERROR(($O162-AK162)/ABS(AK162),0)</f>
        <v>0</v>
      </c>
      <c r="AT162" s="139">
        <f>($AK162-AM162)</f>
        <v>0</v>
      </c>
      <c r="AU162" s="155">
        <f>IFERROR(($M162-AO162)/ABS(AO162),0)</f>
        <v>0</v>
      </c>
      <c r="AV162" s="139">
        <f>($AK162-AO162)</f>
        <v>0</v>
      </c>
      <c r="AW162" s="155">
        <f>IFERROR(($M162-AQ162)/ABS(AQ162),0)</f>
        <v>0</v>
      </c>
      <c r="AX162" s="139">
        <f>($AK162-AQ162)</f>
        <v>0</v>
      </c>
      <c r="AY162" s="139"/>
      <c r="AZ162"/>
      <c r="BA162" s="138"/>
      <c r="BB162" s="155"/>
      <c r="BC162" s="138"/>
      <c r="BD162" s="155"/>
      <c r="BE162" s="138"/>
      <c r="BF162" s="155"/>
      <c r="BG162" s="155">
        <f>IFERROR(($BA162-BC162)/ABS(BC162),0)</f>
        <v>0</v>
      </c>
      <c r="BH162" s="139">
        <f>($BA162-BC162)</f>
        <v>0</v>
      </c>
      <c r="BI162" s="155">
        <f>IFERROR(($BA162-BE162)/ABS(BE162),0)</f>
        <v>0</v>
      </c>
      <c r="BJ162" s="139">
        <f>($BA162-BE162)</f>
        <v>0</v>
      </c>
      <c r="BK162" s="139"/>
      <c r="BL162"/>
      <c r="BM162"/>
      <c r="BN162"/>
      <c r="BO162"/>
      <c r="BP162"/>
      <c r="BQ162"/>
      <c r="BR162"/>
      <c r="BS162"/>
      <c r="BT162"/>
    </row>
    <row r="163" spans="1:72" s="47" customFormat="1" ht="11.95" hidden="1" thickBot="1" x14ac:dyDescent="0.3">
      <c r="A163"/>
      <c r="B163" s="47" t="s">
        <v>1</v>
      </c>
      <c r="N163" s="156"/>
      <c r="P163" s="156"/>
      <c r="R163" s="156"/>
      <c r="T163" s="156"/>
      <c r="U163" s="156"/>
      <c r="V163" s="140"/>
      <c r="W163" s="156"/>
      <c r="X163" s="140"/>
      <c r="Y163" s="156"/>
      <c r="Z163" s="140"/>
      <c r="AA163" s="140"/>
      <c r="AF163" s="169"/>
      <c r="AG163" s="140"/>
      <c r="AH163" s="169"/>
      <c r="AI163" s="140"/>
      <c r="AJ163"/>
      <c r="AL163" s="156"/>
      <c r="AN163" s="156"/>
      <c r="AP163" s="156"/>
      <c r="AR163" s="156"/>
      <c r="AS163" s="156"/>
      <c r="AT163" s="140"/>
      <c r="AU163" s="156"/>
      <c r="AV163" s="140"/>
      <c r="AW163" s="156"/>
      <c r="AX163" s="140"/>
      <c r="AY163" s="140"/>
      <c r="AZ163"/>
      <c r="BB163" s="156"/>
      <c r="BD163" s="156"/>
      <c r="BF163" s="156"/>
      <c r="BG163" s="156"/>
      <c r="BH163" s="140"/>
      <c r="BI163" s="156"/>
      <c r="BJ163" s="140"/>
      <c r="BK163" s="140"/>
      <c r="BL163"/>
      <c r="BM163"/>
      <c r="BN163"/>
      <c r="BO163"/>
      <c r="BP163"/>
      <c r="BQ163"/>
      <c r="BR163"/>
      <c r="BS163"/>
      <c r="BT163"/>
    </row>
    <row r="164" spans="1:72" s="47" customFormat="1" ht="11.95" hidden="1" x14ac:dyDescent="0.25">
      <c r="A164"/>
      <c r="B164" s="47" t="s">
        <v>1</v>
      </c>
      <c r="E164" s="141"/>
      <c r="F164" s="141"/>
      <c r="G164" s="141"/>
      <c r="H164" s="141" t="s">
        <v>89</v>
      </c>
      <c r="I164" s="142"/>
      <c r="J164" s="142"/>
      <c r="K164" s="142"/>
      <c r="L164" s="142">
        <v>1</v>
      </c>
      <c r="M164" s="142">
        <f>SUMIFS(M162:M163,$I162:$I163,"&lt;&gt;"&amp;$I$29,$E162:$E163,"&lt;&gt;*[-]*",$F162:$F163,"&lt;&gt;*[-]*",$G162:$G163,"&lt;&gt;*[-]*",$H162:$H163,"*[+]*")</f>
        <v>0</v>
      </c>
      <c r="N164" s="157"/>
      <c r="O164" s="142">
        <f>SUMIFS(O162:O163,$I162:$I163,"&lt;&gt;"&amp;$I$29,$E162:$E163,"&lt;&gt;*[-]*",$F162:$F163,"&lt;&gt;*[-]*",$G162:$G163,"&lt;&gt;*[-]*",$H162:$H163,"*[+]*")</f>
        <v>0</v>
      </c>
      <c r="P164" s="157"/>
      <c r="Q164" s="142">
        <f>SUMIFS(Q162:Q163,$I162:$I163,"&lt;&gt;"&amp;$I$29,$E162:$E163,"&lt;&gt;*[-]*",$F162:$F163,"&lt;&gt;*[-]*",$G162:$G163,"&lt;&gt;*[-]*",$H162:$H163,"*[+]*")</f>
        <v>0</v>
      </c>
      <c r="R164" s="157"/>
      <c r="S164" s="142">
        <f>SUMIFS(S162:S163,$I162:$I163,"&lt;&gt;"&amp;$I$29,$E162:$E163,"&lt;&gt;*[-]*",$F162:$F163,"&lt;&gt;*[-]*",$G162:$G163,"&lt;&gt;*[-]*",$H162:$H163,"*[+]*")</f>
        <v>0</v>
      </c>
      <c r="T164" s="157"/>
      <c r="U164" s="157">
        <f>IFERROR(($O164-M164)/ABS(M164),0)</f>
        <v>0</v>
      </c>
      <c r="V164" s="143">
        <f>($O164-M164)</f>
        <v>0</v>
      </c>
      <c r="W164" s="157">
        <f>IFERROR(($M164-Q164)/ABS(Q164),0)</f>
        <v>0</v>
      </c>
      <c r="X164" s="143">
        <f>($M164-Q164)</f>
        <v>0</v>
      </c>
      <c r="Y164" s="157">
        <f>IFERROR(($M164-S164)/ABS(S164),0)</f>
        <v>0</v>
      </c>
      <c r="Z164" s="143">
        <f>($M164-S164)</f>
        <v>0</v>
      </c>
      <c r="AA164" s="143"/>
      <c r="AC164" s="142">
        <f>SUMIFS(AC162:AC163,$I162:$I163,"&lt;&gt;"&amp;$I$29,$E162:$E163,"&lt;&gt;*[-]*",$F162:$F163,"&lt;&gt;*[-]*",$G162:$G163,"&lt;&gt;*[-]*",$H162:$H163,"&lt;&gt;*[-]*")</f>
        <v>0</v>
      </c>
      <c r="AD164" s="142">
        <f>SUMIFS(AD162:AD163,$I162:$I163,"&lt;&gt;"&amp;$I$29,$E162:$E163,"&lt;&gt;*[-]*",$F162:$F163,"&lt;&gt;*[-]*",$G162:$G163,"&lt;&gt;*[-]*",$H162:$H163,"&lt;&gt;*[-]*")</f>
        <v>0</v>
      </c>
      <c r="AE164" s="142">
        <f>SUMIFS(AE162:AE163,$I162:$I163,"&lt;&gt;"&amp;$I$29,$E162:$E163,"&lt;&gt;*[-]*",$F162:$F163,"&lt;&gt;*[-]*",$G162:$G163,"&lt;&gt;*[-]*",$H162:$H163,"&lt;&gt;*[-]*")</f>
        <v>0</v>
      </c>
      <c r="AF164" s="173">
        <f t="shared" ref="AF164" si="424">IFERROR(($AC164-AD164)/ABS(AD164),0)</f>
        <v>0</v>
      </c>
      <c r="AG164" s="143">
        <f>($AC164-AD164)</f>
        <v>0</v>
      </c>
      <c r="AH164" s="173">
        <f>IFERROR(($AC164-AE164)/ABS(AE164),0)</f>
        <v>0</v>
      </c>
      <c r="AI164" s="143">
        <f>($AC164-AE164)</f>
        <v>0</v>
      </c>
      <c r="AJ164"/>
      <c r="AK164" s="142">
        <f>SUMIFS(AK162:AK163,$I162:$I163,"&lt;&gt;"&amp;$I$29,$E162:$E163,"&lt;&gt;*[-]*",$F162:$F163,"&lt;&gt;*[-]*",$G162:$G163,"&lt;&gt;*[-]*",$H162:$H163,"*[+]*")</f>
        <v>0</v>
      </c>
      <c r="AL164" s="157"/>
      <c r="AM164" s="142"/>
      <c r="AN164" s="157"/>
      <c r="AO164" s="142"/>
      <c r="AP164" s="157"/>
      <c r="AQ164" s="142">
        <f>SUMIFS(AQ162:AQ163,$I162:$I163,"&lt;&gt;"&amp;$I$29,$E162:$E163,"&lt;&gt;*[-]*",$F162:$F163,"&lt;&gt;*[-]*",$G162:$G163,"&lt;&gt;*[-]*",$H162:$H163,"*[+]*")</f>
        <v>0</v>
      </c>
      <c r="AR164" s="157"/>
      <c r="AS164" s="157">
        <f>IFERROR(($O164-AK164)/ABS(AK164),0)</f>
        <v>0</v>
      </c>
      <c r="AT164" s="143">
        <f>($AK164-AM164)</f>
        <v>0</v>
      </c>
      <c r="AU164" s="157">
        <f>IFERROR(($M164-AO164)/ABS(AO164),0)</f>
        <v>0</v>
      </c>
      <c r="AV164" s="143">
        <f>($AK164-AO164)</f>
        <v>0</v>
      </c>
      <c r="AW164" s="157">
        <f>IFERROR(($M164-AQ164)/ABS(AQ164),0)</f>
        <v>0</v>
      </c>
      <c r="AX164" s="143">
        <f>($AK164-AQ164)</f>
        <v>0</v>
      </c>
      <c r="AY164" s="143"/>
      <c r="AZ164"/>
      <c r="BA164" s="142">
        <f>SUMIFS(BA162:BA163,$I162:$I163,"&lt;&gt;"&amp;$I$29,$E162:$E163,"&lt;&gt;*[-]*",$F162:$F163,"&lt;&gt;*[-]*",$G162:$G163,"&lt;&gt;*[-]*",$H162:$H163,"*[+]*")</f>
        <v>0</v>
      </c>
      <c r="BB164" s="157"/>
      <c r="BC164" s="142">
        <f>SUMIFS(BC162:BC163,$I162:$I163,"&lt;&gt;"&amp;$I$29,$E162:$E163,"&lt;&gt;*[-]*",$F162:$F163,"&lt;&gt;*[-]*",$G162:$G163,"&lt;&gt;*[-]*",$H162:$H163,"*[+]*")</f>
        <v>0</v>
      </c>
      <c r="BD164" s="157"/>
      <c r="BE164" s="142">
        <f>SUMIFS(BE162:BE163,$I162:$I163,"&lt;&gt;"&amp;$I$29,$E162:$E163,"&lt;&gt;*[-]*",$F162:$F163,"&lt;&gt;*[-]*",$G162:$G163,"&lt;&gt;*[-]*",$H162:$H163,"*[+]*")</f>
        <v>0</v>
      </c>
      <c r="BF164" s="157"/>
      <c r="BG164" s="157">
        <f>IFERROR(($BA164-BC164)/ABS(BC164),0)</f>
        <v>0</v>
      </c>
      <c r="BH164" s="143">
        <f>($BA164-BC164)</f>
        <v>0</v>
      </c>
      <c r="BI164" s="157">
        <f>IFERROR(($BA164-BE164)/ABS(BE164),0)</f>
        <v>0</v>
      </c>
      <c r="BJ164" s="143">
        <f>($BA164-BE164)</f>
        <v>0</v>
      </c>
      <c r="BK164" s="143"/>
      <c r="BL164"/>
      <c r="BM164"/>
      <c r="BN164"/>
      <c r="BO164"/>
      <c r="BP164"/>
      <c r="BQ164"/>
      <c r="BR164"/>
      <c r="BS164"/>
      <c r="BT164"/>
    </row>
    <row r="165" spans="1:72" s="47" customFormat="1" hidden="1" x14ac:dyDescent="0.25">
      <c r="A165"/>
      <c r="B165" s="47" t="s">
        <v>1</v>
      </c>
      <c r="N165" s="156"/>
      <c r="P165" s="156"/>
      <c r="R165" s="156"/>
      <c r="T165" s="156"/>
      <c r="U165" s="156"/>
      <c r="V165" s="140"/>
      <c r="W165" s="156"/>
      <c r="X165" s="140"/>
      <c r="Y165" s="156"/>
      <c r="Z165" s="140"/>
      <c r="AA165" s="140"/>
      <c r="AF165" s="169"/>
      <c r="AG165" s="140"/>
      <c r="AH165" s="169"/>
      <c r="AI165" s="140"/>
      <c r="AJ165"/>
      <c r="AL165" s="156"/>
      <c r="AN165" s="156"/>
      <c r="AP165" s="156"/>
      <c r="AR165" s="156"/>
      <c r="AS165" s="156"/>
      <c r="AT165" s="140"/>
      <c r="AU165" s="156"/>
      <c r="AV165" s="140"/>
      <c r="AW165" s="156"/>
      <c r="AX165" s="140"/>
      <c r="AY165" s="140"/>
      <c r="AZ165"/>
      <c r="BB165" s="156"/>
      <c r="BD165" s="156"/>
      <c r="BF165" s="156"/>
      <c r="BG165" s="156"/>
      <c r="BH165" s="140"/>
      <c r="BI165" s="156"/>
      <c r="BJ165" s="140"/>
      <c r="BK165" s="140"/>
      <c r="BL165"/>
      <c r="BM165"/>
      <c r="BN165"/>
      <c r="BO165"/>
      <c r="BP165"/>
      <c r="BQ165"/>
      <c r="BR165"/>
      <c r="BS165"/>
      <c r="BT165"/>
    </row>
    <row r="166" spans="1:72" s="47" customFormat="1" ht="12.45" hidden="1" thickBot="1" x14ac:dyDescent="0.3">
      <c r="A166"/>
      <c r="B166" s="47" t="s">
        <v>1</v>
      </c>
      <c r="E166" s="132"/>
      <c r="F166" s="132"/>
      <c r="G166" s="132"/>
      <c r="H166" s="132" t="s">
        <v>117</v>
      </c>
      <c r="I166" s="132"/>
      <c r="J166" s="133"/>
      <c r="K166" s="133"/>
      <c r="L166" s="133"/>
      <c r="M166" s="133"/>
      <c r="N166" s="154"/>
      <c r="O166" s="133"/>
      <c r="P166" s="154"/>
      <c r="Q166" s="133"/>
      <c r="R166" s="154"/>
      <c r="S166" s="133"/>
      <c r="T166" s="154"/>
      <c r="U166" s="154"/>
      <c r="V166" s="134"/>
      <c r="W166" s="154"/>
      <c r="X166" s="134"/>
      <c r="Y166" s="154"/>
      <c r="Z166" s="134"/>
      <c r="AA166" s="134"/>
      <c r="AC166" s="133"/>
      <c r="AD166" s="133"/>
      <c r="AE166" s="133"/>
      <c r="AF166" s="171"/>
      <c r="AG166" s="134"/>
      <c r="AH166" s="171"/>
      <c r="AI166" s="134"/>
      <c r="AJ166"/>
      <c r="AK166" s="133"/>
      <c r="AL166" s="154"/>
      <c r="AM166" s="133"/>
      <c r="AN166" s="154"/>
      <c r="AO166" s="133"/>
      <c r="AP166" s="154"/>
      <c r="AQ166" s="133"/>
      <c r="AR166" s="154"/>
      <c r="AS166" s="154"/>
      <c r="AT166" s="134"/>
      <c r="AU166" s="154"/>
      <c r="AV166" s="134"/>
      <c r="AW166" s="154"/>
      <c r="AX166" s="134"/>
      <c r="AY166" s="134"/>
      <c r="AZ166"/>
      <c r="BA166" s="133"/>
      <c r="BB166" s="154"/>
      <c r="BC166" s="133"/>
      <c r="BD166" s="154"/>
      <c r="BE166" s="133"/>
      <c r="BF166" s="154"/>
      <c r="BG166" s="154"/>
      <c r="BH166" s="134"/>
      <c r="BI166" s="154"/>
      <c r="BJ166" s="134"/>
      <c r="BK166" s="134"/>
      <c r="BL166"/>
      <c r="BM166"/>
      <c r="BN166"/>
      <c r="BO166"/>
      <c r="BP166"/>
      <c r="BQ166"/>
      <c r="BR166"/>
      <c r="BS166"/>
      <c r="BT166"/>
    </row>
    <row r="167" spans="1:72" s="47" customFormat="1" ht="11.95" hidden="1" thickBot="1" x14ac:dyDescent="0.3">
      <c r="A167"/>
      <c r="B167" s="47" t="s">
        <v>1</v>
      </c>
      <c r="E167" s="135"/>
      <c r="F167" s="135"/>
      <c r="G167" s="135"/>
      <c r="H167" s="135" t="s">
        <v>6</v>
      </c>
      <c r="I167" s="136"/>
      <c r="J167" s="136"/>
      <c r="K167" s="136"/>
      <c r="L167" s="137"/>
      <c r="M167" s="138"/>
      <c r="N167" s="155"/>
      <c r="O167" s="138"/>
      <c r="P167" s="155"/>
      <c r="Q167" s="138"/>
      <c r="R167" s="155"/>
      <c r="S167" s="138"/>
      <c r="T167" s="155"/>
      <c r="U167" s="155">
        <f>IFERROR(($O167-M167)/ABS(M167),0)</f>
        <v>0</v>
      </c>
      <c r="V167" s="139">
        <f>($O167-M167)</f>
        <v>0</v>
      </c>
      <c r="W167" s="155">
        <f>IFERROR(($M167-Q167)/ABS(Q167),0)</f>
        <v>0</v>
      </c>
      <c r="X167" s="139">
        <f>($M167-Q167)</f>
        <v>0</v>
      </c>
      <c r="Y167" s="155">
        <f>IFERROR(($M167-S167)/ABS(S167),0)</f>
        <v>0</v>
      </c>
      <c r="Z167" s="139">
        <f>($M167-S167)</f>
        <v>0</v>
      </c>
      <c r="AA167" s="139"/>
      <c r="AC167" s="138"/>
      <c r="AD167" s="138"/>
      <c r="AE167" s="138"/>
      <c r="AF167" s="172">
        <f t="shared" ref="AF167" si="425">IFERROR(($AC167-AD167)/ABS(AD167),0)</f>
        <v>0</v>
      </c>
      <c r="AG167" s="139">
        <f>($AC167-AD167)</f>
        <v>0</v>
      </c>
      <c r="AH167" s="172">
        <f>IFERROR(($AC167-AE167)/ABS(AE167),0)</f>
        <v>0</v>
      </c>
      <c r="AI167" s="139">
        <f>($AC167-AE167)</f>
        <v>0</v>
      </c>
      <c r="AJ167"/>
      <c r="AK167" s="138"/>
      <c r="AL167" s="155"/>
      <c r="AM167" s="138"/>
      <c r="AN167" s="155"/>
      <c r="AO167" s="138"/>
      <c r="AP167" s="155"/>
      <c r="AQ167" s="138"/>
      <c r="AR167" s="155"/>
      <c r="AS167" s="155">
        <f>IFERROR(($O167-AK167)/ABS(AK167),0)</f>
        <v>0</v>
      </c>
      <c r="AT167" s="139">
        <f>($AK167-AM167)</f>
        <v>0</v>
      </c>
      <c r="AU167" s="155">
        <f>IFERROR(($M167-AO167)/ABS(AO167),0)</f>
        <v>0</v>
      </c>
      <c r="AV167" s="139">
        <f>($AK167-AO167)</f>
        <v>0</v>
      </c>
      <c r="AW167" s="155">
        <f>IFERROR(($M167-AQ167)/ABS(AQ167),0)</f>
        <v>0</v>
      </c>
      <c r="AX167" s="139">
        <f>($AK167-AQ167)</f>
        <v>0</v>
      </c>
      <c r="AY167" s="139"/>
      <c r="AZ167"/>
      <c r="BA167" s="138"/>
      <c r="BB167" s="155"/>
      <c r="BC167" s="138"/>
      <c r="BD167" s="155"/>
      <c r="BE167" s="138"/>
      <c r="BF167" s="155"/>
      <c r="BG167" s="155">
        <f>IFERROR(($BA167-BC167)/ABS(BC167),0)</f>
        <v>0</v>
      </c>
      <c r="BH167" s="139">
        <f>($BA167-BC167)</f>
        <v>0</v>
      </c>
      <c r="BI167" s="155">
        <f>IFERROR(($BA167-BE167)/ABS(BE167),0)</f>
        <v>0</v>
      </c>
      <c r="BJ167" s="139">
        <f>($BA167-BE167)</f>
        <v>0</v>
      </c>
      <c r="BK167" s="139"/>
      <c r="BL167"/>
      <c r="BM167"/>
      <c r="BN167"/>
      <c r="BO167"/>
      <c r="BP167"/>
      <c r="BQ167"/>
      <c r="BR167"/>
      <c r="BS167"/>
      <c r="BT167"/>
    </row>
    <row r="168" spans="1:72" s="47" customFormat="1" ht="11.95" hidden="1" thickBot="1" x14ac:dyDescent="0.3">
      <c r="A168"/>
      <c r="B168" s="47" t="s">
        <v>1</v>
      </c>
      <c r="N168" s="156"/>
      <c r="P168" s="156"/>
      <c r="R168" s="156"/>
      <c r="T168" s="156"/>
      <c r="U168" s="156"/>
      <c r="V168" s="140"/>
      <c r="W168" s="156"/>
      <c r="X168" s="140"/>
      <c r="Y168" s="156"/>
      <c r="Z168" s="140"/>
      <c r="AA168" s="140"/>
      <c r="AF168" s="169"/>
      <c r="AG168" s="140"/>
      <c r="AH168" s="169"/>
      <c r="AI168" s="140"/>
      <c r="AJ168"/>
      <c r="AL168" s="156"/>
      <c r="AN168" s="156"/>
      <c r="AP168" s="156"/>
      <c r="AR168" s="156"/>
      <c r="AS168" s="156"/>
      <c r="AT168" s="140"/>
      <c r="AU168" s="156"/>
      <c r="AV168" s="140"/>
      <c r="AW168" s="156"/>
      <c r="AX168" s="140"/>
      <c r="AY168" s="140"/>
      <c r="AZ168"/>
      <c r="BB168" s="156"/>
      <c r="BD168" s="156"/>
      <c r="BF168" s="156"/>
      <c r="BG168" s="156"/>
      <c r="BH168" s="140"/>
      <c r="BI168" s="156"/>
      <c r="BJ168" s="140"/>
      <c r="BK168" s="140"/>
      <c r="BL168"/>
      <c r="BM168"/>
      <c r="BN168"/>
      <c r="BO168"/>
      <c r="BP168"/>
      <c r="BQ168"/>
      <c r="BR168"/>
      <c r="BS168"/>
      <c r="BT168"/>
    </row>
    <row r="169" spans="1:72" s="47" customFormat="1" ht="11.95" hidden="1" x14ac:dyDescent="0.25">
      <c r="A169"/>
      <c r="B169" s="47" t="s">
        <v>1</v>
      </c>
      <c r="E169" s="141"/>
      <c r="F169" s="141"/>
      <c r="G169" s="141"/>
      <c r="H169" s="141" t="s">
        <v>89</v>
      </c>
      <c r="I169" s="142"/>
      <c r="J169" s="142"/>
      <c r="K169" s="142"/>
      <c r="L169" s="142">
        <v>1</v>
      </c>
      <c r="M169" s="142">
        <f>SUMIFS(M167:M168,$I167:$I168,"&lt;&gt;"&amp;$I$29,$E167:$E168,"&lt;&gt;*[-]*",$F167:$F168,"&lt;&gt;*[-]*",$G167:$G168,"&lt;&gt;*[-]*",$H167:$H168,"*[+]*")</f>
        <v>0</v>
      </c>
      <c r="N169" s="157"/>
      <c r="O169" s="142">
        <f>SUMIFS(O167:O168,$I167:$I168,"&lt;&gt;"&amp;$I$29,$E167:$E168,"&lt;&gt;*[-]*",$F167:$F168,"&lt;&gt;*[-]*",$G167:$G168,"&lt;&gt;*[-]*",$H167:$H168,"*[+]*")</f>
        <v>0</v>
      </c>
      <c r="P169" s="157"/>
      <c r="Q169" s="142">
        <f>SUMIFS(Q167:Q168,$I167:$I168,"&lt;&gt;"&amp;$I$29,$E167:$E168,"&lt;&gt;*[-]*",$F167:$F168,"&lt;&gt;*[-]*",$G167:$G168,"&lt;&gt;*[-]*",$H167:$H168,"*[+]*")</f>
        <v>0</v>
      </c>
      <c r="R169" s="157"/>
      <c r="S169" s="142">
        <f>SUMIFS(S167:S168,$I167:$I168,"&lt;&gt;"&amp;$I$29,$E167:$E168,"&lt;&gt;*[-]*",$F167:$F168,"&lt;&gt;*[-]*",$G167:$G168,"&lt;&gt;*[-]*",$H167:$H168,"*[+]*")</f>
        <v>0</v>
      </c>
      <c r="T169" s="157"/>
      <c r="U169" s="157">
        <f>IFERROR(($O169-M169)/ABS(M169),0)</f>
        <v>0</v>
      </c>
      <c r="V169" s="143">
        <f>($O169-M169)</f>
        <v>0</v>
      </c>
      <c r="W169" s="157">
        <f>IFERROR(($M169-Q169)/ABS(Q169),0)</f>
        <v>0</v>
      </c>
      <c r="X169" s="143">
        <f>($M169-Q169)</f>
        <v>0</v>
      </c>
      <c r="Y169" s="157">
        <f>IFERROR(($M169-S169)/ABS(S169),0)</f>
        <v>0</v>
      </c>
      <c r="Z169" s="143">
        <f>($M169-S169)</f>
        <v>0</v>
      </c>
      <c r="AA169" s="143"/>
      <c r="AC169" s="142">
        <f>SUMIFS(AC167:AC168,$I167:$I168,"&lt;&gt;"&amp;$I$29,$E167:$E168,"&lt;&gt;*[-]*",$F167:$F168,"&lt;&gt;*[-]*",$G167:$G168,"&lt;&gt;*[-]*",$H167:$H168,"&lt;&gt;*[-]*")</f>
        <v>0</v>
      </c>
      <c r="AD169" s="142">
        <f>SUMIFS(AD167:AD168,$I167:$I168,"&lt;&gt;"&amp;$I$29,$E167:$E168,"&lt;&gt;*[-]*",$F167:$F168,"&lt;&gt;*[-]*",$G167:$G168,"&lt;&gt;*[-]*",$H167:$H168,"&lt;&gt;*[-]*")</f>
        <v>0</v>
      </c>
      <c r="AE169" s="142">
        <f>SUMIFS(AE167:AE168,$I167:$I168,"&lt;&gt;"&amp;$I$29,$E167:$E168,"&lt;&gt;*[-]*",$F167:$F168,"&lt;&gt;*[-]*",$G167:$G168,"&lt;&gt;*[-]*",$H167:$H168,"&lt;&gt;*[-]*")</f>
        <v>0</v>
      </c>
      <c r="AF169" s="173">
        <f t="shared" ref="AF169" si="426">IFERROR(($AC169-AD169)/ABS(AD169),0)</f>
        <v>0</v>
      </c>
      <c r="AG169" s="143">
        <f>($AC169-AD169)</f>
        <v>0</v>
      </c>
      <c r="AH169" s="173">
        <f>IFERROR(($AC169-AE169)/ABS(AE169),0)</f>
        <v>0</v>
      </c>
      <c r="AI169" s="143">
        <f>($AC169-AE169)</f>
        <v>0</v>
      </c>
      <c r="AJ169"/>
      <c r="AK169" s="142">
        <f>SUMIFS(AK167:AK168,$I167:$I168,"&lt;&gt;"&amp;$I$29,$E167:$E168,"&lt;&gt;*[-]*",$F167:$F168,"&lt;&gt;*[-]*",$G167:$G168,"&lt;&gt;*[-]*",$H167:$H168,"*[+]*")</f>
        <v>0</v>
      </c>
      <c r="AL169" s="157"/>
      <c r="AM169" s="142"/>
      <c r="AN169" s="157"/>
      <c r="AO169" s="142"/>
      <c r="AP169" s="157"/>
      <c r="AQ169" s="142">
        <f>SUMIFS(AQ167:AQ168,$I167:$I168,"&lt;&gt;"&amp;$I$29,$E167:$E168,"&lt;&gt;*[-]*",$F167:$F168,"&lt;&gt;*[-]*",$G167:$G168,"&lt;&gt;*[-]*",$H167:$H168,"*[+]*")</f>
        <v>0</v>
      </c>
      <c r="AR169" s="157"/>
      <c r="AS169" s="157">
        <f>IFERROR(($O169-AK169)/ABS(AK169),0)</f>
        <v>0</v>
      </c>
      <c r="AT169" s="143">
        <f>($AK169-AM169)</f>
        <v>0</v>
      </c>
      <c r="AU169" s="157">
        <f>IFERROR(($M169-AO169)/ABS(AO169),0)</f>
        <v>0</v>
      </c>
      <c r="AV169" s="143">
        <f>($AK169-AO169)</f>
        <v>0</v>
      </c>
      <c r="AW169" s="157">
        <f>IFERROR(($M169-AQ169)/ABS(AQ169),0)</f>
        <v>0</v>
      </c>
      <c r="AX169" s="143">
        <f>($AK169-AQ169)</f>
        <v>0</v>
      </c>
      <c r="AY169" s="143"/>
      <c r="AZ169"/>
      <c r="BA169" s="142">
        <f>SUMIFS(BA167:BA168,$I167:$I168,"&lt;&gt;"&amp;$I$29,$E167:$E168,"&lt;&gt;*[-]*",$F167:$F168,"&lt;&gt;*[-]*",$G167:$G168,"&lt;&gt;*[-]*",$H167:$H168,"*[+]*")</f>
        <v>0</v>
      </c>
      <c r="BB169" s="157"/>
      <c r="BC169" s="142">
        <f>SUMIFS(BC167:BC168,$I167:$I168,"&lt;&gt;"&amp;$I$29,$E167:$E168,"&lt;&gt;*[-]*",$F167:$F168,"&lt;&gt;*[-]*",$G167:$G168,"&lt;&gt;*[-]*",$H167:$H168,"*[+]*")</f>
        <v>0</v>
      </c>
      <c r="BD169" s="157"/>
      <c r="BE169" s="142">
        <f>SUMIFS(BE167:BE168,$I167:$I168,"&lt;&gt;"&amp;$I$29,$E167:$E168,"&lt;&gt;*[-]*",$F167:$F168,"&lt;&gt;*[-]*",$G167:$G168,"&lt;&gt;*[-]*",$H167:$H168,"*[+]*")</f>
        <v>0</v>
      </c>
      <c r="BF169" s="157"/>
      <c r="BG169" s="157">
        <f>IFERROR(($BA169-BC169)/ABS(BC169),0)</f>
        <v>0</v>
      </c>
      <c r="BH169" s="143">
        <f>($BA169-BC169)</f>
        <v>0</v>
      </c>
      <c r="BI169" s="157">
        <f>IFERROR(($BA169-BE169)/ABS(BE169),0)</f>
        <v>0</v>
      </c>
      <c r="BJ169" s="143">
        <f>($BA169-BE169)</f>
        <v>0</v>
      </c>
      <c r="BK169" s="143"/>
      <c r="BL169"/>
      <c r="BM169"/>
      <c r="BN169"/>
      <c r="BO169"/>
      <c r="BP169"/>
      <c r="BQ169"/>
      <c r="BR169"/>
      <c r="BS169"/>
      <c r="BT169"/>
    </row>
    <row r="170" spans="1:72" s="47" customFormat="1" hidden="1" x14ac:dyDescent="0.25">
      <c r="A170"/>
      <c r="B170" s="47" t="s">
        <v>1</v>
      </c>
      <c r="N170" s="156"/>
      <c r="P170" s="156"/>
      <c r="R170" s="156"/>
      <c r="T170" s="156"/>
      <c r="U170" s="156"/>
      <c r="V170" s="140"/>
      <c r="W170" s="156"/>
      <c r="X170" s="140"/>
      <c r="Y170" s="156"/>
      <c r="Z170" s="140"/>
      <c r="AA170" s="140"/>
      <c r="AF170" s="169"/>
      <c r="AG170" s="140"/>
      <c r="AH170" s="169"/>
      <c r="AI170" s="140"/>
      <c r="AJ170"/>
      <c r="AL170" s="156"/>
      <c r="AN170" s="156"/>
      <c r="AP170" s="156"/>
      <c r="AR170" s="156"/>
      <c r="AS170" s="156"/>
      <c r="AT170" s="140"/>
      <c r="AU170" s="156"/>
      <c r="AV170" s="140"/>
      <c r="AW170" s="156"/>
      <c r="AX170" s="140"/>
      <c r="AY170" s="140"/>
      <c r="AZ170"/>
      <c r="BB170" s="156"/>
      <c r="BD170" s="156"/>
      <c r="BF170" s="156"/>
      <c r="BG170" s="156"/>
      <c r="BH170" s="140"/>
      <c r="BI170" s="156"/>
      <c r="BJ170" s="140"/>
      <c r="BK170" s="140"/>
      <c r="BL170"/>
      <c r="BM170"/>
      <c r="BN170"/>
      <c r="BO170"/>
      <c r="BP170"/>
      <c r="BQ170"/>
      <c r="BR170"/>
      <c r="BS170"/>
      <c r="BT170"/>
    </row>
    <row r="171" spans="1:72" s="47" customFormat="1" ht="12.45" hidden="1" thickBot="1" x14ac:dyDescent="0.3">
      <c r="A171"/>
      <c r="B171" s="47" t="s">
        <v>1</v>
      </c>
      <c r="E171" s="132"/>
      <c r="F171" s="132"/>
      <c r="G171" s="132"/>
      <c r="H171" s="132" t="s">
        <v>117</v>
      </c>
      <c r="I171" s="132"/>
      <c r="J171" s="133"/>
      <c r="K171" s="133"/>
      <c r="L171" s="133"/>
      <c r="M171" s="133"/>
      <c r="N171" s="154"/>
      <c r="O171" s="133"/>
      <c r="P171" s="154"/>
      <c r="Q171" s="133"/>
      <c r="R171" s="154"/>
      <c r="S171" s="133"/>
      <c r="T171" s="154"/>
      <c r="U171" s="154"/>
      <c r="V171" s="134"/>
      <c r="W171" s="154"/>
      <c r="X171" s="134"/>
      <c r="Y171" s="154"/>
      <c r="Z171" s="134"/>
      <c r="AA171" s="134"/>
      <c r="AC171" s="133"/>
      <c r="AD171" s="133"/>
      <c r="AE171" s="133"/>
      <c r="AF171" s="171"/>
      <c r="AG171" s="134"/>
      <c r="AH171" s="171"/>
      <c r="AI171" s="134"/>
      <c r="AJ171"/>
      <c r="AK171" s="133"/>
      <c r="AL171" s="154"/>
      <c r="AM171" s="133"/>
      <c r="AN171" s="154"/>
      <c r="AO171" s="133"/>
      <c r="AP171" s="154"/>
      <c r="AQ171" s="133"/>
      <c r="AR171" s="154"/>
      <c r="AS171" s="154"/>
      <c r="AT171" s="134"/>
      <c r="AU171" s="154"/>
      <c r="AV171" s="134"/>
      <c r="AW171" s="154"/>
      <c r="AX171" s="134"/>
      <c r="AY171" s="134"/>
      <c r="AZ171"/>
      <c r="BA171" s="133"/>
      <c r="BB171" s="154"/>
      <c r="BC171" s="133"/>
      <c r="BD171" s="154"/>
      <c r="BE171" s="133"/>
      <c r="BF171" s="154"/>
      <c r="BG171" s="154"/>
      <c r="BH171" s="134"/>
      <c r="BI171" s="154"/>
      <c r="BJ171" s="134"/>
      <c r="BK171" s="134"/>
      <c r="BL171"/>
      <c r="BM171"/>
      <c r="BN171"/>
      <c r="BO171"/>
      <c r="BP171"/>
      <c r="BQ171"/>
      <c r="BR171"/>
      <c r="BS171"/>
      <c r="BT171"/>
    </row>
    <row r="172" spans="1:72" s="47" customFormat="1" ht="11.95" hidden="1" thickBot="1" x14ac:dyDescent="0.3">
      <c r="A172"/>
      <c r="B172" s="47" t="s">
        <v>1</v>
      </c>
      <c r="E172" s="135"/>
      <c r="F172" s="135"/>
      <c r="G172" s="135"/>
      <c r="H172" s="135" t="s">
        <v>6</v>
      </c>
      <c r="I172" s="136"/>
      <c r="J172" s="136"/>
      <c r="K172" s="136"/>
      <c r="L172" s="137"/>
      <c r="M172" s="138"/>
      <c r="N172" s="155"/>
      <c r="O172" s="138"/>
      <c r="P172" s="155"/>
      <c r="Q172" s="138"/>
      <c r="R172" s="155"/>
      <c r="S172" s="138"/>
      <c r="T172" s="155"/>
      <c r="U172" s="155">
        <f>IFERROR(($O172-M172)/ABS(M172),0)</f>
        <v>0</v>
      </c>
      <c r="V172" s="139">
        <f>($O172-M172)</f>
        <v>0</v>
      </c>
      <c r="W172" s="155">
        <f>IFERROR(($M172-Q172)/ABS(Q172),0)</f>
        <v>0</v>
      </c>
      <c r="X172" s="139">
        <f>($M172-Q172)</f>
        <v>0</v>
      </c>
      <c r="Y172" s="155">
        <f>IFERROR(($M172-S172)/ABS(S172),0)</f>
        <v>0</v>
      </c>
      <c r="Z172" s="139">
        <f>($M172-S172)</f>
        <v>0</v>
      </c>
      <c r="AA172" s="139"/>
      <c r="AC172" s="138"/>
      <c r="AD172" s="138"/>
      <c r="AE172" s="138"/>
      <c r="AF172" s="172">
        <f t="shared" ref="AF172" si="427">IFERROR(($AC172-AD172)/ABS(AD172),0)</f>
        <v>0</v>
      </c>
      <c r="AG172" s="139">
        <f>($AC172-AD172)</f>
        <v>0</v>
      </c>
      <c r="AH172" s="172">
        <f>IFERROR(($AC172-AE172)/ABS(AE172),0)</f>
        <v>0</v>
      </c>
      <c r="AI172" s="139">
        <f>($AC172-AE172)</f>
        <v>0</v>
      </c>
      <c r="AJ172"/>
      <c r="AK172" s="138"/>
      <c r="AL172" s="155"/>
      <c r="AM172" s="138"/>
      <c r="AN172" s="155"/>
      <c r="AO172" s="138"/>
      <c r="AP172" s="155"/>
      <c r="AQ172" s="138"/>
      <c r="AR172" s="155"/>
      <c r="AS172" s="155">
        <f>IFERROR(($O172-AK172)/ABS(AK172),0)</f>
        <v>0</v>
      </c>
      <c r="AT172" s="139">
        <f>($AK172-AM172)</f>
        <v>0</v>
      </c>
      <c r="AU172" s="155">
        <f>IFERROR(($M172-AO172)/ABS(AO172),0)</f>
        <v>0</v>
      </c>
      <c r="AV172" s="139">
        <f>($AK172-AO172)</f>
        <v>0</v>
      </c>
      <c r="AW172" s="155">
        <f>IFERROR(($M172-AQ172)/ABS(AQ172),0)</f>
        <v>0</v>
      </c>
      <c r="AX172" s="139">
        <f>($AK172-AQ172)</f>
        <v>0</v>
      </c>
      <c r="AY172" s="139"/>
      <c r="AZ172"/>
      <c r="BA172" s="138"/>
      <c r="BB172" s="155"/>
      <c r="BC172" s="138"/>
      <c r="BD172" s="155"/>
      <c r="BE172" s="138"/>
      <c r="BF172" s="155"/>
      <c r="BG172" s="155">
        <f>IFERROR(($BA172-BC172)/ABS(BC172),0)</f>
        <v>0</v>
      </c>
      <c r="BH172" s="139">
        <f>($BA172-BC172)</f>
        <v>0</v>
      </c>
      <c r="BI172" s="155">
        <f>IFERROR(($BA172-BE172)/ABS(BE172),0)</f>
        <v>0</v>
      </c>
      <c r="BJ172" s="139">
        <f>($BA172-BE172)</f>
        <v>0</v>
      </c>
      <c r="BK172" s="139"/>
      <c r="BL172"/>
      <c r="BM172"/>
      <c r="BN172"/>
      <c r="BO172"/>
      <c r="BP172"/>
      <c r="BQ172"/>
      <c r="BR172"/>
      <c r="BS172"/>
      <c r="BT172"/>
    </row>
    <row r="173" spans="1:72" s="47" customFormat="1" ht="11.95" hidden="1" thickBot="1" x14ac:dyDescent="0.3">
      <c r="A173"/>
      <c r="B173" s="47" t="s">
        <v>1</v>
      </c>
      <c r="N173" s="156"/>
      <c r="P173" s="156"/>
      <c r="R173" s="156"/>
      <c r="T173" s="156"/>
      <c r="U173" s="156"/>
      <c r="V173" s="140"/>
      <c r="W173" s="156"/>
      <c r="X173" s="140"/>
      <c r="Y173" s="156"/>
      <c r="Z173" s="140"/>
      <c r="AA173" s="140"/>
      <c r="AF173" s="169"/>
      <c r="AG173" s="140"/>
      <c r="AH173" s="169"/>
      <c r="AI173" s="140"/>
      <c r="AJ173"/>
      <c r="AL173" s="156"/>
      <c r="AN173" s="156"/>
      <c r="AP173" s="156"/>
      <c r="AR173" s="156"/>
      <c r="AS173" s="156"/>
      <c r="AT173" s="140"/>
      <c r="AU173" s="156"/>
      <c r="AV173" s="140"/>
      <c r="AW173" s="156"/>
      <c r="AX173" s="140"/>
      <c r="AY173" s="140"/>
      <c r="AZ173"/>
      <c r="BB173" s="156"/>
      <c r="BD173" s="156"/>
      <c r="BF173" s="156"/>
      <c r="BG173" s="156"/>
      <c r="BH173" s="140"/>
      <c r="BI173" s="156"/>
      <c r="BJ173" s="140"/>
      <c r="BK173" s="140"/>
      <c r="BL173"/>
      <c r="BM173"/>
      <c r="BN173"/>
      <c r="BO173"/>
      <c r="BP173"/>
      <c r="BQ173"/>
      <c r="BR173"/>
      <c r="BS173"/>
      <c r="BT173"/>
    </row>
    <row r="174" spans="1:72" s="47" customFormat="1" ht="11.95" hidden="1" x14ac:dyDescent="0.25">
      <c r="A174"/>
      <c r="B174" s="47" t="s">
        <v>1</v>
      </c>
      <c r="E174" s="141"/>
      <c r="F174" s="141"/>
      <c r="G174" s="141"/>
      <c r="H174" s="141" t="s">
        <v>89</v>
      </c>
      <c r="I174" s="142"/>
      <c r="J174" s="142"/>
      <c r="K174" s="142"/>
      <c r="L174" s="142">
        <v>1</v>
      </c>
      <c r="M174" s="142">
        <f>SUMIFS(M172:M173,$I172:$I173,"&lt;&gt;"&amp;$I$29,$E172:$E173,"&lt;&gt;*[-]*",$F172:$F173,"&lt;&gt;*[-]*",$G172:$G173,"&lt;&gt;*[-]*",$H172:$H173,"*[+]*")</f>
        <v>0</v>
      </c>
      <c r="N174" s="157"/>
      <c r="O174" s="142">
        <f>SUMIFS(O172:O173,$I172:$I173,"&lt;&gt;"&amp;$I$29,$E172:$E173,"&lt;&gt;*[-]*",$F172:$F173,"&lt;&gt;*[-]*",$G172:$G173,"&lt;&gt;*[-]*",$H172:$H173,"*[+]*")</f>
        <v>0</v>
      </c>
      <c r="P174" s="157"/>
      <c r="Q174" s="142">
        <f>SUMIFS(Q172:Q173,$I172:$I173,"&lt;&gt;"&amp;$I$29,$E172:$E173,"&lt;&gt;*[-]*",$F172:$F173,"&lt;&gt;*[-]*",$G172:$G173,"&lt;&gt;*[-]*",$H172:$H173,"*[+]*")</f>
        <v>0</v>
      </c>
      <c r="R174" s="157"/>
      <c r="S174" s="142">
        <f>SUMIFS(S172:S173,$I172:$I173,"&lt;&gt;"&amp;$I$29,$E172:$E173,"&lt;&gt;*[-]*",$F172:$F173,"&lt;&gt;*[-]*",$G172:$G173,"&lt;&gt;*[-]*",$H172:$H173,"*[+]*")</f>
        <v>0</v>
      </c>
      <c r="T174" s="157"/>
      <c r="U174" s="157">
        <f>IFERROR(($O174-M174)/ABS(M174),0)</f>
        <v>0</v>
      </c>
      <c r="V174" s="143">
        <f>($O174-M174)</f>
        <v>0</v>
      </c>
      <c r="W174" s="157">
        <f>IFERROR(($M174-Q174)/ABS(Q174),0)</f>
        <v>0</v>
      </c>
      <c r="X174" s="143">
        <f>($M174-Q174)</f>
        <v>0</v>
      </c>
      <c r="Y174" s="157">
        <f>IFERROR(($M174-S174)/ABS(S174),0)</f>
        <v>0</v>
      </c>
      <c r="Z174" s="143">
        <f>($M174-S174)</f>
        <v>0</v>
      </c>
      <c r="AA174" s="143"/>
      <c r="AC174" s="142">
        <f>SUMIFS(AC172:AC173,$I172:$I173,"&lt;&gt;"&amp;$I$29,$E172:$E173,"&lt;&gt;*[-]*",$F172:$F173,"&lt;&gt;*[-]*",$G172:$G173,"&lt;&gt;*[-]*",$H172:$H173,"&lt;&gt;*[-]*")</f>
        <v>0</v>
      </c>
      <c r="AD174" s="142">
        <f>SUMIFS(AD172:AD173,$I172:$I173,"&lt;&gt;"&amp;$I$29,$E172:$E173,"&lt;&gt;*[-]*",$F172:$F173,"&lt;&gt;*[-]*",$G172:$G173,"&lt;&gt;*[-]*",$H172:$H173,"&lt;&gt;*[-]*")</f>
        <v>0</v>
      </c>
      <c r="AE174" s="142">
        <f>SUMIFS(AE172:AE173,$I172:$I173,"&lt;&gt;"&amp;$I$29,$E172:$E173,"&lt;&gt;*[-]*",$F172:$F173,"&lt;&gt;*[-]*",$G172:$G173,"&lt;&gt;*[-]*",$H172:$H173,"&lt;&gt;*[-]*")</f>
        <v>0</v>
      </c>
      <c r="AF174" s="173">
        <f t="shared" ref="AF174" si="428">IFERROR(($AC174-AD174)/ABS(AD174),0)</f>
        <v>0</v>
      </c>
      <c r="AG174" s="143">
        <f>($AC174-AD174)</f>
        <v>0</v>
      </c>
      <c r="AH174" s="173">
        <f>IFERROR(($AC174-AE174)/ABS(AE174),0)</f>
        <v>0</v>
      </c>
      <c r="AI174" s="143">
        <f>($AC174-AE174)</f>
        <v>0</v>
      </c>
      <c r="AJ174"/>
      <c r="AK174" s="142">
        <f>SUMIFS(AK172:AK173,$I172:$I173,"&lt;&gt;"&amp;$I$29,$E172:$E173,"&lt;&gt;*[-]*",$F172:$F173,"&lt;&gt;*[-]*",$G172:$G173,"&lt;&gt;*[-]*",$H172:$H173,"*[+]*")</f>
        <v>0</v>
      </c>
      <c r="AL174" s="157"/>
      <c r="AM174" s="142"/>
      <c r="AN174" s="157"/>
      <c r="AO174" s="142"/>
      <c r="AP174" s="157"/>
      <c r="AQ174" s="142">
        <f>SUMIFS(AQ172:AQ173,$I172:$I173,"&lt;&gt;"&amp;$I$29,$E172:$E173,"&lt;&gt;*[-]*",$F172:$F173,"&lt;&gt;*[-]*",$G172:$G173,"&lt;&gt;*[-]*",$H172:$H173,"*[+]*")</f>
        <v>0</v>
      </c>
      <c r="AR174" s="157"/>
      <c r="AS174" s="157">
        <f>IFERROR(($O174-AK174)/ABS(AK174),0)</f>
        <v>0</v>
      </c>
      <c r="AT174" s="143">
        <f>($AK174-AM174)</f>
        <v>0</v>
      </c>
      <c r="AU174" s="157">
        <f>IFERROR(($M174-AO174)/ABS(AO174),0)</f>
        <v>0</v>
      </c>
      <c r="AV174" s="143">
        <f>($AK174-AO174)</f>
        <v>0</v>
      </c>
      <c r="AW174" s="157">
        <f>IFERROR(($M174-AQ174)/ABS(AQ174),0)</f>
        <v>0</v>
      </c>
      <c r="AX174" s="143">
        <f>($AK174-AQ174)</f>
        <v>0</v>
      </c>
      <c r="AY174" s="143"/>
      <c r="AZ174"/>
      <c r="BA174" s="142">
        <f>SUMIFS(BA172:BA173,$I172:$I173,"&lt;&gt;"&amp;$I$29,$E172:$E173,"&lt;&gt;*[-]*",$F172:$F173,"&lt;&gt;*[-]*",$G172:$G173,"&lt;&gt;*[-]*",$H172:$H173,"*[+]*")</f>
        <v>0</v>
      </c>
      <c r="BB174" s="157"/>
      <c r="BC174" s="142">
        <f>SUMIFS(BC172:BC173,$I172:$I173,"&lt;&gt;"&amp;$I$29,$E172:$E173,"&lt;&gt;*[-]*",$F172:$F173,"&lt;&gt;*[-]*",$G172:$G173,"&lt;&gt;*[-]*",$H172:$H173,"*[+]*")</f>
        <v>0</v>
      </c>
      <c r="BD174" s="157"/>
      <c r="BE174" s="142">
        <f>SUMIFS(BE172:BE173,$I172:$I173,"&lt;&gt;"&amp;$I$29,$E172:$E173,"&lt;&gt;*[-]*",$F172:$F173,"&lt;&gt;*[-]*",$G172:$G173,"&lt;&gt;*[-]*",$H172:$H173,"*[+]*")</f>
        <v>0</v>
      </c>
      <c r="BF174" s="157"/>
      <c r="BG174" s="157">
        <f>IFERROR(($BA174-BC174)/ABS(BC174),0)</f>
        <v>0</v>
      </c>
      <c r="BH174" s="143">
        <f>($BA174-BC174)</f>
        <v>0</v>
      </c>
      <c r="BI174" s="157">
        <f>IFERROR(($BA174-BE174)/ABS(BE174),0)</f>
        <v>0</v>
      </c>
      <c r="BJ174" s="143">
        <f>($BA174-BE174)</f>
        <v>0</v>
      </c>
      <c r="BK174" s="143"/>
      <c r="BL174"/>
      <c r="BM174"/>
      <c r="BN174"/>
      <c r="BO174"/>
      <c r="BP174"/>
      <c r="BQ174"/>
      <c r="BR174"/>
      <c r="BS174"/>
      <c r="BT174"/>
    </row>
    <row r="175" spans="1:72" s="47" customFormat="1" hidden="1" x14ac:dyDescent="0.25">
      <c r="A175"/>
      <c r="B175" s="47" t="s">
        <v>1</v>
      </c>
      <c r="N175" s="156"/>
      <c r="P175" s="156"/>
      <c r="R175" s="156"/>
      <c r="T175" s="156"/>
      <c r="U175" s="156"/>
      <c r="V175" s="140"/>
      <c r="W175" s="156"/>
      <c r="X175" s="140"/>
      <c r="Y175" s="156"/>
      <c r="Z175" s="140"/>
      <c r="AA175" s="140"/>
      <c r="AF175" s="169"/>
      <c r="AG175" s="140"/>
      <c r="AH175" s="169"/>
      <c r="AI175" s="140"/>
      <c r="AJ175"/>
      <c r="AL175" s="156"/>
      <c r="AN175" s="156"/>
      <c r="AP175" s="156"/>
      <c r="AR175" s="156"/>
      <c r="AS175" s="156"/>
      <c r="AT175" s="140"/>
      <c r="AU175" s="156"/>
      <c r="AV175" s="140"/>
      <c r="AW175" s="156"/>
      <c r="AX175" s="140"/>
      <c r="AY175" s="140"/>
      <c r="AZ175"/>
      <c r="BB175" s="156"/>
      <c r="BD175" s="156"/>
      <c r="BF175" s="156"/>
      <c r="BG175" s="156"/>
      <c r="BH175" s="140"/>
      <c r="BI175" s="156"/>
      <c r="BJ175" s="140"/>
      <c r="BK175" s="140"/>
      <c r="BL175"/>
      <c r="BM175"/>
      <c r="BN175"/>
      <c r="BO175"/>
      <c r="BP175"/>
      <c r="BQ175"/>
      <c r="BR175"/>
      <c r="BS175"/>
      <c r="BT175"/>
    </row>
    <row r="176" spans="1:72" s="47" customFormat="1" ht="12.45" hidden="1" thickBot="1" x14ac:dyDescent="0.3">
      <c r="A176"/>
      <c r="B176" s="47" t="s">
        <v>1</v>
      </c>
      <c r="E176" s="132"/>
      <c r="F176" s="132"/>
      <c r="G176" s="132"/>
      <c r="H176" s="132" t="s">
        <v>117</v>
      </c>
      <c r="I176" s="132"/>
      <c r="J176" s="133"/>
      <c r="K176" s="133"/>
      <c r="L176" s="133"/>
      <c r="M176" s="133"/>
      <c r="N176" s="154"/>
      <c r="O176" s="133"/>
      <c r="P176" s="154"/>
      <c r="Q176" s="133"/>
      <c r="R176" s="154"/>
      <c r="S176" s="133"/>
      <c r="T176" s="154"/>
      <c r="U176" s="154"/>
      <c r="V176" s="134"/>
      <c r="W176" s="154"/>
      <c r="X176" s="134"/>
      <c r="Y176" s="154"/>
      <c r="Z176" s="134"/>
      <c r="AA176" s="134"/>
      <c r="AC176" s="133"/>
      <c r="AD176" s="133"/>
      <c r="AE176" s="133"/>
      <c r="AF176" s="171"/>
      <c r="AG176" s="134"/>
      <c r="AH176" s="171"/>
      <c r="AI176" s="134"/>
      <c r="AJ176"/>
      <c r="AK176" s="133"/>
      <c r="AL176" s="154"/>
      <c r="AM176" s="133"/>
      <c r="AN176" s="154"/>
      <c r="AO176" s="133"/>
      <c r="AP176" s="154"/>
      <c r="AQ176" s="133"/>
      <c r="AR176" s="154"/>
      <c r="AS176" s="154"/>
      <c r="AT176" s="134"/>
      <c r="AU176" s="154"/>
      <c r="AV176" s="134"/>
      <c r="AW176" s="154"/>
      <c r="AX176" s="134"/>
      <c r="AY176" s="134"/>
      <c r="AZ176"/>
      <c r="BA176" s="133"/>
      <c r="BB176" s="154"/>
      <c r="BC176" s="133"/>
      <c r="BD176" s="154"/>
      <c r="BE176" s="133"/>
      <c r="BF176" s="154"/>
      <c r="BG176" s="154"/>
      <c r="BH176" s="134"/>
      <c r="BI176" s="154"/>
      <c r="BJ176" s="134"/>
      <c r="BK176" s="134"/>
      <c r="BL176"/>
      <c r="BM176"/>
      <c r="BN176"/>
      <c r="BO176"/>
      <c r="BP176"/>
      <c r="BQ176"/>
      <c r="BR176"/>
      <c r="BS176"/>
      <c r="BT176"/>
    </row>
    <row r="177" spans="1:72" s="47" customFormat="1" ht="11.95" hidden="1" thickBot="1" x14ac:dyDescent="0.3">
      <c r="A177"/>
      <c r="B177" s="47" t="s">
        <v>1</v>
      </c>
      <c r="E177" s="135"/>
      <c r="F177" s="135"/>
      <c r="G177" s="135"/>
      <c r="H177" s="135" t="s">
        <v>6</v>
      </c>
      <c r="I177" s="136"/>
      <c r="J177" s="136"/>
      <c r="K177" s="136"/>
      <c r="L177" s="137"/>
      <c r="M177" s="138"/>
      <c r="N177" s="155"/>
      <c r="O177" s="138"/>
      <c r="P177" s="155"/>
      <c r="Q177" s="138"/>
      <c r="R177" s="155"/>
      <c r="S177" s="138"/>
      <c r="T177" s="155"/>
      <c r="U177" s="155">
        <f>IFERROR(($O177-M177)/ABS(M177),0)</f>
        <v>0</v>
      </c>
      <c r="V177" s="139">
        <f>($O177-M177)</f>
        <v>0</v>
      </c>
      <c r="W177" s="155">
        <f>IFERROR(($M177-Q177)/ABS(Q177),0)</f>
        <v>0</v>
      </c>
      <c r="X177" s="139">
        <f>($M177-Q177)</f>
        <v>0</v>
      </c>
      <c r="Y177" s="155">
        <f>IFERROR(($M177-S177)/ABS(S177),0)</f>
        <v>0</v>
      </c>
      <c r="Z177" s="139">
        <f>($M177-S177)</f>
        <v>0</v>
      </c>
      <c r="AA177" s="139"/>
      <c r="AC177" s="138"/>
      <c r="AD177" s="138"/>
      <c r="AE177" s="138"/>
      <c r="AF177" s="172">
        <f t="shared" ref="AF177" si="429">IFERROR(($AC177-AD177)/ABS(AD177),0)</f>
        <v>0</v>
      </c>
      <c r="AG177" s="139">
        <f>($AC177-AD177)</f>
        <v>0</v>
      </c>
      <c r="AH177" s="172">
        <f>IFERROR(($AC177-AE177)/ABS(AE177),0)</f>
        <v>0</v>
      </c>
      <c r="AI177" s="139">
        <f>($AC177-AE177)</f>
        <v>0</v>
      </c>
      <c r="AJ177"/>
      <c r="AK177" s="138"/>
      <c r="AL177" s="155"/>
      <c r="AM177" s="138"/>
      <c r="AN177" s="155"/>
      <c r="AO177" s="138"/>
      <c r="AP177" s="155"/>
      <c r="AQ177" s="138"/>
      <c r="AR177" s="155"/>
      <c r="AS177" s="155">
        <f>IFERROR(($O177-AK177)/ABS(AK177),0)</f>
        <v>0</v>
      </c>
      <c r="AT177" s="139">
        <f>($AK177-AM177)</f>
        <v>0</v>
      </c>
      <c r="AU177" s="155">
        <f>IFERROR(($M177-AO177)/ABS(AO177),0)</f>
        <v>0</v>
      </c>
      <c r="AV177" s="139">
        <f>($AK177-AO177)</f>
        <v>0</v>
      </c>
      <c r="AW177" s="155">
        <f>IFERROR(($M177-AQ177)/ABS(AQ177),0)</f>
        <v>0</v>
      </c>
      <c r="AX177" s="139">
        <f>($AK177-AQ177)</f>
        <v>0</v>
      </c>
      <c r="AY177" s="139"/>
      <c r="AZ177"/>
      <c r="BA177" s="138"/>
      <c r="BB177" s="155"/>
      <c r="BC177" s="138"/>
      <c r="BD177" s="155"/>
      <c r="BE177" s="138"/>
      <c r="BF177" s="155"/>
      <c r="BG177" s="155">
        <f>IFERROR(($BA177-BC177)/ABS(BC177),0)</f>
        <v>0</v>
      </c>
      <c r="BH177" s="139">
        <f>($BA177-BC177)</f>
        <v>0</v>
      </c>
      <c r="BI177" s="155">
        <f>IFERROR(($BA177-BE177)/ABS(BE177),0)</f>
        <v>0</v>
      </c>
      <c r="BJ177" s="139">
        <f>($BA177-BE177)</f>
        <v>0</v>
      </c>
      <c r="BK177" s="139"/>
      <c r="BL177"/>
      <c r="BM177"/>
      <c r="BN177"/>
      <c r="BO177"/>
      <c r="BP177"/>
      <c r="BQ177"/>
      <c r="BR177"/>
      <c r="BS177"/>
      <c r="BT177"/>
    </row>
    <row r="178" spans="1:72" s="47" customFormat="1" ht="11.95" hidden="1" thickBot="1" x14ac:dyDescent="0.3">
      <c r="A178"/>
      <c r="B178" s="47" t="s">
        <v>1</v>
      </c>
      <c r="N178" s="156"/>
      <c r="P178" s="156"/>
      <c r="R178" s="156"/>
      <c r="T178" s="156"/>
      <c r="U178" s="156"/>
      <c r="V178" s="140"/>
      <c r="W178" s="156"/>
      <c r="X178" s="140"/>
      <c r="Y178" s="156"/>
      <c r="Z178" s="140"/>
      <c r="AA178" s="140"/>
      <c r="AF178" s="169"/>
      <c r="AG178" s="140"/>
      <c r="AH178" s="169"/>
      <c r="AI178" s="140"/>
      <c r="AJ178"/>
      <c r="AL178" s="156"/>
      <c r="AN178" s="156"/>
      <c r="AP178" s="156"/>
      <c r="AR178" s="156"/>
      <c r="AS178" s="156"/>
      <c r="AT178" s="140"/>
      <c r="AU178" s="156"/>
      <c r="AV178" s="140"/>
      <c r="AW178" s="156"/>
      <c r="AX178" s="140"/>
      <c r="AY178" s="140"/>
      <c r="AZ178"/>
      <c r="BB178" s="156"/>
      <c r="BD178" s="156"/>
      <c r="BF178" s="156"/>
      <c r="BG178" s="156"/>
      <c r="BH178" s="140"/>
      <c r="BI178" s="156"/>
      <c r="BJ178" s="140"/>
      <c r="BK178" s="140"/>
      <c r="BL178"/>
      <c r="BM178"/>
      <c r="BN178"/>
      <c r="BO178"/>
      <c r="BP178"/>
      <c r="BQ178"/>
      <c r="BR178"/>
      <c r="BS178"/>
      <c r="BT178"/>
    </row>
    <row r="179" spans="1:72" s="47" customFormat="1" ht="11.95" hidden="1" x14ac:dyDescent="0.25">
      <c r="A179"/>
      <c r="B179" s="47" t="s">
        <v>1</v>
      </c>
      <c r="E179" s="141"/>
      <c r="F179" s="141"/>
      <c r="G179" s="141"/>
      <c r="H179" s="141" t="s">
        <v>89</v>
      </c>
      <c r="I179" s="142"/>
      <c r="J179" s="142"/>
      <c r="K179" s="142"/>
      <c r="L179" s="142">
        <v>1</v>
      </c>
      <c r="M179" s="142">
        <f>SUMIFS(M177:M178,$I177:$I178,"&lt;&gt;"&amp;$I$29,$E177:$E178,"&lt;&gt;*[-]*",$F177:$F178,"&lt;&gt;*[-]*",$G177:$G178,"&lt;&gt;*[-]*",$H177:$H178,"*[+]*")</f>
        <v>0</v>
      </c>
      <c r="N179" s="157"/>
      <c r="O179" s="142">
        <f>SUMIFS(O177:O178,$I177:$I178,"&lt;&gt;"&amp;$I$29,$E177:$E178,"&lt;&gt;*[-]*",$F177:$F178,"&lt;&gt;*[-]*",$G177:$G178,"&lt;&gt;*[-]*",$H177:$H178,"*[+]*")</f>
        <v>0</v>
      </c>
      <c r="P179" s="157"/>
      <c r="Q179" s="142">
        <f>SUMIFS(Q177:Q178,$I177:$I178,"&lt;&gt;"&amp;$I$29,$E177:$E178,"&lt;&gt;*[-]*",$F177:$F178,"&lt;&gt;*[-]*",$G177:$G178,"&lt;&gt;*[-]*",$H177:$H178,"*[+]*")</f>
        <v>0</v>
      </c>
      <c r="R179" s="157"/>
      <c r="S179" s="142">
        <f>SUMIFS(S177:S178,$I177:$I178,"&lt;&gt;"&amp;$I$29,$E177:$E178,"&lt;&gt;*[-]*",$F177:$F178,"&lt;&gt;*[-]*",$G177:$G178,"&lt;&gt;*[-]*",$H177:$H178,"*[+]*")</f>
        <v>0</v>
      </c>
      <c r="T179" s="157"/>
      <c r="U179" s="157">
        <f>IFERROR(($O179-M179)/ABS(M179),0)</f>
        <v>0</v>
      </c>
      <c r="V179" s="143">
        <f>($O179-M179)</f>
        <v>0</v>
      </c>
      <c r="W179" s="157">
        <f>IFERROR(($M179-Q179)/ABS(Q179),0)</f>
        <v>0</v>
      </c>
      <c r="X179" s="143">
        <f>($M179-Q179)</f>
        <v>0</v>
      </c>
      <c r="Y179" s="157">
        <f>IFERROR(($M179-S179)/ABS(S179),0)</f>
        <v>0</v>
      </c>
      <c r="Z179" s="143">
        <f>($M179-S179)</f>
        <v>0</v>
      </c>
      <c r="AA179" s="143"/>
      <c r="AC179" s="142">
        <f>SUMIFS(AC177:AC178,$I177:$I178,"&lt;&gt;"&amp;$I$29,$E177:$E178,"&lt;&gt;*[-]*",$F177:$F178,"&lt;&gt;*[-]*",$G177:$G178,"&lt;&gt;*[-]*",$H177:$H178,"&lt;&gt;*[-]*")</f>
        <v>0</v>
      </c>
      <c r="AD179" s="142">
        <f>SUMIFS(AD177:AD178,$I177:$I178,"&lt;&gt;"&amp;$I$29,$E177:$E178,"&lt;&gt;*[-]*",$F177:$F178,"&lt;&gt;*[-]*",$G177:$G178,"&lt;&gt;*[-]*",$H177:$H178,"&lt;&gt;*[-]*")</f>
        <v>0</v>
      </c>
      <c r="AE179" s="142">
        <f>SUMIFS(AE177:AE178,$I177:$I178,"&lt;&gt;"&amp;$I$29,$E177:$E178,"&lt;&gt;*[-]*",$F177:$F178,"&lt;&gt;*[-]*",$G177:$G178,"&lt;&gt;*[-]*",$H177:$H178,"&lt;&gt;*[-]*")</f>
        <v>0</v>
      </c>
      <c r="AF179" s="173">
        <f t="shared" ref="AF179" si="430">IFERROR(($AC179-AD179)/ABS(AD179),0)</f>
        <v>0</v>
      </c>
      <c r="AG179" s="143">
        <f>($AC179-AD179)</f>
        <v>0</v>
      </c>
      <c r="AH179" s="173">
        <f>IFERROR(($AC179-AE179)/ABS(AE179),0)</f>
        <v>0</v>
      </c>
      <c r="AI179" s="143">
        <f>($AC179-AE179)</f>
        <v>0</v>
      </c>
      <c r="AJ179"/>
      <c r="AK179" s="142">
        <f>SUMIFS(AK177:AK178,$I177:$I178,"&lt;&gt;"&amp;$I$29,$E177:$E178,"&lt;&gt;*[-]*",$F177:$F178,"&lt;&gt;*[-]*",$G177:$G178,"&lt;&gt;*[-]*",$H177:$H178,"*[+]*")</f>
        <v>0</v>
      </c>
      <c r="AL179" s="157"/>
      <c r="AM179" s="142"/>
      <c r="AN179" s="157"/>
      <c r="AO179" s="142"/>
      <c r="AP179" s="157"/>
      <c r="AQ179" s="142">
        <f>SUMIFS(AQ177:AQ178,$I177:$I178,"&lt;&gt;"&amp;$I$29,$E177:$E178,"&lt;&gt;*[-]*",$F177:$F178,"&lt;&gt;*[-]*",$G177:$G178,"&lt;&gt;*[-]*",$H177:$H178,"*[+]*")</f>
        <v>0</v>
      </c>
      <c r="AR179" s="157"/>
      <c r="AS179" s="157">
        <f>IFERROR(($O179-AK179)/ABS(AK179),0)</f>
        <v>0</v>
      </c>
      <c r="AT179" s="143">
        <f>($AK179-AM179)</f>
        <v>0</v>
      </c>
      <c r="AU179" s="157">
        <f>IFERROR(($M179-AO179)/ABS(AO179),0)</f>
        <v>0</v>
      </c>
      <c r="AV179" s="143">
        <f>($AK179-AO179)</f>
        <v>0</v>
      </c>
      <c r="AW179" s="157">
        <f>IFERROR(($M179-AQ179)/ABS(AQ179),0)</f>
        <v>0</v>
      </c>
      <c r="AX179" s="143">
        <f>($AK179-AQ179)</f>
        <v>0</v>
      </c>
      <c r="AY179" s="143"/>
      <c r="AZ179"/>
      <c r="BA179" s="142">
        <f>SUMIFS(BA177:BA178,$I177:$I178,"&lt;&gt;"&amp;$I$29,$E177:$E178,"&lt;&gt;*[-]*",$F177:$F178,"&lt;&gt;*[-]*",$G177:$G178,"&lt;&gt;*[-]*",$H177:$H178,"*[+]*")</f>
        <v>0</v>
      </c>
      <c r="BB179" s="157"/>
      <c r="BC179" s="142">
        <f>SUMIFS(BC177:BC178,$I177:$I178,"&lt;&gt;"&amp;$I$29,$E177:$E178,"&lt;&gt;*[-]*",$F177:$F178,"&lt;&gt;*[-]*",$G177:$G178,"&lt;&gt;*[-]*",$H177:$H178,"*[+]*")</f>
        <v>0</v>
      </c>
      <c r="BD179" s="157"/>
      <c r="BE179" s="142">
        <f>SUMIFS(BE177:BE178,$I177:$I178,"&lt;&gt;"&amp;$I$29,$E177:$E178,"&lt;&gt;*[-]*",$F177:$F178,"&lt;&gt;*[-]*",$G177:$G178,"&lt;&gt;*[-]*",$H177:$H178,"*[+]*")</f>
        <v>0</v>
      </c>
      <c r="BF179" s="157"/>
      <c r="BG179" s="157">
        <f>IFERROR(($BA179-BC179)/ABS(BC179),0)</f>
        <v>0</v>
      </c>
      <c r="BH179" s="143">
        <f>($BA179-BC179)</f>
        <v>0</v>
      </c>
      <c r="BI179" s="157">
        <f>IFERROR(($BA179-BE179)/ABS(BE179),0)</f>
        <v>0</v>
      </c>
      <c r="BJ179" s="143">
        <f>($BA179-BE179)</f>
        <v>0</v>
      </c>
      <c r="BK179" s="143"/>
      <c r="BL179"/>
      <c r="BM179"/>
      <c r="BN179"/>
      <c r="BO179"/>
      <c r="BP179"/>
      <c r="BQ179"/>
      <c r="BR179"/>
      <c r="BS179"/>
      <c r="BT179"/>
    </row>
    <row r="180" spans="1:72" s="47" customFormat="1" hidden="1" x14ac:dyDescent="0.25">
      <c r="A180"/>
      <c r="B180" s="47" t="s">
        <v>1</v>
      </c>
      <c r="N180" s="156"/>
      <c r="P180" s="156"/>
      <c r="R180" s="156"/>
      <c r="T180" s="156"/>
      <c r="U180" s="156"/>
      <c r="V180" s="140"/>
      <c r="W180" s="156"/>
      <c r="X180" s="140"/>
      <c r="Y180" s="156"/>
      <c r="Z180" s="140"/>
      <c r="AA180" s="140"/>
      <c r="AF180" s="169"/>
      <c r="AG180" s="140"/>
      <c r="AH180" s="169"/>
      <c r="AI180" s="140"/>
      <c r="AJ180"/>
      <c r="AL180" s="156"/>
      <c r="AN180" s="156"/>
      <c r="AP180" s="156"/>
      <c r="AR180" s="156"/>
      <c r="AS180" s="156"/>
      <c r="AT180" s="140"/>
      <c r="AU180" s="156"/>
      <c r="AV180" s="140"/>
      <c r="AW180" s="156"/>
      <c r="AX180" s="140"/>
      <c r="AY180" s="140"/>
      <c r="AZ180"/>
      <c r="BB180" s="156"/>
      <c r="BD180" s="156"/>
      <c r="BF180" s="156"/>
      <c r="BG180" s="156"/>
      <c r="BH180" s="140"/>
      <c r="BI180" s="156"/>
      <c r="BJ180" s="140"/>
      <c r="BK180" s="140"/>
      <c r="BL180"/>
      <c r="BM180"/>
      <c r="BN180"/>
      <c r="BO180"/>
      <c r="BP180"/>
      <c r="BQ180"/>
      <c r="BR180"/>
      <c r="BS180"/>
      <c r="BT180"/>
    </row>
    <row r="181" spans="1:72" s="47" customFormat="1" ht="12.45" hidden="1" thickBot="1" x14ac:dyDescent="0.3">
      <c r="A181"/>
      <c r="B181" s="47" t="s">
        <v>1</v>
      </c>
      <c r="E181" s="132"/>
      <c r="F181" s="132"/>
      <c r="G181" s="132"/>
      <c r="H181" s="132" t="s">
        <v>117</v>
      </c>
      <c r="I181" s="132"/>
      <c r="J181" s="133"/>
      <c r="K181" s="133"/>
      <c r="L181" s="133"/>
      <c r="M181" s="133"/>
      <c r="N181" s="154"/>
      <c r="O181" s="133"/>
      <c r="P181" s="154"/>
      <c r="Q181" s="133"/>
      <c r="R181" s="154"/>
      <c r="S181" s="133"/>
      <c r="T181" s="154"/>
      <c r="U181" s="154"/>
      <c r="V181" s="134"/>
      <c r="W181" s="154"/>
      <c r="X181" s="134"/>
      <c r="Y181" s="154"/>
      <c r="Z181" s="134"/>
      <c r="AA181" s="134"/>
      <c r="AC181" s="133"/>
      <c r="AD181" s="133"/>
      <c r="AE181" s="133"/>
      <c r="AF181" s="171"/>
      <c r="AG181" s="134"/>
      <c r="AH181" s="171"/>
      <c r="AI181" s="134"/>
      <c r="AJ181"/>
      <c r="AK181" s="133"/>
      <c r="AL181" s="154"/>
      <c r="AM181" s="133"/>
      <c r="AN181" s="154"/>
      <c r="AO181" s="133"/>
      <c r="AP181" s="154"/>
      <c r="AQ181" s="133"/>
      <c r="AR181" s="154"/>
      <c r="AS181" s="154"/>
      <c r="AT181" s="134"/>
      <c r="AU181" s="154"/>
      <c r="AV181" s="134"/>
      <c r="AW181" s="154"/>
      <c r="AX181" s="134"/>
      <c r="AY181" s="134"/>
      <c r="AZ181"/>
      <c r="BA181" s="133"/>
      <c r="BB181" s="154"/>
      <c r="BC181" s="133"/>
      <c r="BD181" s="154"/>
      <c r="BE181" s="133"/>
      <c r="BF181" s="154"/>
      <c r="BG181" s="154"/>
      <c r="BH181" s="134"/>
      <c r="BI181" s="154"/>
      <c r="BJ181" s="134"/>
      <c r="BK181" s="134"/>
      <c r="BL181"/>
      <c r="BM181"/>
      <c r="BN181"/>
      <c r="BO181"/>
      <c r="BP181"/>
      <c r="BQ181"/>
      <c r="BR181"/>
      <c r="BS181"/>
      <c r="BT181"/>
    </row>
    <row r="182" spans="1:72" s="47" customFormat="1" ht="11.95" hidden="1" thickBot="1" x14ac:dyDescent="0.3">
      <c r="A182"/>
      <c r="B182" s="47" t="s">
        <v>1</v>
      </c>
      <c r="E182" s="135"/>
      <c r="F182" s="135"/>
      <c r="G182" s="135"/>
      <c r="H182" s="135" t="s">
        <v>6</v>
      </c>
      <c r="I182" s="136"/>
      <c r="J182" s="136"/>
      <c r="K182" s="136"/>
      <c r="L182" s="137"/>
      <c r="M182" s="138"/>
      <c r="N182" s="155"/>
      <c r="O182" s="138"/>
      <c r="P182" s="155"/>
      <c r="Q182" s="138"/>
      <c r="R182" s="155"/>
      <c r="S182" s="138"/>
      <c r="T182" s="155"/>
      <c r="U182" s="155">
        <f>IFERROR(($O182-M182)/ABS(M182),0)</f>
        <v>0</v>
      </c>
      <c r="V182" s="139">
        <f>($O182-M182)</f>
        <v>0</v>
      </c>
      <c r="W182" s="155">
        <f>IFERROR(($M182-Q182)/ABS(Q182),0)</f>
        <v>0</v>
      </c>
      <c r="X182" s="139">
        <f>($M182-Q182)</f>
        <v>0</v>
      </c>
      <c r="Y182" s="155">
        <f>IFERROR(($M182-S182)/ABS(S182),0)</f>
        <v>0</v>
      </c>
      <c r="Z182" s="139">
        <f>($M182-S182)</f>
        <v>0</v>
      </c>
      <c r="AA182" s="139"/>
      <c r="AC182" s="138"/>
      <c r="AD182" s="138"/>
      <c r="AE182" s="138"/>
      <c r="AF182" s="172">
        <f t="shared" ref="AF182" si="431">IFERROR(($AC182-AD182)/ABS(AD182),0)</f>
        <v>0</v>
      </c>
      <c r="AG182" s="139">
        <f>($AC182-AD182)</f>
        <v>0</v>
      </c>
      <c r="AH182" s="172">
        <f>IFERROR(($AC182-AE182)/ABS(AE182),0)</f>
        <v>0</v>
      </c>
      <c r="AI182" s="139">
        <f>($AC182-AE182)</f>
        <v>0</v>
      </c>
      <c r="AJ182"/>
      <c r="AK182" s="138"/>
      <c r="AL182" s="155"/>
      <c r="AM182" s="138"/>
      <c r="AN182" s="155"/>
      <c r="AO182" s="138"/>
      <c r="AP182" s="155"/>
      <c r="AQ182" s="138"/>
      <c r="AR182" s="155"/>
      <c r="AS182" s="155">
        <f>IFERROR(($O182-AK182)/ABS(AK182),0)</f>
        <v>0</v>
      </c>
      <c r="AT182" s="139">
        <f>($AK182-AM182)</f>
        <v>0</v>
      </c>
      <c r="AU182" s="155">
        <f>IFERROR(($M182-AO182)/ABS(AO182),0)</f>
        <v>0</v>
      </c>
      <c r="AV182" s="139">
        <f>($AK182-AO182)</f>
        <v>0</v>
      </c>
      <c r="AW182" s="155">
        <f>IFERROR(($M182-AQ182)/ABS(AQ182),0)</f>
        <v>0</v>
      </c>
      <c r="AX182" s="139">
        <f>($AK182-AQ182)</f>
        <v>0</v>
      </c>
      <c r="AY182" s="139"/>
      <c r="AZ182"/>
      <c r="BA182" s="138"/>
      <c r="BB182" s="155"/>
      <c r="BC182" s="138"/>
      <c r="BD182" s="155"/>
      <c r="BE182" s="138"/>
      <c r="BF182" s="155"/>
      <c r="BG182" s="155">
        <f>IFERROR(($BA182-BC182)/ABS(BC182),0)</f>
        <v>0</v>
      </c>
      <c r="BH182" s="139">
        <f>($BA182-BC182)</f>
        <v>0</v>
      </c>
      <c r="BI182" s="155">
        <f>IFERROR(($BA182-BE182)/ABS(BE182),0)</f>
        <v>0</v>
      </c>
      <c r="BJ182" s="139">
        <f>($BA182-BE182)</f>
        <v>0</v>
      </c>
      <c r="BK182" s="139"/>
      <c r="BL182"/>
      <c r="BM182"/>
      <c r="BN182"/>
      <c r="BO182"/>
      <c r="BP182"/>
      <c r="BQ182"/>
      <c r="BR182"/>
      <c r="BS182"/>
      <c r="BT182"/>
    </row>
    <row r="183" spans="1:72" s="47" customFormat="1" ht="11.95" hidden="1" thickBot="1" x14ac:dyDescent="0.3">
      <c r="A183"/>
      <c r="B183" s="47" t="s">
        <v>1</v>
      </c>
      <c r="N183" s="156"/>
      <c r="P183" s="156"/>
      <c r="R183" s="156"/>
      <c r="T183" s="156"/>
      <c r="U183" s="156"/>
      <c r="V183" s="140"/>
      <c r="W183" s="156"/>
      <c r="X183" s="140"/>
      <c r="Y183" s="156"/>
      <c r="Z183" s="140"/>
      <c r="AA183" s="140"/>
      <c r="AF183" s="169"/>
      <c r="AG183" s="140"/>
      <c r="AH183" s="169"/>
      <c r="AI183" s="140"/>
      <c r="AJ183"/>
      <c r="AL183" s="156"/>
      <c r="AN183" s="156"/>
      <c r="AP183" s="156"/>
      <c r="AR183" s="156"/>
      <c r="AS183" s="156"/>
      <c r="AT183" s="140"/>
      <c r="AU183" s="156"/>
      <c r="AV183" s="140"/>
      <c r="AW183" s="156"/>
      <c r="AX183" s="140"/>
      <c r="AY183" s="140"/>
      <c r="AZ183"/>
      <c r="BB183" s="156"/>
      <c r="BD183" s="156"/>
      <c r="BF183" s="156"/>
      <c r="BG183" s="156"/>
      <c r="BH183" s="140"/>
      <c r="BI183" s="156"/>
      <c r="BJ183" s="140"/>
      <c r="BK183" s="140"/>
      <c r="BL183"/>
      <c r="BM183"/>
      <c r="BN183"/>
      <c r="BO183"/>
      <c r="BP183"/>
      <c r="BQ183"/>
      <c r="BR183"/>
      <c r="BS183"/>
      <c r="BT183"/>
    </row>
    <row r="184" spans="1:72" s="47" customFormat="1" ht="11.95" hidden="1" x14ac:dyDescent="0.25">
      <c r="A184"/>
      <c r="B184" s="47" t="s">
        <v>1</v>
      </c>
      <c r="E184" s="141"/>
      <c r="F184" s="141"/>
      <c r="G184" s="141"/>
      <c r="H184" s="141" t="s">
        <v>89</v>
      </c>
      <c r="I184" s="142"/>
      <c r="J184" s="142"/>
      <c r="K184" s="142"/>
      <c r="L184" s="142">
        <v>1</v>
      </c>
      <c r="M184" s="142">
        <f>SUMIFS(M182:M183,$I182:$I183,"&lt;&gt;"&amp;$I$29,$E182:$E183,"&lt;&gt;*[-]*",$F182:$F183,"&lt;&gt;*[-]*",$G182:$G183,"&lt;&gt;*[-]*",$H182:$H183,"*[+]*")</f>
        <v>0</v>
      </c>
      <c r="N184" s="157"/>
      <c r="O184" s="142">
        <f>SUMIFS(O182:O183,$I182:$I183,"&lt;&gt;"&amp;$I$29,$E182:$E183,"&lt;&gt;*[-]*",$F182:$F183,"&lt;&gt;*[-]*",$G182:$G183,"&lt;&gt;*[-]*",$H182:$H183,"*[+]*")</f>
        <v>0</v>
      </c>
      <c r="P184" s="157"/>
      <c r="Q184" s="142">
        <f>SUMIFS(Q182:Q183,$I182:$I183,"&lt;&gt;"&amp;$I$29,$E182:$E183,"&lt;&gt;*[-]*",$F182:$F183,"&lt;&gt;*[-]*",$G182:$G183,"&lt;&gt;*[-]*",$H182:$H183,"*[+]*")</f>
        <v>0</v>
      </c>
      <c r="R184" s="157"/>
      <c r="S184" s="142">
        <f>SUMIFS(S182:S183,$I182:$I183,"&lt;&gt;"&amp;$I$29,$E182:$E183,"&lt;&gt;*[-]*",$F182:$F183,"&lt;&gt;*[-]*",$G182:$G183,"&lt;&gt;*[-]*",$H182:$H183,"*[+]*")</f>
        <v>0</v>
      </c>
      <c r="T184" s="157"/>
      <c r="U184" s="157">
        <f>IFERROR(($O184-M184)/ABS(M184),0)</f>
        <v>0</v>
      </c>
      <c r="V184" s="143">
        <f>($O184-M184)</f>
        <v>0</v>
      </c>
      <c r="W184" s="157">
        <f>IFERROR(($M184-Q184)/ABS(Q184),0)</f>
        <v>0</v>
      </c>
      <c r="X184" s="143">
        <f>($M184-Q184)</f>
        <v>0</v>
      </c>
      <c r="Y184" s="157">
        <f>IFERROR(($M184-S184)/ABS(S184),0)</f>
        <v>0</v>
      </c>
      <c r="Z184" s="143">
        <f>($M184-S184)</f>
        <v>0</v>
      </c>
      <c r="AA184" s="143"/>
      <c r="AC184" s="142">
        <f>SUMIFS(AC182:AC183,$I182:$I183,"&lt;&gt;"&amp;$I$29,$E182:$E183,"&lt;&gt;*[-]*",$F182:$F183,"&lt;&gt;*[-]*",$G182:$G183,"&lt;&gt;*[-]*",$H182:$H183,"&lt;&gt;*[-]*")</f>
        <v>0</v>
      </c>
      <c r="AD184" s="142">
        <f>SUMIFS(AD182:AD183,$I182:$I183,"&lt;&gt;"&amp;$I$29,$E182:$E183,"&lt;&gt;*[-]*",$F182:$F183,"&lt;&gt;*[-]*",$G182:$G183,"&lt;&gt;*[-]*",$H182:$H183,"&lt;&gt;*[-]*")</f>
        <v>0</v>
      </c>
      <c r="AE184" s="142">
        <f>SUMIFS(AE182:AE183,$I182:$I183,"&lt;&gt;"&amp;$I$29,$E182:$E183,"&lt;&gt;*[-]*",$F182:$F183,"&lt;&gt;*[-]*",$G182:$G183,"&lt;&gt;*[-]*",$H182:$H183,"&lt;&gt;*[-]*")</f>
        <v>0</v>
      </c>
      <c r="AF184" s="173">
        <f t="shared" ref="AF184" si="432">IFERROR(($AC184-AD184)/ABS(AD184),0)</f>
        <v>0</v>
      </c>
      <c r="AG184" s="143">
        <f>($AC184-AD184)</f>
        <v>0</v>
      </c>
      <c r="AH184" s="173">
        <f>IFERROR(($AC184-AE184)/ABS(AE184),0)</f>
        <v>0</v>
      </c>
      <c r="AI184" s="143">
        <f>($AC184-AE184)</f>
        <v>0</v>
      </c>
      <c r="AJ184"/>
      <c r="AK184" s="142">
        <f>SUMIFS(AK182:AK183,$I182:$I183,"&lt;&gt;"&amp;$I$29,$E182:$E183,"&lt;&gt;*[-]*",$F182:$F183,"&lt;&gt;*[-]*",$G182:$G183,"&lt;&gt;*[-]*",$H182:$H183,"*[+]*")</f>
        <v>0</v>
      </c>
      <c r="AL184" s="157"/>
      <c r="AM184" s="142"/>
      <c r="AN184" s="157"/>
      <c r="AO184" s="142"/>
      <c r="AP184" s="157"/>
      <c r="AQ184" s="142">
        <f>SUMIFS(AQ182:AQ183,$I182:$I183,"&lt;&gt;"&amp;$I$29,$E182:$E183,"&lt;&gt;*[-]*",$F182:$F183,"&lt;&gt;*[-]*",$G182:$G183,"&lt;&gt;*[-]*",$H182:$H183,"*[+]*")</f>
        <v>0</v>
      </c>
      <c r="AR184" s="157"/>
      <c r="AS184" s="157">
        <f>IFERROR(($O184-AK184)/ABS(AK184),0)</f>
        <v>0</v>
      </c>
      <c r="AT184" s="143">
        <f>($AK184-AM184)</f>
        <v>0</v>
      </c>
      <c r="AU184" s="157">
        <f>IFERROR(($M184-AO184)/ABS(AO184),0)</f>
        <v>0</v>
      </c>
      <c r="AV184" s="143">
        <f>($AK184-AO184)</f>
        <v>0</v>
      </c>
      <c r="AW184" s="157">
        <f>IFERROR(($M184-AQ184)/ABS(AQ184),0)</f>
        <v>0</v>
      </c>
      <c r="AX184" s="143">
        <f>($AK184-AQ184)</f>
        <v>0</v>
      </c>
      <c r="AY184" s="143"/>
      <c r="AZ184"/>
      <c r="BA184" s="142">
        <f>SUMIFS(BA182:BA183,$I182:$I183,"&lt;&gt;"&amp;$I$29,$E182:$E183,"&lt;&gt;*[-]*",$F182:$F183,"&lt;&gt;*[-]*",$G182:$G183,"&lt;&gt;*[-]*",$H182:$H183,"*[+]*")</f>
        <v>0</v>
      </c>
      <c r="BB184" s="157"/>
      <c r="BC184" s="142">
        <f>SUMIFS(BC182:BC183,$I182:$I183,"&lt;&gt;"&amp;$I$29,$E182:$E183,"&lt;&gt;*[-]*",$F182:$F183,"&lt;&gt;*[-]*",$G182:$G183,"&lt;&gt;*[-]*",$H182:$H183,"*[+]*")</f>
        <v>0</v>
      </c>
      <c r="BD184" s="157"/>
      <c r="BE184" s="142">
        <f>SUMIFS(BE182:BE183,$I182:$I183,"&lt;&gt;"&amp;$I$29,$E182:$E183,"&lt;&gt;*[-]*",$F182:$F183,"&lt;&gt;*[-]*",$G182:$G183,"&lt;&gt;*[-]*",$H182:$H183,"*[+]*")</f>
        <v>0</v>
      </c>
      <c r="BF184" s="157"/>
      <c r="BG184" s="157">
        <f>IFERROR(($BA184-BC184)/ABS(BC184),0)</f>
        <v>0</v>
      </c>
      <c r="BH184" s="143">
        <f>($BA184-BC184)</f>
        <v>0</v>
      </c>
      <c r="BI184" s="157">
        <f>IFERROR(($BA184-BE184)/ABS(BE184),0)</f>
        <v>0</v>
      </c>
      <c r="BJ184" s="143">
        <f>($BA184-BE184)</f>
        <v>0</v>
      </c>
      <c r="BK184" s="143"/>
      <c r="BL184"/>
      <c r="BM184"/>
      <c r="BN184"/>
      <c r="BO184"/>
      <c r="BP184"/>
      <c r="BQ184"/>
      <c r="BR184"/>
      <c r="BS184"/>
      <c r="BT184"/>
    </row>
    <row r="185" spans="1:72" x14ac:dyDescent="0.25">
      <c r="N185" s="145"/>
      <c r="P185" s="145"/>
      <c r="R185" s="145"/>
      <c r="T185" s="145"/>
      <c r="U185" s="145"/>
      <c r="V185" s="84"/>
      <c r="W185" s="145"/>
      <c r="X185" s="84"/>
      <c r="Y185" s="145"/>
      <c r="Z185" s="84"/>
      <c r="AA185" s="84"/>
      <c r="AF185" s="169"/>
      <c r="AG185" s="140"/>
      <c r="AH185" s="169"/>
      <c r="AI185" s="140"/>
      <c r="AL185" s="145"/>
      <c r="AN185" s="145"/>
      <c r="AP185" s="145"/>
      <c r="AR185" s="145"/>
      <c r="AS185" s="145"/>
      <c r="AT185" s="84"/>
      <c r="AU185" s="145"/>
      <c r="AV185" s="84"/>
      <c r="AW185" s="145"/>
      <c r="AX185" s="84"/>
      <c r="AY185" s="84"/>
      <c r="BB185" s="145"/>
      <c r="BD185" s="145"/>
      <c r="BF185" s="145"/>
      <c r="BG185" s="145"/>
      <c r="BH185" s="84"/>
      <c r="BI185" s="145"/>
      <c r="BJ185" s="84"/>
      <c r="BK185" s="84"/>
    </row>
    <row r="186" spans="1:72" ht="11.95" thickBot="1" x14ac:dyDescent="0.3">
      <c r="N186" s="145"/>
      <c r="P186" s="145"/>
      <c r="R186" s="145"/>
      <c r="T186" s="145"/>
      <c r="U186" s="145"/>
      <c r="V186" s="84"/>
      <c r="W186" s="145"/>
      <c r="X186" s="84"/>
      <c r="Y186" s="145"/>
      <c r="Z186" s="84"/>
      <c r="AA186" s="84"/>
      <c r="AF186" s="169"/>
      <c r="AG186" s="140"/>
      <c r="AH186" s="169"/>
      <c r="AI186" s="140"/>
      <c r="AL186" s="145"/>
      <c r="AN186" s="145"/>
      <c r="AP186" s="145"/>
      <c r="AR186" s="145"/>
      <c r="AS186" s="145"/>
      <c r="AT186" s="84"/>
      <c r="AU186" s="145"/>
      <c r="AV186" s="84"/>
      <c r="AW186" s="145"/>
      <c r="AX186" s="84"/>
      <c r="AY186" s="84"/>
      <c r="BB186" s="145"/>
      <c r="BD186" s="145"/>
      <c r="BF186" s="145"/>
      <c r="BG186" s="145"/>
      <c r="BH186" s="84"/>
      <c r="BI186" s="145"/>
      <c r="BJ186" s="84"/>
      <c r="BK186" s="84"/>
    </row>
    <row r="187" spans="1:72" ht="11.95" hidden="1" thickBot="1" x14ac:dyDescent="0.3">
      <c r="B187" t="s">
        <v>1</v>
      </c>
      <c r="N187" s="145"/>
      <c r="P187" s="145"/>
      <c r="R187" s="145"/>
      <c r="T187" s="145"/>
      <c r="U187" s="145"/>
      <c r="V187" s="84"/>
      <c r="W187" s="145"/>
      <c r="X187" s="84"/>
      <c r="Y187" s="145"/>
      <c r="Z187" s="84"/>
      <c r="AA187" s="84"/>
      <c r="AF187" s="169"/>
      <c r="AG187" s="140"/>
      <c r="AH187" s="169"/>
      <c r="AI187" s="140"/>
      <c r="AL187" s="145"/>
      <c r="AN187" s="145"/>
      <c r="AP187" s="145"/>
      <c r="AR187" s="145"/>
      <c r="AS187" s="145"/>
      <c r="AT187" s="84"/>
      <c r="AU187" s="145"/>
      <c r="AV187" s="84"/>
      <c r="AW187" s="145"/>
      <c r="AX187" s="84"/>
      <c r="AY187" s="84"/>
      <c r="BB187" s="145"/>
      <c r="BD187" s="145"/>
      <c r="BF187" s="145"/>
      <c r="BG187" s="145"/>
      <c r="BH187" s="84"/>
      <c r="BI187" s="145"/>
      <c r="BJ187" s="84"/>
      <c r="BK187" s="84"/>
    </row>
    <row r="188" spans="1:72" ht="11.95" x14ac:dyDescent="0.25">
      <c r="B188" t="s">
        <v>90</v>
      </c>
      <c r="E188" s="19"/>
      <c r="F188" s="19"/>
      <c r="G188" s="19"/>
      <c r="H188" s="19" t="s">
        <v>91</v>
      </c>
      <c r="I188" s="85"/>
      <c r="J188" s="85"/>
      <c r="K188" s="85"/>
      <c r="L188" s="85"/>
      <c r="M188" s="85">
        <f>SUMPRODUCT($L$30:$L$187,M$30:M$187)</f>
        <v>-84749.62</v>
      </c>
      <c r="N188" s="86">
        <f>IFERROR(M188/SUMIFS(M:M, $H:$H, "Net Sales"),0)</f>
        <v>0</v>
      </c>
      <c r="O188" s="85">
        <f>SUMPRODUCT($L$30:$L$187,O$30:O$187)</f>
        <v>-78394.942538461546</v>
      </c>
      <c r="P188" s="86">
        <f>IFERROR(O188/SUMIFS(O:O, $H:$H, "Net Sales"),0)</f>
        <v>0</v>
      </c>
      <c r="Q188" s="85">
        <f>SUMPRODUCT($L$30:$L$187,Q$30:Q$187)</f>
        <v>-78394.942538461546</v>
      </c>
      <c r="R188" s="86">
        <f>IFERROR(Q188/SUMIFS(Q:Q, $H:$H, "Net Sales"),0)</f>
        <v>0</v>
      </c>
      <c r="S188" s="85">
        <f>SUMPRODUCT($L$30:$L$187,S$30:S$187)</f>
        <v>0</v>
      </c>
      <c r="T188" s="86">
        <f>IFERROR(S188/SUMIFS(S:S, $H:$H, "Net Sales"),0)</f>
        <v>0</v>
      </c>
      <c r="U188" s="86">
        <f>IFERROR((M188-$O188)/ABS($O188),0)</f>
        <v>-8.1059788498738475E-2</v>
      </c>
      <c r="V188" s="87">
        <f>M188-O188</f>
        <v>-6354.6774615384493</v>
      </c>
      <c r="W188" s="86">
        <f>IFERROR(($M188-Q188)/ABS(Q188),0)</f>
        <v>-8.1059788498738475E-2</v>
      </c>
      <c r="X188" s="87">
        <f>($M188-Q188)</f>
        <v>-6354.6774615384493</v>
      </c>
      <c r="Y188" s="86">
        <f>IFERROR(($M188-S188)/ABS(S188),0)</f>
        <v>0</v>
      </c>
      <c r="Z188" s="87">
        <f>($M188-S188)</f>
        <v>-84749.62</v>
      </c>
      <c r="AA188" s="87"/>
      <c r="AC188" s="142">
        <f>SUMPRODUCT($L$30:$L$187,AC$30:AC$187)</f>
        <v>-84749.62</v>
      </c>
      <c r="AD188" s="142">
        <f>SUMPRODUCT($L$30:$L$187,AD$30:AD$187)</f>
        <v>0</v>
      </c>
      <c r="AE188" s="142">
        <f>SUMPRODUCT($L$30:$L$187,AE$30:AE$187)</f>
        <v>-78394.942538461546</v>
      </c>
      <c r="AF188" s="173">
        <f t="shared" ref="AF188" si="433">IFERROR(($AC188-AD188)/ABS(AD188),0)</f>
        <v>0</v>
      </c>
      <c r="AG188" s="143">
        <f>($AC188-AD188)</f>
        <v>-84749.62</v>
      </c>
      <c r="AH188" s="173">
        <f>IFERROR(($AC188-AE188)/ABS(AE188),0)</f>
        <v>-8.1059788498738475E-2</v>
      </c>
      <c r="AI188" s="143">
        <f>($AC188-AE188)</f>
        <v>-6354.6774615384493</v>
      </c>
      <c r="AK188" s="85">
        <f>SUMPRODUCT($L$30:$L$187,AK$30:AK$187)</f>
        <v>-84749.62</v>
      </c>
      <c r="AL188" s="86">
        <f>IFERROR(AK188/SUMIFS(AK:AK, $H:$H, "Net Sales"),0)</f>
        <v>0</v>
      </c>
      <c r="AM188" s="85">
        <f>SUMPRODUCT($L$30:$L$187,AM$30:AM$187)</f>
        <v>-78394.942538461546</v>
      </c>
      <c r="AN188" s="86">
        <f>IFERROR(AM188/SUMIFS(AM:AM, $H:$H, "Net Sales"),0)</f>
        <v>0</v>
      </c>
      <c r="AO188" s="85">
        <f>SUMPRODUCT($L$30:$L$187,AO$30:AO$187)</f>
        <v>-78394.942538461546</v>
      </c>
      <c r="AP188" s="86">
        <f>IFERROR(AO188/SUMIFS(AO:AO, $H:$H, "Net Sales"),0)</f>
        <v>0</v>
      </c>
      <c r="AQ188" s="85">
        <f>SUMPRODUCT($L$30:$L$187,AQ$30:AQ$187)</f>
        <v>0</v>
      </c>
      <c r="AR188" s="86">
        <f>IFERROR(AQ188/SUMIFS(AQ:AQ, $H:$H, "Net Sales"),0)</f>
        <v>0</v>
      </c>
      <c r="AS188" s="86">
        <f>IFERROR((AK188-$AM188)/ABS($AM188),0)</f>
        <v>-8.1059788498738475E-2</v>
      </c>
      <c r="AT188" s="87">
        <f>($AK188-AM188)</f>
        <v>-6354.6774615384493</v>
      </c>
      <c r="AU188" s="86">
        <f>IFERROR(($AK188-AO188)/ABS(AO188),0)</f>
        <v>-8.1059788498738475E-2</v>
      </c>
      <c r="AV188" s="87">
        <f>($AK188-AO188)</f>
        <v>-6354.6774615384493</v>
      </c>
      <c r="AW188" s="86">
        <f>IFERROR(($AK188-AQ188)/ABS(AQ188),0)</f>
        <v>0</v>
      </c>
      <c r="AX188" s="87">
        <f>($AK188-AQ188)</f>
        <v>-84749.62</v>
      </c>
      <c r="AY188" s="87"/>
      <c r="BA188" s="85">
        <f>SUMPRODUCT($L$30:$L$187,BA$30:BA$187)</f>
        <v>-963434.25299999933</v>
      </c>
      <c r="BB188" s="86">
        <f>IFERROR(BA188/SUMIFS(BA:BA, $H:$H, "Net Sales"),0)</f>
        <v>0</v>
      </c>
      <c r="BC188" s="85">
        <f>SUMPRODUCT($L$30:$L$187,BC$30:BC$187)</f>
        <v>-963434.25299999933</v>
      </c>
      <c r="BD188" s="86">
        <f>IFERROR(BC188/SUMIFS(BC:BC, $H:$H, "Net Sales"),0)</f>
        <v>0</v>
      </c>
      <c r="BE188" s="85">
        <f>SUMPRODUCT($L$30:$L$187,BE$30:BE$187)</f>
        <v>-615295.55000000005</v>
      </c>
      <c r="BF188" s="86">
        <f>IFERROR(BE188/SUMIFS(BE:BE, $H:$H, "Net Sales"),0)</f>
        <v>0</v>
      </c>
      <c r="BG188" s="86">
        <f>IFERROR(($BA188-BC188)/ABS(BC188),0)</f>
        <v>0</v>
      </c>
      <c r="BH188" s="87">
        <f>($BA188-BC188)</f>
        <v>0</v>
      </c>
      <c r="BI188" s="86">
        <f>IFERROR(($BA188-BE188)/ABS(BE188),0)</f>
        <v>-0.56580728237023536</v>
      </c>
      <c r="BJ188" s="87">
        <f>($BA188-BE188)</f>
        <v>-348138.70299999928</v>
      </c>
      <c r="BK188" s="87"/>
    </row>
    <row r="189" spans="1:72" x14ac:dyDescent="0.25">
      <c r="B189" t="str">
        <f>B188</f>
        <v>#showrow</v>
      </c>
      <c r="E189" s="3"/>
      <c r="F189" s="3"/>
      <c r="G189" s="3"/>
      <c r="H189" s="3"/>
      <c r="I189" s="21"/>
      <c r="J189" s="21"/>
      <c r="K189" s="18"/>
      <c r="L189" s="78"/>
      <c r="M189" s="78"/>
      <c r="N189" s="159"/>
      <c r="O189" s="78"/>
      <c r="P189" s="159"/>
      <c r="Q189" s="78"/>
      <c r="R189" s="159"/>
      <c r="S189" s="78"/>
      <c r="T189" s="159"/>
      <c r="U189" s="159"/>
      <c r="V189" s="71"/>
      <c r="W189" s="159"/>
      <c r="X189" s="71"/>
      <c r="Y189" s="159"/>
      <c r="Z189" s="71"/>
      <c r="AA189" s="71"/>
      <c r="AC189" s="240"/>
      <c r="AD189" s="240"/>
      <c r="AE189" s="240"/>
      <c r="AF189" s="241"/>
      <c r="AG189" s="232"/>
      <c r="AH189" s="241"/>
      <c r="AI189" s="232"/>
      <c r="AK189" s="115"/>
      <c r="AL189" s="159"/>
      <c r="AM189" s="115"/>
      <c r="AN189" s="159"/>
      <c r="AO189" s="115"/>
      <c r="AP189" s="159"/>
      <c r="AQ189" s="115"/>
      <c r="AR189" s="159"/>
      <c r="AS189" s="159"/>
      <c r="AT189" s="71"/>
      <c r="AU189" s="159"/>
      <c r="AV189" s="71"/>
      <c r="AW189" s="159"/>
      <c r="AX189" s="71"/>
      <c r="AY189" s="71"/>
      <c r="BA189" s="115"/>
      <c r="BB189" s="159"/>
      <c r="BC189" s="115"/>
      <c r="BD189" s="159"/>
      <c r="BE189" s="115"/>
      <c r="BF189" s="159"/>
      <c r="BG189" s="159"/>
      <c r="BH189" s="71"/>
      <c r="BI189" s="159"/>
      <c r="BJ189" s="71"/>
      <c r="BK189" s="71"/>
    </row>
    <row r="190" spans="1:72" ht="23.35" hidden="1" thickBot="1" x14ac:dyDescent="0.5">
      <c r="B190" t="s">
        <v>1</v>
      </c>
      <c r="E190" s="2"/>
      <c r="F190" s="2"/>
      <c r="G190" s="2" t="s">
        <v>16</v>
      </c>
      <c r="H190" s="2"/>
      <c r="I190" s="2"/>
      <c r="J190" s="2"/>
      <c r="K190" s="2"/>
      <c r="L190" s="2"/>
      <c r="M190" s="2"/>
      <c r="N190" s="158"/>
      <c r="O190" s="2"/>
      <c r="P190" s="158"/>
      <c r="Q190" s="2"/>
      <c r="R190" s="158"/>
      <c r="S190" s="2"/>
      <c r="T190" s="158"/>
      <c r="U190" s="158"/>
      <c r="V190" s="112"/>
      <c r="W190" s="158"/>
      <c r="X190" s="112"/>
      <c r="Y190" s="158"/>
      <c r="Z190" s="112"/>
      <c r="AA190" s="112"/>
      <c r="AC190" s="216"/>
      <c r="AD190" s="216"/>
      <c r="AE190" s="216"/>
      <c r="AF190" s="242"/>
      <c r="AG190" s="243"/>
      <c r="AH190" s="242"/>
      <c r="AI190" s="243"/>
      <c r="AK190" s="2"/>
      <c r="AL190" s="158"/>
      <c r="AM190" s="2"/>
      <c r="AN190" s="158"/>
      <c r="AO190" s="2"/>
      <c r="AP190" s="158"/>
      <c r="AQ190" s="2"/>
      <c r="AR190" s="158"/>
      <c r="AS190" s="158"/>
      <c r="AT190" s="112"/>
      <c r="AU190" s="158"/>
      <c r="AV190" s="112"/>
      <c r="AW190" s="158"/>
      <c r="AX190" s="112"/>
      <c r="AY190" s="112"/>
      <c r="BA190" s="2"/>
      <c r="BB190" s="158"/>
      <c r="BC190" s="2"/>
      <c r="BD190" s="158"/>
      <c r="BE190" s="2"/>
      <c r="BF190" s="158"/>
      <c r="BG190" s="158"/>
      <c r="BH190" s="112"/>
      <c r="BI190" s="158"/>
      <c r="BJ190" s="112"/>
      <c r="BK190" s="112"/>
    </row>
    <row r="191" spans="1:72" ht="11.95" hidden="1" thickTop="1" x14ac:dyDescent="0.25">
      <c r="B191" t="s">
        <v>1</v>
      </c>
      <c r="N191" s="145"/>
      <c r="P191" s="145"/>
      <c r="R191" s="145"/>
      <c r="T191" s="145"/>
      <c r="U191" s="145"/>
      <c r="V191" s="84"/>
      <c r="W191" s="145"/>
      <c r="X191" s="84"/>
      <c r="Y191" s="145"/>
      <c r="Z191" s="84"/>
      <c r="AA191" s="84"/>
      <c r="AF191" s="169"/>
      <c r="AG191" s="140"/>
      <c r="AH191" s="169"/>
      <c r="AI191" s="140"/>
      <c r="AL191" s="145"/>
      <c r="AN191" s="145"/>
      <c r="AP191" s="145"/>
      <c r="AR191" s="145"/>
      <c r="AS191" s="145"/>
      <c r="AT191" s="84"/>
      <c r="AU191" s="145"/>
      <c r="AV191" s="84"/>
      <c r="AW191" s="145"/>
      <c r="AX191" s="84"/>
      <c r="AY191" s="84"/>
      <c r="BB191" s="145"/>
      <c r="BD191" s="145"/>
      <c r="BF191" s="145"/>
      <c r="BG191" s="145"/>
      <c r="BH191" s="84"/>
      <c r="BI191" s="145"/>
      <c r="BJ191" s="84"/>
      <c r="BK191" s="84"/>
    </row>
    <row r="192" spans="1:72" x14ac:dyDescent="0.25">
      <c r="B192" t="s">
        <v>90</v>
      </c>
      <c r="E192" s="3">
        <f t="shared" ref="E192:E201" si="434">$E$5</f>
        <v>0</v>
      </c>
      <c r="F192" s="3">
        <f>$F$5</f>
        <v>0</v>
      </c>
      <c r="G192" s="3">
        <f t="shared" ref="G192:G201" si="435">$G$5</f>
        <v>0</v>
      </c>
      <c r="H192" s="3" t="s">
        <v>32</v>
      </c>
      <c r="I192" s="21"/>
      <c r="J192" s="21"/>
      <c r="K192" s="18"/>
      <c r="L192" s="78"/>
      <c r="M192" s="78">
        <v>-84749.62</v>
      </c>
      <c r="N192" s="159"/>
      <c r="O192" s="78">
        <v>-78394.942538461502</v>
      </c>
      <c r="P192" s="159"/>
      <c r="Q192" s="78">
        <v>-78394.942538461502</v>
      </c>
      <c r="R192" s="159"/>
      <c r="S192" s="78">
        <v>0</v>
      </c>
      <c r="T192" s="159"/>
      <c r="U192" s="159">
        <f>IFERROR((M192-$O192)/ABS($O192),0)</f>
        <v>-8.1059788498739085E-2</v>
      </c>
      <c r="V192" s="71">
        <f>M192-O192</f>
        <v>-6354.6774615384929</v>
      </c>
      <c r="W192" s="159">
        <f>IFERROR(($M192-Q192)/ABS(Q192),0)</f>
        <v>-8.1059788498739085E-2</v>
      </c>
      <c r="X192" s="71">
        <f>M192-Q192</f>
        <v>-6354.6774615384929</v>
      </c>
      <c r="Y192" s="159">
        <f t="shared" ref="Y192:Y201" si="436">IFERROR(($M192-S192)/ABS(S192),0)</f>
        <v>0</v>
      </c>
      <c r="Z192" s="71">
        <f>($M192-S192)</f>
        <v>-84749.62</v>
      </c>
      <c r="AA192" s="71"/>
      <c r="AC192" s="240">
        <v>-84749.62</v>
      </c>
      <c r="AD192" s="240">
        <v>0</v>
      </c>
      <c r="AE192" s="240">
        <v>-78394.942538461502</v>
      </c>
      <c r="AF192" s="241">
        <f t="shared" ref="AF192:AF201" si="437">IFERROR(($AC192-AD192)/ABS(AD192),0)</f>
        <v>0</v>
      </c>
      <c r="AG192" s="232">
        <f t="shared" ref="AG192:AG201" si="438">($AC192-AD192)</f>
        <v>-84749.62</v>
      </c>
      <c r="AH192" s="241">
        <f t="shared" ref="AH192:AH201" si="439">IFERROR(($AC192-AE192)/ABS(AE192),0)</f>
        <v>-8.1059788498739085E-2</v>
      </c>
      <c r="AI192" s="232">
        <f>($AC192-AE192)</f>
        <v>-6354.6774615384929</v>
      </c>
      <c r="AK192" s="115">
        <v>-84749.62</v>
      </c>
      <c r="AL192" s="159"/>
      <c r="AM192" s="115">
        <v>-78394.942538461502</v>
      </c>
      <c r="AN192" s="159"/>
      <c r="AO192" s="115">
        <v>-78394.942538461502</v>
      </c>
      <c r="AP192" s="159"/>
      <c r="AQ192" s="115">
        <v>0</v>
      </c>
      <c r="AR192" s="159"/>
      <c r="AS192" s="159">
        <f>IFERROR((AK192-$AM192)/ABS($AM192),0)</f>
        <v>-8.1059788498739085E-2</v>
      </c>
      <c r="AT192" s="71">
        <f>AK192-AM192</f>
        <v>-6354.6774615384929</v>
      </c>
      <c r="AU192" s="159">
        <f>IFERROR(($AK192-AO192)/ABS(AO192),0)</f>
        <v>-8.1059788498739085E-2</v>
      </c>
      <c r="AV192" s="71">
        <f>AK192-AO192</f>
        <v>-6354.6774615384929</v>
      </c>
      <c r="AW192" s="159">
        <f>IFERROR(($AK192-AQ192)/ABS(AQ192),0)</f>
        <v>0</v>
      </c>
      <c r="AX192" s="71">
        <f>($AK192-AQ192)</f>
        <v>-84749.62</v>
      </c>
      <c r="AY192" s="71"/>
      <c r="BA192" s="115">
        <v>-963434.25300000003</v>
      </c>
      <c r="BB192" s="159"/>
      <c r="BC192" s="115">
        <v>-963434.25300000003</v>
      </c>
      <c r="BD192" s="159"/>
      <c r="BE192" s="115">
        <v>-615295.55000000005</v>
      </c>
      <c r="BF192" s="159"/>
      <c r="BG192" s="159">
        <f>IFERROR(($BA192-BC192)/ABS(BC192),0)</f>
        <v>0</v>
      </c>
      <c r="BH192" s="71">
        <f>BA192-BC192</f>
        <v>0</v>
      </c>
      <c r="BI192" s="159">
        <f>IFERROR(($BA192-BE192)/ABS(BE192),0)</f>
        <v>-0.56580728237023648</v>
      </c>
      <c r="BJ192" s="71">
        <f>BA192-BE192</f>
        <v>-348138.70299999998</v>
      </c>
      <c r="BK192" s="71"/>
    </row>
    <row r="193" spans="2:63" hidden="1" x14ac:dyDescent="0.25">
      <c r="B193" t="s">
        <v>1</v>
      </c>
      <c r="E193" s="3">
        <f t="shared" si="434"/>
        <v>0</v>
      </c>
      <c r="F193" s="3">
        <f t="shared" ref="F193:F201" si="440">$F$5</f>
        <v>0</v>
      </c>
      <c r="G193" s="3">
        <f t="shared" si="435"/>
        <v>0</v>
      </c>
      <c r="H193" s="3"/>
      <c r="I193" s="21"/>
      <c r="J193" s="21"/>
      <c r="K193" s="18"/>
      <c r="L193" s="78"/>
      <c r="M193" s="78">
        <v>0</v>
      </c>
      <c r="N193" s="159"/>
      <c r="O193" s="78">
        <v>0</v>
      </c>
      <c r="P193" s="159"/>
      <c r="Q193" s="78">
        <v>0</v>
      </c>
      <c r="R193" s="159"/>
      <c r="S193" s="78">
        <v>0</v>
      </c>
      <c r="T193" s="159"/>
      <c r="U193" s="159"/>
      <c r="V193" s="71"/>
      <c r="W193" s="159">
        <f>IFERROR(($M193-#REF!)/ABS(#REF!),0)</f>
        <v>0</v>
      </c>
      <c r="X193" s="71" t="e">
        <f>($M193-#REF!)</f>
        <v>#REF!</v>
      </c>
      <c r="Y193" s="159">
        <f t="shared" si="436"/>
        <v>0</v>
      </c>
      <c r="Z193" s="71">
        <f>($M193-S193)</f>
        <v>0</v>
      </c>
      <c r="AA193" s="71"/>
      <c r="AC193" s="240">
        <v>0</v>
      </c>
      <c r="AD193" s="240">
        <v>0</v>
      </c>
      <c r="AE193" s="240">
        <v>0</v>
      </c>
      <c r="AF193" s="241">
        <f t="shared" si="437"/>
        <v>0</v>
      </c>
      <c r="AG193" s="232">
        <f t="shared" si="438"/>
        <v>0</v>
      </c>
      <c r="AH193" s="241">
        <f t="shared" si="439"/>
        <v>0</v>
      </c>
      <c r="AI193" s="232">
        <f>($AC193-AE193)</f>
        <v>0</v>
      </c>
      <c r="AK193" s="115">
        <v>0</v>
      </c>
      <c r="AL193" s="159"/>
      <c r="AM193" s="115">
        <v>0</v>
      </c>
      <c r="AN193" s="159"/>
      <c r="AO193" s="115">
        <v>0</v>
      </c>
      <c r="AP193" s="159"/>
      <c r="AQ193" s="115">
        <v>0</v>
      </c>
      <c r="AR193" s="159"/>
      <c r="AS193" s="159"/>
      <c r="AT193" s="71"/>
      <c r="AU193" s="159">
        <f>IFERROR(($M193-#REF!)/ABS(#REF!),0)</f>
        <v>0</v>
      </c>
      <c r="AV193" s="71" t="e">
        <f>($M193-#REF!)</f>
        <v>#REF!</v>
      </c>
      <c r="AW193" s="159">
        <f t="shared" ref="AW193:AW201" si="441">IFERROR(($M193-AQ193)/ABS(AQ193),0)</f>
        <v>0</v>
      </c>
      <c r="AX193" s="71">
        <f>($M193-AQ193)</f>
        <v>0</v>
      </c>
      <c r="AY193" s="71"/>
      <c r="BA193" s="115">
        <v>0</v>
      </c>
      <c r="BB193" s="159"/>
      <c r="BC193" s="115">
        <v>0</v>
      </c>
      <c r="BD193" s="159"/>
      <c r="BE193" s="115">
        <v>0</v>
      </c>
      <c r="BF193" s="159"/>
      <c r="BG193" s="159"/>
      <c r="BH193" s="71"/>
      <c r="BI193" s="159"/>
      <c r="BJ193" s="71"/>
      <c r="BK193" s="71"/>
    </row>
    <row r="194" spans="2:63" hidden="1" x14ac:dyDescent="0.25">
      <c r="B194" t="s">
        <v>1</v>
      </c>
      <c r="E194" s="3">
        <f t="shared" si="434"/>
        <v>0</v>
      </c>
      <c r="F194" s="3">
        <f t="shared" si="440"/>
        <v>0</v>
      </c>
      <c r="G194" s="3">
        <f t="shared" si="435"/>
        <v>0</v>
      </c>
      <c r="H194" s="3"/>
      <c r="I194" s="21"/>
      <c r="J194" s="21"/>
      <c r="K194" s="18"/>
      <c r="L194" s="78"/>
      <c r="M194" s="117" t="e">
        <f>(M193/M38)</f>
        <v>#DIV/0!</v>
      </c>
      <c r="N194" s="159"/>
      <c r="O194" s="117">
        <v>0</v>
      </c>
      <c r="P194" s="159"/>
      <c r="Q194" s="117">
        <v>6536590.5470275404</v>
      </c>
      <c r="R194" s="159"/>
      <c r="S194" s="117" t="e">
        <f>($S193/S38)</f>
        <v>#DIV/0!</v>
      </c>
      <c r="T194" s="159"/>
      <c r="U194" s="159"/>
      <c r="V194" s="119"/>
      <c r="W194" s="159">
        <f>IFERROR(($M194-#REF!)/ABS(#REF!),0)</f>
        <v>0</v>
      </c>
      <c r="X194" s="119" t="e">
        <f>($M194-#REF!)*10000</f>
        <v>#DIV/0!</v>
      </c>
      <c r="Y194" s="159">
        <f t="shared" si="436"/>
        <v>0</v>
      </c>
      <c r="Z194" s="119" t="e">
        <f>($M194-S194)*10000</f>
        <v>#DIV/0!</v>
      </c>
      <c r="AA194" s="119"/>
      <c r="AC194" s="244" t="e">
        <f>(AC193/AC38)</f>
        <v>#DIV/0!</v>
      </c>
      <c r="AD194" s="244" t="e">
        <f>(AD193/AD38)</f>
        <v>#DIV/0!</v>
      </c>
      <c r="AE194" s="244" t="e">
        <f>(AE193/AE38)</f>
        <v>#DIV/0!</v>
      </c>
      <c r="AF194" s="241">
        <f t="shared" si="437"/>
        <v>0</v>
      </c>
      <c r="AG194" s="245" t="e">
        <f>($M194-AD194)*10000</f>
        <v>#DIV/0!</v>
      </c>
      <c r="AH194" s="241">
        <f t="shared" si="439"/>
        <v>0</v>
      </c>
      <c r="AI194" s="245" t="e">
        <f>($M194-AE194)*10000</f>
        <v>#DIV/0!</v>
      </c>
      <c r="AK194" s="117" t="e">
        <f>(AK193/AK38)</f>
        <v>#DIV/0!</v>
      </c>
      <c r="AL194" s="159"/>
      <c r="AM194" s="117">
        <v>0</v>
      </c>
      <c r="AN194" s="159"/>
      <c r="AO194" s="117">
        <v>3787251.7157980902</v>
      </c>
      <c r="AP194" s="159"/>
      <c r="AQ194" s="117" t="e">
        <f>(AQ193/AQ38)</f>
        <v>#DIV/0!</v>
      </c>
      <c r="AR194" s="159"/>
      <c r="AS194" s="159"/>
      <c r="AT194" s="119"/>
      <c r="AU194" s="159">
        <f>IFERROR(($M194-#REF!)/ABS(#REF!),0)</f>
        <v>0</v>
      </c>
      <c r="AV194" s="119" t="e">
        <f>($M194-#REF!)*10000</f>
        <v>#DIV/0!</v>
      </c>
      <c r="AW194" s="159">
        <f t="shared" si="441"/>
        <v>0</v>
      </c>
      <c r="AX194" s="119" t="e">
        <f>($M194-AQ194)*10000</f>
        <v>#DIV/0!</v>
      </c>
      <c r="AY194" s="119"/>
      <c r="BA194" s="117">
        <v>0</v>
      </c>
      <c r="BB194" s="159"/>
      <c r="BC194" s="117">
        <v>3787251.7157980902</v>
      </c>
      <c r="BD194" s="159"/>
      <c r="BE194" s="117">
        <v>19414959.440960001</v>
      </c>
      <c r="BF194" s="159"/>
      <c r="BG194" s="159"/>
      <c r="BH194" s="119"/>
      <c r="BI194" s="159"/>
      <c r="BJ194" s="119"/>
      <c r="BK194" s="119"/>
    </row>
    <row r="195" spans="2:63" hidden="1" x14ac:dyDescent="0.25">
      <c r="B195" t="s">
        <v>1</v>
      </c>
      <c r="E195" s="3">
        <f t="shared" si="434"/>
        <v>0</v>
      </c>
      <c r="F195" s="3">
        <f t="shared" si="440"/>
        <v>0</v>
      </c>
      <c r="G195" s="3">
        <f t="shared" si="435"/>
        <v>0</v>
      </c>
      <c r="H195" s="3"/>
      <c r="I195" s="21"/>
      <c r="J195" s="21"/>
      <c r="K195" s="18"/>
      <c r="L195" s="78"/>
      <c r="M195" s="117" t="e">
        <f>(M112/M38)</f>
        <v>#DIV/0!</v>
      </c>
      <c r="N195" s="159"/>
      <c r="O195" s="117">
        <v>0</v>
      </c>
      <c r="P195" s="159"/>
      <c r="Q195" s="117">
        <v>0</v>
      </c>
      <c r="R195" s="159"/>
      <c r="S195" s="117" t="e">
        <f>(S112/S38)</f>
        <v>#DIV/0!</v>
      </c>
      <c r="T195" s="159"/>
      <c r="U195" s="159"/>
      <c r="V195" s="119"/>
      <c r="W195" s="159">
        <f>IFERROR(($M195-#REF!)/ABS(#REF!),0)</f>
        <v>0</v>
      </c>
      <c r="X195" s="119" t="e">
        <f>($M195-#REF!)*10000</f>
        <v>#DIV/0!</v>
      </c>
      <c r="Y195" s="159">
        <f t="shared" si="436"/>
        <v>0</v>
      </c>
      <c r="Z195" s="119" t="e">
        <f>($M195-S195)*10000</f>
        <v>#DIV/0!</v>
      </c>
      <c r="AA195" s="119"/>
      <c r="AC195" s="244" t="e">
        <f>(AC112/AC38)</f>
        <v>#DIV/0!</v>
      </c>
      <c r="AD195" s="244" t="e">
        <f>(AD112/AD38)</f>
        <v>#DIV/0!</v>
      </c>
      <c r="AE195" s="244" t="e">
        <f>(AE112/AE38)</f>
        <v>#DIV/0!</v>
      </c>
      <c r="AF195" s="241">
        <f t="shared" si="437"/>
        <v>0</v>
      </c>
      <c r="AG195" s="245" t="e">
        <f>($M195-AD195)*10000</f>
        <v>#DIV/0!</v>
      </c>
      <c r="AH195" s="241">
        <f t="shared" si="439"/>
        <v>0</v>
      </c>
      <c r="AI195" s="245" t="e">
        <f>($M195-AE195)*10000</f>
        <v>#DIV/0!</v>
      </c>
      <c r="AK195" s="117" t="e">
        <f>(AK112/AK38)</f>
        <v>#DIV/0!</v>
      </c>
      <c r="AL195" s="159"/>
      <c r="AM195" s="117">
        <v>0</v>
      </c>
      <c r="AN195" s="159"/>
      <c r="AO195" s="117">
        <v>0</v>
      </c>
      <c r="AP195" s="159"/>
      <c r="AQ195" s="117" t="e">
        <f>(AQ112/AQ38)</f>
        <v>#DIV/0!</v>
      </c>
      <c r="AR195" s="159"/>
      <c r="AS195" s="159"/>
      <c r="AT195" s="119"/>
      <c r="AU195" s="159">
        <f>IFERROR(($M195-#REF!)/ABS(#REF!),0)</f>
        <v>0</v>
      </c>
      <c r="AV195" s="119" t="e">
        <f>($M195-#REF!)*10000</f>
        <v>#DIV/0!</v>
      </c>
      <c r="AW195" s="159">
        <f t="shared" si="441"/>
        <v>0</v>
      </c>
      <c r="AX195" s="119" t="e">
        <f>($M195-AQ195)*10000</f>
        <v>#DIV/0!</v>
      </c>
      <c r="AY195" s="119"/>
      <c r="BA195" s="117">
        <v>0</v>
      </c>
      <c r="BB195" s="159"/>
      <c r="BC195" s="117">
        <v>0</v>
      </c>
      <c r="BD195" s="159"/>
      <c r="BE195" s="117">
        <v>0</v>
      </c>
      <c r="BF195" s="159"/>
      <c r="BG195" s="159"/>
      <c r="BH195" s="119"/>
      <c r="BI195" s="159"/>
      <c r="BJ195" s="119"/>
      <c r="BK195" s="119"/>
    </row>
    <row r="196" spans="2:63" hidden="1" x14ac:dyDescent="0.25">
      <c r="B196" t="s">
        <v>1</v>
      </c>
      <c r="E196" s="3">
        <f t="shared" si="434"/>
        <v>0</v>
      </c>
      <c r="F196" s="3">
        <f t="shared" si="440"/>
        <v>0</v>
      </c>
      <c r="G196" s="3">
        <f t="shared" si="435"/>
        <v>0</v>
      </c>
      <c r="H196" s="3"/>
      <c r="I196" s="21"/>
      <c r="J196" s="21"/>
      <c r="K196" s="18"/>
      <c r="L196" s="78"/>
      <c r="M196" s="78">
        <v>0</v>
      </c>
      <c r="N196" s="159"/>
      <c r="O196" s="78">
        <v>0</v>
      </c>
      <c r="P196" s="159"/>
      <c r="Q196" s="78">
        <v>0</v>
      </c>
      <c r="R196" s="159"/>
      <c r="S196" s="78">
        <v>0</v>
      </c>
      <c r="T196" s="159"/>
      <c r="U196" s="159"/>
      <c r="V196" s="71"/>
      <c r="W196" s="159">
        <f>IFERROR(($M196-#REF!)/ABS(#REF!),0)</f>
        <v>0</v>
      </c>
      <c r="X196" s="71" t="e">
        <f>($M196-#REF!)</f>
        <v>#REF!</v>
      </c>
      <c r="Y196" s="159">
        <f t="shared" si="436"/>
        <v>0</v>
      </c>
      <c r="Z196" s="71">
        <f t="shared" ref="Z196:Z201" si="442">($M196-S196)</f>
        <v>0</v>
      </c>
      <c r="AA196" s="71"/>
      <c r="AC196" s="240">
        <v>0</v>
      </c>
      <c r="AD196" s="240">
        <v>0</v>
      </c>
      <c r="AE196" s="240">
        <v>0</v>
      </c>
      <c r="AF196" s="241">
        <f t="shared" si="437"/>
        <v>0</v>
      </c>
      <c r="AG196" s="232">
        <f t="shared" si="438"/>
        <v>0</v>
      </c>
      <c r="AH196" s="241">
        <f t="shared" si="439"/>
        <v>0</v>
      </c>
      <c r="AI196" s="232">
        <f t="shared" ref="AI196:AI201" si="443">($AC196-AE196)</f>
        <v>0</v>
      </c>
      <c r="AK196" s="115">
        <v>0</v>
      </c>
      <c r="AL196" s="159"/>
      <c r="AM196" s="115">
        <v>0</v>
      </c>
      <c r="AN196" s="159"/>
      <c r="AO196" s="115">
        <v>0</v>
      </c>
      <c r="AP196" s="159"/>
      <c r="AQ196" s="115">
        <v>0</v>
      </c>
      <c r="AR196" s="159"/>
      <c r="AS196" s="159"/>
      <c r="AT196" s="71"/>
      <c r="AU196" s="159">
        <f>IFERROR(($M196-#REF!)/ABS(#REF!),0)</f>
        <v>0</v>
      </c>
      <c r="AV196" s="71" t="e">
        <f>($M196-#REF!)</f>
        <v>#REF!</v>
      </c>
      <c r="AW196" s="159">
        <f t="shared" si="441"/>
        <v>0</v>
      </c>
      <c r="AX196" s="71">
        <f t="shared" ref="AX196:AX201" si="444">($M196-AQ196)</f>
        <v>0</v>
      </c>
      <c r="AY196" s="71"/>
      <c r="BA196" s="115">
        <v>0</v>
      </c>
      <c r="BB196" s="159"/>
      <c r="BC196" s="115">
        <v>0</v>
      </c>
      <c r="BD196" s="159"/>
      <c r="BE196" s="115">
        <v>0</v>
      </c>
      <c r="BF196" s="159"/>
      <c r="BG196" s="159"/>
      <c r="BH196" s="71"/>
      <c r="BI196" s="159"/>
      <c r="BJ196" s="71"/>
      <c r="BK196" s="71"/>
    </row>
    <row r="197" spans="2:63" hidden="1" x14ac:dyDescent="0.25">
      <c r="B197" t="s">
        <v>1</v>
      </c>
      <c r="E197" s="3">
        <f t="shared" si="434"/>
        <v>0</v>
      </c>
      <c r="F197" s="3">
        <f t="shared" si="440"/>
        <v>0</v>
      </c>
      <c r="G197" s="3">
        <f t="shared" si="435"/>
        <v>0</v>
      </c>
      <c r="H197" s="3"/>
      <c r="I197" s="21"/>
      <c r="J197" s="21"/>
      <c r="K197" s="18"/>
      <c r="L197" s="78"/>
      <c r="M197" s="78"/>
      <c r="N197" s="159"/>
      <c r="O197" s="78"/>
      <c r="P197" s="159"/>
      <c r="Q197" s="78"/>
      <c r="R197" s="159"/>
      <c r="S197" s="78"/>
      <c r="T197" s="159"/>
      <c r="U197" s="159"/>
      <c r="V197" s="71"/>
      <c r="W197" s="159">
        <f>IFERROR(($M197-#REF!)/ABS(#REF!),0)</f>
        <v>0</v>
      </c>
      <c r="X197" s="71" t="e">
        <f>($M197-#REF!)</f>
        <v>#REF!</v>
      </c>
      <c r="Y197" s="159">
        <f t="shared" si="436"/>
        <v>0</v>
      </c>
      <c r="Z197" s="71">
        <f t="shared" si="442"/>
        <v>0</v>
      </c>
      <c r="AA197" s="71"/>
      <c r="AC197" s="240"/>
      <c r="AD197" s="240"/>
      <c r="AE197" s="240"/>
      <c r="AF197" s="241">
        <f t="shared" si="437"/>
        <v>0</v>
      </c>
      <c r="AG197" s="232">
        <f t="shared" si="438"/>
        <v>0</v>
      </c>
      <c r="AH197" s="241">
        <f t="shared" si="439"/>
        <v>0</v>
      </c>
      <c r="AI197" s="232">
        <f t="shared" si="443"/>
        <v>0</v>
      </c>
      <c r="AK197" s="115"/>
      <c r="AL197" s="159"/>
      <c r="AM197" s="115"/>
      <c r="AN197" s="159"/>
      <c r="AO197" s="115"/>
      <c r="AP197" s="159"/>
      <c r="AQ197" s="115"/>
      <c r="AR197" s="159"/>
      <c r="AS197" s="159"/>
      <c r="AT197" s="71"/>
      <c r="AU197" s="159">
        <f>IFERROR(($M197-#REF!)/ABS(#REF!),0)</f>
        <v>0</v>
      </c>
      <c r="AV197" s="71" t="e">
        <f>($M197-#REF!)</f>
        <v>#REF!</v>
      </c>
      <c r="AW197" s="159">
        <f t="shared" si="441"/>
        <v>0</v>
      </c>
      <c r="AX197" s="71">
        <f t="shared" si="444"/>
        <v>0</v>
      </c>
      <c r="AY197" s="71"/>
      <c r="BA197" s="115"/>
      <c r="BB197" s="159"/>
      <c r="BC197" s="115"/>
      <c r="BD197" s="159"/>
      <c r="BE197" s="115"/>
      <c r="BF197" s="159"/>
      <c r="BG197" s="159"/>
      <c r="BH197" s="71"/>
      <c r="BI197" s="159"/>
      <c r="BJ197" s="71"/>
      <c r="BK197" s="71"/>
    </row>
    <row r="198" spans="2:63" hidden="1" x14ac:dyDescent="0.25">
      <c r="B198" t="s">
        <v>1</v>
      </c>
      <c r="E198" s="3">
        <f t="shared" si="434"/>
        <v>0</v>
      </c>
      <c r="F198" s="3">
        <f t="shared" si="440"/>
        <v>0</v>
      </c>
      <c r="G198" s="3">
        <f t="shared" si="435"/>
        <v>0</v>
      </c>
      <c r="H198" s="3"/>
      <c r="I198" s="21"/>
      <c r="J198" s="21"/>
      <c r="K198" s="18"/>
      <c r="L198" s="78"/>
      <c r="M198" s="78">
        <v>0</v>
      </c>
      <c r="N198" s="159"/>
      <c r="O198" s="78">
        <v>0</v>
      </c>
      <c r="P198" s="159"/>
      <c r="Q198" s="78">
        <v>0</v>
      </c>
      <c r="R198" s="159"/>
      <c r="S198" s="78">
        <v>0</v>
      </c>
      <c r="T198" s="159"/>
      <c r="U198" s="159"/>
      <c r="V198" s="71"/>
      <c r="W198" s="159">
        <f>IFERROR(($M198-#REF!)/ABS(#REF!),0)</f>
        <v>0</v>
      </c>
      <c r="X198" s="71" t="e">
        <f>($M198-#REF!)</f>
        <v>#REF!</v>
      </c>
      <c r="Y198" s="159">
        <f t="shared" si="436"/>
        <v>0</v>
      </c>
      <c r="Z198" s="71">
        <f t="shared" si="442"/>
        <v>0</v>
      </c>
      <c r="AA198" s="71"/>
      <c r="AC198" s="240">
        <v>0</v>
      </c>
      <c r="AD198" s="240">
        <v>0</v>
      </c>
      <c r="AE198" s="240">
        <v>0</v>
      </c>
      <c r="AF198" s="241">
        <f t="shared" si="437"/>
        <v>0</v>
      </c>
      <c r="AG198" s="232">
        <f t="shared" si="438"/>
        <v>0</v>
      </c>
      <c r="AH198" s="241">
        <f t="shared" si="439"/>
        <v>0</v>
      </c>
      <c r="AI198" s="232">
        <f t="shared" si="443"/>
        <v>0</v>
      </c>
      <c r="AK198" s="115">
        <v>0</v>
      </c>
      <c r="AL198" s="159"/>
      <c r="AM198" s="115">
        <v>0</v>
      </c>
      <c r="AN198" s="159"/>
      <c r="AO198" s="115">
        <v>0</v>
      </c>
      <c r="AP198" s="159"/>
      <c r="AQ198" s="115">
        <v>0</v>
      </c>
      <c r="AR198" s="159"/>
      <c r="AS198" s="159"/>
      <c r="AT198" s="71"/>
      <c r="AU198" s="159">
        <f>IFERROR(($M198-#REF!)/ABS(#REF!),0)</f>
        <v>0</v>
      </c>
      <c r="AV198" s="71" t="e">
        <f>($M198-#REF!)</f>
        <v>#REF!</v>
      </c>
      <c r="AW198" s="159">
        <f t="shared" si="441"/>
        <v>0</v>
      </c>
      <c r="AX198" s="71">
        <f t="shared" si="444"/>
        <v>0</v>
      </c>
      <c r="AY198" s="71"/>
      <c r="BA198" s="115">
        <v>0</v>
      </c>
      <c r="BB198" s="159"/>
      <c r="BC198" s="115">
        <v>0</v>
      </c>
      <c r="BD198" s="159"/>
      <c r="BE198" s="115">
        <v>0</v>
      </c>
      <c r="BF198" s="159"/>
      <c r="BG198" s="159"/>
      <c r="BH198" s="71"/>
      <c r="BI198" s="159"/>
      <c r="BJ198" s="71"/>
      <c r="BK198" s="71"/>
    </row>
    <row r="199" spans="2:63" hidden="1" x14ac:dyDescent="0.25">
      <c r="B199" t="s">
        <v>1</v>
      </c>
      <c r="E199" s="3">
        <f t="shared" si="434"/>
        <v>0</v>
      </c>
      <c r="F199" s="3">
        <f t="shared" si="440"/>
        <v>0</v>
      </c>
      <c r="G199" s="3">
        <f t="shared" si="435"/>
        <v>0</v>
      </c>
      <c r="H199" s="3"/>
      <c r="I199" s="21"/>
      <c r="J199" s="21"/>
      <c r="K199" s="18"/>
      <c r="L199" s="78"/>
      <c r="M199" s="78">
        <v>0</v>
      </c>
      <c r="N199" s="159"/>
      <c r="O199" s="78">
        <v>0</v>
      </c>
      <c r="P199" s="159"/>
      <c r="Q199" s="78">
        <v>0</v>
      </c>
      <c r="R199" s="159"/>
      <c r="S199" s="78">
        <v>0</v>
      </c>
      <c r="T199" s="159"/>
      <c r="U199" s="159"/>
      <c r="V199" s="71"/>
      <c r="W199" s="159">
        <f>IFERROR(($M199-#REF!)/ABS(#REF!),0)</f>
        <v>0</v>
      </c>
      <c r="X199" s="71" t="e">
        <f>($M199-#REF!)</f>
        <v>#REF!</v>
      </c>
      <c r="Y199" s="159">
        <f t="shared" si="436"/>
        <v>0</v>
      </c>
      <c r="Z199" s="71">
        <f t="shared" si="442"/>
        <v>0</v>
      </c>
      <c r="AA199" s="71"/>
      <c r="AC199" s="240">
        <v>0</v>
      </c>
      <c r="AD199" s="240">
        <v>0</v>
      </c>
      <c r="AE199" s="240">
        <v>0</v>
      </c>
      <c r="AF199" s="241">
        <f t="shared" si="437"/>
        <v>0</v>
      </c>
      <c r="AG199" s="232">
        <f t="shared" si="438"/>
        <v>0</v>
      </c>
      <c r="AH199" s="241">
        <f t="shared" si="439"/>
        <v>0</v>
      </c>
      <c r="AI199" s="232">
        <f t="shared" si="443"/>
        <v>0</v>
      </c>
      <c r="AK199" s="115">
        <v>0</v>
      </c>
      <c r="AL199" s="159"/>
      <c r="AM199" s="115">
        <v>0</v>
      </c>
      <c r="AN199" s="159"/>
      <c r="AO199" s="115">
        <v>0</v>
      </c>
      <c r="AP199" s="159"/>
      <c r="AQ199" s="115">
        <v>0</v>
      </c>
      <c r="AR199" s="159"/>
      <c r="AS199" s="159"/>
      <c r="AT199" s="71"/>
      <c r="AU199" s="159">
        <f>IFERROR(($M199-#REF!)/ABS(#REF!),0)</f>
        <v>0</v>
      </c>
      <c r="AV199" s="71" t="e">
        <f>($M199-#REF!)</f>
        <v>#REF!</v>
      </c>
      <c r="AW199" s="159">
        <f t="shared" si="441"/>
        <v>0</v>
      </c>
      <c r="AX199" s="71">
        <f t="shared" si="444"/>
        <v>0</v>
      </c>
      <c r="AY199" s="71"/>
      <c r="BA199" s="115">
        <v>0</v>
      </c>
      <c r="BB199" s="159"/>
      <c r="BC199" s="115">
        <v>0</v>
      </c>
      <c r="BD199" s="159"/>
      <c r="BE199" s="115">
        <v>0</v>
      </c>
      <c r="BF199" s="159"/>
      <c r="BG199" s="159"/>
      <c r="BH199" s="71"/>
      <c r="BI199" s="159"/>
      <c r="BJ199" s="71"/>
      <c r="BK199" s="71"/>
    </row>
    <row r="200" spans="2:63" hidden="1" x14ac:dyDescent="0.25">
      <c r="B200" t="s">
        <v>1</v>
      </c>
      <c r="E200" s="3">
        <f t="shared" si="434"/>
        <v>0</v>
      </c>
      <c r="F200" s="3">
        <f t="shared" si="440"/>
        <v>0</v>
      </c>
      <c r="G200" s="3">
        <f t="shared" si="435"/>
        <v>0</v>
      </c>
      <c r="H200" s="3"/>
      <c r="I200" s="21"/>
      <c r="J200" s="21"/>
      <c r="K200" s="18"/>
      <c r="L200" s="78"/>
      <c r="M200" s="78">
        <v>0</v>
      </c>
      <c r="N200" s="159"/>
      <c r="O200" s="78">
        <v>0</v>
      </c>
      <c r="P200" s="159"/>
      <c r="Q200" s="78">
        <v>0</v>
      </c>
      <c r="R200" s="159"/>
      <c r="S200" s="78">
        <v>0</v>
      </c>
      <c r="T200" s="159"/>
      <c r="U200" s="159"/>
      <c r="V200" s="71"/>
      <c r="W200" s="159">
        <f>IFERROR(($M200-#REF!)/ABS(#REF!),0)</f>
        <v>0</v>
      </c>
      <c r="X200" s="71" t="e">
        <f>($M200-#REF!)</f>
        <v>#REF!</v>
      </c>
      <c r="Y200" s="159">
        <f t="shared" si="436"/>
        <v>0</v>
      </c>
      <c r="Z200" s="71">
        <f t="shared" si="442"/>
        <v>0</v>
      </c>
      <c r="AA200" s="71"/>
      <c r="AC200" s="240">
        <v>0</v>
      </c>
      <c r="AD200" s="240">
        <v>0</v>
      </c>
      <c r="AE200" s="240">
        <v>0</v>
      </c>
      <c r="AF200" s="241">
        <f t="shared" si="437"/>
        <v>0</v>
      </c>
      <c r="AG200" s="232">
        <f t="shared" si="438"/>
        <v>0</v>
      </c>
      <c r="AH200" s="241">
        <f t="shared" si="439"/>
        <v>0</v>
      </c>
      <c r="AI200" s="232">
        <f t="shared" si="443"/>
        <v>0</v>
      </c>
      <c r="AK200" s="115">
        <v>0</v>
      </c>
      <c r="AL200" s="159"/>
      <c r="AM200" s="115">
        <v>0</v>
      </c>
      <c r="AN200" s="159"/>
      <c r="AO200" s="115">
        <v>0</v>
      </c>
      <c r="AP200" s="159"/>
      <c r="AQ200" s="115">
        <v>0</v>
      </c>
      <c r="AR200" s="159"/>
      <c r="AS200" s="159"/>
      <c r="AT200" s="71"/>
      <c r="AU200" s="159">
        <f>IFERROR(($M200-#REF!)/ABS(#REF!),0)</f>
        <v>0</v>
      </c>
      <c r="AV200" s="71" t="e">
        <f>($M200-#REF!)</f>
        <v>#REF!</v>
      </c>
      <c r="AW200" s="159">
        <f t="shared" si="441"/>
        <v>0</v>
      </c>
      <c r="AX200" s="71">
        <f t="shared" si="444"/>
        <v>0</v>
      </c>
      <c r="AY200" s="71"/>
      <c r="BA200" s="115">
        <v>0</v>
      </c>
      <c r="BB200" s="159"/>
      <c r="BC200" s="115">
        <v>0</v>
      </c>
      <c r="BD200" s="159"/>
      <c r="BE200" s="115">
        <v>0</v>
      </c>
      <c r="BF200" s="159"/>
      <c r="BG200" s="159"/>
      <c r="BH200" s="71"/>
      <c r="BI200" s="159"/>
      <c r="BJ200" s="71"/>
      <c r="BK200" s="71"/>
    </row>
    <row r="201" spans="2:63" hidden="1" x14ac:dyDescent="0.25">
      <c r="B201" t="s">
        <v>1</v>
      </c>
      <c r="E201" s="3">
        <f t="shared" si="434"/>
        <v>0</v>
      </c>
      <c r="F201" s="3">
        <f t="shared" si="440"/>
        <v>0</v>
      </c>
      <c r="G201" s="3">
        <f t="shared" si="435"/>
        <v>0</v>
      </c>
      <c r="H201" s="3"/>
      <c r="I201" s="21"/>
      <c r="J201" s="21"/>
      <c r="K201" s="18"/>
      <c r="L201" s="78"/>
      <c r="M201" s="78">
        <v>0</v>
      </c>
      <c r="N201" s="159"/>
      <c r="O201" s="78">
        <v>0</v>
      </c>
      <c r="P201" s="159"/>
      <c r="Q201" s="78">
        <v>0</v>
      </c>
      <c r="R201" s="159"/>
      <c r="S201" s="78">
        <v>0</v>
      </c>
      <c r="T201" s="159"/>
      <c r="U201" s="159"/>
      <c r="V201" s="71"/>
      <c r="W201" s="159">
        <f>IFERROR(($M201-#REF!)/ABS(#REF!),0)</f>
        <v>0</v>
      </c>
      <c r="X201" s="71" t="e">
        <f>($M201-#REF!)</f>
        <v>#REF!</v>
      </c>
      <c r="Y201" s="159">
        <f t="shared" si="436"/>
        <v>0</v>
      </c>
      <c r="Z201" s="71">
        <f t="shared" si="442"/>
        <v>0</v>
      </c>
      <c r="AA201" s="71"/>
      <c r="AC201" s="240">
        <v>0</v>
      </c>
      <c r="AD201" s="240">
        <v>0</v>
      </c>
      <c r="AE201" s="240">
        <v>0</v>
      </c>
      <c r="AF201" s="241">
        <f t="shared" si="437"/>
        <v>0</v>
      </c>
      <c r="AG201" s="232">
        <f t="shared" si="438"/>
        <v>0</v>
      </c>
      <c r="AH201" s="241">
        <f t="shared" si="439"/>
        <v>0</v>
      </c>
      <c r="AI201" s="232">
        <f t="shared" si="443"/>
        <v>0</v>
      </c>
      <c r="AK201" s="115">
        <v>0</v>
      </c>
      <c r="AL201" s="159"/>
      <c r="AM201" s="115">
        <v>0</v>
      </c>
      <c r="AN201" s="159"/>
      <c r="AO201" s="115">
        <v>0</v>
      </c>
      <c r="AP201" s="159"/>
      <c r="AQ201" s="115">
        <v>0</v>
      </c>
      <c r="AR201" s="159"/>
      <c r="AS201" s="159"/>
      <c r="AT201" s="71"/>
      <c r="AU201" s="159">
        <f>IFERROR(($M201-#REF!)/ABS(#REF!),0)</f>
        <v>0</v>
      </c>
      <c r="AV201" s="71" t="e">
        <f>($M201-#REF!)</f>
        <v>#REF!</v>
      </c>
      <c r="AW201" s="159">
        <f t="shared" si="441"/>
        <v>0</v>
      </c>
      <c r="AX201" s="71">
        <f t="shared" si="444"/>
        <v>0</v>
      </c>
      <c r="AY201" s="71"/>
      <c r="BA201" s="115">
        <v>0</v>
      </c>
      <c r="BB201" s="159"/>
      <c r="BC201" s="115">
        <v>0</v>
      </c>
      <c r="BD201" s="159"/>
      <c r="BE201" s="115">
        <v>0</v>
      </c>
      <c r="BF201" s="159"/>
      <c r="BG201" s="159"/>
      <c r="BH201" s="71"/>
      <c r="BI201" s="159"/>
      <c r="BJ201" s="71"/>
      <c r="BK201" s="71"/>
    </row>
    <row r="202" spans="2:63" hidden="1" x14ac:dyDescent="0.25">
      <c r="B202" t="s">
        <v>1</v>
      </c>
      <c r="N202" s="145"/>
      <c r="P202" s="145"/>
      <c r="R202" s="145"/>
      <c r="T202" s="145"/>
      <c r="U202" s="145"/>
      <c r="V202" s="84"/>
      <c r="W202" s="145"/>
      <c r="X202" s="84"/>
      <c r="Y202" s="145"/>
      <c r="Z202" s="84"/>
      <c r="AA202" s="84"/>
      <c r="AF202" s="169"/>
      <c r="AG202" s="140"/>
      <c r="AH202" s="169"/>
      <c r="AI202" s="140"/>
      <c r="AL202" s="145"/>
      <c r="AN202" s="145"/>
      <c r="AP202" s="145"/>
      <c r="AR202" s="145"/>
      <c r="AS202" s="145"/>
      <c r="AT202" s="84"/>
      <c r="AU202" s="145"/>
      <c r="AV202" s="84"/>
      <c r="AW202" s="145"/>
      <c r="AX202" s="84"/>
      <c r="AY202" s="84"/>
      <c r="BB202" s="145"/>
      <c r="BD202" s="145"/>
      <c r="BF202" s="145"/>
      <c r="BG202" s="145"/>
      <c r="BH202" s="84"/>
      <c r="BI202" s="145"/>
      <c r="BJ202" s="84"/>
      <c r="BK202" s="84"/>
    </row>
    <row r="203" spans="2:63" hidden="1" x14ac:dyDescent="0.25">
      <c r="B203" t="s">
        <v>1</v>
      </c>
      <c r="N203" s="145"/>
      <c r="P203" s="145"/>
      <c r="R203" s="145"/>
      <c r="T203" s="145"/>
      <c r="U203" s="145"/>
      <c r="V203" s="84"/>
      <c r="W203" s="145"/>
      <c r="X203" s="84"/>
      <c r="Y203" s="145"/>
      <c r="Z203" s="84"/>
      <c r="AA203" s="84"/>
      <c r="AF203" s="169"/>
      <c r="AG203" s="140"/>
      <c r="AH203" s="169"/>
      <c r="AI203" s="140"/>
      <c r="AL203" s="145"/>
      <c r="AN203" s="145"/>
      <c r="AP203" s="145"/>
      <c r="AR203" s="145"/>
      <c r="AS203" s="145"/>
      <c r="AT203" s="84"/>
      <c r="AU203" s="145"/>
      <c r="AV203" s="84"/>
      <c r="AW203" s="145"/>
      <c r="AX203" s="84"/>
      <c r="AY203" s="84"/>
      <c r="BB203" s="145"/>
      <c r="BD203" s="145"/>
      <c r="BF203" s="145"/>
      <c r="BG203" s="145"/>
      <c r="BH203" s="84"/>
      <c r="BI203" s="145"/>
      <c r="BJ203" s="84"/>
      <c r="BK203" s="84"/>
    </row>
    <row r="204" spans="2:63" ht="12.45" thickBot="1" x14ac:dyDescent="0.3">
      <c r="B204" t="s">
        <v>90</v>
      </c>
      <c r="E204" s="4">
        <f>$E$5</f>
        <v>0</v>
      </c>
      <c r="F204" s="4">
        <f t="shared" ref="F204" si="445">$F$5</f>
        <v>0</v>
      </c>
      <c r="G204" s="4">
        <f>$G$5</f>
        <v>0</v>
      </c>
      <c r="H204" s="4" t="s">
        <v>20</v>
      </c>
      <c r="I204" s="5"/>
      <c r="J204" s="5"/>
      <c r="K204" s="5"/>
      <c r="L204" s="5"/>
      <c r="M204" s="120">
        <v>-84749.62</v>
      </c>
      <c r="N204" s="160"/>
      <c r="O204" s="120">
        <v>-78394.942538461502</v>
      </c>
      <c r="P204" s="160"/>
      <c r="Q204" s="120">
        <v>-78394.942538461502</v>
      </c>
      <c r="R204" s="160"/>
      <c r="S204" s="120">
        <v>0</v>
      </c>
      <c r="T204" s="160"/>
      <c r="U204" s="160"/>
      <c r="V204" s="122"/>
      <c r="W204" s="160"/>
      <c r="X204" s="122"/>
      <c r="Y204" s="160"/>
      <c r="Z204" s="122"/>
      <c r="AA204" s="122"/>
      <c r="AC204" s="246">
        <v>-84749.62</v>
      </c>
      <c r="AD204" s="246">
        <v>0</v>
      </c>
      <c r="AE204" s="246">
        <v>-78394.942538461502</v>
      </c>
      <c r="AF204" s="247"/>
      <c r="AG204" s="248"/>
      <c r="AH204" s="247"/>
      <c r="AI204" s="248"/>
      <c r="AK204" s="120">
        <v>-84749.62</v>
      </c>
      <c r="AL204" s="160"/>
      <c r="AM204" s="120">
        <v>-78394.942538461502</v>
      </c>
      <c r="AN204" s="160"/>
      <c r="AO204" s="120">
        <v>-78394.942538461502</v>
      </c>
      <c r="AP204" s="160"/>
      <c r="AQ204" s="120">
        <v>0</v>
      </c>
      <c r="AR204" s="160"/>
      <c r="AS204" s="160"/>
      <c r="AT204" s="122"/>
      <c r="AU204" s="160"/>
      <c r="AV204" s="122"/>
      <c r="AW204" s="160"/>
      <c r="AX204" s="122"/>
      <c r="AY204" s="122"/>
      <c r="BA204" s="120">
        <v>-963434.25300000003</v>
      </c>
      <c r="BB204" s="160"/>
      <c r="BC204" s="120">
        <v>-963434.25300000003</v>
      </c>
      <c r="BD204" s="160"/>
      <c r="BE204" s="120">
        <v>-615295.55000000005</v>
      </c>
      <c r="BF204" s="160"/>
      <c r="BG204" s="160"/>
      <c r="BH204" s="122"/>
      <c r="BI204" s="160"/>
      <c r="BJ204" s="122"/>
      <c r="BK204" s="122"/>
    </row>
    <row r="205" spans="2:63" hidden="1" x14ac:dyDescent="0.25">
      <c r="B205" t="s">
        <v>1</v>
      </c>
      <c r="M205" s="124">
        <f>_xlfn.IFNA(ROUND(M204-M188,0),0)</f>
        <v>0</v>
      </c>
      <c r="N205" s="161"/>
      <c r="O205" s="124"/>
      <c r="P205" s="161"/>
      <c r="Q205" s="124"/>
      <c r="R205" s="161"/>
      <c r="S205" s="124">
        <f>_xlfn.IFNA(ROUND(S204-S188,0),0)</f>
        <v>0</v>
      </c>
      <c r="T205" s="161"/>
      <c r="U205" s="161"/>
      <c r="V205" s="126"/>
      <c r="W205" s="161"/>
      <c r="X205" s="126"/>
      <c r="Y205" s="161"/>
      <c r="Z205" s="126"/>
      <c r="AA205" s="126"/>
      <c r="AC205" s="249">
        <f>_xlfn.IFNA(ROUND(AC204-AC188,0),0)</f>
        <v>0</v>
      </c>
      <c r="AD205" s="249">
        <f>_xlfn.IFNA(ROUND(AD204-AD188,0),0)</f>
        <v>0</v>
      </c>
      <c r="AE205" s="249">
        <f>_xlfn.IFNA(ROUND(AE204-AE188,0),0)</f>
        <v>0</v>
      </c>
      <c r="AF205" s="250"/>
      <c r="AG205" s="251"/>
      <c r="AH205" s="250"/>
      <c r="AI205" s="251"/>
      <c r="AK205" s="124">
        <f>_xlfn.IFNA(ROUND(AK204-AK188,0),0)</f>
        <v>0</v>
      </c>
      <c r="AL205" s="161"/>
      <c r="AM205" s="124"/>
      <c r="AN205" s="161"/>
      <c r="AO205" s="124"/>
      <c r="AP205" s="161"/>
      <c r="AQ205" s="124">
        <f>_xlfn.IFNA(ROUND(AQ204-AQ188,0),0)</f>
        <v>0</v>
      </c>
      <c r="AR205" s="161"/>
      <c r="AS205" s="161"/>
      <c r="AT205" s="126"/>
      <c r="AU205" s="161"/>
      <c r="AV205" s="126"/>
      <c r="AW205" s="161"/>
      <c r="AX205" s="126"/>
      <c r="AY205" s="126"/>
      <c r="BA205" s="124"/>
      <c r="BB205" s="161"/>
      <c r="BC205" s="124"/>
      <c r="BD205" s="161"/>
      <c r="BE205" s="124"/>
      <c r="BF205" s="161"/>
      <c r="BG205" s="161"/>
      <c r="BH205" s="126"/>
      <c r="BI205" s="161"/>
      <c r="BJ205" s="126"/>
      <c r="BK205" s="126"/>
    </row>
    <row r="206" spans="2:63" x14ac:dyDescent="0.25">
      <c r="N206" s="145"/>
      <c r="P206" s="145"/>
      <c r="R206" s="145"/>
      <c r="T206" s="145"/>
      <c r="U206" s="145"/>
      <c r="V206" s="84"/>
      <c r="W206" s="145"/>
      <c r="X206" s="84"/>
      <c r="Y206" s="145"/>
      <c r="Z206" s="84"/>
      <c r="AA206" s="84"/>
      <c r="AF206" s="169"/>
      <c r="AG206" s="140"/>
      <c r="AH206" s="169"/>
      <c r="AI206" s="140"/>
      <c r="AL206" s="145"/>
      <c r="AN206" s="145"/>
      <c r="AP206" s="145"/>
      <c r="AR206" s="145"/>
      <c r="AS206" s="145"/>
      <c r="AT206" s="84"/>
      <c r="AU206" s="145"/>
      <c r="AV206" s="84"/>
      <c r="AW206" s="145"/>
      <c r="AX206" s="84"/>
      <c r="AY206" s="84"/>
      <c r="BB206" s="145"/>
      <c r="BD206" s="145"/>
      <c r="BF206" s="145"/>
      <c r="BG206" s="145"/>
      <c r="BH206" s="84"/>
      <c r="BI206" s="145"/>
      <c r="BJ206" s="84"/>
      <c r="BK206" s="84"/>
    </row>
    <row r="207" spans="2:63" x14ac:dyDescent="0.25">
      <c r="M207" s="22">
        <f>M38-M53-M112-M124-M129-M139-M144-M134</f>
        <v>-84749.62</v>
      </c>
      <c r="N207" s="145"/>
      <c r="O207" s="22">
        <f>O38-O53-O112-O124-O129-O139-O144-O134</f>
        <v>-78394.942538461546</v>
      </c>
      <c r="P207" s="145"/>
      <c r="Q207" s="22">
        <f>Q38-Q53-Q112-Q124-Q129-Q139-Q144-Q134</f>
        <v>-78394.942538461546</v>
      </c>
      <c r="R207" s="145"/>
      <c r="S207" s="22">
        <f>S38-S53-S112-S124-S129-S139-S144-S134</f>
        <v>0</v>
      </c>
      <c r="T207" s="145"/>
      <c r="U207" s="145">
        <f t="shared" ref="U207:Z207" si="446">U38-U53-U112-U124-U129-U139-U144-U134</f>
        <v>7.4981781175402246E-2</v>
      </c>
      <c r="V207" s="129">
        <f t="shared" si="446"/>
        <v>6354.6774615384529</v>
      </c>
      <c r="W207" s="145">
        <f t="shared" si="446"/>
        <v>7.4981781175402246E-2</v>
      </c>
      <c r="X207" s="129">
        <f t="shared" si="446"/>
        <v>6354.6774615384529</v>
      </c>
      <c r="Y207" s="145">
        <f t="shared" si="446"/>
        <v>1</v>
      </c>
      <c r="Z207" s="129">
        <f t="shared" si="446"/>
        <v>84749.62</v>
      </c>
      <c r="AA207" s="129"/>
      <c r="AC207" s="218">
        <f t="shared" ref="AC207:AK207" si="447">AC38-AC53-AC112-AC124-AC129-AC139-AC144-AC134</f>
        <v>-84749.62</v>
      </c>
      <c r="AD207" s="218">
        <f t="shared" si="447"/>
        <v>0</v>
      </c>
      <c r="AE207" s="218">
        <f t="shared" si="447"/>
        <v>-78394.942538461546</v>
      </c>
      <c r="AF207" s="169">
        <f t="shared" si="447"/>
        <v>1</v>
      </c>
      <c r="AG207" s="252">
        <f t="shared" si="447"/>
        <v>84749.62</v>
      </c>
      <c r="AH207" s="169">
        <f t="shared" si="447"/>
        <v>7.4981781175402246E-2</v>
      </c>
      <c r="AI207" s="252">
        <f t="shared" si="447"/>
        <v>6354.6774615384529</v>
      </c>
      <c r="AJ207">
        <f t="shared" si="447"/>
        <v>0</v>
      </c>
      <c r="AK207" s="22">
        <f t="shared" si="447"/>
        <v>-84749.62</v>
      </c>
      <c r="AL207" s="145"/>
      <c r="AM207" s="22">
        <f>AM38-AM53-AM112-AM124-AM129-AM139-AM144-AM134</f>
        <v>-78394.942538461546</v>
      </c>
      <c r="AN207" s="145"/>
      <c r="AO207" s="22">
        <f>AO38-AO53-AO112-AO124-AO129-AO139-AO144-AO134</f>
        <v>-78394.942538461546</v>
      </c>
      <c r="AP207" s="145"/>
      <c r="AQ207" s="22">
        <f>AQ38-AQ53-AQ112-AQ124-AQ129-AQ139-AQ144-AQ134</f>
        <v>0</v>
      </c>
      <c r="AR207" s="145"/>
      <c r="AS207" s="145">
        <f t="shared" ref="AS207:AX207" si="448">AS38-AS53-AS112-AS124-AS129-AS139-AS144-AS134</f>
        <v>7.4981781175402246E-2</v>
      </c>
      <c r="AT207" s="129">
        <f t="shared" si="448"/>
        <v>6354.6774615384529</v>
      </c>
      <c r="AU207" s="145">
        <f t="shared" si="448"/>
        <v>-0.91894021150126093</v>
      </c>
      <c r="AV207" s="129">
        <f t="shared" si="448"/>
        <v>6354.6774615384529</v>
      </c>
      <c r="AW207" s="145">
        <f t="shared" si="448"/>
        <v>1</v>
      </c>
      <c r="AX207" s="129">
        <f t="shared" si="448"/>
        <v>84749.62</v>
      </c>
      <c r="AY207" s="129"/>
      <c r="BA207" s="22">
        <f>BA38-BA53-BA112-BA124-BA129-BA139-BA144-BA134</f>
        <v>-963434.25299999933</v>
      </c>
      <c r="BB207" s="145"/>
      <c r="BC207" s="22">
        <f>BC38-BC53-BC112-BC124-BC129-BC139-BC144-BC134</f>
        <v>-963434.25299999933</v>
      </c>
      <c r="BD207" s="145"/>
      <c r="BE207" s="22">
        <f>BE38-BE53-BE112-BE124-BE129-BE139-BE144-BE134</f>
        <v>-615295.55000000005</v>
      </c>
      <c r="BF207" s="145"/>
      <c r="BG207" s="145">
        <f>BG38-BG53-BG112-BG124-BG129-BG139-BG144-BG134</f>
        <v>0</v>
      </c>
      <c r="BH207" s="129">
        <f>BH38-BH53-BH112-BH124-BH129-BH139-BH144-BH134</f>
        <v>0</v>
      </c>
      <c r="BI207" s="145">
        <f>BI38-BI53-BI112-BI124-BI129-BI139-BI144-BI134</f>
        <v>1.3613518015536026</v>
      </c>
      <c r="BJ207" s="129">
        <f>BJ38-BJ53-BJ112-BJ124-BJ129-BJ139-BJ144-BJ134</f>
        <v>348138.70299999934</v>
      </c>
      <c r="BK207" s="129"/>
    </row>
    <row r="208" spans="2:63" x14ac:dyDescent="0.25">
      <c r="N208" s="145"/>
      <c r="P208" s="145"/>
      <c r="R208" s="145"/>
      <c r="T208" s="145"/>
      <c r="U208" s="145"/>
      <c r="V208" s="15"/>
      <c r="W208" s="145"/>
      <c r="X208" s="15"/>
      <c r="Y208" s="145"/>
      <c r="Z208" s="15"/>
      <c r="AA208" s="15"/>
      <c r="AF208" s="169"/>
      <c r="AG208" s="49"/>
      <c r="AH208" s="169"/>
      <c r="AI208" s="49"/>
      <c r="AL208" s="145"/>
      <c r="AN208" s="145"/>
      <c r="AP208" s="145"/>
      <c r="AR208" s="145"/>
      <c r="AS208" s="145"/>
      <c r="AT208" s="15"/>
      <c r="AU208" s="145"/>
      <c r="AV208" s="15"/>
      <c r="AW208" s="145"/>
      <c r="AX208" s="15"/>
      <c r="AY208" s="15"/>
      <c r="BB208" s="145"/>
      <c r="BD208" s="145"/>
      <c r="BF208" s="145"/>
      <c r="BG208" s="145"/>
      <c r="BH208" s="15"/>
      <c r="BI208" s="145"/>
      <c r="BJ208" s="15"/>
      <c r="BK208" s="15"/>
    </row>
    <row r="209" spans="14:62" x14ac:dyDescent="0.25">
      <c r="N209" s="145"/>
      <c r="P209" s="145"/>
      <c r="R209" s="145"/>
      <c r="S209" s="22">
        <f>S188-S207</f>
        <v>0</v>
      </c>
      <c r="T209" s="145"/>
      <c r="U209" s="145"/>
      <c r="V209" s="15"/>
      <c r="W209" s="145"/>
      <c r="X209" s="15"/>
      <c r="Y209" s="145"/>
      <c r="Z209" s="15"/>
      <c r="AA209" s="15"/>
      <c r="AF209" s="169"/>
      <c r="AG209" s="49"/>
      <c r="AH209" s="169"/>
      <c r="AI209" s="49"/>
      <c r="AS209" s="99"/>
      <c r="AT209" s="15"/>
      <c r="AU209" s="99"/>
      <c r="AV209" s="15"/>
      <c r="AW209" s="99"/>
      <c r="AX209" s="15"/>
      <c r="AY209" s="15"/>
      <c r="BG209" s="99"/>
      <c r="BH209" s="15"/>
      <c r="BI209" s="99"/>
      <c r="BJ209" s="15"/>
    </row>
  </sheetData>
  <conditionalFormatting sqref="AF41 AH41">
    <cfRule type="dataBar" priority="4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{9BC9EF69-D67A-4521-8181-4C1BA7CBEB90}</x14:id>
        </ext>
      </extLst>
    </cfRule>
  </conditionalFormatting>
  <conditionalFormatting sqref="AF124 AH124">
    <cfRule type="dataBar" priority="2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{1C2CA1C5-5F70-4D53-A172-92686C6E6B02}</x14:id>
        </ext>
      </extLst>
    </cfRule>
  </conditionalFormatting>
  <conditionalFormatting sqref="AF128:AF129 AH128:AH129">
    <cfRule type="dataBar" priority="17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{D3866C86-4C78-43FE-98E6-641230D298A9}</x14:id>
        </ext>
      </extLst>
    </cfRule>
  </conditionalFormatting>
  <conditionalFormatting sqref="AF147 AH147">
    <cfRule type="dataBar" priority="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{7B1EA04D-CAB8-4FFC-9631-C1E79701A574}</x14:id>
        </ext>
      </extLst>
    </cfRule>
  </conditionalFormatting>
  <conditionalFormatting sqref="AF153:AF154 AH153:AH154 AF148:AF149 AH148:AH149 AF143:AF144 AH143:AH144 AF138:AF139 AH138:AH139 AF119:AF123 AH119:AH123">
    <cfRule type="dataBar" priority="1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{1580C589-A669-4F21-8BD6-2FDA150F21DF}</x14:id>
        </ext>
      </extLst>
    </cfRule>
  </conditionalFormatting>
  <conditionalFormatting sqref="AF182 AH182 AF184 AH184">
    <cfRule type="dataBar" priority="1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{A7C1CAC5-7025-498B-951E-A613D95F4556}</x14:id>
        </ext>
      </extLst>
    </cfRule>
  </conditionalFormatting>
  <conditionalFormatting sqref="AF188 AH188">
    <cfRule type="dataBar" priority="2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{CE78E92B-0558-4B1B-BED6-87E60266A825}</x14:id>
        </ext>
      </extLst>
    </cfRule>
  </conditionalFormatting>
  <conditionalFormatting sqref="AF189">
    <cfRule type="dataBar" priority="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{5A732D3E-3C86-40E4-A555-1C3E81D63DDA}</x14:id>
        </ext>
      </extLst>
    </cfRule>
  </conditionalFormatting>
  <conditionalFormatting sqref="AF192:AF193">
    <cfRule type="dataBar" priority="1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{A182DC18-E0C9-4596-B35A-7CC10F7755D8}</x14:id>
        </ext>
      </extLst>
    </cfRule>
  </conditionalFormatting>
  <conditionalFormatting sqref="AF195 AH195">
    <cfRule type="dataBar" priority="2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{A438609E-F155-4585-AE84-3741ECB9D342}</x14:id>
        </ext>
      </extLst>
    </cfRule>
    <cfRule type="dataBar" priority="2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{924925C2-F1FB-4FDD-A9B4-4A2AF216B4EB}</x14:id>
        </ext>
      </extLst>
    </cfRule>
  </conditionalFormatting>
  <conditionalFormatting sqref="AF196 AH196">
    <cfRule type="dataBar" priority="27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{77A090F6-25AA-4B9D-BC46-9B92A052F760}</x14:id>
        </ext>
      </extLst>
    </cfRule>
  </conditionalFormatting>
  <conditionalFormatting sqref="AF197 AH197">
    <cfRule type="dataBar" priority="2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{C0A54FD0-F2F2-4C47-8CF8-7B13379B587A}</x14:id>
        </ext>
      </extLst>
    </cfRule>
  </conditionalFormatting>
  <conditionalFormatting sqref="AF199 AH199">
    <cfRule type="dataBar" priority="3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{803A28D0-47F4-4287-B0C8-E484578B8F65}</x14:id>
        </ext>
      </extLst>
    </cfRule>
  </conditionalFormatting>
  <conditionalFormatting sqref="AH29 AF29">
    <cfRule type="dataBar" priority="5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{176ECAED-6A14-433D-8F69-22B1BA9C1AD2}</x14:id>
        </ext>
      </extLst>
    </cfRule>
  </conditionalFormatting>
  <conditionalFormatting sqref="AH31:AH37 AF31:AF37">
    <cfRule type="dataBar" priority="4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{76D654B3-FBD7-432D-83F4-2ACA3388123F}</x14:id>
        </ext>
      </extLst>
    </cfRule>
  </conditionalFormatting>
  <conditionalFormatting sqref="AH38 AF38 AH58:AH112 AF58:AF112 AH42:AH52 AF42:AF52">
    <cfRule type="dataBar" priority="50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{5ABE98C4-B13A-4C8E-8296-2FD6F5271D2F}</x14:id>
        </ext>
      </extLst>
    </cfRule>
  </conditionalFormatting>
  <conditionalFormatting sqref="AH53 AF53">
    <cfRule type="dataBar" priority="52">
      <dataBar>
        <cfvo type="num" val="-1"/>
        <cfvo type="num" val="1"/>
        <color theme="0" tint="-0.14999847407452621"/>
      </dataBar>
      <extLst>
        <ext xmlns:x14="http://schemas.microsoft.com/office/spreadsheetml/2009/9/main" uri="{B025F937-C7B1-47D3-B67F-A62EFF666E3E}">
          <x14:id>{217652A3-214A-4367-825B-466B04BE4C49}</x14:id>
        </ext>
      </extLst>
    </cfRule>
  </conditionalFormatting>
  <conditionalFormatting sqref="AH114">
    <cfRule type="dataBar" priority="5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{80C6D5F2-4BE4-4DFF-8148-384D37CB6157}</x14:id>
        </ext>
      </extLst>
    </cfRule>
  </conditionalFormatting>
  <conditionalFormatting sqref="AH118 AF118">
    <cfRule type="dataBar" priority="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{9E4A2ACF-D3DB-4191-B97E-1CB09DCFAFFA}</x14:id>
        </ext>
      </extLst>
    </cfRule>
  </conditionalFormatting>
  <conditionalFormatting sqref="AH127 AF127">
    <cfRule type="dataBar" priority="8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{3F5D4E11-3C96-47D8-856B-FAB1B8C81EC8}</x14:id>
        </ext>
      </extLst>
    </cfRule>
  </conditionalFormatting>
  <conditionalFormatting sqref="AH132 AF132">
    <cfRule type="dataBar" priority="7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{D5513D6D-538D-4A3C-8160-FA16BB6CE9FC}</x14:id>
        </ext>
      </extLst>
    </cfRule>
  </conditionalFormatting>
  <conditionalFormatting sqref="AH133 AF133">
    <cfRule type="dataBar" priority="20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{87E547A5-05BD-448E-9592-E3B8D7AFBA4C}</x14:id>
        </ext>
      </extLst>
    </cfRule>
  </conditionalFormatting>
  <conditionalFormatting sqref="AH134 AF134">
    <cfRule type="dataBar" priority="2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{A6BDA971-FB74-432B-8712-E9E589F93DA4}</x14:id>
        </ext>
      </extLst>
    </cfRule>
  </conditionalFormatting>
  <conditionalFormatting sqref="AH137 AF137">
    <cfRule type="dataBar" priority="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{59D303FC-84E7-414B-A157-5D95450BB878}</x14:id>
        </ext>
      </extLst>
    </cfRule>
  </conditionalFormatting>
  <conditionalFormatting sqref="AH142 AF142">
    <cfRule type="dataBar" priority="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{0D2851E2-8EB0-4B87-B7FD-0C1AAA5EE5D6}</x14:id>
        </ext>
      </extLst>
    </cfRule>
  </conditionalFormatting>
  <conditionalFormatting sqref="AH152 AF152">
    <cfRule type="dataBar" priority="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{036D3632-1185-41D2-87A5-1D1A8797B9BE}</x14:id>
        </ext>
      </extLst>
    </cfRule>
  </conditionalFormatting>
  <conditionalFormatting sqref="AH157 AF157 AF159 AH159">
    <cfRule type="dataBar" priority="16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{1902E878-E80A-4086-B561-5C57D2BF116D}</x14:id>
        </ext>
      </extLst>
    </cfRule>
  </conditionalFormatting>
  <conditionalFormatting sqref="AH162 AF162 AF164 AH164">
    <cfRule type="dataBar" priority="1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{CC08D1BA-D8C4-45C9-8411-4A03C9CDA05B}</x14:id>
        </ext>
      </extLst>
    </cfRule>
  </conditionalFormatting>
  <conditionalFormatting sqref="AH167 AF167 AF169 AH169">
    <cfRule type="dataBar" priority="14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{184C344A-4EF4-44DD-94F9-D0AF80FEAD25}</x14:id>
        </ext>
      </extLst>
    </cfRule>
  </conditionalFormatting>
  <conditionalFormatting sqref="AH172 AF172 AF174 AH174">
    <cfRule type="dataBar" priority="13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{8389555C-7F31-4A00-9B6A-06FED06846D2}</x14:id>
        </ext>
      </extLst>
    </cfRule>
  </conditionalFormatting>
  <conditionalFormatting sqref="AH177 AF177 AF179 AH179">
    <cfRule type="dataBar" priority="1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{10A50278-7CA8-4EE5-92A8-54BAF0025789}</x14:id>
        </ext>
      </extLst>
    </cfRule>
  </conditionalFormatting>
  <conditionalFormatting sqref="AH189">
    <cfRule type="dataBar" priority="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{6B6CA558-51D5-44AB-91D1-4C51A08CE194}</x14:id>
        </ext>
      </extLst>
    </cfRule>
  </conditionalFormatting>
  <conditionalFormatting sqref="AH192:AH193">
    <cfRule type="dataBar" priority="1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{12D22428-7AD1-47C1-A338-3FBC714CF214}</x14:id>
        </ext>
      </extLst>
    </cfRule>
  </conditionalFormatting>
  <conditionalFormatting sqref="AH194 AF194">
    <cfRule type="dataBar" priority="25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{34C1890B-4260-4197-A91D-317A0335749F}</x14:id>
        </ext>
      </extLst>
    </cfRule>
  </conditionalFormatting>
  <conditionalFormatting sqref="AH198 AF198">
    <cfRule type="dataBar" priority="29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{27589E07-50CA-4DF0-AAD4-9EA30812A9CC}</x14:id>
        </ext>
      </extLst>
    </cfRule>
  </conditionalFormatting>
  <conditionalFormatting sqref="AH200 AF200">
    <cfRule type="dataBar" priority="31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{6FE6AEC9-8099-46F9-9469-EF28EE2C1AF9}</x14:id>
        </ext>
      </extLst>
    </cfRule>
  </conditionalFormatting>
  <conditionalFormatting sqref="AH201 AF201">
    <cfRule type="dataBar" priority="32">
      <dataBar>
        <cfvo type="num" val="-1"/>
        <cfvo type="num" val="1"/>
        <color theme="2" tint="0.79998168889431442"/>
      </dataBar>
      <extLst>
        <ext xmlns:x14="http://schemas.microsoft.com/office/spreadsheetml/2009/9/main" uri="{B025F937-C7B1-47D3-B67F-A62EFF666E3E}">
          <x14:id>{7D787F81-8522-41DB-8BAA-5C46EB95CBB6}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9EF69-D67A-4521-8181-4C1BA7CBEB90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AF41 AH41</xm:sqref>
        </x14:conditionalFormatting>
        <x14:conditionalFormatting xmlns:xm="http://schemas.microsoft.com/office/excel/2006/main">
          <x14:cfRule type="dataBar" id="{1C2CA1C5-5F70-4D53-A172-92686C6E6B0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AF124 AH124</xm:sqref>
        </x14:conditionalFormatting>
        <x14:conditionalFormatting xmlns:xm="http://schemas.microsoft.com/office/excel/2006/main">
          <x14:cfRule type="dataBar" id="{D3866C86-4C78-43FE-98E6-641230D298A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AF128:AF129 AH128:AH129</xm:sqref>
        </x14:conditionalFormatting>
        <x14:conditionalFormatting xmlns:xm="http://schemas.microsoft.com/office/excel/2006/main">
          <x14:cfRule type="dataBar" id="{7B1EA04D-CAB8-4FFC-9631-C1E79701A57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AF147 AH147</xm:sqref>
        </x14:conditionalFormatting>
        <x14:conditionalFormatting xmlns:xm="http://schemas.microsoft.com/office/excel/2006/main">
          <x14:cfRule type="dataBar" id="{1580C589-A669-4F21-8BD6-2FDA150F21DF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AF153:AF154 AH153:AH154 AF148:AF149 AH148:AH149 AF143:AF144 AH143:AH144 AF138:AF139 AH138:AH139 AF119:AF123 AH119:AH123</xm:sqref>
        </x14:conditionalFormatting>
        <x14:conditionalFormatting xmlns:xm="http://schemas.microsoft.com/office/excel/2006/main">
          <x14:cfRule type="dataBar" id="{A7C1CAC5-7025-498B-951E-A613D95F4556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AF182 AH182 AF184 AH184</xm:sqref>
        </x14:conditionalFormatting>
        <x14:conditionalFormatting xmlns:xm="http://schemas.microsoft.com/office/excel/2006/main">
          <x14:cfRule type="dataBar" id="{CE78E92B-0558-4B1B-BED6-87E60266A82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AF188 AH188</xm:sqref>
        </x14:conditionalFormatting>
        <x14:conditionalFormatting xmlns:xm="http://schemas.microsoft.com/office/excel/2006/main">
          <x14:cfRule type="dataBar" id="{5A732D3E-3C86-40E4-A555-1C3E81D63DDA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AF189</xm:sqref>
        </x14:conditionalFormatting>
        <x14:conditionalFormatting xmlns:xm="http://schemas.microsoft.com/office/excel/2006/main">
          <x14:cfRule type="dataBar" id="{A182DC18-E0C9-4596-B35A-7CC10F7755D8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AF192:AF193</xm:sqref>
        </x14:conditionalFormatting>
        <x14:conditionalFormatting xmlns:xm="http://schemas.microsoft.com/office/excel/2006/main">
          <x14:cfRule type="dataBar" id="{A438609E-F155-4585-AE84-3741ECB9D34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14:cfRule type="dataBar" id="{924925C2-F1FB-4FDD-A9B4-4A2AF216B4EB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AF195 AH195</xm:sqref>
        </x14:conditionalFormatting>
        <x14:conditionalFormatting xmlns:xm="http://schemas.microsoft.com/office/excel/2006/main">
          <x14:cfRule type="dataBar" id="{77A090F6-25AA-4B9D-BC46-9B92A052F760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AF196 AH196</xm:sqref>
        </x14:conditionalFormatting>
        <x14:conditionalFormatting xmlns:xm="http://schemas.microsoft.com/office/excel/2006/main">
          <x14:cfRule type="dataBar" id="{C0A54FD0-F2F2-4C47-8CF8-7B13379B587A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AF197 AH197</xm:sqref>
        </x14:conditionalFormatting>
        <x14:conditionalFormatting xmlns:xm="http://schemas.microsoft.com/office/excel/2006/main">
          <x14:cfRule type="dataBar" id="{803A28D0-47F4-4287-B0C8-E484578B8F6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AF199 AH199</xm:sqref>
        </x14:conditionalFormatting>
        <x14:conditionalFormatting xmlns:xm="http://schemas.microsoft.com/office/excel/2006/main">
          <x14:cfRule type="dataBar" id="{176ECAED-6A14-433D-8F69-22B1BA9C1AD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AH29 AF29</xm:sqref>
        </x14:conditionalFormatting>
        <x14:conditionalFormatting xmlns:xm="http://schemas.microsoft.com/office/excel/2006/main">
          <x14:cfRule type="dataBar" id="{76D654B3-FBD7-432D-83F4-2ACA3388123F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AH31:AH37 AF31:AF37</xm:sqref>
        </x14:conditionalFormatting>
        <x14:conditionalFormatting xmlns:xm="http://schemas.microsoft.com/office/excel/2006/main">
          <x14:cfRule type="dataBar" id="{5ABE98C4-B13A-4C8E-8296-2FD6F5271D2F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AH38 AF38 AH58:AH112 AF58:AF112 AH42:AH52 AF42:AF52</xm:sqref>
        </x14:conditionalFormatting>
        <x14:conditionalFormatting xmlns:xm="http://schemas.microsoft.com/office/excel/2006/main">
          <x14:cfRule type="dataBar" id="{217652A3-214A-4367-825B-466B04BE4C4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2" tint="0.79998168889431442"/>
              <x14:axisColor rgb="FF000000"/>
            </x14:dataBar>
          </x14:cfRule>
          <xm:sqref>AH53 AF53</xm:sqref>
        </x14:conditionalFormatting>
        <x14:conditionalFormatting xmlns:xm="http://schemas.microsoft.com/office/excel/2006/main">
          <x14:cfRule type="dataBar" id="{80C6D5F2-4BE4-4DFF-8148-384D37CB6157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AH114</xm:sqref>
        </x14:conditionalFormatting>
        <x14:conditionalFormatting xmlns:xm="http://schemas.microsoft.com/office/excel/2006/main">
          <x14:cfRule type="dataBar" id="{9E4A2ACF-D3DB-4191-B97E-1CB09DCFAFFA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AH118 AF118</xm:sqref>
        </x14:conditionalFormatting>
        <x14:conditionalFormatting xmlns:xm="http://schemas.microsoft.com/office/excel/2006/main">
          <x14:cfRule type="dataBar" id="{3F5D4E11-3C96-47D8-856B-FAB1B8C81EC8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AH127 AF127</xm:sqref>
        </x14:conditionalFormatting>
        <x14:conditionalFormatting xmlns:xm="http://schemas.microsoft.com/office/excel/2006/main">
          <x14:cfRule type="dataBar" id="{D5513D6D-538D-4A3C-8160-FA16BB6CE9FC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AH132 AF132</xm:sqref>
        </x14:conditionalFormatting>
        <x14:conditionalFormatting xmlns:xm="http://schemas.microsoft.com/office/excel/2006/main">
          <x14:cfRule type="dataBar" id="{87E547A5-05BD-448E-9592-E3B8D7AFBA4C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AH133 AF133</xm:sqref>
        </x14:conditionalFormatting>
        <x14:conditionalFormatting xmlns:xm="http://schemas.microsoft.com/office/excel/2006/main">
          <x14:cfRule type="dataBar" id="{A6BDA971-FB74-432B-8712-E9E589F93DA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AH134 AF134</xm:sqref>
        </x14:conditionalFormatting>
        <x14:conditionalFormatting xmlns:xm="http://schemas.microsoft.com/office/excel/2006/main">
          <x14:cfRule type="dataBar" id="{59D303FC-84E7-414B-A157-5D95450BB878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AH137 AF137</xm:sqref>
        </x14:conditionalFormatting>
        <x14:conditionalFormatting xmlns:xm="http://schemas.microsoft.com/office/excel/2006/main">
          <x14:cfRule type="dataBar" id="{0D2851E2-8EB0-4B87-B7FD-0C1AAA5EE5D6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AH142 AF142</xm:sqref>
        </x14:conditionalFormatting>
        <x14:conditionalFormatting xmlns:xm="http://schemas.microsoft.com/office/excel/2006/main">
          <x14:cfRule type="dataBar" id="{036D3632-1185-41D2-87A5-1D1A8797B9BE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AH152 AF152</xm:sqref>
        </x14:conditionalFormatting>
        <x14:conditionalFormatting xmlns:xm="http://schemas.microsoft.com/office/excel/2006/main">
          <x14:cfRule type="dataBar" id="{1902E878-E80A-4086-B561-5C57D2BF116D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AH157 AF157 AF159 AH159</xm:sqref>
        </x14:conditionalFormatting>
        <x14:conditionalFormatting xmlns:xm="http://schemas.microsoft.com/office/excel/2006/main">
          <x14:cfRule type="dataBar" id="{CC08D1BA-D8C4-45C9-8411-4A03C9CDA05B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AH162 AF162 AF164 AH164</xm:sqref>
        </x14:conditionalFormatting>
        <x14:conditionalFormatting xmlns:xm="http://schemas.microsoft.com/office/excel/2006/main">
          <x14:cfRule type="dataBar" id="{184C344A-4EF4-44DD-94F9-D0AF80FEAD25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AH167 AF167 AF169 AH169</xm:sqref>
        </x14:conditionalFormatting>
        <x14:conditionalFormatting xmlns:xm="http://schemas.microsoft.com/office/excel/2006/main">
          <x14:cfRule type="dataBar" id="{8389555C-7F31-4A00-9B6A-06FED06846D2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AH172 AF172 AF174 AH174</xm:sqref>
        </x14:conditionalFormatting>
        <x14:conditionalFormatting xmlns:xm="http://schemas.microsoft.com/office/excel/2006/main">
          <x14:cfRule type="dataBar" id="{10A50278-7CA8-4EE5-92A8-54BAF002578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AH177 AF177 AF179 AH179</xm:sqref>
        </x14:conditionalFormatting>
        <x14:conditionalFormatting xmlns:xm="http://schemas.microsoft.com/office/excel/2006/main">
          <x14:cfRule type="dataBar" id="{6B6CA558-51D5-44AB-91D1-4C51A08CE19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AH189</xm:sqref>
        </x14:conditionalFormatting>
        <x14:conditionalFormatting xmlns:xm="http://schemas.microsoft.com/office/excel/2006/main">
          <x14:cfRule type="dataBar" id="{12D22428-7AD1-47C1-A338-3FBC714CF214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AH192:AH193</xm:sqref>
        </x14:conditionalFormatting>
        <x14:conditionalFormatting xmlns:xm="http://schemas.microsoft.com/office/excel/2006/main">
          <x14:cfRule type="dataBar" id="{34C1890B-4260-4197-A91D-317A0335749F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AH194 AF194</xm:sqref>
        </x14:conditionalFormatting>
        <x14:conditionalFormatting xmlns:xm="http://schemas.microsoft.com/office/excel/2006/main">
          <x14:cfRule type="dataBar" id="{27589E07-50CA-4DF0-AAD4-9EA30812A9CC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AH198 AF198</xm:sqref>
        </x14:conditionalFormatting>
        <x14:conditionalFormatting xmlns:xm="http://schemas.microsoft.com/office/excel/2006/main">
          <x14:cfRule type="dataBar" id="{6FE6AEC9-8099-46F9-9469-EF28EE2C1AF9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AH200 AF200</xm:sqref>
        </x14:conditionalFormatting>
        <x14:conditionalFormatting xmlns:xm="http://schemas.microsoft.com/office/excel/2006/main">
          <x14:cfRule type="dataBar" id="{7D787F81-8522-41DB-8BAA-5C46EB95CBB6}">
            <x14:dataBar minLength="0" maxLength="100" gradient="0" direction="leftToRight" axisPosition="middle">
              <x14:cfvo type="num">
                <xm:f>-1</xm:f>
              </x14:cfvo>
              <x14:cfvo type="num">
                <xm:f>1</xm:f>
              </x14:cfvo>
              <x14:negativeFillColor theme="0" tint="-0.14999847407452621"/>
              <x14:axisColor rgb="FF000000"/>
            </x14:dataBar>
          </x14:cfRule>
          <xm:sqref>AH201 AF201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0835-9789-4333-9924-BE74AAD85574}">
  <sheetPr codeName="Sheet11">
    <tabColor theme="9"/>
    <outlinePr summaryBelow="0"/>
  </sheetPr>
  <dimension ref="A1:CB184"/>
  <sheetViews>
    <sheetView topLeftCell="C12" zoomScaleNormal="100" workbookViewId="0">
      <selection activeCell="C12" sqref="C12"/>
    </sheetView>
  </sheetViews>
  <sheetFormatPr defaultRowHeight="11.4" outlineLevelRow="2" outlineLevelCol="1" x14ac:dyDescent="0.25"/>
  <cols>
    <col min="1" max="1" width="8.6640625" hidden="1" customWidth="1"/>
    <col min="2" max="2" width="0" hidden="1" customWidth="1"/>
    <col min="4" max="6" width="8.6640625" hidden="1" customWidth="1"/>
    <col min="7" max="7" width="36.5546875" customWidth="1"/>
    <col min="8" max="10" width="10.44140625" hidden="1" customWidth="1"/>
    <col min="11" max="11" width="8.6640625" hidden="1" customWidth="1"/>
    <col min="12" max="23" width="12.5546875" hidden="1" customWidth="1" outlineLevel="1"/>
    <col min="24" max="24" width="15.6640625" bestFit="1" customWidth="1" collapsed="1"/>
    <col min="25" max="25" width="3.109375" customWidth="1"/>
    <col min="26" max="37" width="11.88671875" bestFit="1" customWidth="1" outlineLevel="1"/>
    <col min="38" max="38" width="15.6640625" bestFit="1" customWidth="1"/>
    <col min="39" max="39" width="3.109375" customWidth="1"/>
    <col min="40" max="51" width="15.6640625" hidden="1" customWidth="1" outlineLevel="1"/>
    <col min="52" max="52" width="15.6640625" hidden="1" customWidth="1" collapsed="1"/>
    <col min="53" max="53" width="3.109375" hidden="1" customWidth="1"/>
    <col min="54" max="65" width="11.88671875" bestFit="1" customWidth="1" outlineLevel="1"/>
    <col min="66" max="66" width="15.6640625" bestFit="1" customWidth="1"/>
    <col min="67" max="67" width="3.109375" customWidth="1"/>
    <col min="68" max="79" width="8.6640625" style="47" hidden="1" customWidth="1"/>
    <col min="80" max="80" width="11.88671875" style="47" hidden="1" customWidth="1"/>
  </cols>
  <sheetData>
    <row r="1" spans="1:80" hidden="1" x14ac:dyDescent="0.25">
      <c r="A1" t="s">
        <v>0</v>
      </c>
      <c r="C1" t="s">
        <v>1</v>
      </c>
      <c r="D1" t="str">
        <f>IF(D5,"#showcolumn","#hidecolumn")</f>
        <v>#hidecolumn</v>
      </c>
      <c r="E1" t="str">
        <f>IF(E5,"#showcolumn","#hidecolumn")</f>
        <v>#hidecolumn</v>
      </c>
      <c r="F1" t="str">
        <f>IF(F5,"#showcolumn","#hidecolumn")</f>
        <v>#hidecolumn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130</v>
      </c>
      <c r="Z1" t="str">
        <f t="shared" ref="Z1:AL1" si="0">IF(Z5="Empty","#hidecolumn","#showcolumn")</f>
        <v>#showcolumn</v>
      </c>
      <c r="AA1" t="str">
        <f t="shared" si="0"/>
        <v>#showcolumn</v>
      </c>
      <c r="AB1" t="str">
        <f t="shared" si="0"/>
        <v>#showcolumn</v>
      </c>
      <c r="AC1" t="str">
        <f t="shared" si="0"/>
        <v>#showcolumn</v>
      </c>
      <c r="AD1" t="str">
        <f t="shared" si="0"/>
        <v>#showcolumn</v>
      </c>
      <c r="AE1" t="str">
        <f t="shared" si="0"/>
        <v>#showcolumn</v>
      </c>
      <c r="AF1" t="str">
        <f t="shared" si="0"/>
        <v>#showcolumn</v>
      </c>
      <c r="AG1" t="str">
        <f t="shared" si="0"/>
        <v>#showcolumn</v>
      </c>
      <c r="AH1" t="str">
        <f t="shared" si="0"/>
        <v>#showcolumn</v>
      </c>
      <c r="AI1" t="str">
        <f t="shared" si="0"/>
        <v>#showcolumn</v>
      </c>
      <c r="AJ1" t="str">
        <f t="shared" si="0"/>
        <v>#showcolumn</v>
      </c>
      <c r="AK1" t="str">
        <f t="shared" si="0"/>
        <v>#showcolumn</v>
      </c>
      <c r="AL1" t="str">
        <f t="shared" si="0"/>
        <v>#showcolumn</v>
      </c>
      <c r="AN1" s="47" t="str">
        <f>IF(VALUE(TRIM(LEFT(Scenario!$A$4,2)))&lt;4, "#hidecolumn", "#showcolumn")</f>
        <v>#hidecolumn</v>
      </c>
      <c r="AO1" s="47" t="str">
        <f>IF(VALUE(TRIM(LEFT(Scenario!$A$4,2)))&lt;4, "#hidecolumn", "#showcolumn")</f>
        <v>#hidecolumn</v>
      </c>
      <c r="AP1" s="47" t="str">
        <f>IF(VALUE(TRIM(LEFT(Scenario!$A$4,2)))&lt;4, "#hidecolumn", "#showcolumn")</f>
        <v>#hidecolumn</v>
      </c>
      <c r="AQ1" s="47" t="str">
        <f>IF(VALUE(TRIM(LEFT(Scenario!$A$4,2)))&lt;4, "#hidecolumn", "#showcolumn")</f>
        <v>#hidecolumn</v>
      </c>
      <c r="AR1" s="47" t="str">
        <f>IF(VALUE(TRIM(LEFT(Scenario!$A$4,2)))&lt;4, "#hidecolumn", "#showcolumn")</f>
        <v>#hidecolumn</v>
      </c>
      <c r="AS1" s="47" t="str">
        <f>IF(VALUE(TRIM(LEFT(Scenario!$A$4,2)))&lt;4, "#hidecolumn", "#showcolumn")</f>
        <v>#hidecolumn</v>
      </c>
      <c r="AT1" s="47" t="str">
        <f>IF(VALUE(TRIM(LEFT(Scenario!$A$4,2)))&lt;4, "#hidecolumn", "#showcolumn")</f>
        <v>#hidecolumn</v>
      </c>
      <c r="AU1" s="47" t="str">
        <f>IF(VALUE(TRIM(LEFT(Scenario!$A$4,2)))&lt;4, "#hidecolumn", "#showcolumn")</f>
        <v>#hidecolumn</v>
      </c>
      <c r="AV1" s="47" t="str">
        <f>IF(VALUE(TRIM(LEFT(Scenario!$A$4,2)))&lt;4, "#hidecolumn", "#showcolumn")</f>
        <v>#hidecolumn</v>
      </c>
      <c r="AW1" s="47" t="str">
        <f>IF(VALUE(TRIM(LEFT(Scenario!$A$4,2)))&lt;4, "#hidecolumn", "#showcolumn")</f>
        <v>#hidecolumn</v>
      </c>
      <c r="AX1" s="47" t="str">
        <f>IF(VALUE(TRIM(LEFT(Scenario!$A$4,2)))&lt;4, "#hidecolumn", "#showcolumn")</f>
        <v>#hidecolumn</v>
      </c>
      <c r="AY1" s="47" t="str">
        <f>IF(VALUE(TRIM(LEFT(Scenario!$A$4,2)))&lt;4, "#hidecolumn", "#showcolumn")</f>
        <v>#hidecolumn</v>
      </c>
      <c r="AZ1" s="47" t="str">
        <f>IF(VALUE(TRIM(LEFT(Scenario!$A$4,2)))&lt;4, "#hidecolumn", "#showcolumn")</f>
        <v>#hidecolumn</v>
      </c>
      <c r="BA1" t="str">
        <f>IF(VALUE(TRIM(LEFT(Scenario!$A$4,2)))&lt;4, "#hidecolumn", "#showcolumn")</f>
        <v>#hidecolumn</v>
      </c>
      <c r="BB1" t="str">
        <f t="shared" ref="BB1:BM1" si="1">IF(BB5="Empty","#hidecolumn","#showcolumn")</f>
        <v>#showcolumn</v>
      </c>
      <c r="BC1" t="str">
        <f t="shared" si="1"/>
        <v>#showcolumn</v>
      </c>
      <c r="BD1" t="str">
        <f t="shared" si="1"/>
        <v>#showcolumn</v>
      </c>
      <c r="BE1" t="str">
        <f t="shared" si="1"/>
        <v>#showcolumn</v>
      </c>
      <c r="BF1" t="str">
        <f t="shared" si="1"/>
        <v>#showcolumn</v>
      </c>
      <c r="BG1" t="str">
        <f t="shared" si="1"/>
        <v>#showcolumn</v>
      </c>
      <c r="BH1" t="str">
        <f t="shared" si="1"/>
        <v>#showcolumn</v>
      </c>
      <c r="BI1" t="str">
        <f t="shared" si="1"/>
        <v>#showcolumn</v>
      </c>
      <c r="BJ1" t="str">
        <f t="shared" si="1"/>
        <v>#showcolumn</v>
      </c>
      <c r="BK1" t="str">
        <f t="shared" si="1"/>
        <v>#showcolumn</v>
      </c>
      <c r="BL1" t="str">
        <f t="shared" si="1"/>
        <v>#showcolumn</v>
      </c>
      <c r="BM1" t="str">
        <f t="shared" si="1"/>
        <v>#showcolumn</v>
      </c>
      <c r="BN1" t="str">
        <f>BB1</f>
        <v>#showcolumn</v>
      </c>
      <c r="BP1" s="47" t="s">
        <v>0</v>
      </c>
      <c r="BQ1" s="47" t="s">
        <v>0</v>
      </c>
      <c r="BR1" s="47" t="s">
        <v>0</v>
      </c>
      <c r="BS1" s="47" t="s">
        <v>0</v>
      </c>
      <c r="BT1" s="47" t="s">
        <v>0</v>
      </c>
      <c r="BU1" s="47" t="s">
        <v>0</v>
      </c>
      <c r="BV1" s="47" t="s">
        <v>0</v>
      </c>
      <c r="BW1" s="47" t="s">
        <v>0</v>
      </c>
      <c r="BX1" s="47" t="s">
        <v>0</v>
      </c>
      <c r="BY1" s="47" t="s">
        <v>0</v>
      </c>
      <c r="BZ1" s="47" t="s">
        <v>0</v>
      </c>
      <c r="CA1" s="47" t="s">
        <v>0</v>
      </c>
      <c r="CB1" s="47" t="s">
        <v>0</v>
      </c>
    </row>
    <row r="2" spans="1:80" ht="12.45" hidden="1" thickBot="1" x14ac:dyDescent="0.3">
      <c r="A2" t="s">
        <v>1</v>
      </c>
      <c r="B2" s="174"/>
      <c r="D2" s="4" t="s">
        <v>121</v>
      </c>
      <c r="E2" s="5"/>
      <c r="F2" s="5"/>
    </row>
    <row r="3" spans="1:80" hidden="1" x14ac:dyDescent="0.25">
      <c r="A3" t="s">
        <v>1</v>
      </c>
      <c r="D3" s="3" t="s">
        <v>122</v>
      </c>
      <c r="E3" s="3" t="s">
        <v>10</v>
      </c>
      <c r="F3" s="3" t="s">
        <v>11</v>
      </c>
      <c r="L3" s="175">
        <f t="shared" ref="L3:W3" si="2">Z3-1</f>
        <v>2025</v>
      </c>
      <c r="M3" s="175">
        <f t="shared" si="2"/>
        <v>2025</v>
      </c>
      <c r="N3" s="175">
        <f t="shared" si="2"/>
        <v>2025</v>
      </c>
      <c r="O3" s="175">
        <f t="shared" si="2"/>
        <v>2025</v>
      </c>
      <c r="P3" s="175">
        <f t="shared" si="2"/>
        <v>2025</v>
      </c>
      <c r="Q3" s="175">
        <f t="shared" si="2"/>
        <v>2025</v>
      </c>
      <c r="R3" s="175">
        <f t="shared" si="2"/>
        <v>2025</v>
      </c>
      <c r="S3" s="175">
        <f t="shared" si="2"/>
        <v>2025</v>
      </c>
      <c r="T3" s="175">
        <f t="shared" si="2"/>
        <v>2025</v>
      </c>
      <c r="U3" s="175">
        <f t="shared" si="2"/>
        <v>2025</v>
      </c>
      <c r="V3" s="175">
        <f t="shared" si="2"/>
        <v>2025</v>
      </c>
      <c r="W3" s="175">
        <f t="shared" si="2"/>
        <v>2025</v>
      </c>
      <c r="X3" s="176"/>
      <c r="Z3" s="175">
        <f>Scenario!$A$1</f>
        <v>2026</v>
      </c>
      <c r="AA3" s="175">
        <f>Scenario!$A$1</f>
        <v>2026</v>
      </c>
      <c r="AB3" s="175">
        <f>Scenario!$A$1</f>
        <v>2026</v>
      </c>
      <c r="AC3" s="175">
        <f>Scenario!$A$1</f>
        <v>2026</v>
      </c>
      <c r="AD3" s="175">
        <f>Scenario!$A$1</f>
        <v>2026</v>
      </c>
      <c r="AE3" s="175">
        <f>Scenario!$A$1</f>
        <v>2026</v>
      </c>
      <c r="AF3" s="175">
        <f>Scenario!$A$1</f>
        <v>2026</v>
      </c>
      <c r="AG3" s="175">
        <f>Scenario!$A$1</f>
        <v>2026</v>
      </c>
      <c r="AH3" s="175">
        <f>Scenario!$A$1</f>
        <v>2026</v>
      </c>
      <c r="AI3" s="175">
        <f>Scenario!$A$1</f>
        <v>2026</v>
      </c>
      <c r="AJ3" s="175">
        <f>Scenario!$A$1</f>
        <v>2026</v>
      </c>
      <c r="AK3" s="175">
        <f>Scenario!$A$1</f>
        <v>2026</v>
      </c>
      <c r="AL3" s="176"/>
      <c r="AN3" s="175">
        <f>Scenario!$A$1</f>
        <v>2026</v>
      </c>
      <c r="AO3" s="175">
        <f>Scenario!$A$1</f>
        <v>2026</v>
      </c>
      <c r="AP3" s="175">
        <f>Scenario!$A$1</f>
        <v>2026</v>
      </c>
      <c r="AQ3" s="175">
        <f>Scenario!$A$1</f>
        <v>2026</v>
      </c>
      <c r="AR3" s="175">
        <f>Scenario!$A$1</f>
        <v>2026</v>
      </c>
      <c r="AS3" s="175">
        <f>Scenario!$A$1</f>
        <v>2026</v>
      </c>
      <c r="AT3" s="175">
        <f>Scenario!$A$1</f>
        <v>2026</v>
      </c>
      <c r="AU3" s="175">
        <f>Scenario!$A$1</f>
        <v>2026</v>
      </c>
      <c r="AV3" s="175">
        <f>Scenario!$A$1</f>
        <v>2026</v>
      </c>
      <c r="AW3" s="175">
        <f>Scenario!$A$1</f>
        <v>2026</v>
      </c>
      <c r="AX3" s="175">
        <f>Scenario!$A$1</f>
        <v>2026</v>
      </c>
      <c r="AY3" s="175">
        <f>Scenario!$A$1</f>
        <v>2026</v>
      </c>
      <c r="AZ3" s="176"/>
      <c r="BB3" s="175">
        <f>Scenario!$A$1</f>
        <v>2026</v>
      </c>
      <c r="BC3" s="175">
        <f>Scenario!$A$1</f>
        <v>2026</v>
      </c>
      <c r="BD3" s="175">
        <f>Scenario!$A$1</f>
        <v>2026</v>
      </c>
      <c r="BE3" s="175">
        <f>Scenario!$A$1</f>
        <v>2026</v>
      </c>
      <c r="BF3" s="175">
        <f>Scenario!$A$1</f>
        <v>2026</v>
      </c>
      <c r="BG3" s="175">
        <f>Scenario!$A$1</f>
        <v>2026</v>
      </c>
      <c r="BH3" s="175">
        <f>Scenario!$A$1</f>
        <v>2026</v>
      </c>
      <c r="BI3" s="175">
        <f>Scenario!$A$1</f>
        <v>2026</v>
      </c>
      <c r="BJ3" s="175">
        <f>Scenario!$A$1</f>
        <v>2026</v>
      </c>
      <c r="BK3" s="175">
        <f>Scenario!$A$1</f>
        <v>2026</v>
      </c>
      <c r="BL3" s="175">
        <f>Scenario!$A$1</f>
        <v>2026</v>
      </c>
      <c r="BM3" s="175">
        <f>Scenario!$A$1</f>
        <v>2026</v>
      </c>
      <c r="BN3" s="176"/>
      <c r="BP3" s="57">
        <v>2024</v>
      </c>
      <c r="BQ3" s="57">
        <v>2024</v>
      </c>
      <c r="BR3" s="57">
        <v>2024</v>
      </c>
      <c r="BS3" s="57">
        <v>2024</v>
      </c>
      <c r="BT3" s="57">
        <v>2024</v>
      </c>
      <c r="BU3" s="57">
        <v>2024</v>
      </c>
      <c r="BV3" s="57">
        <v>2024</v>
      </c>
      <c r="BW3" s="57">
        <v>2024</v>
      </c>
      <c r="BX3" s="57">
        <v>2024</v>
      </c>
      <c r="BY3" s="57">
        <v>2024</v>
      </c>
      <c r="BZ3" s="57">
        <v>2024</v>
      </c>
      <c r="CA3" s="57">
        <v>2024</v>
      </c>
      <c r="CB3" s="207"/>
    </row>
    <row r="4" spans="1:80" hidden="1" x14ac:dyDescent="0.25">
      <c r="A4" t="s">
        <v>1</v>
      </c>
      <c r="D4" s="205" t="s">
        <v>92</v>
      </c>
      <c r="E4" s="28" t="s">
        <v>133</v>
      </c>
      <c r="F4" s="205" t="s">
        <v>12</v>
      </c>
      <c r="L4" s="175">
        <f>Z4</f>
        <v>1</v>
      </c>
      <c r="M4" s="175">
        <f t="shared" ref="M4:W4" si="3">AA4</f>
        <v>2</v>
      </c>
      <c r="N4" s="175">
        <f t="shared" si="3"/>
        <v>3</v>
      </c>
      <c r="O4" s="175">
        <f t="shared" si="3"/>
        <v>4</v>
      </c>
      <c r="P4" s="175">
        <f t="shared" si="3"/>
        <v>5</v>
      </c>
      <c r="Q4" s="175">
        <f t="shared" si="3"/>
        <v>6</v>
      </c>
      <c r="R4" s="175">
        <f t="shared" si="3"/>
        <v>7</v>
      </c>
      <c r="S4" s="175">
        <f t="shared" si="3"/>
        <v>8</v>
      </c>
      <c r="T4" s="175">
        <f t="shared" si="3"/>
        <v>9</v>
      </c>
      <c r="U4" s="175">
        <f t="shared" si="3"/>
        <v>10</v>
      </c>
      <c r="V4" s="175">
        <f t="shared" si="3"/>
        <v>11</v>
      </c>
      <c r="W4" s="175">
        <f t="shared" si="3"/>
        <v>12</v>
      </c>
      <c r="Z4" s="175">
        <f>1</f>
        <v>1</v>
      </c>
      <c r="AA4" s="175">
        <f>Z4+1</f>
        <v>2</v>
      </c>
      <c r="AB4" s="175">
        <f t="shared" ref="AB4:AK4" si="4">AA4+1</f>
        <v>3</v>
      </c>
      <c r="AC4" s="175">
        <f t="shared" si="4"/>
        <v>4</v>
      </c>
      <c r="AD4" s="175">
        <f t="shared" si="4"/>
        <v>5</v>
      </c>
      <c r="AE4" s="175">
        <f t="shared" si="4"/>
        <v>6</v>
      </c>
      <c r="AF4" s="175">
        <f t="shared" si="4"/>
        <v>7</v>
      </c>
      <c r="AG4" s="175">
        <f t="shared" si="4"/>
        <v>8</v>
      </c>
      <c r="AH4" s="175">
        <f t="shared" si="4"/>
        <v>9</v>
      </c>
      <c r="AI4" s="175">
        <f t="shared" si="4"/>
        <v>10</v>
      </c>
      <c r="AJ4" s="175">
        <f t="shared" si="4"/>
        <v>11</v>
      </c>
      <c r="AK4" s="175">
        <f t="shared" si="4"/>
        <v>12</v>
      </c>
      <c r="AN4" s="175">
        <f t="shared" ref="AN4:AY4" si="5">Z4</f>
        <v>1</v>
      </c>
      <c r="AO4" s="175">
        <f t="shared" si="5"/>
        <v>2</v>
      </c>
      <c r="AP4" s="175">
        <f t="shared" si="5"/>
        <v>3</v>
      </c>
      <c r="AQ4" s="175">
        <f t="shared" si="5"/>
        <v>4</v>
      </c>
      <c r="AR4" s="175">
        <f t="shared" si="5"/>
        <v>5</v>
      </c>
      <c r="AS4" s="175">
        <f t="shared" si="5"/>
        <v>6</v>
      </c>
      <c r="AT4" s="175">
        <f t="shared" si="5"/>
        <v>7</v>
      </c>
      <c r="AU4" s="175">
        <f t="shared" si="5"/>
        <v>8</v>
      </c>
      <c r="AV4" s="175">
        <f t="shared" si="5"/>
        <v>9</v>
      </c>
      <c r="AW4" s="175">
        <f t="shared" si="5"/>
        <v>10</v>
      </c>
      <c r="AX4" s="175">
        <f t="shared" si="5"/>
        <v>11</v>
      </c>
      <c r="AY4" s="175">
        <f t="shared" si="5"/>
        <v>12</v>
      </c>
      <c r="BB4" s="175">
        <f t="shared" ref="BB4:BM4" si="6">Z4</f>
        <v>1</v>
      </c>
      <c r="BC4" s="175">
        <f t="shared" si="6"/>
        <v>2</v>
      </c>
      <c r="BD4" s="175">
        <f t="shared" si="6"/>
        <v>3</v>
      </c>
      <c r="BE4" s="175">
        <f t="shared" si="6"/>
        <v>4</v>
      </c>
      <c r="BF4" s="175">
        <f t="shared" si="6"/>
        <v>5</v>
      </c>
      <c r="BG4" s="175">
        <f t="shared" si="6"/>
        <v>6</v>
      </c>
      <c r="BH4" s="175">
        <f t="shared" si="6"/>
        <v>7</v>
      </c>
      <c r="BI4" s="175">
        <f t="shared" si="6"/>
        <v>8</v>
      </c>
      <c r="BJ4" s="175">
        <f t="shared" si="6"/>
        <v>9</v>
      </c>
      <c r="BK4" s="175">
        <f t="shared" si="6"/>
        <v>10</v>
      </c>
      <c r="BL4" s="175">
        <f t="shared" si="6"/>
        <v>11</v>
      </c>
      <c r="BM4" s="175">
        <f t="shared" si="6"/>
        <v>12</v>
      </c>
      <c r="BP4" s="57" t="e">
        <f>#REF!</f>
        <v>#REF!</v>
      </c>
      <c r="BQ4" s="57" t="e">
        <f>#REF!</f>
        <v>#REF!</v>
      </c>
      <c r="BR4" s="57" t="e">
        <f>#REF!</f>
        <v>#REF!</v>
      </c>
      <c r="BS4" s="57" t="e">
        <f>#REF!</f>
        <v>#REF!</v>
      </c>
      <c r="BT4" s="57" t="e">
        <f>#REF!</f>
        <v>#REF!</v>
      </c>
      <c r="BU4" s="57" t="e">
        <f>#REF!</f>
        <v>#REF!</v>
      </c>
      <c r="BV4" s="57" t="e">
        <f>#REF!</f>
        <v>#REF!</v>
      </c>
      <c r="BW4" s="57" t="e">
        <f>#REF!</f>
        <v>#REF!</v>
      </c>
      <c r="BX4" s="57" t="e">
        <f>#REF!</f>
        <v>#REF!</v>
      </c>
      <c r="BY4" s="57">
        <f>AL4</f>
        <v>0</v>
      </c>
      <c r="BZ4" s="57" t="e">
        <f>#REF!</f>
        <v>#REF!</v>
      </c>
      <c r="CA4" s="57">
        <f>AM4</f>
        <v>0</v>
      </c>
    </row>
    <row r="5" spans="1:80" hidden="1" x14ac:dyDescent="0.25">
      <c r="A5" t="s">
        <v>1</v>
      </c>
      <c r="L5" s="175" t="str">
        <f>"Actual"</f>
        <v>Actual</v>
      </c>
      <c r="M5" s="175" t="str">
        <f t="shared" ref="M5:W5" si="7">"Actual"</f>
        <v>Actual</v>
      </c>
      <c r="N5" s="175" t="str">
        <f t="shared" si="7"/>
        <v>Actual</v>
      </c>
      <c r="O5" s="175" t="str">
        <f t="shared" si="7"/>
        <v>Actual</v>
      </c>
      <c r="P5" s="175" t="str">
        <f t="shared" si="7"/>
        <v>Actual</v>
      </c>
      <c r="Q5" s="175" t="str">
        <f t="shared" si="7"/>
        <v>Actual</v>
      </c>
      <c r="R5" s="175" t="str">
        <f t="shared" si="7"/>
        <v>Actual</v>
      </c>
      <c r="S5" s="175" t="str">
        <f t="shared" si="7"/>
        <v>Actual</v>
      </c>
      <c r="T5" s="175" t="str">
        <f t="shared" si="7"/>
        <v>Actual</v>
      </c>
      <c r="U5" s="175" t="str">
        <f t="shared" si="7"/>
        <v>Actual</v>
      </c>
      <c r="V5" s="175" t="str">
        <f t="shared" si="7"/>
        <v>Actual</v>
      </c>
      <c r="W5" s="175" t="str">
        <f t="shared" si="7"/>
        <v>Actual</v>
      </c>
      <c r="Z5" s="177" t="str">
        <f>IF(VALUE(TRIM(LEFT(Scenario!$A$4,2)))&gt;=Z4,"Actual",Scenario!$A$2)</f>
        <v>Actual</v>
      </c>
      <c r="AA5" s="177" t="str">
        <f>IF(VALUE(TRIM(LEFT(Scenario!$A$4,2)))&gt;=AA4,"Actual",Scenario!$A$2)</f>
        <v>Plan</v>
      </c>
      <c r="AB5" s="177" t="str">
        <f>IF(VALUE(TRIM(LEFT(Scenario!$A$4,2)))&gt;=AB4,"Actual",Scenario!$A$2)</f>
        <v>Plan</v>
      </c>
      <c r="AC5" s="177" t="str">
        <f>IF(VALUE(TRIM(LEFT(Scenario!$A$4,2)))&gt;=AC4,"Actual",Scenario!$A$2)</f>
        <v>Plan</v>
      </c>
      <c r="AD5" s="177" t="str">
        <f>IF(VALUE(TRIM(LEFT(Scenario!$A$4,2)))&gt;=AD4,"Actual",Scenario!$A$2)</f>
        <v>Plan</v>
      </c>
      <c r="AE5" s="177" t="str">
        <f>IF(VALUE(TRIM(LEFT(Scenario!$A$4,2)))&gt;=AE4,"Actual",Scenario!$A$2)</f>
        <v>Plan</v>
      </c>
      <c r="AF5" s="177" t="str">
        <f>IF(VALUE(TRIM(LEFT(Scenario!$A$4,2)))&gt;=AF4,"Actual",Scenario!$A$2)</f>
        <v>Plan</v>
      </c>
      <c r="AG5" s="177" t="str">
        <f>IF(VALUE(TRIM(LEFT(Scenario!$A$4,2)))&gt;=AG4,"Actual",Scenario!$A$2)</f>
        <v>Plan</v>
      </c>
      <c r="AH5" s="177" t="str">
        <f>IF(VALUE(TRIM(LEFT(Scenario!$A$4,2)))&gt;=AH4,"Actual",Scenario!$A$2)</f>
        <v>Plan</v>
      </c>
      <c r="AI5" s="177" t="str">
        <f>IF(VALUE(TRIM(LEFT(Scenario!$A$4,2)))&gt;=AI4,"Actual",Scenario!$A$2)</f>
        <v>Plan</v>
      </c>
      <c r="AJ5" s="177" t="str">
        <f>IF(VALUE(TRIM(LEFT(Scenario!$A$4,2)))&gt;=AJ4,"Actual",Scenario!$A$2)</f>
        <v>Plan</v>
      </c>
      <c r="AK5" s="177" t="str">
        <f>IF(VALUE(TRIM(LEFT(Scenario!$A$4,2)))&gt;=AK4,"Actual",Scenario!$A$2)</f>
        <v>Plan</v>
      </c>
      <c r="AN5" s="177" t="str">
        <f>Scenario!$A$2</f>
        <v>Plan</v>
      </c>
      <c r="AO5" s="177" t="str">
        <f>Scenario!$A$2</f>
        <v>Plan</v>
      </c>
      <c r="AP5" s="177" t="str">
        <f>Scenario!$A$2</f>
        <v>Plan</v>
      </c>
      <c r="AQ5" s="177" t="str">
        <f>Scenario!$A$2</f>
        <v>Plan</v>
      </c>
      <c r="AR5" s="177" t="str">
        <f>Scenario!$A$2</f>
        <v>Plan</v>
      </c>
      <c r="AS5" s="177" t="str">
        <f>Scenario!$A$2</f>
        <v>Plan</v>
      </c>
      <c r="AT5" s="177" t="str">
        <f>Scenario!$A$2</f>
        <v>Plan</v>
      </c>
      <c r="AU5" s="177" t="str">
        <f>Scenario!$A$2</f>
        <v>Plan</v>
      </c>
      <c r="AV5" s="177" t="str">
        <f>Scenario!$A$2</f>
        <v>Plan</v>
      </c>
      <c r="AW5" s="177" t="str">
        <f>Scenario!$A$2</f>
        <v>Plan</v>
      </c>
      <c r="AX5" s="177" t="str">
        <f>Scenario!$A$2</f>
        <v>Plan</v>
      </c>
      <c r="AY5" s="177" t="str">
        <f>Scenario!$A$2</f>
        <v>Plan</v>
      </c>
      <c r="BB5" s="175" t="s">
        <v>8</v>
      </c>
      <c r="BC5" s="175" t="s">
        <v>8</v>
      </c>
      <c r="BD5" s="175" t="s">
        <v>8</v>
      </c>
      <c r="BE5" s="175" t="s">
        <v>8</v>
      </c>
      <c r="BF5" s="175" t="s">
        <v>8</v>
      </c>
      <c r="BG5" s="175" t="s">
        <v>8</v>
      </c>
      <c r="BH5" s="175" t="s">
        <v>8</v>
      </c>
      <c r="BI5" s="175" t="s">
        <v>8</v>
      </c>
      <c r="BJ5" s="175" t="s">
        <v>8</v>
      </c>
      <c r="BK5" s="175" t="s">
        <v>8</v>
      </c>
      <c r="BL5" s="175" t="s">
        <v>8</v>
      </c>
      <c r="BM5" s="175" t="s">
        <v>8</v>
      </c>
      <c r="BP5" s="57" t="s">
        <v>8</v>
      </c>
      <c r="BQ5" s="57" t="s">
        <v>8</v>
      </c>
      <c r="BR5" s="57" t="s">
        <v>8</v>
      </c>
      <c r="BS5" s="57" t="s">
        <v>8</v>
      </c>
      <c r="BT5" s="57" t="s">
        <v>8</v>
      </c>
      <c r="BU5" s="57" t="s">
        <v>8</v>
      </c>
      <c r="BV5" s="57" t="s">
        <v>8</v>
      </c>
      <c r="BW5" s="57" t="s">
        <v>8</v>
      </c>
      <c r="BX5" s="57" t="s">
        <v>8</v>
      </c>
      <c r="BY5" s="57" t="s">
        <v>8</v>
      </c>
      <c r="BZ5" s="57" t="s">
        <v>8</v>
      </c>
      <c r="CA5" s="57" t="s">
        <v>8</v>
      </c>
    </row>
    <row r="6" spans="1:80" hidden="1" x14ac:dyDescent="0.25">
      <c r="A6" t="s">
        <v>1</v>
      </c>
      <c r="D6" s="206" t="s">
        <v>35</v>
      </c>
    </row>
    <row r="7" spans="1:80" hidden="1" x14ac:dyDescent="0.25">
      <c r="A7" t="s">
        <v>1</v>
      </c>
      <c r="D7" s="206" t="s">
        <v>93</v>
      </c>
    </row>
    <row r="8" spans="1:80" hidden="1" x14ac:dyDescent="0.25">
      <c r="A8" t="s">
        <v>1</v>
      </c>
      <c r="D8" s="206" t="s">
        <v>94</v>
      </c>
    </row>
    <row r="9" spans="1:80" hidden="1" x14ac:dyDescent="0.25">
      <c r="A9" t="s">
        <v>1</v>
      </c>
      <c r="D9" s="206" t="s">
        <v>95</v>
      </c>
    </row>
    <row r="10" spans="1:80" hidden="1" x14ac:dyDescent="0.25">
      <c r="A10" t="s">
        <v>1</v>
      </c>
      <c r="D10" s="206" t="s">
        <v>96</v>
      </c>
    </row>
    <row r="11" spans="1:80" hidden="1" x14ac:dyDescent="0.25">
      <c r="A11" t="s">
        <v>1</v>
      </c>
    </row>
    <row r="12" spans="1:80" ht="29.55" thickBot="1" x14ac:dyDescent="0.55000000000000004">
      <c r="C12" s="9" t="s">
        <v>123</v>
      </c>
      <c r="D12" s="9"/>
      <c r="E12" s="9"/>
      <c r="F12" s="9"/>
      <c r="G12" s="9"/>
    </row>
    <row r="13" spans="1:80" ht="18.649999999999999" x14ac:dyDescent="0.25">
      <c r="C13" s="10" t="str">
        <f>$D$4&amp;", "&amp;$E$4</f>
        <v>Undefined (Not Entity Specific), 612 (Paramount Prints Admin)</v>
      </c>
      <c r="E13" s="10"/>
      <c r="F13" s="10"/>
      <c r="G13" s="10"/>
      <c r="L13" s="178" t="s">
        <v>36</v>
      </c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Z13" s="178" t="s">
        <v>37</v>
      </c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 t="s">
        <v>37</v>
      </c>
      <c r="AN13" s="178" t="str">
        <f ca="1">AN14</f>
        <v>Plan</v>
      </c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 t="str">
        <f ca="1">AN13</f>
        <v>Plan</v>
      </c>
      <c r="BB13" s="178" t="s">
        <v>40</v>
      </c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 t="s">
        <v>40</v>
      </c>
      <c r="BP13" s="208" t="s">
        <v>124</v>
      </c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</row>
    <row r="14" spans="1:80" ht="14.5" x14ac:dyDescent="0.25">
      <c r="C14" s="11"/>
      <c r="D14" s="11"/>
      <c r="E14" s="11"/>
      <c r="F14" s="11"/>
      <c r="G14" s="11"/>
      <c r="H14" s="179"/>
      <c r="I14" s="179"/>
      <c r="J14" s="12"/>
      <c r="K14" s="12"/>
      <c r="L14" s="12" t="str">
        <f t="shared" ref="L14:W14" ca="1" si="8">IF(OFFSET(L5,0,-1)&lt;&gt;L5,L5,"")</f>
        <v>Actual</v>
      </c>
      <c r="M14" s="12" t="str">
        <f t="shared" ca="1" si="8"/>
        <v/>
      </c>
      <c r="N14" s="12" t="str">
        <f t="shared" ca="1" si="8"/>
        <v/>
      </c>
      <c r="O14" s="12" t="str">
        <f t="shared" ca="1" si="8"/>
        <v/>
      </c>
      <c r="P14" s="12" t="str">
        <f t="shared" ca="1" si="8"/>
        <v/>
      </c>
      <c r="Q14" s="12" t="str">
        <f t="shared" ca="1" si="8"/>
        <v/>
      </c>
      <c r="R14" s="12" t="str">
        <f t="shared" ca="1" si="8"/>
        <v/>
      </c>
      <c r="S14" s="12" t="str">
        <f t="shared" ca="1" si="8"/>
        <v/>
      </c>
      <c r="T14" s="12" t="str">
        <f t="shared" ca="1" si="8"/>
        <v/>
      </c>
      <c r="U14" s="12" t="str">
        <f t="shared" ca="1" si="8"/>
        <v/>
      </c>
      <c r="V14" s="12" t="str">
        <f t="shared" ca="1" si="8"/>
        <v/>
      </c>
      <c r="W14" s="12" t="str">
        <f t="shared" ca="1" si="8"/>
        <v/>
      </c>
      <c r="X14" s="179">
        <f>M3</f>
        <v>2025</v>
      </c>
      <c r="Z14" s="12" t="str">
        <f t="shared" ref="Z14:AK14" ca="1" si="9">IF(OFFSET(Z5,0,-1)&lt;&gt;Z5,Z5,"")</f>
        <v>Actual</v>
      </c>
      <c r="AA14" s="12" t="str">
        <f t="shared" ca="1" si="9"/>
        <v>Plan</v>
      </c>
      <c r="AB14" s="12" t="str">
        <f t="shared" ca="1" si="9"/>
        <v/>
      </c>
      <c r="AC14" s="12" t="str">
        <f t="shared" ca="1" si="9"/>
        <v/>
      </c>
      <c r="AD14" s="12" t="str">
        <f t="shared" ca="1" si="9"/>
        <v/>
      </c>
      <c r="AE14" s="12" t="str">
        <f t="shared" ca="1" si="9"/>
        <v/>
      </c>
      <c r="AF14" s="12" t="str">
        <f t="shared" ca="1" si="9"/>
        <v/>
      </c>
      <c r="AG14" s="12" t="str">
        <f t="shared" ca="1" si="9"/>
        <v/>
      </c>
      <c r="AH14" s="180" t="str">
        <f t="shared" ca="1" si="9"/>
        <v/>
      </c>
      <c r="AI14" s="12" t="str">
        <f t="shared" ca="1" si="9"/>
        <v/>
      </c>
      <c r="AJ14" s="12" t="str">
        <f t="shared" ca="1" si="9"/>
        <v/>
      </c>
      <c r="AK14" s="12" t="str">
        <f t="shared" ca="1" si="9"/>
        <v/>
      </c>
      <c r="AL14" s="179" t="s">
        <v>125</v>
      </c>
      <c r="AN14" s="12" t="str">
        <f t="shared" ref="AN14:AY14" ca="1" si="10">IF(OFFSET(AN5,0,-1)&lt;&gt;AN5,AN5,"")</f>
        <v>Plan</v>
      </c>
      <c r="AO14" s="12" t="str">
        <f t="shared" ca="1" si="10"/>
        <v/>
      </c>
      <c r="AP14" s="12" t="str">
        <f t="shared" ca="1" si="10"/>
        <v/>
      </c>
      <c r="AQ14" s="12" t="str">
        <f t="shared" ca="1" si="10"/>
        <v/>
      </c>
      <c r="AR14" s="12" t="str">
        <f t="shared" ca="1" si="10"/>
        <v/>
      </c>
      <c r="AS14" s="12" t="str">
        <f t="shared" ca="1" si="10"/>
        <v/>
      </c>
      <c r="AT14" s="12" t="str">
        <f t="shared" ca="1" si="10"/>
        <v/>
      </c>
      <c r="AU14" s="12" t="str">
        <f t="shared" ca="1" si="10"/>
        <v/>
      </c>
      <c r="AV14" s="12" t="str">
        <f t="shared" ca="1" si="10"/>
        <v/>
      </c>
      <c r="AW14" s="12" t="str">
        <f t="shared" ca="1" si="10"/>
        <v/>
      </c>
      <c r="AX14" s="12" t="str">
        <f t="shared" ca="1" si="10"/>
        <v/>
      </c>
      <c r="AY14" s="12" t="str">
        <f t="shared" ca="1" si="10"/>
        <v/>
      </c>
      <c r="AZ14" s="179">
        <f>AN3</f>
        <v>2026</v>
      </c>
      <c r="BB14" s="12" t="s">
        <v>40</v>
      </c>
      <c r="BC14" s="12" t="str">
        <f t="shared" ref="BC14:BM14" ca="1" si="11">IF(OFFSET(BC5,0,-1)&lt;&gt;BC5,BC5,"")</f>
        <v/>
      </c>
      <c r="BD14" s="12" t="str">
        <f t="shared" ca="1" si="11"/>
        <v/>
      </c>
      <c r="BE14" s="12" t="str">
        <f t="shared" ca="1" si="11"/>
        <v/>
      </c>
      <c r="BF14" s="12" t="str">
        <f t="shared" ca="1" si="11"/>
        <v/>
      </c>
      <c r="BG14" s="12" t="str">
        <f t="shared" ca="1" si="11"/>
        <v/>
      </c>
      <c r="BH14" s="12" t="str">
        <f t="shared" ca="1" si="11"/>
        <v/>
      </c>
      <c r="BI14" s="12" t="str">
        <f t="shared" ca="1" si="11"/>
        <v/>
      </c>
      <c r="BJ14" s="12" t="str">
        <f t="shared" ca="1" si="11"/>
        <v/>
      </c>
      <c r="BK14" s="12" t="str">
        <f t="shared" ca="1" si="11"/>
        <v/>
      </c>
      <c r="BL14" s="12" t="str">
        <f t="shared" ca="1" si="11"/>
        <v/>
      </c>
      <c r="BM14" s="12" t="str">
        <f t="shared" ca="1" si="11"/>
        <v/>
      </c>
      <c r="BN14" s="179" t="s">
        <v>40</v>
      </c>
      <c r="BP14" s="209" t="str">
        <f t="shared" ref="BP14:CA14" ca="1" si="12">IF(OFFSET(BP5,0,-1)&lt;&gt;BP5,BP5,"")</f>
        <v>Plan</v>
      </c>
      <c r="BQ14" s="209" t="str">
        <f t="shared" ca="1" si="12"/>
        <v/>
      </c>
      <c r="BR14" s="209" t="str">
        <f t="shared" ca="1" si="12"/>
        <v/>
      </c>
      <c r="BS14" s="209" t="str">
        <f t="shared" ca="1" si="12"/>
        <v/>
      </c>
      <c r="BT14" s="209" t="str">
        <f t="shared" ca="1" si="12"/>
        <v/>
      </c>
      <c r="BU14" s="209" t="str">
        <f t="shared" ca="1" si="12"/>
        <v/>
      </c>
      <c r="BV14" s="209" t="str">
        <f t="shared" ca="1" si="12"/>
        <v/>
      </c>
      <c r="BW14" s="209" t="str">
        <f t="shared" ca="1" si="12"/>
        <v/>
      </c>
      <c r="BX14" s="209" t="str">
        <f t="shared" ca="1" si="12"/>
        <v/>
      </c>
      <c r="BY14" s="209" t="str">
        <f t="shared" ca="1" si="12"/>
        <v/>
      </c>
      <c r="BZ14" s="209" t="str">
        <f t="shared" ca="1" si="12"/>
        <v/>
      </c>
      <c r="CA14" s="209" t="str">
        <f t="shared" ca="1" si="12"/>
        <v/>
      </c>
      <c r="CB14" s="210" t="s">
        <v>126</v>
      </c>
    </row>
    <row r="15" spans="1:80" ht="14.5" x14ac:dyDescent="0.25">
      <c r="C15" s="13"/>
      <c r="D15" s="13"/>
      <c r="E15" s="13"/>
      <c r="F15" s="13"/>
      <c r="G15" s="13" t="str">
        <f>"in "&amp;$F$4&amp;" currency"</f>
        <v>in Local currency</v>
      </c>
      <c r="H15" s="179"/>
      <c r="I15" s="179"/>
      <c r="J15" s="181"/>
      <c r="K15" s="181"/>
      <c r="L15" s="45" t="str">
        <f>_xlfn.XLOOKUP(L$4,'Month Name'!$D:$D, 'Month Name'!$C:$C)&amp;" "&amp;RIGHT(L3,2)</f>
        <v>Jan 25</v>
      </c>
      <c r="M15" s="45" t="str">
        <f>_xlfn.XLOOKUP(M$4,'Month Name'!$D:$D, 'Month Name'!$C:$C)&amp;" "&amp;RIGHT(M3,2)</f>
        <v>Feb 25</v>
      </c>
      <c r="N15" s="45" t="str">
        <f>_xlfn.XLOOKUP(N$4,'Month Name'!$D:$D, 'Month Name'!$C:$C)&amp;" "&amp;RIGHT(N3,2)</f>
        <v>Mar 25</v>
      </c>
      <c r="O15" s="45" t="str">
        <f>_xlfn.XLOOKUP(O$4,'Month Name'!$D:$D, 'Month Name'!$C:$C)&amp;" "&amp;RIGHT(O3,2)</f>
        <v>Apr 25</v>
      </c>
      <c r="P15" s="45" t="str">
        <f>_xlfn.XLOOKUP(P$4,'Month Name'!$D:$D, 'Month Name'!$C:$C)&amp;" "&amp;RIGHT(P3,2)</f>
        <v>May 25</v>
      </c>
      <c r="Q15" s="45" t="str">
        <f>_xlfn.XLOOKUP(Q$4,'Month Name'!$D:$D, 'Month Name'!$C:$C)&amp;" "&amp;RIGHT(Q3,2)</f>
        <v>Jun 25</v>
      </c>
      <c r="R15" s="45" t="str">
        <f>_xlfn.XLOOKUP(R$4,'Month Name'!$D:$D, 'Month Name'!$C:$C)&amp;" "&amp;RIGHT(R3,2)</f>
        <v>Jul 25</v>
      </c>
      <c r="S15" s="45" t="str">
        <f>_xlfn.XLOOKUP(S$4,'Month Name'!$D:$D, 'Month Name'!$C:$C)&amp;" "&amp;RIGHT(S3,2)</f>
        <v>Aug 25</v>
      </c>
      <c r="T15" s="45" t="str">
        <f>_xlfn.XLOOKUP(T$4,'Month Name'!$D:$D, 'Month Name'!$C:$C)&amp;" "&amp;RIGHT(T3,2)</f>
        <v>Sep 25</v>
      </c>
      <c r="U15" s="45" t="str">
        <f>_xlfn.XLOOKUP(U$4,'Month Name'!$D:$D, 'Month Name'!$C:$C)&amp;" "&amp;RIGHT(U3,2)</f>
        <v>Oct 25</v>
      </c>
      <c r="V15" s="45" t="str">
        <f>_xlfn.XLOOKUP(V$4,'Month Name'!$D:$D, 'Month Name'!$C:$C)&amp;" "&amp;RIGHT(V3,2)</f>
        <v>Nov 25</v>
      </c>
      <c r="W15" s="45" t="str">
        <f>_xlfn.XLOOKUP(W$4,'Month Name'!$D:$D, 'Month Name'!$C:$C)&amp;" "&amp;RIGHT(W3,2)</f>
        <v>Dec 25</v>
      </c>
      <c r="X15" s="179" t="s">
        <v>127</v>
      </c>
      <c r="Z15" s="45" t="str">
        <f>_xlfn.XLOOKUP(Z$4,'Month Name'!$D:$D, 'Month Name'!$C:$C)&amp;" "&amp;RIGHT(Z3,2)</f>
        <v>Jan 26</v>
      </c>
      <c r="AA15" s="45" t="str">
        <f>_xlfn.XLOOKUP(AA$4,'Month Name'!$D:$D, 'Month Name'!$C:$C)&amp;" "&amp;RIGHT(AA3,2)</f>
        <v>Feb 26</v>
      </c>
      <c r="AB15" s="45" t="str">
        <f>_xlfn.XLOOKUP(AB$4,'Month Name'!$D:$D, 'Month Name'!$C:$C)&amp;" "&amp;RIGHT(AB3,2)</f>
        <v>Mar 26</v>
      </c>
      <c r="AC15" s="45" t="str">
        <f>_xlfn.XLOOKUP(AC$4,'Month Name'!$D:$D, 'Month Name'!$C:$C)&amp;" "&amp;RIGHT(AC3,2)</f>
        <v>Apr 26</v>
      </c>
      <c r="AD15" s="45" t="str">
        <f>_xlfn.XLOOKUP(AD$4,'Month Name'!$D:$D, 'Month Name'!$C:$C)&amp;" "&amp;RIGHT(AD3,2)</f>
        <v>May 26</v>
      </c>
      <c r="AE15" s="45" t="str">
        <f>_xlfn.XLOOKUP(AE$4,'Month Name'!$D:$D, 'Month Name'!$C:$C)&amp;" "&amp;RIGHT(AE3,2)</f>
        <v>Jun 26</v>
      </c>
      <c r="AF15" s="45" t="str">
        <f>_xlfn.XLOOKUP(AF$4,'Month Name'!$D:$D, 'Month Name'!$C:$C)&amp;" "&amp;RIGHT(AF3,2)</f>
        <v>Jul 26</v>
      </c>
      <c r="AG15" s="45" t="str">
        <f>_xlfn.XLOOKUP(AG$4,'Month Name'!$D:$D, 'Month Name'!$C:$C)&amp;" "&amp;RIGHT(AG3,2)</f>
        <v>Aug 26</v>
      </c>
      <c r="AH15" s="45" t="str">
        <f>_xlfn.XLOOKUP(AH$4,'Month Name'!$D:$D, 'Month Name'!$C:$C)&amp;" "&amp;RIGHT(AH3,2)</f>
        <v>Sep 26</v>
      </c>
      <c r="AI15" s="45" t="str">
        <f>_xlfn.XLOOKUP(AI$4,'Month Name'!$D:$D, 'Month Name'!$C:$C)&amp;" "&amp;RIGHT(AI3,2)</f>
        <v>Oct 26</v>
      </c>
      <c r="AJ15" s="45" t="str">
        <f>_xlfn.XLOOKUP(AJ$4,'Month Name'!$D:$D, 'Month Name'!$C:$C)&amp;" "&amp;RIGHT(AJ3,2)</f>
        <v>Nov 26</v>
      </c>
      <c r="AK15" s="45" t="str">
        <f>_xlfn.XLOOKUP(AK$4,'Month Name'!$D:$D, 'Month Name'!$C:$C)&amp;" "&amp;RIGHT(AK3,2)</f>
        <v>Dec 26</v>
      </c>
      <c r="AL15" s="179" t="s">
        <v>127</v>
      </c>
      <c r="AN15" s="45" t="str">
        <f>_xlfn.XLOOKUP(AN$4,'Month Name'!$D:$D, 'Month Name'!$C:$C)&amp;" "&amp;RIGHT(AN3,2)</f>
        <v>Jan 26</v>
      </c>
      <c r="AO15" s="45" t="str">
        <f>_xlfn.XLOOKUP(AO$4,'Month Name'!$D:$D, 'Month Name'!$C:$C)&amp;" "&amp;RIGHT(AO3,2)</f>
        <v>Feb 26</v>
      </c>
      <c r="AP15" s="45" t="str">
        <f>_xlfn.XLOOKUP(AP$4,'Month Name'!$D:$D, 'Month Name'!$C:$C)&amp;" "&amp;RIGHT(AP3,2)</f>
        <v>Mar 26</v>
      </c>
      <c r="AQ15" s="45" t="str">
        <f>_xlfn.XLOOKUP(AQ$4,'Month Name'!$D:$D, 'Month Name'!$C:$C)&amp;" "&amp;RIGHT(AQ3,2)</f>
        <v>Apr 26</v>
      </c>
      <c r="AR15" s="45" t="str">
        <f>_xlfn.XLOOKUP(AR$4,'Month Name'!$D:$D, 'Month Name'!$C:$C)&amp;" "&amp;RIGHT(AR3,2)</f>
        <v>May 26</v>
      </c>
      <c r="AS15" s="45" t="str">
        <f>_xlfn.XLOOKUP(AS$4,'Month Name'!$D:$D, 'Month Name'!$C:$C)&amp;" "&amp;RIGHT(AS3,2)</f>
        <v>Jun 26</v>
      </c>
      <c r="AT15" s="45" t="str">
        <f>_xlfn.XLOOKUP(AT$4,'Month Name'!$D:$D, 'Month Name'!$C:$C)&amp;" "&amp;RIGHT(AT3,2)</f>
        <v>Jul 26</v>
      </c>
      <c r="AU15" s="45" t="str">
        <f>_xlfn.XLOOKUP(AU$4,'Month Name'!$D:$D, 'Month Name'!$C:$C)&amp;" "&amp;RIGHT(AU3,2)</f>
        <v>Aug 26</v>
      </c>
      <c r="AV15" s="45" t="str">
        <f>_xlfn.XLOOKUP(AV$4,'Month Name'!$D:$D, 'Month Name'!$C:$C)&amp;" "&amp;RIGHT(AV3,2)</f>
        <v>Sep 26</v>
      </c>
      <c r="AW15" s="45" t="str">
        <f>_xlfn.XLOOKUP(AW$4,'Month Name'!$D:$D, 'Month Name'!$C:$C)&amp;" "&amp;RIGHT(AW3,2)</f>
        <v>Oct 26</v>
      </c>
      <c r="AX15" s="45" t="str">
        <f>_xlfn.XLOOKUP(AX$4,'Month Name'!$D:$D, 'Month Name'!$C:$C)&amp;" "&amp;RIGHT(AX3,2)</f>
        <v>Nov 26</v>
      </c>
      <c r="AY15" s="45" t="str">
        <f>_xlfn.XLOOKUP(AY$4,'Month Name'!$D:$D, 'Month Name'!$C:$C)&amp;" "&amp;RIGHT(AY3,2)</f>
        <v>Dec 26</v>
      </c>
      <c r="AZ15" s="179" t="s">
        <v>127</v>
      </c>
      <c r="BB15" s="45" t="str">
        <f>_xlfn.XLOOKUP(BB$4,'Month Name'!$D:$D, 'Month Name'!$C:$C)&amp;" "&amp;RIGHT(BB3,2)</f>
        <v>Jan 26</v>
      </c>
      <c r="BC15" s="45" t="str">
        <f>_xlfn.XLOOKUP(BC$4,'Month Name'!$D:$D, 'Month Name'!$C:$C)&amp;" "&amp;RIGHT(BC3,2)</f>
        <v>Feb 26</v>
      </c>
      <c r="BD15" s="45" t="str">
        <f>_xlfn.XLOOKUP(BD$4,'Month Name'!$D:$D, 'Month Name'!$C:$C)&amp;" "&amp;RIGHT(BD3,2)</f>
        <v>Mar 26</v>
      </c>
      <c r="BE15" s="45" t="str">
        <f>_xlfn.XLOOKUP(BE$4,'Month Name'!$D:$D, 'Month Name'!$C:$C)&amp;" "&amp;RIGHT(BE3,2)</f>
        <v>Apr 26</v>
      </c>
      <c r="BF15" s="45" t="str">
        <f>_xlfn.XLOOKUP(BF$4,'Month Name'!$D:$D, 'Month Name'!$C:$C)&amp;" "&amp;RIGHT(BF3,2)</f>
        <v>May 26</v>
      </c>
      <c r="BG15" s="45" t="str">
        <f>_xlfn.XLOOKUP(BG$4,'Month Name'!$D:$D, 'Month Name'!$C:$C)&amp;" "&amp;RIGHT(BG3,2)</f>
        <v>Jun 26</v>
      </c>
      <c r="BH15" s="45" t="str">
        <f>_xlfn.XLOOKUP(BH$4,'Month Name'!$D:$D, 'Month Name'!$C:$C)&amp;" "&amp;RIGHT(BH3,2)</f>
        <v>Jul 26</v>
      </c>
      <c r="BI15" s="45" t="str">
        <f>_xlfn.XLOOKUP(BI$4,'Month Name'!$D:$D, 'Month Name'!$C:$C)&amp;" "&amp;RIGHT(BI3,2)</f>
        <v>Aug 26</v>
      </c>
      <c r="BJ15" s="45" t="str">
        <f>_xlfn.XLOOKUP(BJ$4,'Month Name'!$D:$D, 'Month Name'!$C:$C)&amp;" "&amp;RIGHT(BJ3,2)</f>
        <v>Sep 26</v>
      </c>
      <c r="BK15" s="45" t="str">
        <f>_xlfn.XLOOKUP(BK$4,'Month Name'!$D:$D, 'Month Name'!$C:$C)&amp;" "&amp;RIGHT(BK3,2)</f>
        <v>Oct 26</v>
      </c>
      <c r="BL15" s="45" t="str">
        <f>_xlfn.XLOOKUP(BL$4,'Month Name'!$D:$D, 'Month Name'!$C:$C)&amp;" "&amp;RIGHT(BL3,2)</f>
        <v>Nov 26</v>
      </c>
      <c r="BM15" s="45" t="str">
        <f>_xlfn.XLOOKUP(BM$4,'Month Name'!$D:$D, 'Month Name'!$C:$C)&amp;" "&amp;RIGHT(BM3,2)</f>
        <v>Dec 26</v>
      </c>
      <c r="BN15" s="179" t="s">
        <v>127</v>
      </c>
      <c r="BP15" s="211">
        <v>45292</v>
      </c>
      <c r="BQ15" s="211">
        <v>45323</v>
      </c>
      <c r="BR15" s="211">
        <v>45352</v>
      </c>
      <c r="BS15" s="211">
        <v>45383</v>
      </c>
      <c r="BT15" s="211">
        <v>45413</v>
      </c>
      <c r="BU15" s="211">
        <v>45444</v>
      </c>
      <c r="BV15" s="211">
        <v>45474</v>
      </c>
      <c r="BW15" s="211">
        <v>45505</v>
      </c>
      <c r="BX15" s="211">
        <v>45536</v>
      </c>
      <c r="BY15" s="211">
        <v>45566</v>
      </c>
      <c r="BZ15" s="211">
        <v>45597</v>
      </c>
      <c r="CA15" s="211">
        <v>45627</v>
      </c>
      <c r="CB15" s="210" t="s">
        <v>127</v>
      </c>
    </row>
    <row r="18" spans="1:80" ht="14.5" hidden="1" thickBot="1" x14ac:dyDescent="0.3">
      <c r="A18" s="14" t="s">
        <v>1</v>
      </c>
      <c r="B18" s="15"/>
      <c r="G18" s="182" t="s">
        <v>22</v>
      </c>
      <c r="H18" s="16" t="s">
        <v>23</v>
      </c>
      <c r="I18" s="16"/>
      <c r="J18" s="183"/>
      <c r="K18" s="17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4">
        <f>SUM(L18:W18)</f>
        <v>0</v>
      </c>
      <c r="Y18" s="15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4">
        <f>SUM(Z18:AK18)</f>
        <v>0</v>
      </c>
      <c r="AM18" s="15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4">
        <f>SUM(AN18:AY18)</f>
        <v>0</v>
      </c>
      <c r="BA18" s="15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4">
        <f>SUM(BB18:BM18)</f>
        <v>0</v>
      </c>
      <c r="BO18" s="15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3">
        <f>SUM(BP18:CA18)</f>
        <v>0</v>
      </c>
    </row>
    <row r="19" spans="1:80" ht="12.45" thickBot="1" x14ac:dyDescent="0.3">
      <c r="C19" s="4" t="s">
        <v>7</v>
      </c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</row>
    <row r="20" spans="1:80" ht="11.95" hidden="1" thickBot="1" x14ac:dyDescent="0.3">
      <c r="A20" t="s">
        <v>1</v>
      </c>
      <c r="E20" s="3"/>
      <c r="F20" s="3"/>
      <c r="G20" s="3" t="s">
        <v>7</v>
      </c>
      <c r="H20" s="3"/>
      <c r="I20" s="18"/>
      <c r="J20" s="18"/>
      <c r="K20" s="18"/>
      <c r="L20" s="185">
        <v>0</v>
      </c>
      <c r="M20" s="185">
        <v>0</v>
      </c>
      <c r="N20" s="185">
        <v>0</v>
      </c>
      <c r="O20" s="185">
        <v>0</v>
      </c>
      <c r="P20" s="185">
        <v>0</v>
      </c>
      <c r="Q20" s="185">
        <v>0</v>
      </c>
      <c r="R20" s="185">
        <v>0</v>
      </c>
      <c r="S20" s="185">
        <v>0</v>
      </c>
      <c r="T20" s="185">
        <v>0</v>
      </c>
      <c r="U20" s="185">
        <v>0</v>
      </c>
      <c r="V20" s="185">
        <v>0</v>
      </c>
      <c r="W20" s="185">
        <v>0</v>
      </c>
      <c r="X20" s="186">
        <f>SUM(L20:W20)</f>
        <v>0</v>
      </c>
      <c r="Y20" s="219"/>
      <c r="Z20" s="185">
        <v>0</v>
      </c>
      <c r="AA20" s="185">
        <v>0</v>
      </c>
      <c r="AB20" s="185">
        <v>0</v>
      </c>
      <c r="AC20" s="185">
        <v>0</v>
      </c>
      <c r="AD20" s="185">
        <v>0</v>
      </c>
      <c r="AE20" s="185">
        <v>0</v>
      </c>
      <c r="AF20" s="185">
        <v>0</v>
      </c>
      <c r="AG20" s="185">
        <v>0</v>
      </c>
      <c r="AH20" s="185">
        <v>0</v>
      </c>
      <c r="AI20" s="185">
        <v>0</v>
      </c>
      <c r="AJ20" s="185">
        <v>0</v>
      </c>
      <c r="AK20" s="185">
        <v>0</v>
      </c>
      <c r="AL20" s="186">
        <f>SUM(Z20:AK20)</f>
        <v>0</v>
      </c>
      <c r="AM20" s="221"/>
      <c r="AN20" s="187">
        <v>0</v>
      </c>
      <c r="AO20" s="187">
        <v>0</v>
      </c>
      <c r="AP20" s="187">
        <v>0</v>
      </c>
      <c r="AQ20" s="187">
        <v>0</v>
      </c>
      <c r="AR20" s="187">
        <v>0</v>
      </c>
      <c r="AS20" s="187">
        <v>0</v>
      </c>
      <c r="AT20" s="187">
        <v>0</v>
      </c>
      <c r="AU20" s="187">
        <v>0</v>
      </c>
      <c r="AV20" s="187">
        <v>0</v>
      </c>
      <c r="AW20" s="187">
        <v>0</v>
      </c>
      <c r="AX20" s="187">
        <v>0</v>
      </c>
      <c r="AY20" s="187">
        <v>0</v>
      </c>
      <c r="AZ20" s="186">
        <f>SUM(AN20:AY20)</f>
        <v>0</v>
      </c>
      <c r="BA20" s="221"/>
      <c r="BB20" s="187">
        <v>0</v>
      </c>
      <c r="BC20" s="187">
        <v>0</v>
      </c>
      <c r="BD20" s="187">
        <v>0</v>
      </c>
      <c r="BE20" s="187">
        <v>0</v>
      </c>
      <c r="BF20" s="187">
        <v>0</v>
      </c>
      <c r="BG20" s="187">
        <v>0</v>
      </c>
      <c r="BH20" s="187">
        <v>0</v>
      </c>
      <c r="BI20" s="187">
        <v>0</v>
      </c>
      <c r="BJ20" s="187">
        <v>0</v>
      </c>
      <c r="BK20" s="187">
        <v>0</v>
      </c>
      <c r="BL20" s="187">
        <v>0</v>
      </c>
      <c r="BM20" s="187">
        <v>0</v>
      </c>
      <c r="BN20" s="186">
        <f>SUM(BB20:BM20)</f>
        <v>0</v>
      </c>
      <c r="BP20"/>
      <c r="BQ20"/>
      <c r="BR20"/>
      <c r="BS20"/>
      <c r="BT20"/>
      <c r="BU20"/>
      <c r="BV20"/>
      <c r="BW20"/>
      <c r="BX20"/>
      <c r="BY20"/>
      <c r="BZ20"/>
      <c r="CA20"/>
      <c r="CB20">
        <f>SUM(BP20:CA20)</f>
        <v>0</v>
      </c>
    </row>
    <row r="21" spans="1:80" ht="11.95" collapsed="1" thickBot="1" x14ac:dyDescent="0.3">
      <c r="A21" t="str">
        <f t="shared" ref="A21:A26" si="13">IF(LEFT(G21,3)="Mul", "#hiderow", "#showrow")</f>
        <v>#showrow</v>
      </c>
      <c r="E21" s="3"/>
      <c r="F21" s="3"/>
      <c r="G21" s="253" t="s">
        <v>74</v>
      </c>
      <c r="H21" s="3"/>
      <c r="I21" s="18"/>
      <c r="J21" s="18"/>
      <c r="K21" s="18"/>
      <c r="L21" s="185">
        <v>0</v>
      </c>
      <c r="M21" s="185">
        <v>0</v>
      </c>
      <c r="N21" s="185">
        <v>0</v>
      </c>
      <c r="O21" s="185">
        <v>0</v>
      </c>
      <c r="P21" s="185">
        <v>0</v>
      </c>
      <c r="Q21" s="185">
        <v>0</v>
      </c>
      <c r="R21" s="185">
        <v>0</v>
      </c>
      <c r="S21" s="185">
        <v>0</v>
      </c>
      <c r="T21" s="185">
        <v>0</v>
      </c>
      <c r="U21" s="185">
        <v>0</v>
      </c>
      <c r="V21" s="185">
        <v>0</v>
      </c>
      <c r="W21" s="185">
        <v>0</v>
      </c>
      <c r="X21" s="186">
        <f t="shared" ref="X21:X26" si="14">SUM(L21:W21)</f>
        <v>0</v>
      </c>
      <c r="Y21" s="219"/>
      <c r="Z21" s="185">
        <v>0</v>
      </c>
      <c r="AA21" s="185">
        <v>0</v>
      </c>
      <c r="AB21" s="185">
        <v>0</v>
      </c>
      <c r="AC21" s="185">
        <v>0</v>
      </c>
      <c r="AD21" s="185">
        <v>0</v>
      </c>
      <c r="AE21" s="185">
        <v>0</v>
      </c>
      <c r="AF21" s="185">
        <v>0</v>
      </c>
      <c r="AG21" s="185">
        <v>0</v>
      </c>
      <c r="AH21" s="185">
        <v>0</v>
      </c>
      <c r="AI21" s="185">
        <v>0</v>
      </c>
      <c r="AJ21" s="185">
        <v>0</v>
      </c>
      <c r="AK21" s="185">
        <v>0</v>
      </c>
      <c r="AL21" s="186">
        <f t="shared" ref="AL21:AL26" si="15">SUM(Z21:AK21)</f>
        <v>0</v>
      </c>
      <c r="AM21" s="221"/>
      <c r="AN21" s="187">
        <v>0</v>
      </c>
      <c r="AO21" s="187">
        <v>0</v>
      </c>
      <c r="AP21" s="187">
        <v>0</v>
      </c>
      <c r="AQ21" s="187">
        <v>0</v>
      </c>
      <c r="AR21" s="187">
        <v>0</v>
      </c>
      <c r="AS21" s="187">
        <v>0</v>
      </c>
      <c r="AT21" s="187">
        <v>0</v>
      </c>
      <c r="AU21" s="187">
        <v>0</v>
      </c>
      <c r="AV21" s="187">
        <v>0</v>
      </c>
      <c r="AW21" s="187">
        <v>0</v>
      </c>
      <c r="AX21" s="187">
        <v>0</v>
      </c>
      <c r="AY21" s="187">
        <v>0</v>
      </c>
      <c r="AZ21" s="186">
        <f t="shared" ref="AZ21:AZ26" si="16">SUM(AN21:AY21)</f>
        <v>0</v>
      </c>
      <c r="BA21" s="221"/>
      <c r="BB21" s="187">
        <v>0</v>
      </c>
      <c r="BC21" s="187">
        <v>0</v>
      </c>
      <c r="BD21" s="187">
        <v>0</v>
      </c>
      <c r="BE21" s="187">
        <v>0</v>
      </c>
      <c r="BF21" s="187">
        <v>0</v>
      </c>
      <c r="BG21" s="187">
        <v>0</v>
      </c>
      <c r="BH21" s="187">
        <v>0</v>
      </c>
      <c r="BI21" s="187">
        <v>0</v>
      </c>
      <c r="BJ21" s="187">
        <v>0</v>
      </c>
      <c r="BK21" s="187">
        <v>0</v>
      </c>
      <c r="BL21" s="187">
        <v>0</v>
      </c>
      <c r="BM21" s="187">
        <v>0</v>
      </c>
      <c r="BN21" s="186">
        <f t="shared" ref="BN21:BN26" si="17">SUM(BB21:BM21)</f>
        <v>0</v>
      </c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 spans="1:80" ht="11.95" hidden="1" outlineLevel="1" thickBot="1" x14ac:dyDescent="0.3">
      <c r="A22" t="str">
        <f t="shared" si="13"/>
        <v>#hiderow</v>
      </c>
      <c r="E22" s="3"/>
      <c r="F22" s="3"/>
      <c r="G22" s="257" t="s">
        <v>6</v>
      </c>
      <c r="H22" s="131"/>
      <c r="I22" s="18"/>
      <c r="J22" s="18"/>
      <c r="K22" s="18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6">
        <f t="shared" si="14"/>
        <v>0</v>
      </c>
      <c r="Y22" s="219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6">
        <f t="shared" si="15"/>
        <v>0</v>
      </c>
      <c r="AM22" s="221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6">
        <f t="shared" si="16"/>
        <v>0</v>
      </c>
      <c r="BA22" s="221"/>
      <c r="BB22" s="187"/>
      <c r="BC22" s="187"/>
      <c r="BD22" s="187"/>
      <c r="BE22" s="187"/>
      <c r="BF22" s="187"/>
      <c r="BG22" s="187"/>
      <c r="BH22" s="187"/>
      <c r="BI22" s="187"/>
      <c r="BJ22" s="187"/>
      <c r="BK22" s="187"/>
      <c r="BL22" s="187"/>
      <c r="BM22" s="187"/>
      <c r="BN22" s="186">
        <f t="shared" si="17"/>
        <v>0</v>
      </c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 spans="1:80" ht="11.95" collapsed="1" thickBot="1" x14ac:dyDescent="0.3">
      <c r="A23" t="str">
        <f t="shared" si="13"/>
        <v>#showrow</v>
      </c>
      <c r="E23" s="3"/>
      <c r="F23" s="3"/>
      <c r="G23" s="253" t="s">
        <v>97</v>
      </c>
      <c r="H23" s="3"/>
      <c r="I23" s="18"/>
      <c r="J23" s="18"/>
      <c r="K23" s="18"/>
      <c r="L23" s="185">
        <v>0</v>
      </c>
      <c r="M23" s="185">
        <v>0</v>
      </c>
      <c r="N23" s="185">
        <v>0</v>
      </c>
      <c r="O23" s="185">
        <v>0</v>
      </c>
      <c r="P23" s="185">
        <v>0</v>
      </c>
      <c r="Q23" s="185">
        <v>0</v>
      </c>
      <c r="R23" s="185">
        <v>0</v>
      </c>
      <c r="S23" s="185">
        <v>0</v>
      </c>
      <c r="T23" s="185">
        <v>0</v>
      </c>
      <c r="U23" s="185">
        <v>0</v>
      </c>
      <c r="V23" s="185">
        <v>0</v>
      </c>
      <c r="W23" s="185">
        <v>0</v>
      </c>
      <c r="X23" s="186">
        <f t="shared" si="14"/>
        <v>0</v>
      </c>
      <c r="Y23" s="219"/>
      <c r="Z23" s="185">
        <v>0</v>
      </c>
      <c r="AA23" s="185">
        <v>0</v>
      </c>
      <c r="AB23" s="185">
        <v>0</v>
      </c>
      <c r="AC23" s="185">
        <v>0</v>
      </c>
      <c r="AD23" s="185">
        <v>0</v>
      </c>
      <c r="AE23" s="185">
        <v>0</v>
      </c>
      <c r="AF23" s="185">
        <v>0</v>
      </c>
      <c r="AG23" s="185">
        <v>0</v>
      </c>
      <c r="AH23" s="185">
        <v>0</v>
      </c>
      <c r="AI23" s="185">
        <v>0</v>
      </c>
      <c r="AJ23" s="185">
        <v>0</v>
      </c>
      <c r="AK23" s="185">
        <v>0</v>
      </c>
      <c r="AL23" s="186">
        <f t="shared" si="15"/>
        <v>0</v>
      </c>
      <c r="AM23" s="221"/>
      <c r="AN23" s="187">
        <v>0</v>
      </c>
      <c r="AO23" s="187">
        <v>0</v>
      </c>
      <c r="AP23" s="187">
        <v>0</v>
      </c>
      <c r="AQ23" s="187">
        <v>0</v>
      </c>
      <c r="AR23" s="187">
        <v>0</v>
      </c>
      <c r="AS23" s="187">
        <v>0</v>
      </c>
      <c r="AT23" s="187">
        <v>0</v>
      </c>
      <c r="AU23" s="187">
        <v>0</v>
      </c>
      <c r="AV23" s="187">
        <v>0</v>
      </c>
      <c r="AW23" s="187">
        <v>0</v>
      </c>
      <c r="AX23" s="187">
        <v>0</v>
      </c>
      <c r="AY23" s="187">
        <v>0</v>
      </c>
      <c r="AZ23" s="186">
        <f t="shared" si="16"/>
        <v>0</v>
      </c>
      <c r="BA23" s="221"/>
      <c r="BB23" s="187">
        <v>0</v>
      </c>
      <c r="BC23" s="187">
        <v>0</v>
      </c>
      <c r="BD23" s="187">
        <v>0</v>
      </c>
      <c r="BE23" s="187">
        <v>0</v>
      </c>
      <c r="BF23" s="187">
        <v>0</v>
      </c>
      <c r="BG23" s="187">
        <v>0</v>
      </c>
      <c r="BH23" s="187">
        <v>0</v>
      </c>
      <c r="BI23" s="187">
        <v>0</v>
      </c>
      <c r="BJ23" s="187">
        <v>0</v>
      </c>
      <c r="BK23" s="187">
        <v>0</v>
      </c>
      <c r="BL23" s="187">
        <v>0</v>
      </c>
      <c r="BM23" s="187">
        <v>0</v>
      </c>
      <c r="BN23" s="186">
        <f t="shared" si="17"/>
        <v>0</v>
      </c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 spans="1:80" ht="11.95" hidden="1" outlineLevel="1" thickBot="1" x14ac:dyDescent="0.3">
      <c r="A24" t="str">
        <f t="shared" si="13"/>
        <v>#hiderow</v>
      </c>
      <c r="E24" s="3"/>
      <c r="F24" s="3"/>
      <c r="G24" s="257" t="s">
        <v>6</v>
      </c>
      <c r="H24" s="131"/>
      <c r="I24" s="18"/>
      <c r="J24" s="18"/>
      <c r="K24" s="18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6">
        <f t="shared" si="14"/>
        <v>0</v>
      </c>
      <c r="Y24" s="219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6">
        <f t="shared" si="15"/>
        <v>0</v>
      </c>
      <c r="AM24" s="221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6">
        <f t="shared" si="16"/>
        <v>0</v>
      </c>
      <c r="BA24" s="221"/>
      <c r="BB24" s="187"/>
      <c r="BC24" s="187"/>
      <c r="BD24" s="187"/>
      <c r="BE24" s="187"/>
      <c r="BF24" s="187"/>
      <c r="BG24" s="187"/>
      <c r="BH24" s="187"/>
      <c r="BI24" s="187"/>
      <c r="BJ24" s="187"/>
      <c r="BK24" s="187"/>
      <c r="BL24" s="187"/>
      <c r="BM24" s="187"/>
      <c r="BN24" s="186">
        <f t="shared" si="17"/>
        <v>0</v>
      </c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spans="1:80" ht="11.95" collapsed="1" thickBot="1" x14ac:dyDescent="0.3">
      <c r="A25" t="str">
        <f t="shared" si="13"/>
        <v>#showrow</v>
      </c>
      <c r="E25" s="3"/>
      <c r="F25" s="3"/>
      <c r="G25" s="253" t="s">
        <v>98</v>
      </c>
      <c r="H25" s="3"/>
      <c r="I25" s="18"/>
      <c r="J25" s="18"/>
      <c r="K25" s="18"/>
      <c r="L25" s="185">
        <v>0</v>
      </c>
      <c r="M25" s="185">
        <v>0</v>
      </c>
      <c r="N25" s="185">
        <v>0</v>
      </c>
      <c r="O25" s="185">
        <v>0</v>
      </c>
      <c r="P25" s="185">
        <v>0</v>
      </c>
      <c r="Q25" s="185">
        <v>0</v>
      </c>
      <c r="R25" s="185">
        <v>0</v>
      </c>
      <c r="S25" s="185">
        <v>0</v>
      </c>
      <c r="T25" s="185">
        <v>0</v>
      </c>
      <c r="U25" s="185">
        <v>0</v>
      </c>
      <c r="V25" s="185">
        <v>0</v>
      </c>
      <c r="W25" s="185">
        <v>0</v>
      </c>
      <c r="X25" s="186">
        <f t="shared" si="14"/>
        <v>0</v>
      </c>
      <c r="Y25" s="219"/>
      <c r="Z25" s="185">
        <v>0</v>
      </c>
      <c r="AA25" s="185">
        <v>0</v>
      </c>
      <c r="AB25" s="185">
        <v>0</v>
      </c>
      <c r="AC25" s="185">
        <v>0</v>
      </c>
      <c r="AD25" s="185">
        <v>0</v>
      </c>
      <c r="AE25" s="185">
        <v>0</v>
      </c>
      <c r="AF25" s="185">
        <v>0</v>
      </c>
      <c r="AG25" s="185">
        <v>0</v>
      </c>
      <c r="AH25" s="185">
        <v>0</v>
      </c>
      <c r="AI25" s="185">
        <v>0</v>
      </c>
      <c r="AJ25" s="185">
        <v>0</v>
      </c>
      <c r="AK25" s="185">
        <v>0</v>
      </c>
      <c r="AL25" s="186">
        <f t="shared" si="15"/>
        <v>0</v>
      </c>
      <c r="AM25" s="221"/>
      <c r="AN25" s="187">
        <v>0</v>
      </c>
      <c r="AO25" s="187">
        <v>0</v>
      </c>
      <c r="AP25" s="187">
        <v>0</v>
      </c>
      <c r="AQ25" s="187">
        <v>0</v>
      </c>
      <c r="AR25" s="187">
        <v>0</v>
      </c>
      <c r="AS25" s="187">
        <v>0</v>
      </c>
      <c r="AT25" s="187">
        <v>0</v>
      </c>
      <c r="AU25" s="187">
        <v>0</v>
      </c>
      <c r="AV25" s="187">
        <v>0</v>
      </c>
      <c r="AW25" s="187">
        <v>0</v>
      </c>
      <c r="AX25" s="187">
        <v>0</v>
      </c>
      <c r="AY25" s="187">
        <v>0</v>
      </c>
      <c r="AZ25" s="186">
        <f t="shared" si="16"/>
        <v>0</v>
      </c>
      <c r="BA25" s="221"/>
      <c r="BB25" s="187">
        <v>0</v>
      </c>
      <c r="BC25" s="187">
        <v>0</v>
      </c>
      <c r="BD25" s="187">
        <v>0</v>
      </c>
      <c r="BE25" s="187">
        <v>0</v>
      </c>
      <c r="BF25" s="187">
        <v>0</v>
      </c>
      <c r="BG25" s="187">
        <v>0</v>
      </c>
      <c r="BH25" s="187">
        <v>0</v>
      </c>
      <c r="BI25" s="187">
        <v>0</v>
      </c>
      <c r="BJ25" s="187">
        <v>0</v>
      </c>
      <c r="BK25" s="187">
        <v>0</v>
      </c>
      <c r="BL25" s="187">
        <v>0</v>
      </c>
      <c r="BM25" s="187">
        <v>0</v>
      </c>
      <c r="BN25" s="186">
        <f t="shared" si="17"/>
        <v>0</v>
      </c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 spans="1:80" ht="11.95" hidden="1" outlineLevel="1" thickBot="1" x14ac:dyDescent="0.3">
      <c r="A26" t="str">
        <f t="shared" si="13"/>
        <v>#hiderow</v>
      </c>
      <c r="E26" s="3"/>
      <c r="F26" s="3"/>
      <c r="G26" s="257" t="s">
        <v>6</v>
      </c>
      <c r="H26" s="131"/>
      <c r="I26" s="18"/>
      <c r="J26" s="18"/>
      <c r="K26" s="18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6">
        <f t="shared" si="14"/>
        <v>0</v>
      </c>
      <c r="Y26" s="219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6">
        <f t="shared" si="15"/>
        <v>0</v>
      </c>
      <c r="AM26" s="221"/>
      <c r="AN26" s="187"/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6">
        <f t="shared" si="16"/>
        <v>0</v>
      </c>
      <c r="BA26" s="221"/>
      <c r="BB26" s="187"/>
      <c r="BC26" s="187"/>
      <c r="BD26" s="187"/>
      <c r="BE26" s="187"/>
      <c r="BF26" s="187"/>
      <c r="BG26" s="187"/>
      <c r="BH26" s="187"/>
      <c r="BI26" s="187"/>
      <c r="BJ26" s="187"/>
      <c r="BK26" s="187"/>
      <c r="BL26" s="187"/>
      <c r="BM26" s="187"/>
      <c r="BN26" s="186">
        <f t="shared" si="17"/>
        <v>0</v>
      </c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 spans="1:80" ht="11.95" x14ac:dyDescent="0.25">
      <c r="C27" s="19" t="str">
        <f>"Total "&amp;C19</f>
        <v>Total Revenue</v>
      </c>
      <c r="D27" s="19"/>
      <c r="E27" s="19"/>
      <c r="F27" s="19"/>
      <c r="G27" s="19"/>
      <c r="H27" s="188"/>
      <c r="I27" s="188"/>
      <c r="J27" s="188"/>
      <c r="K27" s="188">
        <v>1</v>
      </c>
      <c r="L27" s="188">
        <f t="shared" ref="L27:X27" si="18">SUMIFS(L20:L26,$H20:$H26,"&lt;&gt;"&amp;$H$18,$D20:$D26,"&lt;&gt;*[-]*",$E20:$E26,"&lt;&gt;*[-]*",$F20:$F26,"&lt;&gt;*[-]*",$G20:$G26,"Revenue")</f>
        <v>0</v>
      </c>
      <c r="M27" s="188">
        <f t="shared" si="18"/>
        <v>0</v>
      </c>
      <c r="N27" s="188">
        <f t="shared" si="18"/>
        <v>0</v>
      </c>
      <c r="O27" s="188">
        <f t="shared" si="18"/>
        <v>0</v>
      </c>
      <c r="P27" s="188">
        <f t="shared" si="18"/>
        <v>0</v>
      </c>
      <c r="Q27" s="188">
        <f t="shared" si="18"/>
        <v>0</v>
      </c>
      <c r="R27" s="188">
        <f t="shared" si="18"/>
        <v>0</v>
      </c>
      <c r="S27" s="188">
        <f t="shared" si="18"/>
        <v>0</v>
      </c>
      <c r="T27" s="188">
        <f t="shared" si="18"/>
        <v>0</v>
      </c>
      <c r="U27" s="188">
        <f t="shared" si="18"/>
        <v>0</v>
      </c>
      <c r="V27" s="188">
        <f t="shared" si="18"/>
        <v>0</v>
      </c>
      <c r="W27" s="188">
        <f t="shared" si="18"/>
        <v>0</v>
      </c>
      <c r="X27" s="189">
        <f t="shared" si="18"/>
        <v>0</v>
      </c>
      <c r="Z27" s="188">
        <f t="shared" ref="Z27:AL27" si="19">SUMIFS(Z20:Z26,$H20:$H26,"&lt;&gt;"&amp;$H$18,$D20:$D26,"&lt;&gt;*[-]*",$E20:$E26,"&lt;&gt;*[-]*",$F20:$F26,"&lt;&gt;*[-]*",$G20:$G26,"Revenue")</f>
        <v>0</v>
      </c>
      <c r="AA27" s="188">
        <f t="shared" si="19"/>
        <v>0</v>
      </c>
      <c r="AB27" s="188">
        <f t="shared" si="19"/>
        <v>0</v>
      </c>
      <c r="AC27" s="188">
        <f t="shared" si="19"/>
        <v>0</v>
      </c>
      <c r="AD27" s="188">
        <f t="shared" si="19"/>
        <v>0</v>
      </c>
      <c r="AE27" s="188">
        <f t="shared" si="19"/>
        <v>0</v>
      </c>
      <c r="AF27" s="188">
        <f t="shared" si="19"/>
        <v>0</v>
      </c>
      <c r="AG27" s="188">
        <f t="shared" si="19"/>
        <v>0</v>
      </c>
      <c r="AH27" s="188">
        <f t="shared" si="19"/>
        <v>0</v>
      </c>
      <c r="AI27" s="188">
        <f t="shared" si="19"/>
        <v>0</v>
      </c>
      <c r="AJ27" s="188">
        <f t="shared" si="19"/>
        <v>0</v>
      </c>
      <c r="AK27" s="188">
        <f t="shared" si="19"/>
        <v>0</v>
      </c>
      <c r="AL27" s="189">
        <f t="shared" si="19"/>
        <v>0</v>
      </c>
      <c r="AN27" s="188">
        <f t="shared" ref="AN27:AZ27" si="20">SUMIFS(AN20:AN26,$H20:$H26,"&lt;&gt;"&amp;$H$18,$D20:$D26,"&lt;&gt;*[-]*",$E20:$E26,"&lt;&gt;*[-]*",$F20:$F26,"&lt;&gt;*[-]*",$G20:$G26,"Revenue")</f>
        <v>0</v>
      </c>
      <c r="AO27" s="188">
        <f t="shared" si="20"/>
        <v>0</v>
      </c>
      <c r="AP27" s="188">
        <f t="shared" si="20"/>
        <v>0</v>
      </c>
      <c r="AQ27" s="188">
        <f t="shared" si="20"/>
        <v>0</v>
      </c>
      <c r="AR27" s="188">
        <f t="shared" si="20"/>
        <v>0</v>
      </c>
      <c r="AS27" s="188">
        <f t="shared" si="20"/>
        <v>0</v>
      </c>
      <c r="AT27" s="188">
        <f t="shared" si="20"/>
        <v>0</v>
      </c>
      <c r="AU27" s="188">
        <f t="shared" si="20"/>
        <v>0</v>
      </c>
      <c r="AV27" s="188">
        <f t="shared" si="20"/>
        <v>0</v>
      </c>
      <c r="AW27" s="188">
        <f t="shared" si="20"/>
        <v>0</v>
      </c>
      <c r="AX27" s="188">
        <f t="shared" si="20"/>
        <v>0</v>
      </c>
      <c r="AY27" s="188">
        <f t="shared" si="20"/>
        <v>0</v>
      </c>
      <c r="AZ27" s="189">
        <f t="shared" si="20"/>
        <v>0</v>
      </c>
      <c r="BB27" s="188">
        <f t="shared" ref="BB27:BN27" si="21">SUMIFS(BB20:BB26,$H20:$H26,"&lt;&gt;"&amp;$H$18,$D20:$D26,"&lt;&gt;*[-]*",$E20:$E26,"&lt;&gt;*[-]*",$F20:$F26,"&lt;&gt;*[-]*",$G20:$G26,"Revenue")</f>
        <v>0</v>
      </c>
      <c r="BC27" s="188">
        <f t="shared" si="21"/>
        <v>0</v>
      </c>
      <c r="BD27" s="188">
        <f t="shared" si="21"/>
        <v>0</v>
      </c>
      <c r="BE27" s="188">
        <f t="shared" si="21"/>
        <v>0</v>
      </c>
      <c r="BF27" s="188">
        <f t="shared" si="21"/>
        <v>0</v>
      </c>
      <c r="BG27" s="188">
        <f t="shared" si="21"/>
        <v>0</v>
      </c>
      <c r="BH27" s="188">
        <f t="shared" si="21"/>
        <v>0</v>
      </c>
      <c r="BI27" s="188">
        <f t="shared" si="21"/>
        <v>0</v>
      </c>
      <c r="BJ27" s="188">
        <f t="shared" si="21"/>
        <v>0</v>
      </c>
      <c r="BK27" s="188">
        <f t="shared" si="21"/>
        <v>0</v>
      </c>
      <c r="BL27" s="188">
        <f t="shared" si="21"/>
        <v>0</v>
      </c>
      <c r="BM27" s="188">
        <f t="shared" si="21"/>
        <v>0</v>
      </c>
      <c r="BN27" s="189">
        <f t="shared" si="21"/>
        <v>0</v>
      </c>
      <c r="BP27" s="203">
        <f t="shared" ref="BP27:CB27" si="22">SUMIFS(BP20:BP26,$H20:$H26,"&lt;&gt;"&amp;$H$18,$D20:$D26,"&lt;&gt;*[-]*",$E20:$E26,"&lt;&gt;*[-]*",$F20:$F26,"&lt;&gt;*[-]*",$G20:$G26,"&lt;&gt;*[-]*")</f>
        <v>0</v>
      </c>
      <c r="BQ27" s="203">
        <f t="shared" si="22"/>
        <v>0</v>
      </c>
      <c r="BR27" s="203">
        <f t="shared" si="22"/>
        <v>0</v>
      </c>
      <c r="BS27" s="203">
        <f t="shared" si="22"/>
        <v>0</v>
      </c>
      <c r="BT27" s="203">
        <f t="shared" si="22"/>
        <v>0</v>
      </c>
      <c r="BU27" s="203">
        <f t="shared" si="22"/>
        <v>0</v>
      </c>
      <c r="BV27" s="203">
        <f t="shared" si="22"/>
        <v>0</v>
      </c>
      <c r="BW27" s="203">
        <f t="shared" si="22"/>
        <v>0</v>
      </c>
      <c r="BX27" s="203">
        <f t="shared" si="22"/>
        <v>0</v>
      </c>
      <c r="BY27" s="203">
        <f t="shared" si="22"/>
        <v>0</v>
      </c>
      <c r="BZ27" s="203">
        <f t="shared" si="22"/>
        <v>0</v>
      </c>
      <c r="CA27" s="203">
        <f t="shared" si="22"/>
        <v>0</v>
      </c>
      <c r="CB27" s="204">
        <f t="shared" si="22"/>
        <v>0</v>
      </c>
    </row>
    <row r="29" spans="1:80" ht="12.45" thickBot="1" x14ac:dyDescent="0.3">
      <c r="C29" s="4" t="s">
        <v>17</v>
      </c>
      <c r="D29" s="4"/>
      <c r="E29" s="4"/>
      <c r="F29" s="4"/>
      <c r="G29" s="4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</row>
    <row r="30" spans="1:80" ht="11.95" hidden="1" thickBot="1" x14ac:dyDescent="0.3">
      <c r="A30" t="s">
        <v>1</v>
      </c>
      <c r="E30" s="3"/>
      <c r="F30" s="3"/>
      <c r="G30" s="3" t="s">
        <v>17</v>
      </c>
      <c r="H30" s="3"/>
      <c r="I30" s="18"/>
      <c r="J30" s="18"/>
      <c r="K30" s="18"/>
      <c r="L30" s="185">
        <v>0</v>
      </c>
      <c r="M30" s="185">
        <v>0</v>
      </c>
      <c r="N30" s="185">
        <v>0</v>
      </c>
      <c r="O30" s="185">
        <v>0</v>
      </c>
      <c r="P30" s="185">
        <v>0</v>
      </c>
      <c r="Q30" s="185">
        <v>0</v>
      </c>
      <c r="R30" s="185">
        <v>186528.93</v>
      </c>
      <c r="S30" s="185">
        <v>109471.19</v>
      </c>
      <c r="T30" s="185">
        <v>67119.12</v>
      </c>
      <c r="U30" s="185">
        <v>93295.35</v>
      </c>
      <c r="V30" s="185">
        <v>53786.92</v>
      </c>
      <c r="W30" s="185">
        <v>105094.04</v>
      </c>
      <c r="X30" s="186">
        <f>SUM(L30:W30)</f>
        <v>615295.54999999993</v>
      </c>
      <c r="Y30" s="219"/>
      <c r="Z30" s="185">
        <v>84749.62</v>
      </c>
      <c r="AA30" s="185">
        <v>78394.942538461502</v>
      </c>
      <c r="AB30" s="185">
        <v>84068.6781730769</v>
      </c>
      <c r="AC30" s="185">
        <v>78394.942538461502</v>
      </c>
      <c r="AD30" s="185">
        <v>78394.942538461502</v>
      </c>
      <c r="AE30" s="185">
        <v>84068.6781730769</v>
      </c>
      <c r="AF30" s="185">
        <v>78394.942538461502</v>
      </c>
      <c r="AG30" s="185">
        <v>78394.942538461502</v>
      </c>
      <c r="AH30" s="185">
        <v>84068.6781730769</v>
      </c>
      <c r="AI30" s="185">
        <v>78394.942538461502</v>
      </c>
      <c r="AJ30" s="185">
        <v>78394.942538461502</v>
      </c>
      <c r="AK30" s="185">
        <v>84068.6781730769</v>
      </c>
      <c r="AL30" s="186">
        <f>SUM(Z30:AK30)</f>
        <v>969788.93046153826</v>
      </c>
      <c r="AM30" s="221"/>
      <c r="AN30" s="187">
        <v>78394.942538461502</v>
      </c>
      <c r="AO30" s="187">
        <v>78394.942538461502</v>
      </c>
      <c r="AP30" s="187">
        <v>84068.6781730769</v>
      </c>
      <c r="AQ30" s="187">
        <v>78394.942538461502</v>
      </c>
      <c r="AR30" s="187">
        <v>78394.942538461502</v>
      </c>
      <c r="AS30" s="187">
        <v>84068.6781730769</v>
      </c>
      <c r="AT30" s="187">
        <v>78394.942538461502</v>
      </c>
      <c r="AU30" s="187">
        <v>78394.942538461502</v>
      </c>
      <c r="AV30" s="187">
        <v>84068.6781730769</v>
      </c>
      <c r="AW30" s="187">
        <v>78394.942538461502</v>
      </c>
      <c r="AX30" s="187">
        <v>78394.942538461502</v>
      </c>
      <c r="AY30" s="187">
        <v>84068.6781730769</v>
      </c>
      <c r="AZ30" s="186">
        <f>SUM(AN30:AY30)</f>
        <v>963434.25299999979</v>
      </c>
      <c r="BA30" s="221"/>
      <c r="BB30" s="187">
        <v>78394.942538461502</v>
      </c>
      <c r="BC30" s="187">
        <v>78394.942538461502</v>
      </c>
      <c r="BD30" s="187">
        <v>84068.6781730769</v>
      </c>
      <c r="BE30" s="187">
        <v>78394.942538461502</v>
      </c>
      <c r="BF30" s="187">
        <v>78394.942538461502</v>
      </c>
      <c r="BG30" s="187">
        <v>84068.6781730769</v>
      </c>
      <c r="BH30" s="187">
        <v>78394.942538461502</v>
      </c>
      <c r="BI30" s="187">
        <v>78394.942538461502</v>
      </c>
      <c r="BJ30" s="187">
        <v>84068.6781730769</v>
      </c>
      <c r="BK30" s="187">
        <v>78394.942538461502</v>
      </c>
      <c r="BL30" s="187">
        <v>78394.942538461502</v>
      </c>
      <c r="BM30" s="187">
        <v>84068.6781730769</v>
      </c>
      <c r="BN30" s="186">
        <f>SUM(BB30:BM30)</f>
        <v>963434.25299999979</v>
      </c>
      <c r="BP30"/>
      <c r="BQ30"/>
      <c r="BR30"/>
      <c r="BS30"/>
      <c r="BT30"/>
      <c r="BU30"/>
      <c r="BV30"/>
      <c r="BW30"/>
      <c r="BX30"/>
      <c r="BY30"/>
      <c r="BZ30"/>
      <c r="CA30"/>
      <c r="CB30">
        <f>SUM(BP30:CA30)</f>
        <v>0</v>
      </c>
    </row>
    <row r="31" spans="1:80" ht="11.95" thickBot="1" x14ac:dyDescent="0.3">
      <c r="E31" s="3"/>
      <c r="F31" s="3"/>
      <c r="G31" s="253" t="s">
        <v>99</v>
      </c>
      <c r="H31" s="3"/>
      <c r="I31" s="18"/>
      <c r="J31" s="18"/>
      <c r="K31" s="18"/>
      <c r="L31" s="185">
        <v>0</v>
      </c>
      <c r="M31" s="185">
        <v>0</v>
      </c>
      <c r="N31" s="185">
        <v>0</v>
      </c>
      <c r="O31" s="185">
        <v>0</v>
      </c>
      <c r="P31" s="185">
        <v>0</v>
      </c>
      <c r="Q31" s="185">
        <v>0</v>
      </c>
      <c r="R31" s="185">
        <v>186528.93</v>
      </c>
      <c r="S31" s="185">
        <v>109471.19</v>
      </c>
      <c r="T31" s="185">
        <v>67119.12</v>
      </c>
      <c r="U31" s="185">
        <v>93295.35</v>
      </c>
      <c r="V31" s="185">
        <v>53786.92</v>
      </c>
      <c r="W31" s="185">
        <v>105094.04</v>
      </c>
      <c r="X31" s="186">
        <f t="shared" ref="X31:X41" si="23">SUM(L31:W31)</f>
        <v>615295.54999999993</v>
      </c>
      <c r="Y31" s="219"/>
      <c r="Z31" s="185">
        <v>84749.62</v>
      </c>
      <c r="AA31" s="185">
        <v>78394.942538461502</v>
      </c>
      <c r="AB31" s="185">
        <v>84068.6781730769</v>
      </c>
      <c r="AC31" s="185">
        <v>78394.942538461502</v>
      </c>
      <c r="AD31" s="185">
        <v>78394.942538461502</v>
      </c>
      <c r="AE31" s="185">
        <v>84068.6781730769</v>
      </c>
      <c r="AF31" s="185">
        <v>78394.942538461502</v>
      </c>
      <c r="AG31" s="185">
        <v>78394.942538461502</v>
      </c>
      <c r="AH31" s="185">
        <v>84068.6781730769</v>
      </c>
      <c r="AI31" s="185">
        <v>78394.942538461502</v>
      </c>
      <c r="AJ31" s="185">
        <v>78394.942538461502</v>
      </c>
      <c r="AK31" s="185">
        <v>84068.6781730769</v>
      </c>
      <c r="AL31" s="186">
        <f t="shared" ref="AL31:AL41" si="24">SUM(Z31:AK31)</f>
        <v>969788.93046153826</v>
      </c>
      <c r="AM31" s="221"/>
      <c r="AN31" s="187">
        <v>78394.942538461502</v>
      </c>
      <c r="AO31" s="187">
        <v>78394.942538461502</v>
      </c>
      <c r="AP31" s="187">
        <v>84068.6781730769</v>
      </c>
      <c r="AQ31" s="187">
        <v>78394.942538461502</v>
      </c>
      <c r="AR31" s="187">
        <v>78394.942538461502</v>
      </c>
      <c r="AS31" s="187">
        <v>84068.6781730769</v>
      </c>
      <c r="AT31" s="187">
        <v>78394.942538461502</v>
      </c>
      <c r="AU31" s="187">
        <v>78394.942538461502</v>
      </c>
      <c r="AV31" s="187">
        <v>84068.6781730769</v>
      </c>
      <c r="AW31" s="187">
        <v>78394.942538461502</v>
      </c>
      <c r="AX31" s="187">
        <v>78394.942538461502</v>
      </c>
      <c r="AY31" s="187">
        <v>84068.6781730769</v>
      </c>
      <c r="AZ31" s="186">
        <f t="shared" ref="AZ31:AZ41" si="25">SUM(AN31:AY31)</f>
        <v>963434.25299999979</v>
      </c>
      <c r="BA31" s="221"/>
      <c r="BB31" s="187">
        <v>78394.942538461502</v>
      </c>
      <c r="BC31" s="187">
        <v>78394.942538461502</v>
      </c>
      <c r="BD31" s="187">
        <v>84068.6781730769</v>
      </c>
      <c r="BE31" s="187">
        <v>78394.942538461502</v>
      </c>
      <c r="BF31" s="187">
        <v>78394.942538461502</v>
      </c>
      <c r="BG31" s="187">
        <v>84068.6781730769</v>
      </c>
      <c r="BH31" s="187">
        <v>78394.942538461502</v>
      </c>
      <c r="BI31" s="187">
        <v>78394.942538461502</v>
      </c>
      <c r="BJ31" s="187">
        <v>84068.6781730769</v>
      </c>
      <c r="BK31" s="187">
        <v>78394.942538461502</v>
      </c>
      <c r="BL31" s="187">
        <v>78394.942538461502</v>
      </c>
      <c r="BM31" s="187">
        <v>84068.6781730769</v>
      </c>
      <c r="BN31" s="186">
        <f t="shared" ref="BN31:BN41" si="26">SUM(BB31:BM31)</f>
        <v>963434.25299999979</v>
      </c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0" ht="11.95" hidden="1" outlineLevel="1" thickBot="1" x14ac:dyDescent="0.3">
      <c r="A32" t="str">
        <f t="shared" ref="A32" si="27">IF(LEFT(G32,3)="Mul", "#hiderow", "#showrow")</f>
        <v>#hiderow</v>
      </c>
      <c r="E32" s="3"/>
      <c r="F32" s="3"/>
      <c r="G32" s="257" t="s">
        <v>6</v>
      </c>
      <c r="H32" s="3"/>
      <c r="I32" s="18"/>
      <c r="J32" s="18"/>
      <c r="K32" s="18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6">
        <f t="shared" si="23"/>
        <v>0</v>
      </c>
      <c r="Y32" s="219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6">
        <f t="shared" si="24"/>
        <v>0</v>
      </c>
      <c r="AM32" s="221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6">
        <f t="shared" si="25"/>
        <v>0</v>
      </c>
      <c r="BA32" s="221"/>
      <c r="BB32" s="187"/>
      <c r="BC32" s="187"/>
      <c r="BD32" s="187"/>
      <c r="BE32" s="187"/>
      <c r="BF32" s="187"/>
      <c r="BG32" s="187"/>
      <c r="BH32" s="187"/>
      <c r="BI32" s="187"/>
      <c r="BJ32" s="187"/>
      <c r="BK32" s="187"/>
      <c r="BL32" s="187"/>
      <c r="BM32" s="187"/>
      <c r="BN32" s="186">
        <f t="shared" si="26"/>
        <v>0</v>
      </c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 spans="1:80" ht="11.95" outlineLevel="1" thickBot="1" x14ac:dyDescent="0.3">
      <c r="A33" t="str">
        <f t="shared" ref="A33:A34" si="28">IF(LEFT(G33,3)="Mul", "#hiderow", "#showrow")</f>
        <v>#showrow</v>
      </c>
      <c r="E33" s="3"/>
      <c r="F33" s="3"/>
      <c r="G33" s="257" t="s">
        <v>136</v>
      </c>
      <c r="H33" s="3"/>
      <c r="I33" s="18"/>
      <c r="J33" s="18"/>
      <c r="K33" s="18"/>
      <c r="L33" s="185"/>
      <c r="M33" s="185"/>
      <c r="N33" s="185"/>
      <c r="O33" s="185"/>
      <c r="P33" s="185"/>
      <c r="Q33" s="185"/>
      <c r="R33" s="185">
        <v>55543.26</v>
      </c>
      <c r="S33" s="185">
        <v>26948.15</v>
      </c>
      <c r="T33" s="185">
        <v>29245.19</v>
      </c>
      <c r="U33" s="185">
        <v>28596.15</v>
      </c>
      <c r="V33" s="185">
        <v>23596.15</v>
      </c>
      <c r="W33" s="185">
        <v>65364.84</v>
      </c>
      <c r="X33" s="186">
        <f t="shared" ref="X33:X34" si="29">SUM(L33:W33)</f>
        <v>229293.74</v>
      </c>
      <c r="Y33" s="219"/>
      <c r="Z33" s="185">
        <v>21788.46</v>
      </c>
      <c r="AA33" s="185">
        <v>22694.942538461499</v>
      </c>
      <c r="AB33" s="185">
        <v>28368.6781730769</v>
      </c>
      <c r="AC33" s="185">
        <v>22694.942538461499</v>
      </c>
      <c r="AD33" s="185">
        <v>22694.942538461499</v>
      </c>
      <c r="AE33" s="185">
        <v>28368.6781730769</v>
      </c>
      <c r="AF33" s="185">
        <v>22694.942538461499</v>
      </c>
      <c r="AG33" s="185">
        <v>22694.942538461499</v>
      </c>
      <c r="AH33" s="185">
        <v>28368.6781730769</v>
      </c>
      <c r="AI33" s="185">
        <v>22694.942538461499</v>
      </c>
      <c r="AJ33" s="185">
        <v>22694.942538461499</v>
      </c>
      <c r="AK33" s="185">
        <v>28368.6781730769</v>
      </c>
      <c r="AL33" s="186">
        <f t="shared" ref="AL33:AL34" si="30">SUM(Z33:AK33)</f>
        <v>294127.77046153811</v>
      </c>
      <c r="AM33" s="221"/>
      <c r="AN33" s="187">
        <v>22694.942538461499</v>
      </c>
      <c r="AO33" s="187">
        <v>22694.942538461499</v>
      </c>
      <c r="AP33" s="187">
        <v>28368.6781730769</v>
      </c>
      <c r="AQ33" s="187">
        <v>22694.942538461499</v>
      </c>
      <c r="AR33" s="187">
        <v>22694.942538461499</v>
      </c>
      <c r="AS33" s="187">
        <v>28368.6781730769</v>
      </c>
      <c r="AT33" s="187">
        <v>22694.942538461499</v>
      </c>
      <c r="AU33" s="187">
        <v>22694.942538461499</v>
      </c>
      <c r="AV33" s="187">
        <v>28368.6781730769</v>
      </c>
      <c r="AW33" s="187">
        <v>22694.942538461499</v>
      </c>
      <c r="AX33" s="187">
        <v>22694.942538461499</v>
      </c>
      <c r="AY33" s="187">
        <v>28368.6781730769</v>
      </c>
      <c r="AZ33" s="186">
        <f t="shared" ref="AZ33:AZ34" si="31">SUM(AN33:AY33)</f>
        <v>295034.25299999956</v>
      </c>
      <c r="BA33" s="221"/>
      <c r="BB33" s="187">
        <v>22694.942538461499</v>
      </c>
      <c r="BC33" s="187">
        <v>22694.942538461499</v>
      </c>
      <c r="BD33" s="187">
        <v>28368.6781730769</v>
      </c>
      <c r="BE33" s="187">
        <v>22694.942538461499</v>
      </c>
      <c r="BF33" s="187">
        <v>22694.942538461499</v>
      </c>
      <c r="BG33" s="187">
        <v>28368.6781730769</v>
      </c>
      <c r="BH33" s="187">
        <v>22694.942538461499</v>
      </c>
      <c r="BI33" s="187">
        <v>22694.942538461499</v>
      </c>
      <c r="BJ33" s="187">
        <v>28368.6781730769</v>
      </c>
      <c r="BK33" s="187">
        <v>22694.942538461499</v>
      </c>
      <c r="BL33" s="187">
        <v>22694.942538461499</v>
      </c>
      <c r="BM33" s="187">
        <v>28368.6781730769</v>
      </c>
      <c r="BN33" s="186">
        <f t="shared" ref="BN33:BN34" si="32">SUM(BB33:BM33)</f>
        <v>295034.25299999956</v>
      </c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 spans="1:80" ht="11.95" outlineLevel="1" thickBot="1" x14ac:dyDescent="0.3">
      <c r="A34" t="str">
        <f t="shared" si="28"/>
        <v>#showrow</v>
      </c>
      <c r="E34" s="3"/>
      <c r="F34" s="3"/>
      <c r="G34" s="257" t="s">
        <v>138</v>
      </c>
      <c r="H34" s="3"/>
      <c r="I34" s="18"/>
      <c r="J34" s="18"/>
      <c r="K34" s="18"/>
      <c r="L34" s="185"/>
      <c r="M34" s="185"/>
      <c r="N34" s="185"/>
      <c r="O34" s="185"/>
      <c r="P34" s="185"/>
      <c r="Q34" s="185"/>
      <c r="R34" s="185">
        <v>130985.67</v>
      </c>
      <c r="S34" s="185">
        <v>82523.039999999994</v>
      </c>
      <c r="T34" s="185">
        <v>37873.93</v>
      </c>
      <c r="U34" s="185">
        <v>64699.199999999997</v>
      </c>
      <c r="V34" s="185">
        <v>30190.77</v>
      </c>
      <c r="W34" s="185">
        <v>39729.199999999997</v>
      </c>
      <c r="X34" s="186">
        <f t="shared" si="29"/>
        <v>386001.81</v>
      </c>
      <c r="Y34" s="219"/>
      <c r="Z34" s="185">
        <v>62961.16</v>
      </c>
      <c r="AA34" s="185">
        <v>55700</v>
      </c>
      <c r="AB34" s="185">
        <v>55700</v>
      </c>
      <c r="AC34" s="185">
        <v>55700</v>
      </c>
      <c r="AD34" s="185">
        <v>55700</v>
      </c>
      <c r="AE34" s="185">
        <v>55700</v>
      </c>
      <c r="AF34" s="185">
        <v>55700</v>
      </c>
      <c r="AG34" s="185">
        <v>55700</v>
      </c>
      <c r="AH34" s="185">
        <v>55700</v>
      </c>
      <c r="AI34" s="185">
        <v>55700</v>
      </c>
      <c r="AJ34" s="185">
        <v>55700</v>
      </c>
      <c r="AK34" s="185">
        <v>55700</v>
      </c>
      <c r="AL34" s="186">
        <f t="shared" si="30"/>
        <v>675661.16</v>
      </c>
      <c r="AM34" s="221"/>
      <c r="AN34" s="187">
        <v>55700</v>
      </c>
      <c r="AO34" s="187">
        <v>55700</v>
      </c>
      <c r="AP34" s="187">
        <v>55700</v>
      </c>
      <c r="AQ34" s="187">
        <v>55700</v>
      </c>
      <c r="AR34" s="187">
        <v>55700</v>
      </c>
      <c r="AS34" s="187">
        <v>55700</v>
      </c>
      <c r="AT34" s="187">
        <v>55700</v>
      </c>
      <c r="AU34" s="187">
        <v>55700</v>
      </c>
      <c r="AV34" s="187">
        <v>55700</v>
      </c>
      <c r="AW34" s="187">
        <v>55700</v>
      </c>
      <c r="AX34" s="187">
        <v>55700</v>
      </c>
      <c r="AY34" s="187">
        <v>55700</v>
      </c>
      <c r="AZ34" s="186">
        <f t="shared" si="31"/>
        <v>668400</v>
      </c>
      <c r="BA34" s="221"/>
      <c r="BB34" s="187">
        <v>55700</v>
      </c>
      <c r="BC34" s="187">
        <v>55700</v>
      </c>
      <c r="BD34" s="187">
        <v>55700</v>
      </c>
      <c r="BE34" s="187">
        <v>55700</v>
      </c>
      <c r="BF34" s="187">
        <v>55700</v>
      </c>
      <c r="BG34" s="187">
        <v>55700</v>
      </c>
      <c r="BH34" s="187">
        <v>55700</v>
      </c>
      <c r="BI34" s="187">
        <v>55700</v>
      </c>
      <c r="BJ34" s="187">
        <v>55700</v>
      </c>
      <c r="BK34" s="187">
        <v>55700</v>
      </c>
      <c r="BL34" s="187">
        <v>55700</v>
      </c>
      <c r="BM34" s="187">
        <v>55700</v>
      </c>
      <c r="BN34" s="186">
        <f t="shared" si="32"/>
        <v>668400</v>
      </c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 spans="1:80" ht="11.95" thickBot="1" x14ac:dyDescent="0.3">
      <c r="E35" s="3"/>
      <c r="F35" s="3"/>
      <c r="G35" s="253" t="s">
        <v>100</v>
      </c>
      <c r="H35" s="3"/>
      <c r="I35" s="18"/>
      <c r="J35" s="18"/>
      <c r="K35" s="18"/>
      <c r="L35" s="185">
        <v>0</v>
      </c>
      <c r="M35" s="185">
        <v>0</v>
      </c>
      <c r="N35" s="185">
        <v>0</v>
      </c>
      <c r="O35" s="185">
        <v>0</v>
      </c>
      <c r="P35" s="185">
        <v>0</v>
      </c>
      <c r="Q35" s="185">
        <v>0</v>
      </c>
      <c r="R35" s="185">
        <v>0</v>
      </c>
      <c r="S35" s="185">
        <v>0</v>
      </c>
      <c r="T35" s="185">
        <v>0</v>
      </c>
      <c r="U35" s="185">
        <v>0</v>
      </c>
      <c r="V35" s="185">
        <v>0</v>
      </c>
      <c r="W35" s="185">
        <v>0</v>
      </c>
      <c r="X35" s="186">
        <f t="shared" si="23"/>
        <v>0</v>
      </c>
      <c r="Y35" s="219"/>
      <c r="Z35" s="185">
        <v>0</v>
      </c>
      <c r="AA35" s="185">
        <v>0</v>
      </c>
      <c r="AB35" s="185">
        <v>0</v>
      </c>
      <c r="AC35" s="185">
        <v>0</v>
      </c>
      <c r="AD35" s="185">
        <v>0</v>
      </c>
      <c r="AE35" s="185">
        <v>0</v>
      </c>
      <c r="AF35" s="185">
        <v>0</v>
      </c>
      <c r="AG35" s="185">
        <v>0</v>
      </c>
      <c r="AH35" s="185">
        <v>0</v>
      </c>
      <c r="AI35" s="185">
        <v>0</v>
      </c>
      <c r="AJ35" s="185">
        <v>0</v>
      </c>
      <c r="AK35" s="185">
        <v>0</v>
      </c>
      <c r="AL35" s="186">
        <f t="shared" si="24"/>
        <v>0</v>
      </c>
      <c r="AM35" s="221"/>
      <c r="AN35" s="187">
        <v>0</v>
      </c>
      <c r="AO35" s="187">
        <v>0</v>
      </c>
      <c r="AP35" s="187">
        <v>0</v>
      </c>
      <c r="AQ35" s="187">
        <v>0</v>
      </c>
      <c r="AR35" s="187">
        <v>0</v>
      </c>
      <c r="AS35" s="187">
        <v>0</v>
      </c>
      <c r="AT35" s="187">
        <v>0</v>
      </c>
      <c r="AU35" s="187">
        <v>0</v>
      </c>
      <c r="AV35" s="187">
        <v>0</v>
      </c>
      <c r="AW35" s="187">
        <v>0</v>
      </c>
      <c r="AX35" s="187">
        <v>0</v>
      </c>
      <c r="AY35" s="187">
        <v>0</v>
      </c>
      <c r="AZ35" s="186">
        <f t="shared" si="25"/>
        <v>0</v>
      </c>
      <c r="BA35" s="221"/>
      <c r="BB35" s="187">
        <v>0</v>
      </c>
      <c r="BC35" s="187">
        <v>0</v>
      </c>
      <c r="BD35" s="187">
        <v>0</v>
      </c>
      <c r="BE35" s="187">
        <v>0</v>
      </c>
      <c r="BF35" s="187">
        <v>0</v>
      </c>
      <c r="BG35" s="187">
        <v>0</v>
      </c>
      <c r="BH35" s="187">
        <v>0</v>
      </c>
      <c r="BI35" s="187">
        <v>0</v>
      </c>
      <c r="BJ35" s="187">
        <v>0</v>
      </c>
      <c r="BK35" s="187">
        <v>0</v>
      </c>
      <c r="BL35" s="187">
        <v>0</v>
      </c>
      <c r="BM35" s="187">
        <v>0</v>
      </c>
      <c r="BN35" s="186">
        <f t="shared" si="26"/>
        <v>0</v>
      </c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 spans="1:80" ht="11.95" outlineLevel="1" collapsed="1" thickBot="1" x14ac:dyDescent="0.3">
      <c r="E36" s="3"/>
      <c r="F36" s="3"/>
      <c r="G36" s="256" t="s">
        <v>101</v>
      </c>
      <c r="H36" s="3"/>
      <c r="I36" s="18"/>
      <c r="J36" s="18"/>
      <c r="K36" s="18"/>
      <c r="L36" s="185">
        <v>0</v>
      </c>
      <c r="M36" s="185">
        <v>0</v>
      </c>
      <c r="N36" s="185">
        <v>0</v>
      </c>
      <c r="O36" s="185">
        <v>0</v>
      </c>
      <c r="P36" s="185">
        <v>0</v>
      </c>
      <c r="Q36" s="185">
        <v>0</v>
      </c>
      <c r="R36" s="185">
        <v>0</v>
      </c>
      <c r="S36" s="185">
        <v>0</v>
      </c>
      <c r="T36" s="185">
        <v>0</v>
      </c>
      <c r="U36" s="185">
        <v>0</v>
      </c>
      <c r="V36" s="185">
        <v>0</v>
      </c>
      <c r="W36" s="185">
        <v>0</v>
      </c>
      <c r="X36" s="186">
        <f t="shared" si="23"/>
        <v>0</v>
      </c>
      <c r="Y36" s="219"/>
      <c r="Z36" s="185">
        <v>0</v>
      </c>
      <c r="AA36" s="185">
        <v>0</v>
      </c>
      <c r="AB36" s="185">
        <v>0</v>
      </c>
      <c r="AC36" s="185">
        <v>0</v>
      </c>
      <c r="AD36" s="185">
        <v>0</v>
      </c>
      <c r="AE36" s="185">
        <v>0</v>
      </c>
      <c r="AF36" s="185">
        <v>0</v>
      </c>
      <c r="AG36" s="185">
        <v>0</v>
      </c>
      <c r="AH36" s="185">
        <v>0</v>
      </c>
      <c r="AI36" s="185">
        <v>0</v>
      </c>
      <c r="AJ36" s="185">
        <v>0</v>
      </c>
      <c r="AK36" s="185">
        <v>0</v>
      </c>
      <c r="AL36" s="186">
        <f t="shared" si="24"/>
        <v>0</v>
      </c>
      <c r="AM36" s="221"/>
      <c r="AN36" s="187">
        <v>0</v>
      </c>
      <c r="AO36" s="187">
        <v>0</v>
      </c>
      <c r="AP36" s="187">
        <v>0</v>
      </c>
      <c r="AQ36" s="187">
        <v>0</v>
      </c>
      <c r="AR36" s="187">
        <v>0</v>
      </c>
      <c r="AS36" s="187">
        <v>0</v>
      </c>
      <c r="AT36" s="187">
        <v>0</v>
      </c>
      <c r="AU36" s="187">
        <v>0</v>
      </c>
      <c r="AV36" s="187">
        <v>0</v>
      </c>
      <c r="AW36" s="187">
        <v>0</v>
      </c>
      <c r="AX36" s="187">
        <v>0</v>
      </c>
      <c r="AY36" s="187">
        <v>0</v>
      </c>
      <c r="AZ36" s="186">
        <f t="shared" si="25"/>
        <v>0</v>
      </c>
      <c r="BA36" s="221"/>
      <c r="BB36" s="187">
        <v>0</v>
      </c>
      <c r="BC36" s="187">
        <v>0</v>
      </c>
      <c r="BD36" s="187">
        <v>0</v>
      </c>
      <c r="BE36" s="187">
        <v>0</v>
      </c>
      <c r="BF36" s="187">
        <v>0</v>
      </c>
      <c r="BG36" s="187">
        <v>0</v>
      </c>
      <c r="BH36" s="187">
        <v>0</v>
      </c>
      <c r="BI36" s="187">
        <v>0</v>
      </c>
      <c r="BJ36" s="187">
        <v>0</v>
      </c>
      <c r="BK36" s="187">
        <v>0</v>
      </c>
      <c r="BL36" s="187">
        <v>0</v>
      </c>
      <c r="BM36" s="187">
        <v>0</v>
      </c>
      <c r="BN36" s="186">
        <f t="shared" si="26"/>
        <v>0</v>
      </c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 spans="1:80" ht="11.95" hidden="1" outlineLevel="2" thickBot="1" x14ac:dyDescent="0.3">
      <c r="A37" t="str">
        <f t="shared" ref="A37" si="33">IF(LEFT(G37,3)="Mul", "#hiderow", "#showrow")</f>
        <v>#hiderow</v>
      </c>
      <c r="E37" s="3"/>
      <c r="F37" s="3"/>
      <c r="G37" s="255" t="s">
        <v>6</v>
      </c>
      <c r="H37" s="3"/>
      <c r="I37" s="18"/>
      <c r="J37" s="18"/>
      <c r="K37" s="18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6">
        <f t="shared" si="23"/>
        <v>0</v>
      </c>
      <c r="Y37" s="219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6">
        <f t="shared" si="24"/>
        <v>0</v>
      </c>
      <c r="AM37" s="221"/>
      <c r="AN37" s="187"/>
      <c r="AO37" s="187"/>
      <c r="AP37" s="187"/>
      <c r="AQ37" s="187"/>
      <c r="AR37" s="187"/>
      <c r="AS37" s="187"/>
      <c r="AT37" s="187"/>
      <c r="AU37" s="187"/>
      <c r="AV37" s="187"/>
      <c r="AW37" s="187"/>
      <c r="AX37" s="187"/>
      <c r="AY37" s="187"/>
      <c r="AZ37" s="186">
        <f t="shared" si="25"/>
        <v>0</v>
      </c>
      <c r="BA37" s="221"/>
      <c r="BB37" s="187"/>
      <c r="BC37" s="187"/>
      <c r="BD37" s="187"/>
      <c r="BE37" s="187"/>
      <c r="BF37" s="187"/>
      <c r="BG37" s="187"/>
      <c r="BH37" s="187"/>
      <c r="BI37" s="187"/>
      <c r="BJ37" s="187"/>
      <c r="BK37" s="187"/>
      <c r="BL37" s="187"/>
      <c r="BM37" s="187"/>
      <c r="BN37" s="186">
        <f t="shared" si="26"/>
        <v>0</v>
      </c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spans="1:80" ht="11.95" outlineLevel="1" collapsed="1" thickBot="1" x14ac:dyDescent="0.3">
      <c r="E38" s="3"/>
      <c r="F38" s="3"/>
      <c r="G38" s="256" t="s">
        <v>102</v>
      </c>
      <c r="H38" s="3"/>
      <c r="I38" s="18"/>
      <c r="J38" s="18"/>
      <c r="K38" s="18"/>
      <c r="L38" s="185">
        <v>0</v>
      </c>
      <c r="M38" s="185">
        <v>0</v>
      </c>
      <c r="N38" s="185">
        <v>0</v>
      </c>
      <c r="O38" s="185">
        <v>0</v>
      </c>
      <c r="P38" s="185">
        <v>0</v>
      </c>
      <c r="Q38" s="185">
        <v>0</v>
      </c>
      <c r="R38" s="185">
        <v>0</v>
      </c>
      <c r="S38" s="185">
        <v>0</v>
      </c>
      <c r="T38" s="185">
        <v>0</v>
      </c>
      <c r="U38" s="185">
        <v>0</v>
      </c>
      <c r="V38" s="185">
        <v>0</v>
      </c>
      <c r="W38" s="185">
        <v>0</v>
      </c>
      <c r="X38" s="186">
        <f t="shared" si="23"/>
        <v>0</v>
      </c>
      <c r="Y38" s="219"/>
      <c r="Z38" s="185">
        <v>0</v>
      </c>
      <c r="AA38" s="185">
        <v>0</v>
      </c>
      <c r="AB38" s="185">
        <v>0</v>
      </c>
      <c r="AC38" s="185">
        <v>0</v>
      </c>
      <c r="AD38" s="185">
        <v>0</v>
      </c>
      <c r="AE38" s="185">
        <v>0</v>
      </c>
      <c r="AF38" s="185">
        <v>0</v>
      </c>
      <c r="AG38" s="185">
        <v>0</v>
      </c>
      <c r="AH38" s="185">
        <v>0</v>
      </c>
      <c r="AI38" s="185">
        <v>0</v>
      </c>
      <c r="AJ38" s="185">
        <v>0</v>
      </c>
      <c r="AK38" s="185">
        <v>0</v>
      </c>
      <c r="AL38" s="186">
        <f t="shared" si="24"/>
        <v>0</v>
      </c>
      <c r="AM38" s="221"/>
      <c r="AN38" s="187">
        <v>0</v>
      </c>
      <c r="AO38" s="187">
        <v>0</v>
      </c>
      <c r="AP38" s="187">
        <v>0</v>
      </c>
      <c r="AQ38" s="187">
        <v>0</v>
      </c>
      <c r="AR38" s="187">
        <v>0</v>
      </c>
      <c r="AS38" s="187">
        <v>0</v>
      </c>
      <c r="AT38" s="187">
        <v>0</v>
      </c>
      <c r="AU38" s="187">
        <v>0</v>
      </c>
      <c r="AV38" s="187">
        <v>0</v>
      </c>
      <c r="AW38" s="187">
        <v>0</v>
      </c>
      <c r="AX38" s="187">
        <v>0</v>
      </c>
      <c r="AY38" s="187">
        <v>0</v>
      </c>
      <c r="AZ38" s="186">
        <f t="shared" si="25"/>
        <v>0</v>
      </c>
      <c r="BA38" s="221"/>
      <c r="BB38" s="187">
        <v>0</v>
      </c>
      <c r="BC38" s="187">
        <v>0</v>
      </c>
      <c r="BD38" s="187">
        <v>0</v>
      </c>
      <c r="BE38" s="187">
        <v>0</v>
      </c>
      <c r="BF38" s="187">
        <v>0</v>
      </c>
      <c r="BG38" s="187">
        <v>0</v>
      </c>
      <c r="BH38" s="187">
        <v>0</v>
      </c>
      <c r="BI38" s="187">
        <v>0</v>
      </c>
      <c r="BJ38" s="187">
        <v>0</v>
      </c>
      <c r="BK38" s="187">
        <v>0</v>
      </c>
      <c r="BL38" s="187">
        <v>0</v>
      </c>
      <c r="BM38" s="187">
        <v>0</v>
      </c>
      <c r="BN38" s="186">
        <f t="shared" si="26"/>
        <v>0</v>
      </c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spans="1:80" ht="11.95" hidden="1" outlineLevel="2" thickBot="1" x14ac:dyDescent="0.3">
      <c r="A39" t="str">
        <f t="shared" ref="A39" si="34">IF(LEFT(G39,3)="Mul", "#hiderow", "#showrow")</f>
        <v>#hiderow</v>
      </c>
      <c r="E39" s="3"/>
      <c r="F39" s="3"/>
      <c r="G39" s="255" t="s">
        <v>6</v>
      </c>
      <c r="H39" s="3"/>
      <c r="I39" s="18"/>
      <c r="J39" s="18"/>
      <c r="K39" s="18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6">
        <f t="shared" si="23"/>
        <v>0</v>
      </c>
      <c r="Y39" s="219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6">
        <f t="shared" si="24"/>
        <v>0</v>
      </c>
      <c r="AM39" s="221"/>
      <c r="AN39" s="187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6">
        <f t="shared" si="25"/>
        <v>0</v>
      </c>
      <c r="BA39" s="221"/>
      <c r="BB39" s="187"/>
      <c r="BC39" s="187"/>
      <c r="BD39" s="187"/>
      <c r="BE39" s="187"/>
      <c r="BF39" s="187"/>
      <c r="BG39" s="187"/>
      <c r="BH39" s="187"/>
      <c r="BI39" s="187"/>
      <c r="BJ39" s="187"/>
      <c r="BK39" s="187"/>
      <c r="BL39" s="187"/>
      <c r="BM39" s="187"/>
      <c r="BN39" s="186">
        <f t="shared" si="26"/>
        <v>0</v>
      </c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spans="1:80" ht="11.95" collapsed="1" thickBot="1" x14ac:dyDescent="0.3">
      <c r="E40" s="3"/>
      <c r="F40" s="3"/>
      <c r="G40" s="253" t="s">
        <v>103</v>
      </c>
      <c r="H40" s="3"/>
      <c r="I40" s="18"/>
      <c r="J40" s="18"/>
      <c r="K40" s="18"/>
      <c r="L40" s="185">
        <v>0</v>
      </c>
      <c r="M40" s="185">
        <v>0</v>
      </c>
      <c r="N40" s="185">
        <v>0</v>
      </c>
      <c r="O40" s="185">
        <v>0</v>
      </c>
      <c r="P40" s="185">
        <v>0</v>
      </c>
      <c r="Q40" s="185">
        <v>0</v>
      </c>
      <c r="R40" s="185">
        <v>0</v>
      </c>
      <c r="S40" s="185">
        <v>0</v>
      </c>
      <c r="T40" s="185">
        <v>0</v>
      </c>
      <c r="U40" s="185">
        <v>0</v>
      </c>
      <c r="V40" s="185">
        <v>0</v>
      </c>
      <c r="W40" s="185">
        <v>0</v>
      </c>
      <c r="X40" s="186">
        <f t="shared" si="23"/>
        <v>0</v>
      </c>
      <c r="Y40" s="219"/>
      <c r="Z40" s="185">
        <v>0</v>
      </c>
      <c r="AA40" s="185">
        <v>0</v>
      </c>
      <c r="AB40" s="185">
        <v>0</v>
      </c>
      <c r="AC40" s="185">
        <v>0</v>
      </c>
      <c r="AD40" s="185">
        <v>0</v>
      </c>
      <c r="AE40" s="185">
        <v>0</v>
      </c>
      <c r="AF40" s="185">
        <v>0</v>
      </c>
      <c r="AG40" s="185">
        <v>0</v>
      </c>
      <c r="AH40" s="185">
        <v>0</v>
      </c>
      <c r="AI40" s="185">
        <v>0</v>
      </c>
      <c r="AJ40" s="185">
        <v>0</v>
      </c>
      <c r="AK40" s="185">
        <v>0</v>
      </c>
      <c r="AL40" s="186">
        <f t="shared" si="24"/>
        <v>0</v>
      </c>
      <c r="AM40" s="221"/>
      <c r="AN40" s="187">
        <v>0</v>
      </c>
      <c r="AO40" s="187">
        <v>0</v>
      </c>
      <c r="AP40" s="187">
        <v>0</v>
      </c>
      <c r="AQ40" s="187">
        <v>0</v>
      </c>
      <c r="AR40" s="187">
        <v>0</v>
      </c>
      <c r="AS40" s="187">
        <v>0</v>
      </c>
      <c r="AT40" s="187">
        <v>0</v>
      </c>
      <c r="AU40" s="187">
        <v>0</v>
      </c>
      <c r="AV40" s="187">
        <v>0</v>
      </c>
      <c r="AW40" s="187">
        <v>0</v>
      </c>
      <c r="AX40" s="187">
        <v>0</v>
      </c>
      <c r="AY40" s="187">
        <v>0</v>
      </c>
      <c r="AZ40" s="186">
        <f t="shared" si="25"/>
        <v>0</v>
      </c>
      <c r="BA40" s="221"/>
      <c r="BB40" s="187">
        <v>0</v>
      </c>
      <c r="BC40" s="187">
        <v>0</v>
      </c>
      <c r="BD40" s="187">
        <v>0</v>
      </c>
      <c r="BE40" s="187">
        <v>0</v>
      </c>
      <c r="BF40" s="187">
        <v>0</v>
      </c>
      <c r="BG40" s="187">
        <v>0</v>
      </c>
      <c r="BH40" s="187">
        <v>0</v>
      </c>
      <c r="BI40" s="187">
        <v>0</v>
      </c>
      <c r="BJ40" s="187">
        <v>0</v>
      </c>
      <c r="BK40" s="187">
        <v>0</v>
      </c>
      <c r="BL40" s="187">
        <v>0</v>
      </c>
      <c r="BM40" s="187">
        <v>0</v>
      </c>
      <c r="BN40" s="186">
        <f t="shared" si="26"/>
        <v>0</v>
      </c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spans="1:80" ht="11.95" hidden="1" outlineLevel="1" thickBot="1" x14ac:dyDescent="0.3">
      <c r="A41" t="str">
        <f t="shared" ref="A41" si="35">IF(LEFT(G41,3)="Mul", "#hiderow", "#showrow")</f>
        <v>#hiderow</v>
      </c>
      <c r="E41" s="3"/>
      <c r="F41" s="3"/>
      <c r="G41" s="257" t="s">
        <v>6</v>
      </c>
      <c r="H41" s="3"/>
      <c r="I41" s="18"/>
      <c r="J41" s="18"/>
      <c r="K41" s="18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6">
        <f t="shared" si="23"/>
        <v>0</v>
      </c>
      <c r="Y41" s="219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6">
        <f t="shared" si="24"/>
        <v>0</v>
      </c>
      <c r="AM41" s="221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6">
        <f t="shared" si="25"/>
        <v>0</v>
      </c>
      <c r="BA41" s="221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6">
        <f t="shared" si="26"/>
        <v>0</v>
      </c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spans="1:80" ht="12.45" thickBot="1" x14ac:dyDescent="0.3">
      <c r="C42" s="19" t="str">
        <f>"Total "&amp;C29</f>
        <v>Total Cost of Goods Sold</v>
      </c>
      <c r="D42" s="19"/>
      <c r="E42" s="19"/>
      <c r="F42" s="19"/>
      <c r="G42" s="19"/>
      <c r="H42" s="188"/>
      <c r="I42" s="188"/>
      <c r="J42" s="188"/>
      <c r="K42" s="188">
        <v>-1</v>
      </c>
      <c r="L42" s="188">
        <f t="shared" ref="L42:X42" si="36">SUMIFS(L30:L41,$H30:$H41,"&lt;&gt;"&amp;$H$18,$D30:$D41,"&lt;&gt;*[-]*",$E30:$E41,"&lt;&gt;*[-]*",$F30:$F41,"&lt;&gt;*[-]*",$G30:$G41,"Cost of Goods Sold")</f>
        <v>0</v>
      </c>
      <c r="M42" s="188">
        <f t="shared" si="36"/>
        <v>0</v>
      </c>
      <c r="N42" s="188">
        <f t="shared" si="36"/>
        <v>0</v>
      </c>
      <c r="O42" s="188">
        <f t="shared" si="36"/>
        <v>0</v>
      </c>
      <c r="P42" s="188">
        <f t="shared" si="36"/>
        <v>0</v>
      </c>
      <c r="Q42" s="188">
        <f t="shared" si="36"/>
        <v>0</v>
      </c>
      <c r="R42" s="188">
        <f t="shared" si="36"/>
        <v>186528.93</v>
      </c>
      <c r="S42" s="188">
        <f t="shared" si="36"/>
        <v>109471.19</v>
      </c>
      <c r="T42" s="188">
        <f t="shared" si="36"/>
        <v>67119.12</v>
      </c>
      <c r="U42" s="188">
        <f t="shared" si="36"/>
        <v>93295.35</v>
      </c>
      <c r="V42" s="188">
        <f t="shared" si="36"/>
        <v>53786.92</v>
      </c>
      <c r="W42" s="188">
        <f t="shared" si="36"/>
        <v>105094.04</v>
      </c>
      <c r="X42" s="189">
        <f t="shared" si="36"/>
        <v>615295.54999999993</v>
      </c>
      <c r="Z42" s="188">
        <f t="shared" ref="Z42:AL42" si="37">SUMIFS(Z30:Z41,$H30:$H41,"&lt;&gt;"&amp;$H$18,$D30:$D41,"&lt;&gt;*[-]*",$E30:$E41,"&lt;&gt;*[-]*",$F30:$F41,"&lt;&gt;*[-]*",$G30:$G41,"Cost of Goods Sold")</f>
        <v>84749.62</v>
      </c>
      <c r="AA42" s="188">
        <f t="shared" si="37"/>
        <v>78394.942538461502</v>
      </c>
      <c r="AB42" s="188">
        <f t="shared" si="37"/>
        <v>84068.6781730769</v>
      </c>
      <c r="AC42" s="188">
        <f t="shared" si="37"/>
        <v>78394.942538461502</v>
      </c>
      <c r="AD42" s="188">
        <f t="shared" si="37"/>
        <v>78394.942538461502</v>
      </c>
      <c r="AE42" s="188">
        <f t="shared" si="37"/>
        <v>84068.6781730769</v>
      </c>
      <c r="AF42" s="188">
        <f t="shared" si="37"/>
        <v>78394.942538461502</v>
      </c>
      <c r="AG42" s="188">
        <f t="shared" si="37"/>
        <v>78394.942538461502</v>
      </c>
      <c r="AH42" s="188">
        <f t="shared" si="37"/>
        <v>84068.6781730769</v>
      </c>
      <c r="AI42" s="188">
        <f t="shared" si="37"/>
        <v>78394.942538461502</v>
      </c>
      <c r="AJ42" s="188">
        <f t="shared" si="37"/>
        <v>78394.942538461502</v>
      </c>
      <c r="AK42" s="188">
        <f t="shared" si="37"/>
        <v>84068.6781730769</v>
      </c>
      <c r="AL42" s="189">
        <f t="shared" si="37"/>
        <v>969788.93046153826</v>
      </c>
      <c r="AN42" s="188">
        <f t="shared" ref="AN42:AZ42" si="38">SUMIFS(AN30:AN41,$H30:$H41,"&lt;&gt;"&amp;$H$18,$D30:$D41,"&lt;&gt;*[-]*",$E30:$E41,"&lt;&gt;*[-]*",$F30:$F41,"&lt;&gt;*[-]*",$G30:$G41,"Cost of Goods Sold")</f>
        <v>78394.942538461502</v>
      </c>
      <c r="AO42" s="188">
        <f t="shared" si="38"/>
        <v>78394.942538461502</v>
      </c>
      <c r="AP42" s="188">
        <f t="shared" si="38"/>
        <v>84068.6781730769</v>
      </c>
      <c r="AQ42" s="188">
        <f t="shared" si="38"/>
        <v>78394.942538461502</v>
      </c>
      <c r="AR42" s="188">
        <f t="shared" si="38"/>
        <v>78394.942538461502</v>
      </c>
      <c r="AS42" s="188">
        <f t="shared" si="38"/>
        <v>84068.6781730769</v>
      </c>
      <c r="AT42" s="188">
        <f t="shared" si="38"/>
        <v>78394.942538461502</v>
      </c>
      <c r="AU42" s="188">
        <f t="shared" si="38"/>
        <v>78394.942538461502</v>
      </c>
      <c r="AV42" s="188">
        <f t="shared" si="38"/>
        <v>84068.6781730769</v>
      </c>
      <c r="AW42" s="188">
        <f t="shared" si="38"/>
        <v>78394.942538461502</v>
      </c>
      <c r="AX42" s="188">
        <f t="shared" si="38"/>
        <v>78394.942538461502</v>
      </c>
      <c r="AY42" s="188">
        <f t="shared" si="38"/>
        <v>84068.6781730769</v>
      </c>
      <c r="AZ42" s="189">
        <f t="shared" si="38"/>
        <v>963434.25299999979</v>
      </c>
      <c r="BB42" s="188">
        <f t="shared" ref="BB42:BN42" si="39">SUMIFS(BB30:BB41,$H30:$H41,"&lt;&gt;"&amp;$H$18,$D30:$D41,"&lt;&gt;*[-]*",$E30:$E41,"&lt;&gt;*[-]*",$F30:$F41,"&lt;&gt;*[-]*",$G30:$G41,"Cost of Goods Sold")</f>
        <v>78394.942538461502</v>
      </c>
      <c r="BC42" s="188">
        <f t="shared" si="39"/>
        <v>78394.942538461502</v>
      </c>
      <c r="BD42" s="188">
        <f t="shared" si="39"/>
        <v>84068.6781730769</v>
      </c>
      <c r="BE42" s="188">
        <f t="shared" si="39"/>
        <v>78394.942538461502</v>
      </c>
      <c r="BF42" s="188">
        <f t="shared" si="39"/>
        <v>78394.942538461502</v>
      </c>
      <c r="BG42" s="188">
        <f t="shared" si="39"/>
        <v>84068.6781730769</v>
      </c>
      <c r="BH42" s="188">
        <f t="shared" si="39"/>
        <v>78394.942538461502</v>
      </c>
      <c r="BI42" s="188">
        <f t="shared" si="39"/>
        <v>78394.942538461502</v>
      </c>
      <c r="BJ42" s="188">
        <f t="shared" si="39"/>
        <v>84068.6781730769</v>
      </c>
      <c r="BK42" s="188">
        <f t="shared" si="39"/>
        <v>78394.942538461502</v>
      </c>
      <c r="BL42" s="188">
        <f t="shared" si="39"/>
        <v>78394.942538461502</v>
      </c>
      <c r="BM42" s="188">
        <f t="shared" si="39"/>
        <v>84068.6781730769</v>
      </c>
      <c r="BN42" s="189">
        <f t="shared" si="39"/>
        <v>963434.25299999979</v>
      </c>
      <c r="BP42" s="203">
        <f t="shared" ref="BP42:CB42" si="40">SUMIFS(BP30:BP41,$H30:$H41,"&lt;&gt;"&amp;$H$18,$D30:$D41,"&lt;&gt;*[-]*",$E30:$E41,"&lt;&gt;*[-]*",$F30:$F41,"&lt;&gt;*[-]*",$G30:$G41,"&lt;&gt;*[-]*")</f>
        <v>0</v>
      </c>
      <c r="BQ42" s="203">
        <f t="shared" si="40"/>
        <v>0</v>
      </c>
      <c r="BR42" s="203">
        <f t="shared" si="40"/>
        <v>0</v>
      </c>
      <c r="BS42" s="203">
        <f t="shared" si="40"/>
        <v>0</v>
      </c>
      <c r="BT42" s="203">
        <f t="shared" si="40"/>
        <v>0</v>
      </c>
      <c r="BU42" s="203">
        <f t="shared" si="40"/>
        <v>0</v>
      </c>
      <c r="BV42" s="203">
        <f t="shared" si="40"/>
        <v>0</v>
      </c>
      <c r="BW42" s="203">
        <f t="shared" si="40"/>
        <v>0</v>
      </c>
      <c r="BX42" s="203">
        <f t="shared" si="40"/>
        <v>0</v>
      </c>
      <c r="BY42" s="203">
        <f t="shared" si="40"/>
        <v>0</v>
      </c>
      <c r="BZ42" s="203">
        <f t="shared" si="40"/>
        <v>0</v>
      </c>
      <c r="CA42" s="203">
        <f t="shared" si="40"/>
        <v>0</v>
      </c>
      <c r="CB42" s="204">
        <f t="shared" si="40"/>
        <v>0</v>
      </c>
    </row>
    <row r="43" spans="1:80" ht="12.45" thickBot="1" x14ac:dyDescent="0.3">
      <c r="C43" s="19"/>
      <c r="D43" s="190"/>
      <c r="E43" s="190"/>
      <c r="F43" s="190"/>
      <c r="G43" s="19" t="s">
        <v>31</v>
      </c>
      <c r="H43" s="188"/>
      <c r="I43" s="188"/>
      <c r="J43" s="188"/>
      <c r="K43" s="188"/>
      <c r="L43" s="188">
        <f t="shared" ref="L43:X43" si="41">SUMPRODUCT($K$19:$K$42,L$19:L$42)</f>
        <v>0</v>
      </c>
      <c r="M43" s="188">
        <f t="shared" si="41"/>
        <v>0</v>
      </c>
      <c r="N43" s="188">
        <f t="shared" si="41"/>
        <v>0</v>
      </c>
      <c r="O43" s="188">
        <f t="shared" si="41"/>
        <v>0</v>
      </c>
      <c r="P43" s="188">
        <f t="shared" si="41"/>
        <v>0</v>
      </c>
      <c r="Q43" s="188">
        <f t="shared" si="41"/>
        <v>0</v>
      </c>
      <c r="R43" s="188">
        <f t="shared" si="41"/>
        <v>-186528.93</v>
      </c>
      <c r="S43" s="188">
        <f t="shared" si="41"/>
        <v>-109471.19</v>
      </c>
      <c r="T43" s="188">
        <f t="shared" si="41"/>
        <v>-67119.12</v>
      </c>
      <c r="U43" s="188">
        <f t="shared" si="41"/>
        <v>-93295.35</v>
      </c>
      <c r="V43" s="188">
        <f t="shared" si="41"/>
        <v>-53786.92</v>
      </c>
      <c r="W43" s="188">
        <f t="shared" si="41"/>
        <v>-105094.04</v>
      </c>
      <c r="X43" s="189">
        <f t="shared" si="41"/>
        <v>-615295.54999999993</v>
      </c>
      <c r="Z43" s="188">
        <f t="shared" ref="Z43:AL43" si="42">SUMPRODUCT($K$19:$K$42,Z$19:Z$42)</f>
        <v>-84749.62</v>
      </c>
      <c r="AA43" s="188">
        <f t="shared" si="42"/>
        <v>-78394.942538461502</v>
      </c>
      <c r="AB43" s="188">
        <f t="shared" si="42"/>
        <v>-84068.6781730769</v>
      </c>
      <c r="AC43" s="188">
        <f t="shared" si="42"/>
        <v>-78394.942538461502</v>
      </c>
      <c r="AD43" s="188">
        <f t="shared" si="42"/>
        <v>-78394.942538461502</v>
      </c>
      <c r="AE43" s="188">
        <f t="shared" si="42"/>
        <v>-84068.6781730769</v>
      </c>
      <c r="AF43" s="188">
        <f t="shared" si="42"/>
        <v>-78394.942538461502</v>
      </c>
      <c r="AG43" s="188">
        <f t="shared" si="42"/>
        <v>-78394.942538461502</v>
      </c>
      <c r="AH43" s="188">
        <f t="shared" si="42"/>
        <v>-84068.6781730769</v>
      </c>
      <c r="AI43" s="188">
        <f t="shared" si="42"/>
        <v>-78394.942538461502</v>
      </c>
      <c r="AJ43" s="188">
        <f t="shared" si="42"/>
        <v>-78394.942538461502</v>
      </c>
      <c r="AK43" s="188">
        <f t="shared" si="42"/>
        <v>-84068.6781730769</v>
      </c>
      <c r="AL43" s="189">
        <f t="shared" si="42"/>
        <v>-969788.93046153826</v>
      </c>
      <c r="AN43" s="188">
        <f t="shared" ref="AN43:AZ43" si="43">SUMPRODUCT($K$19:$K$42,AN$19:AN$42)</f>
        <v>-78394.942538461502</v>
      </c>
      <c r="AO43" s="188">
        <f t="shared" si="43"/>
        <v>-78394.942538461502</v>
      </c>
      <c r="AP43" s="188">
        <f t="shared" si="43"/>
        <v>-84068.6781730769</v>
      </c>
      <c r="AQ43" s="188">
        <f t="shared" si="43"/>
        <v>-78394.942538461502</v>
      </c>
      <c r="AR43" s="188">
        <f t="shared" si="43"/>
        <v>-78394.942538461502</v>
      </c>
      <c r="AS43" s="188">
        <f t="shared" si="43"/>
        <v>-84068.6781730769</v>
      </c>
      <c r="AT43" s="188">
        <f t="shared" si="43"/>
        <v>-78394.942538461502</v>
      </c>
      <c r="AU43" s="188">
        <f t="shared" si="43"/>
        <v>-78394.942538461502</v>
      </c>
      <c r="AV43" s="188">
        <f t="shared" si="43"/>
        <v>-84068.6781730769</v>
      </c>
      <c r="AW43" s="188">
        <f t="shared" si="43"/>
        <v>-78394.942538461502</v>
      </c>
      <c r="AX43" s="188">
        <f t="shared" si="43"/>
        <v>-78394.942538461502</v>
      </c>
      <c r="AY43" s="188">
        <f t="shared" si="43"/>
        <v>-84068.6781730769</v>
      </c>
      <c r="AZ43" s="189">
        <f t="shared" si="43"/>
        <v>-963434.25299999979</v>
      </c>
      <c r="BB43" s="188">
        <f t="shared" ref="BB43:BN43" si="44">SUMPRODUCT($K$19:$K$42,BB$19:BB$42)</f>
        <v>-78394.942538461502</v>
      </c>
      <c r="BC43" s="188">
        <f t="shared" si="44"/>
        <v>-78394.942538461502</v>
      </c>
      <c r="BD43" s="188">
        <f t="shared" si="44"/>
        <v>-84068.6781730769</v>
      </c>
      <c r="BE43" s="188">
        <f t="shared" si="44"/>
        <v>-78394.942538461502</v>
      </c>
      <c r="BF43" s="188">
        <f t="shared" si="44"/>
        <v>-78394.942538461502</v>
      </c>
      <c r="BG43" s="188">
        <f t="shared" si="44"/>
        <v>-84068.6781730769</v>
      </c>
      <c r="BH43" s="188">
        <f t="shared" si="44"/>
        <v>-78394.942538461502</v>
      </c>
      <c r="BI43" s="188">
        <f t="shared" si="44"/>
        <v>-78394.942538461502</v>
      </c>
      <c r="BJ43" s="188">
        <f t="shared" si="44"/>
        <v>-84068.6781730769</v>
      </c>
      <c r="BK43" s="188">
        <f t="shared" si="44"/>
        <v>-78394.942538461502</v>
      </c>
      <c r="BL43" s="188">
        <f t="shared" si="44"/>
        <v>-78394.942538461502</v>
      </c>
      <c r="BM43" s="188">
        <f t="shared" si="44"/>
        <v>-84068.6781730769</v>
      </c>
      <c r="BN43" s="189">
        <f t="shared" si="44"/>
        <v>-963434.25299999979</v>
      </c>
      <c r="BP43" s="203">
        <f t="shared" ref="BP43:CB43" si="45">SUMPRODUCT($K$19:$K$42,BP$19:BP$42)</f>
        <v>0</v>
      </c>
      <c r="BQ43" s="203">
        <f t="shared" si="45"/>
        <v>0</v>
      </c>
      <c r="BR43" s="203">
        <f t="shared" si="45"/>
        <v>0</v>
      </c>
      <c r="BS43" s="203">
        <f t="shared" si="45"/>
        <v>0</v>
      </c>
      <c r="BT43" s="203">
        <f t="shared" si="45"/>
        <v>0</v>
      </c>
      <c r="BU43" s="203">
        <f t="shared" si="45"/>
        <v>0</v>
      </c>
      <c r="BV43" s="203">
        <f t="shared" si="45"/>
        <v>0</v>
      </c>
      <c r="BW43" s="203">
        <f t="shared" si="45"/>
        <v>0</v>
      </c>
      <c r="BX43" s="203">
        <f t="shared" si="45"/>
        <v>0</v>
      </c>
      <c r="BY43" s="203">
        <f t="shared" si="45"/>
        <v>0</v>
      </c>
      <c r="BZ43" s="203">
        <f t="shared" si="45"/>
        <v>0</v>
      </c>
      <c r="CA43" s="203">
        <f t="shared" si="45"/>
        <v>0</v>
      </c>
      <c r="CB43" s="204">
        <f t="shared" si="45"/>
        <v>0</v>
      </c>
    </row>
    <row r="44" spans="1:80" ht="12.45" thickBot="1" x14ac:dyDescent="0.3">
      <c r="B44" s="20"/>
      <c r="C44" s="191"/>
      <c r="D44" s="192"/>
      <c r="E44" s="192"/>
      <c r="F44" s="192"/>
      <c r="G44" s="191" t="s">
        <v>128</v>
      </c>
      <c r="H44" s="193"/>
      <c r="I44" s="193"/>
      <c r="J44" s="193"/>
      <c r="K44" s="193"/>
      <c r="L44" s="194" t="e">
        <f t="shared" ref="L44:X44" si="46">((SUMPRODUCT($K$19:$K$27,L$19:L$27)+SUMPRODUCT($K$30:$K$42,L$30:L$42)))/(SUMPRODUCT($K$19:$K$27,L$19:L$27))</f>
        <v>#DIV/0!</v>
      </c>
      <c r="M44" s="194" t="e">
        <f t="shared" si="46"/>
        <v>#DIV/0!</v>
      </c>
      <c r="N44" s="194" t="e">
        <f t="shared" si="46"/>
        <v>#DIV/0!</v>
      </c>
      <c r="O44" s="194" t="e">
        <f t="shared" si="46"/>
        <v>#DIV/0!</v>
      </c>
      <c r="P44" s="194" t="e">
        <f t="shared" si="46"/>
        <v>#DIV/0!</v>
      </c>
      <c r="Q44" s="194" t="e">
        <f t="shared" si="46"/>
        <v>#DIV/0!</v>
      </c>
      <c r="R44" s="194" t="e">
        <f t="shared" si="46"/>
        <v>#DIV/0!</v>
      </c>
      <c r="S44" s="194" t="e">
        <f t="shared" si="46"/>
        <v>#DIV/0!</v>
      </c>
      <c r="T44" s="194" t="e">
        <f t="shared" si="46"/>
        <v>#DIV/0!</v>
      </c>
      <c r="U44" s="194" t="e">
        <f t="shared" si="46"/>
        <v>#DIV/0!</v>
      </c>
      <c r="V44" s="194" t="e">
        <f t="shared" si="46"/>
        <v>#DIV/0!</v>
      </c>
      <c r="W44" s="194" t="e">
        <f t="shared" si="46"/>
        <v>#DIV/0!</v>
      </c>
      <c r="X44" s="195" t="e">
        <f t="shared" si="46"/>
        <v>#DIV/0!</v>
      </c>
      <c r="Y44" s="20"/>
      <c r="Z44" s="194" t="e">
        <f t="shared" ref="Z44:AL44" si="47">((SUMPRODUCT($K$19:$K$27,Z$19:Z$27)+SUMPRODUCT($K$30:$K$42,Z$30:Z$42)))/(SUMPRODUCT($K$19:$K$27,Z$19:Z$27))</f>
        <v>#DIV/0!</v>
      </c>
      <c r="AA44" s="194" t="e">
        <f t="shared" si="47"/>
        <v>#DIV/0!</v>
      </c>
      <c r="AB44" s="194" t="e">
        <f t="shared" si="47"/>
        <v>#DIV/0!</v>
      </c>
      <c r="AC44" s="194" t="e">
        <f t="shared" si="47"/>
        <v>#DIV/0!</v>
      </c>
      <c r="AD44" s="194" t="e">
        <f t="shared" si="47"/>
        <v>#DIV/0!</v>
      </c>
      <c r="AE44" s="194" t="e">
        <f t="shared" si="47"/>
        <v>#DIV/0!</v>
      </c>
      <c r="AF44" s="194" t="e">
        <f t="shared" si="47"/>
        <v>#DIV/0!</v>
      </c>
      <c r="AG44" s="194" t="e">
        <f t="shared" si="47"/>
        <v>#DIV/0!</v>
      </c>
      <c r="AH44" s="194" t="e">
        <f t="shared" si="47"/>
        <v>#DIV/0!</v>
      </c>
      <c r="AI44" s="194" t="e">
        <f t="shared" si="47"/>
        <v>#DIV/0!</v>
      </c>
      <c r="AJ44" s="194" t="e">
        <f t="shared" si="47"/>
        <v>#DIV/0!</v>
      </c>
      <c r="AK44" s="194" t="e">
        <f t="shared" si="47"/>
        <v>#DIV/0!</v>
      </c>
      <c r="AL44" s="195" t="e">
        <f t="shared" si="47"/>
        <v>#DIV/0!</v>
      </c>
      <c r="AM44" s="20"/>
      <c r="AN44" s="194" t="e">
        <f t="shared" ref="AN44:AZ44" si="48">((SUMPRODUCT($K$19:$K$27,AN$19:AN$27)+SUMPRODUCT($K$30:$K$42,AN$30:AN$42)))/(SUMPRODUCT($K$19:$K$27,AN$19:AN$27))</f>
        <v>#DIV/0!</v>
      </c>
      <c r="AO44" s="194" t="e">
        <f t="shared" si="48"/>
        <v>#DIV/0!</v>
      </c>
      <c r="AP44" s="194" t="e">
        <f t="shared" si="48"/>
        <v>#DIV/0!</v>
      </c>
      <c r="AQ44" s="194" t="e">
        <f t="shared" si="48"/>
        <v>#DIV/0!</v>
      </c>
      <c r="AR44" s="194" t="e">
        <f t="shared" si="48"/>
        <v>#DIV/0!</v>
      </c>
      <c r="AS44" s="194" t="e">
        <f t="shared" si="48"/>
        <v>#DIV/0!</v>
      </c>
      <c r="AT44" s="194" t="e">
        <f t="shared" si="48"/>
        <v>#DIV/0!</v>
      </c>
      <c r="AU44" s="194" t="e">
        <f t="shared" si="48"/>
        <v>#DIV/0!</v>
      </c>
      <c r="AV44" s="194" t="e">
        <f t="shared" si="48"/>
        <v>#DIV/0!</v>
      </c>
      <c r="AW44" s="194" t="e">
        <f t="shared" si="48"/>
        <v>#DIV/0!</v>
      </c>
      <c r="AX44" s="194" t="e">
        <f t="shared" si="48"/>
        <v>#DIV/0!</v>
      </c>
      <c r="AY44" s="194" t="e">
        <f t="shared" si="48"/>
        <v>#DIV/0!</v>
      </c>
      <c r="AZ44" s="195" t="e">
        <f t="shared" si="48"/>
        <v>#DIV/0!</v>
      </c>
      <c r="BA44" s="20"/>
      <c r="BB44" s="194" t="e">
        <f t="shared" ref="BB44:BN44" si="49">((SUMPRODUCT($K$19:$K$27,BB$19:BB$27)+SUMPRODUCT($K$30:$K$42,BB$30:BB$42)))/(SUMPRODUCT($K$19:$K$27,BB$19:BB$27))</f>
        <v>#DIV/0!</v>
      </c>
      <c r="BC44" s="194" t="e">
        <f t="shared" si="49"/>
        <v>#DIV/0!</v>
      </c>
      <c r="BD44" s="194" t="e">
        <f t="shared" si="49"/>
        <v>#DIV/0!</v>
      </c>
      <c r="BE44" s="194" t="e">
        <f t="shared" si="49"/>
        <v>#DIV/0!</v>
      </c>
      <c r="BF44" s="194" t="e">
        <f t="shared" si="49"/>
        <v>#DIV/0!</v>
      </c>
      <c r="BG44" s="194" t="e">
        <f t="shared" si="49"/>
        <v>#DIV/0!</v>
      </c>
      <c r="BH44" s="194" t="e">
        <f t="shared" si="49"/>
        <v>#DIV/0!</v>
      </c>
      <c r="BI44" s="194" t="e">
        <f t="shared" si="49"/>
        <v>#DIV/0!</v>
      </c>
      <c r="BJ44" s="194" t="e">
        <f t="shared" si="49"/>
        <v>#DIV/0!</v>
      </c>
      <c r="BK44" s="194" t="e">
        <f t="shared" si="49"/>
        <v>#DIV/0!</v>
      </c>
      <c r="BL44" s="194" t="e">
        <f t="shared" si="49"/>
        <v>#DIV/0!</v>
      </c>
      <c r="BM44" s="194" t="e">
        <f t="shared" si="49"/>
        <v>#DIV/0!</v>
      </c>
      <c r="BN44" s="195" t="e">
        <f t="shared" si="49"/>
        <v>#DIV/0!</v>
      </c>
      <c r="BO44" s="20"/>
      <c r="BP44" s="214" t="e">
        <f t="shared" ref="BP44:CB44" si="50">((SUMPRODUCT($K$19:$K$27,BP$19:BP$27)+SUMPRODUCT($K$30:$K$42,BP$30:BP$42)))/(SUMPRODUCT($K$19:$K$27,BP$19:BP$27))</f>
        <v>#DIV/0!</v>
      </c>
      <c r="BQ44" s="214" t="e">
        <f t="shared" si="50"/>
        <v>#DIV/0!</v>
      </c>
      <c r="BR44" s="214" t="e">
        <f t="shared" si="50"/>
        <v>#DIV/0!</v>
      </c>
      <c r="BS44" s="214" t="e">
        <f t="shared" si="50"/>
        <v>#DIV/0!</v>
      </c>
      <c r="BT44" s="214" t="e">
        <f t="shared" si="50"/>
        <v>#DIV/0!</v>
      </c>
      <c r="BU44" s="214" t="e">
        <f t="shared" si="50"/>
        <v>#DIV/0!</v>
      </c>
      <c r="BV44" s="214" t="e">
        <f t="shared" si="50"/>
        <v>#DIV/0!</v>
      </c>
      <c r="BW44" s="214" t="e">
        <f t="shared" si="50"/>
        <v>#DIV/0!</v>
      </c>
      <c r="BX44" s="214" t="e">
        <f t="shared" si="50"/>
        <v>#DIV/0!</v>
      </c>
      <c r="BY44" s="214" t="e">
        <f t="shared" si="50"/>
        <v>#DIV/0!</v>
      </c>
      <c r="BZ44" s="214" t="e">
        <f t="shared" si="50"/>
        <v>#DIV/0!</v>
      </c>
      <c r="CA44" s="214" t="e">
        <f t="shared" si="50"/>
        <v>#DIV/0!</v>
      </c>
      <c r="CB44" s="215" t="e">
        <f t="shared" si="50"/>
        <v>#DIV/0!</v>
      </c>
    </row>
    <row r="45" spans="1:80" ht="11.95" x14ac:dyDescent="0.25">
      <c r="C45" s="19"/>
      <c r="D45" s="19"/>
      <c r="E45" s="19"/>
      <c r="F45" s="19"/>
      <c r="G45" s="19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9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9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189"/>
      <c r="BB45" s="188"/>
      <c r="BC45" s="188"/>
      <c r="BD45" s="188"/>
      <c r="BE45" s="188"/>
      <c r="BF45" s="188"/>
      <c r="BG45" s="188"/>
      <c r="BH45" s="188"/>
      <c r="BI45" s="188"/>
      <c r="BJ45" s="188"/>
      <c r="BK45" s="188"/>
      <c r="BL45" s="188"/>
      <c r="BM45" s="188"/>
      <c r="BN45" s="189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4"/>
    </row>
    <row r="46" spans="1:80" ht="12.45" thickBot="1" x14ac:dyDescent="0.3">
      <c r="C46" s="4" t="s">
        <v>2</v>
      </c>
      <c r="D46" s="4"/>
      <c r="E46" s="4"/>
      <c r="F46" s="4"/>
      <c r="G46" s="4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</row>
    <row r="47" spans="1:80" ht="11.95" thickBot="1" x14ac:dyDescent="0.3">
      <c r="E47" s="3"/>
      <c r="F47" s="3"/>
      <c r="G47" s="253" t="s">
        <v>2</v>
      </c>
      <c r="H47" s="3"/>
      <c r="I47" s="18"/>
      <c r="J47" s="18"/>
      <c r="K47" s="18"/>
      <c r="L47" s="185">
        <v>0</v>
      </c>
      <c r="M47" s="185">
        <v>0</v>
      </c>
      <c r="N47" s="185">
        <v>0</v>
      </c>
      <c r="O47" s="185">
        <v>0</v>
      </c>
      <c r="P47" s="185">
        <v>0</v>
      </c>
      <c r="Q47" s="185">
        <v>107739.21</v>
      </c>
      <c r="R47" s="185">
        <v>-107739.21</v>
      </c>
      <c r="S47" s="185">
        <v>0</v>
      </c>
      <c r="T47" s="185">
        <v>0</v>
      </c>
      <c r="U47" s="185">
        <v>0</v>
      </c>
      <c r="V47" s="185">
        <v>0</v>
      </c>
      <c r="W47" s="185">
        <v>0</v>
      </c>
      <c r="X47" s="186">
        <f>SUM(L47:W47)</f>
        <v>0</v>
      </c>
      <c r="Y47" s="219"/>
      <c r="Z47" s="185">
        <v>0</v>
      </c>
      <c r="AA47" s="185">
        <v>3.9999999999999998E-11</v>
      </c>
      <c r="AB47" s="185">
        <v>1.9999999999999999E-11</v>
      </c>
      <c r="AC47" s="185">
        <v>3.9999999999999998E-11</v>
      </c>
      <c r="AD47" s="185">
        <v>3.9999999999999998E-11</v>
      </c>
      <c r="AE47" s="185">
        <v>1.9999999999999999E-11</v>
      </c>
      <c r="AF47" s="185">
        <v>3.9999999999999998E-11</v>
      </c>
      <c r="AG47" s="185">
        <v>3.9999999999999998E-11</v>
      </c>
      <c r="AH47" s="185">
        <v>1.9999999999999999E-11</v>
      </c>
      <c r="AI47" s="185">
        <v>3.9999999999999998E-11</v>
      </c>
      <c r="AJ47" s="185">
        <v>3.9999999999999998E-11</v>
      </c>
      <c r="AK47" s="185">
        <v>1.9999999999999999E-11</v>
      </c>
      <c r="AL47" s="186">
        <f>SUM(Z47:AK47)</f>
        <v>3.6E-10</v>
      </c>
      <c r="AM47" s="221"/>
      <c r="AN47" s="187">
        <v>3.9999999999999998E-11</v>
      </c>
      <c r="AO47" s="187">
        <v>3.9999999999999998E-11</v>
      </c>
      <c r="AP47" s="187">
        <v>1.9999999999999999E-11</v>
      </c>
      <c r="AQ47" s="187">
        <v>3.9999999999999998E-11</v>
      </c>
      <c r="AR47" s="187">
        <v>3.9999999999999998E-11</v>
      </c>
      <c r="AS47" s="187">
        <v>1.9999999999999999E-11</v>
      </c>
      <c r="AT47" s="187">
        <v>3.9999999999999998E-11</v>
      </c>
      <c r="AU47" s="187">
        <v>3.9999999999999998E-11</v>
      </c>
      <c r="AV47" s="187">
        <v>1.9999999999999999E-11</v>
      </c>
      <c r="AW47" s="187">
        <v>3.9999999999999998E-11</v>
      </c>
      <c r="AX47" s="187">
        <v>3.9999999999999998E-11</v>
      </c>
      <c r="AY47" s="187">
        <v>1.9999999999999999E-11</v>
      </c>
      <c r="AZ47" s="186">
        <f>SUM(AN47:AY47)</f>
        <v>4.0000000000000001E-10</v>
      </c>
      <c r="BA47" s="221"/>
      <c r="BB47" s="187">
        <v>3.9999999999999998E-11</v>
      </c>
      <c r="BC47" s="187">
        <v>3.9999999999999998E-11</v>
      </c>
      <c r="BD47" s="187">
        <v>1.9999999999999999E-11</v>
      </c>
      <c r="BE47" s="187">
        <v>3.9999999999999998E-11</v>
      </c>
      <c r="BF47" s="187">
        <v>3.9999999999999998E-11</v>
      </c>
      <c r="BG47" s="187">
        <v>1.9999999999999999E-11</v>
      </c>
      <c r="BH47" s="187">
        <v>3.9999999999999998E-11</v>
      </c>
      <c r="BI47" s="187">
        <v>3.9999999999999998E-11</v>
      </c>
      <c r="BJ47" s="187">
        <v>1.9999999999999999E-11</v>
      </c>
      <c r="BK47" s="187">
        <v>3.9999999999999998E-11</v>
      </c>
      <c r="BL47" s="187">
        <v>3.9999999999999998E-11</v>
      </c>
      <c r="BM47" s="187">
        <v>1.9999999999999999E-11</v>
      </c>
      <c r="BN47" s="186">
        <f>SUM(BB47:BM47)</f>
        <v>4.0000000000000001E-10</v>
      </c>
      <c r="BP47"/>
      <c r="BQ47"/>
      <c r="BR47"/>
      <c r="BS47"/>
      <c r="BT47"/>
      <c r="BU47"/>
      <c r="BV47"/>
      <c r="BW47"/>
      <c r="BX47"/>
      <c r="BY47"/>
      <c r="BZ47"/>
      <c r="CA47"/>
      <c r="CB47">
        <f>SUM(BP47:CA47)</f>
        <v>0</v>
      </c>
    </row>
    <row r="48" spans="1:80" ht="11.95" outlineLevel="1" thickBot="1" x14ac:dyDescent="0.3">
      <c r="E48" s="3"/>
      <c r="F48" s="3"/>
      <c r="G48" s="256" t="s">
        <v>104</v>
      </c>
      <c r="H48" s="3"/>
      <c r="I48" s="18"/>
      <c r="J48" s="18"/>
      <c r="K48" s="18"/>
      <c r="L48" s="185">
        <v>0</v>
      </c>
      <c r="M48" s="185">
        <v>0</v>
      </c>
      <c r="N48" s="185">
        <v>0</v>
      </c>
      <c r="O48" s="185">
        <v>0</v>
      </c>
      <c r="P48" s="185">
        <v>0</v>
      </c>
      <c r="Q48" s="185">
        <v>31947.11</v>
      </c>
      <c r="R48" s="185">
        <v>23596.15</v>
      </c>
      <c r="S48" s="185">
        <v>26948.15</v>
      </c>
      <c r="T48" s="185">
        <v>29245.19</v>
      </c>
      <c r="U48" s="185">
        <v>28596.15</v>
      </c>
      <c r="V48" s="185">
        <v>23596.15</v>
      </c>
      <c r="W48" s="185">
        <v>65364.84</v>
      </c>
      <c r="X48" s="186">
        <f t="shared" ref="X48:X100" si="51">SUM(L48:W48)</f>
        <v>229293.74</v>
      </c>
      <c r="Y48" s="219"/>
      <c r="Z48" s="185">
        <v>21788.46</v>
      </c>
      <c r="AA48" s="185">
        <v>22694.942538461499</v>
      </c>
      <c r="AB48" s="185">
        <v>28368.6781730769</v>
      </c>
      <c r="AC48" s="185">
        <v>22694.942538461499</v>
      </c>
      <c r="AD48" s="185">
        <v>22694.942538461499</v>
      </c>
      <c r="AE48" s="185">
        <v>28368.6781730769</v>
      </c>
      <c r="AF48" s="185">
        <v>22694.942538461499</v>
      </c>
      <c r="AG48" s="185">
        <v>22694.942538461499</v>
      </c>
      <c r="AH48" s="185">
        <v>28368.6781730769</v>
      </c>
      <c r="AI48" s="185">
        <v>22694.942538461499</v>
      </c>
      <c r="AJ48" s="185">
        <v>22694.942538461499</v>
      </c>
      <c r="AK48" s="185">
        <v>28368.6781730769</v>
      </c>
      <c r="AL48" s="186">
        <f t="shared" ref="AL48:AL100" si="52">SUM(Z48:AK48)</f>
        <v>294127.77046153811</v>
      </c>
      <c r="AM48" s="221"/>
      <c r="AN48" s="187">
        <v>22694.942538461499</v>
      </c>
      <c r="AO48" s="187">
        <v>22694.942538461499</v>
      </c>
      <c r="AP48" s="187">
        <v>28368.6781730769</v>
      </c>
      <c r="AQ48" s="187">
        <v>22694.942538461499</v>
      </c>
      <c r="AR48" s="187">
        <v>22694.942538461499</v>
      </c>
      <c r="AS48" s="187">
        <v>28368.6781730769</v>
      </c>
      <c r="AT48" s="187">
        <v>22694.942538461499</v>
      </c>
      <c r="AU48" s="187">
        <v>22694.942538461499</v>
      </c>
      <c r="AV48" s="187">
        <v>28368.6781730769</v>
      </c>
      <c r="AW48" s="187">
        <v>22694.942538461499</v>
      </c>
      <c r="AX48" s="187">
        <v>22694.942538461499</v>
      </c>
      <c r="AY48" s="187">
        <v>28368.6781730769</v>
      </c>
      <c r="AZ48" s="186">
        <f t="shared" ref="AZ48:AZ100" si="53">SUM(AN48:AY48)</f>
        <v>295034.25299999956</v>
      </c>
      <c r="BA48" s="221"/>
      <c r="BB48" s="187">
        <v>22694.942538461499</v>
      </c>
      <c r="BC48" s="187">
        <v>22694.942538461499</v>
      </c>
      <c r="BD48" s="187">
        <v>28368.6781730769</v>
      </c>
      <c r="BE48" s="187">
        <v>22694.942538461499</v>
      </c>
      <c r="BF48" s="187">
        <v>22694.942538461499</v>
      </c>
      <c r="BG48" s="187">
        <v>28368.6781730769</v>
      </c>
      <c r="BH48" s="187">
        <v>22694.942538461499</v>
      </c>
      <c r="BI48" s="187">
        <v>22694.942538461499</v>
      </c>
      <c r="BJ48" s="187">
        <v>28368.6781730769</v>
      </c>
      <c r="BK48" s="187">
        <v>22694.942538461499</v>
      </c>
      <c r="BL48" s="187">
        <v>22694.942538461499</v>
      </c>
      <c r="BM48" s="187">
        <v>28368.6781730769</v>
      </c>
      <c r="BN48" s="186">
        <f t="shared" ref="BN48:BN100" si="54">SUM(BB48:BM48)</f>
        <v>295034.25299999956</v>
      </c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49" spans="1:80" ht="11.95" hidden="1" outlineLevel="2" thickBot="1" x14ac:dyDescent="0.3">
      <c r="A49" t="str">
        <f t="shared" ref="A49" si="55">IF(LEFT(G49,3)="Mul", "#hiderow", "#showrow")</f>
        <v>#hiderow</v>
      </c>
      <c r="E49" s="3"/>
      <c r="F49" s="3"/>
      <c r="G49" s="255" t="s">
        <v>6</v>
      </c>
      <c r="H49" s="3"/>
      <c r="I49" s="18"/>
      <c r="J49" s="18"/>
      <c r="K49" s="18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6">
        <f t="shared" si="51"/>
        <v>0</v>
      </c>
      <c r="Y49" s="219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6">
        <f t="shared" si="52"/>
        <v>0</v>
      </c>
      <c r="AM49" s="221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6">
        <f t="shared" si="53"/>
        <v>0</v>
      </c>
      <c r="BA49" s="221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7"/>
      <c r="BN49" s="186">
        <f t="shared" si="54"/>
        <v>0</v>
      </c>
      <c r="BP49"/>
      <c r="BQ49"/>
      <c r="BR49"/>
      <c r="BS49"/>
      <c r="BT49"/>
      <c r="BU49"/>
      <c r="BV49"/>
      <c r="BW49"/>
      <c r="BX49"/>
      <c r="BY49"/>
      <c r="BZ49"/>
      <c r="CA49"/>
      <c r="CB49"/>
    </row>
    <row r="50" spans="1:80" ht="11.95" outlineLevel="2" thickBot="1" x14ac:dyDescent="0.3">
      <c r="A50" t="str">
        <f t="shared" ref="A50:A52" si="56">IF(LEFT(G50,3)="Mul", "#hiderow", "#showrow")</f>
        <v>#showrow</v>
      </c>
      <c r="E50" s="3"/>
      <c r="F50" s="3"/>
      <c r="G50" s="255" t="s">
        <v>181</v>
      </c>
      <c r="H50" s="3"/>
      <c r="I50" s="18"/>
      <c r="J50" s="18"/>
      <c r="K50" s="18"/>
      <c r="L50" s="185"/>
      <c r="M50" s="185"/>
      <c r="N50" s="185"/>
      <c r="O50" s="185"/>
      <c r="P50" s="185"/>
      <c r="Q50" s="185">
        <v>13557.69</v>
      </c>
      <c r="R50" s="185">
        <v>18076.919999999998</v>
      </c>
      <c r="S50" s="185">
        <v>20758.52</v>
      </c>
      <c r="T50" s="185">
        <v>22596.15</v>
      </c>
      <c r="U50" s="185">
        <v>18076.919999999998</v>
      </c>
      <c r="V50" s="185">
        <v>18076.919999999998</v>
      </c>
      <c r="W50" s="185">
        <v>50691.87</v>
      </c>
      <c r="X50" s="186">
        <f t="shared" ref="X50:X52" si="57">SUM(L50:W50)</f>
        <v>161834.99</v>
      </c>
      <c r="Y50" s="219"/>
      <c r="Z50" s="185">
        <v>18076.919999999998</v>
      </c>
      <c r="AA50" s="185">
        <v>18396.939999999999</v>
      </c>
      <c r="AB50" s="185">
        <v>22996.174999999999</v>
      </c>
      <c r="AC50" s="185">
        <v>18396.939999999999</v>
      </c>
      <c r="AD50" s="185">
        <v>18396.939999999999</v>
      </c>
      <c r="AE50" s="185">
        <v>22996.174999999999</v>
      </c>
      <c r="AF50" s="185">
        <v>18396.939999999999</v>
      </c>
      <c r="AG50" s="185">
        <v>18396.939999999999</v>
      </c>
      <c r="AH50" s="185">
        <v>22996.174999999999</v>
      </c>
      <c r="AI50" s="185">
        <v>18396.939999999999</v>
      </c>
      <c r="AJ50" s="185">
        <v>18396.939999999999</v>
      </c>
      <c r="AK50" s="185">
        <v>22996.174999999999</v>
      </c>
      <c r="AL50" s="186">
        <f t="shared" ref="AL50:AL52" si="58">SUM(Z50:AK50)</f>
        <v>238840.19999999998</v>
      </c>
      <c r="AM50" s="221"/>
      <c r="AN50" s="187">
        <v>18396.939999999999</v>
      </c>
      <c r="AO50" s="187">
        <v>18396.939999999999</v>
      </c>
      <c r="AP50" s="187">
        <v>22996.174999999999</v>
      </c>
      <c r="AQ50" s="187">
        <v>18396.939999999999</v>
      </c>
      <c r="AR50" s="187">
        <v>18396.939999999999</v>
      </c>
      <c r="AS50" s="187">
        <v>22996.174999999999</v>
      </c>
      <c r="AT50" s="187">
        <v>18396.939999999999</v>
      </c>
      <c r="AU50" s="187">
        <v>18396.939999999999</v>
      </c>
      <c r="AV50" s="187">
        <v>22996.174999999999</v>
      </c>
      <c r="AW50" s="187">
        <v>18396.939999999999</v>
      </c>
      <c r="AX50" s="187">
        <v>18396.939999999999</v>
      </c>
      <c r="AY50" s="187">
        <v>22996.174999999999</v>
      </c>
      <c r="AZ50" s="186">
        <f t="shared" ref="AZ50:AZ52" si="59">SUM(AN50:AY50)</f>
        <v>239160.21999999997</v>
      </c>
      <c r="BA50" s="221"/>
      <c r="BB50" s="187">
        <v>18396.939999999999</v>
      </c>
      <c r="BC50" s="187">
        <v>18396.939999999999</v>
      </c>
      <c r="BD50" s="187">
        <v>22996.174999999999</v>
      </c>
      <c r="BE50" s="187">
        <v>18396.939999999999</v>
      </c>
      <c r="BF50" s="187">
        <v>18396.939999999999</v>
      </c>
      <c r="BG50" s="187">
        <v>22996.174999999999</v>
      </c>
      <c r="BH50" s="187">
        <v>18396.939999999999</v>
      </c>
      <c r="BI50" s="187">
        <v>18396.939999999999</v>
      </c>
      <c r="BJ50" s="187">
        <v>22996.174999999999</v>
      </c>
      <c r="BK50" s="187">
        <v>18396.939999999999</v>
      </c>
      <c r="BL50" s="187">
        <v>18396.939999999999</v>
      </c>
      <c r="BM50" s="187">
        <v>22996.174999999999</v>
      </c>
      <c r="BN50" s="186">
        <f t="shared" ref="BN50:BN52" si="60">SUM(BB50:BM50)</f>
        <v>239160.21999999997</v>
      </c>
      <c r="BP50"/>
      <c r="BQ50"/>
      <c r="BR50"/>
      <c r="BS50"/>
      <c r="BT50"/>
      <c r="BU50"/>
      <c r="BV50"/>
      <c r="BW50"/>
      <c r="BX50"/>
      <c r="BY50"/>
      <c r="BZ50"/>
      <c r="CA50"/>
      <c r="CB50"/>
    </row>
    <row r="51" spans="1:80" ht="11.95" outlineLevel="2" thickBot="1" x14ac:dyDescent="0.3">
      <c r="A51" t="str">
        <f t="shared" si="56"/>
        <v>#showrow</v>
      </c>
      <c r="E51" s="3"/>
      <c r="F51" s="3"/>
      <c r="G51" s="255" t="s">
        <v>183</v>
      </c>
      <c r="H51" s="3"/>
      <c r="I51" s="18"/>
      <c r="J51" s="18"/>
      <c r="K51" s="18"/>
      <c r="L51" s="185"/>
      <c r="M51" s="185"/>
      <c r="N51" s="185"/>
      <c r="O51" s="185"/>
      <c r="P51" s="185"/>
      <c r="Q51" s="185">
        <v>3389.42</v>
      </c>
      <c r="R51" s="185">
        <v>4519.2299999999996</v>
      </c>
      <c r="S51" s="185">
        <v>5189.63</v>
      </c>
      <c r="T51" s="185">
        <v>5649.04</v>
      </c>
      <c r="U51" s="185">
        <v>4519.2299999999996</v>
      </c>
      <c r="V51" s="185">
        <v>4519.2299999999996</v>
      </c>
      <c r="W51" s="185">
        <v>12672.97</v>
      </c>
      <c r="X51" s="186">
        <f t="shared" si="57"/>
        <v>40458.75</v>
      </c>
      <c r="Y51" s="219"/>
      <c r="Z51" s="185">
        <v>2711.54</v>
      </c>
      <c r="AA51" s="185">
        <v>2759.5410000000002</v>
      </c>
      <c r="AB51" s="185">
        <v>3449.42625</v>
      </c>
      <c r="AC51" s="185">
        <v>2759.5410000000002</v>
      </c>
      <c r="AD51" s="185">
        <v>2759.5410000000002</v>
      </c>
      <c r="AE51" s="185">
        <v>3449.42625</v>
      </c>
      <c r="AF51" s="185">
        <v>2759.5410000000002</v>
      </c>
      <c r="AG51" s="185">
        <v>2759.5410000000002</v>
      </c>
      <c r="AH51" s="185">
        <v>3449.42625</v>
      </c>
      <c r="AI51" s="185">
        <v>2759.5410000000002</v>
      </c>
      <c r="AJ51" s="185">
        <v>2759.5410000000002</v>
      </c>
      <c r="AK51" s="185">
        <v>3449.42625</v>
      </c>
      <c r="AL51" s="186">
        <f t="shared" si="58"/>
        <v>35826.032000000007</v>
      </c>
      <c r="AM51" s="221"/>
      <c r="AN51" s="187">
        <v>2759.5410000000002</v>
      </c>
      <c r="AO51" s="187">
        <v>2759.5410000000002</v>
      </c>
      <c r="AP51" s="187">
        <v>3449.42625</v>
      </c>
      <c r="AQ51" s="187">
        <v>2759.5410000000002</v>
      </c>
      <c r="AR51" s="187">
        <v>2759.5410000000002</v>
      </c>
      <c r="AS51" s="187">
        <v>3449.42625</v>
      </c>
      <c r="AT51" s="187">
        <v>2759.5410000000002</v>
      </c>
      <c r="AU51" s="187">
        <v>2759.5410000000002</v>
      </c>
      <c r="AV51" s="187">
        <v>3449.42625</v>
      </c>
      <c r="AW51" s="187">
        <v>2759.5410000000002</v>
      </c>
      <c r="AX51" s="187">
        <v>2759.5410000000002</v>
      </c>
      <c r="AY51" s="187">
        <v>3449.42625</v>
      </c>
      <c r="AZ51" s="186">
        <f t="shared" si="59"/>
        <v>35874.033000000003</v>
      </c>
      <c r="BA51" s="221"/>
      <c r="BB51" s="187">
        <v>2759.5410000000002</v>
      </c>
      <c r="BC51" s="187">
        <v>2759.5410000000002</v>
      </c>
      <c r="BD51" s="187">
        <v>3449.42625</v>
      </c>
      <c r="BE51" s="187">
        <v>2759.5410000000002</v>
      </c>
      <c r="BF51" s="187">
        <v>2759.5410000000002</v>
      </c>
      <c r="BG51" s="187">
        <v>3449.42625</v>
      </c>
      <c r="BH51" s="187">
        <v>2759.5410000000002</v>
      </c>
      <c r="BI51" s="187">
        <v>2759.5410000000002</v>
      </c>
      <c r="BJ51" s="187">
        <v>3449.42625</v>
      </c>
      <c r="BK51" s="187">
        <v>2759.5410000000002</v>
      </c>
      <c r="BL51" s="187">
        <v>2759.5410000000002</v>
      </c>
      <c r="BM51" s="187">
        <v>3449.42625</v>
      </c>
      <c r="BN51" s="186">
        <f t="shared" si="60"/>
        <v>35874.033000000003</v>
      </c>
      <c r="BP51"/>
      <c r="BQ51"/>
      <c r="BR51"/>
      <c r="BS51"/>
      <c r="BT51"/>
      <c r="BU51"/>
      <c r="BV51"/>
      <c r="BW51"/>
      <c r="BX51"/>
      <c r="BY51"/>
      <c r="BZ51"/>
      <c r="CA51"/>
      <c r="CB51"/>
    </row>
    <row r="52" spans="1:80" ht="11.95" outlineLevel="2" thickBot="1" x14ac:dyDescent="0.3">
      <c r="A52" t="str">
        <f t="shared" si="56"/>
        <v>#showrow</v>
      </c>
      <c r="E52" s="3"/>
      <c r="F52" s="3"/>
      <c r="G52" s="255" t="s">
        <v>185</v>
      </c>
      <c r="H52" s="3"/>
      <c r="I52" s="18"/>
      <c r="J52" s="18"/>
      <c r="K52" s="18"/>
      <c r="L52" s="185"/>
      <c r="M52" s="185"/>
      <c r="N52" s="185"/>
      <c r="O52" s="185"/>
      <c r="P52" s="185"/>
      <c r="Q52" s="185">
        <v>15000</v>
      </c>
      <c r="R52" s="185">
        <v>1000</v>
      </c>
      <c r="S52" s="185">
        <v>1000</v>
      </c>
      <c r="T52" s="185">
        <v>1000</v>
      </c>
      <c r="U52" s="185">
        <v>6000</v>
      </c>
      <c r="V52" s="185">
        <v>1000</v>
      </c>
      <c r="W52" s="185">
        <v>2000</v>
      </c>
      <c r="X52" s="186">
        <f t="shared" si="57"/>
        <v>27000</v>
      </c>
      <c r="Y52" s="219"/>
      <c r="Z52" s="185">
        <v>1000</v>
      </c>
      <c r="AA52" s="185">
        <v>1538.4615384615399</v>
      </c>
      <c r="AB52" s="185">
        <v>1923.0769230769199</v>
      </c>
      <c r="AC52" s="185">
        <v>1538.4615384615399</v>
      </c>
      <c r="AD52" s="185">
        <v>1538.4615384615399</v>
      </c>
      <c r="AE52" s="185">
        <v>1923.0769230769199</v>
      </c>
      <c r="AF52" s="185">
        <v>1538.4615384615399</v>
      </c>
      <c r="AG52" s="185">
        <v>1538.4615384615399</v>
      </c>
      <c r="AH52" s="185">
        <v>1923.0769230769199</v>
      </c>
      <c r="AI52" s="185">
        <v>1538.4615384615399</v>
      </c>
      <c r="AJ52" s="185">
        <v>1538.4615384615399</v>
      </c>
      <c r="AK52" s="185">
        <v>1923.0769230769199</v>
      </c>
      <c r="AL52" s="186">
        <f t="shared" si="58"/>
        <v>19461.538461538457</v>
      </c>
      <c r="AM52" s="221"/>
      <c r="AN52" s="187">
        <v>1538.4615384615399</v>
      </c>
      <c r="AO52" s="187">
        <v>1538.4615384615399</v>
      </c>
      <c r="AP52" s="187">
        <v>1923.0769230769199</v>
      </c>
      <c r="AQ52" s="187">
        <v>1538.4615384615399</v>
      </c>
      <c r="AR52" s="187">
        <v>1538.4615384615399</v>
      </c>
      <c r="AS52" s="187">
        <v>1923.0769230769199</v>
      </c>
      <c r="AT52" s="187">
        <v>1538.4615384615399</v>
      </c>
      <c r="AU52" s="187">
        <v>1538.4615384615399</v>
      </c>
      <c r="AV52" s="187">
        <v>1923.0769230769199</v>
      </c>
      <c r="AW52" s="187">
        <v>1538.4615384615399</v>
      </c>
      <c r="AX52" s="187">
        <v>1538.4615384615399</v>
      </c>
      <c r="AY52" s="187">
        <v>1923.0769230769199</v>
      </c>
      <c r="AZ52" s="186">
        <f t="shared" si="59"/>
        <v>19999.999999999996</v>
      </c>
      <c r="BA52" s="221"/>
      <c r="BB52" s="187">
        <v>1538.4615384615399</v>
      </c>
      <c r="BC52" s="187">
        <v>1538.4615384615399</v>
      </c>
      <c r="BD52" s="187">
        <v>1923.0769230769199</v>
      </c>
      <c r="BE52" s="187">
        <v>1538.4615384615399</v>
      </c>
      <c r="BF52" s="187">
        <v>1538.4615384615399</v>
      </c>
      <c r="BG52" s="187">
        <v>1923.0769230769199</v>
      </c>
      <c r="BH52" s="187">
        <v>1538.4615384615399</v>
      </c>
      <c r="BI52" s="187">
        <v>1538.4615384615399</v>
      </c>
      <c r="BJ52" s="187">
        <v>1923.0769230769199</v>
      </c>
      <c r="BK52" s="187">
        <v>1538.4615384615399</v>
      </c>
      <c r="BL52" s="187">
        <v>1538.4615384615399</v>
      </c>
      <c r="BM52" s="187">
        <v>1923.0769230769199</v>
      </c>
      <c r="BN52" s="186">
        <f t="shared" si="60"/>
        <v>19999.999999999996</v>
      </c>
      <c r="BP52"/>
      <c r="BQ52"/>
      <c r="BR52"/>
      <c r="BS52"/>
      <c r="BT52"/>
      <c r="BU52"/>
      <c r="BV52"/>
      <c r="BW52"/>
      <c r="BX52"/>
      <c r="BY52"/>
      <c r="BZ52"/>
      <c r="CA52"/>
      <c r="CB52"/>
    </row>
    <row r="53" spans="1:80" ht="11.95" outlineLevel="1" thickBot="1" x14ac:dyDescent="0.3">
      <c r="E53" s="3"/>
      <c r="F53" s="3"/>
      <c r="G53" s="256" t="s">
        <v>105</v>
      </c>
      <c r="H53" s="3"/>
      <c r="I53" s="18"/>
      <c r="J53" s="18"/>
      <c r="K53" s="18"/>
      <c r="L53" s="185">
        <v>0</v>
      </c>
      <c r="M53" s="185">
        <v>0</v>
      </c>
      <c r="N53" s="185">
        <v>0</v>
      </c>
      <c r="O53" s="185">
        <v>0</v>
      </c>
      <c r="P53" s="185">
        <v>0</v>
      </c>
      <c r="Q53" s="185">
        <v>16490.68</v>
      </c>
      <c r="R53" s="185">
        <v>6946.92</v>
      </c>
      <c r="S53" s="185">
        <v>10471.57</v>
      </c>
      <c r="T53" s="185">
        <v>4189.7299999999996</v>
      </c>
      <c r="U53" s="185">
        <v>9168.32</v>
      </c>
      <c r="V53" s="185">
        <v>9847.32</v>
      </c>
      <c r="W53" s="185">
        <v>2390.16</v>
      </c>
      <c r="X53" s="186">
        <f t="shared" si="51"/>
        <v>59504.7</v>
      </c>
      <c r="Y53" s="219"/>
      <c r="Z53" s="185">
        <v>8448.41</v>
      </c>
      <c r="AA53" s="185">
        <v>6000</v>
      </c>
      <c r="AB53" s="185">
        <v>6000</v>
      </c>
      <c r="AC53" s="185">
        <v>6000</v>
      </c>
      <c r="AD53" s="185">
        <v>6000</v>
      </c>
      <c r="AE53" s="185">
        <v>6000</v>
      </c>
      <c r="AF53" s="185">
        <v>6000</v>
      </c>
      <c r="AG53" s="185">
        <v>6000</v>
      </c>
      <c r="AH53" s="185">
        <v>6000</v>
      </c>
      <c r="AI53" s="185">
        <v>6000</v>
      </c>
      <c r="AJ53" s="185">
        <v>6000</v>
      </c>
      <c r="AK53" s="185">
        <v>6000</v>
      </c>
      <c r="AL53" s="186">
        <f t="shared" si="52"/>
        <v>74448.41</v>
      </c>
      <c r="AM53" s="221"/>
      <c r="AN53" s="187">
        <v>6000</v>
      </c>
      <c r="AO53" s="187">
        <v>6000</v>
      </c>
      <c r="AP53" s="187">
        <v>6000</v>
      </c>
      <c r="AQ53" s="187">
        <v>6000</v>
      </c>
      <c r="AR53" s="187">
        <v>6000</v>
      </c>
      <c r="AS53" s="187">
        <v>6000</v>
      </c>
      <c r="AT53" s="187">
        <v>6000</v>
      </c>
      <c r="AU53" s="187">
        <v>6000</v>
      </c>
      <c r="AV53" s="187">
        <v>6000</v>
      </c>
      <c r="AW53" s="187">
        <v>6000</v>
      </c>
      <c r="AX53" s="187">
        <v>6000</v>
      </c>
      <c r="AY53" s="187">
        <v>6000</v>
      </c>
      <c r="AZ53" s="186">
        <f t="shared" si="53"/>
        <v>72000</v>
      </c>
      <c r="BA53" s="221"/>
      <c r="BB53" s="187">
        <v>6000</v>
      </c>
      <c r="BC53" s="187">
        <v>6000</v>
      </c>
      <c r="BD53" s="187">
        <v>6000</v>
      </c>
      <c r="BE53" s="187">
        <v>6000</v>
      </c>
      <c r="BF53" s="187">
        <v>6000</v>
      </c>
      <c r="BG53" s="187">
        <v>6000</v>
      </c>
      <c r="BH53" s="187">
        <v>6000</v>
      </c>
      <c r="BI53" s="187">
        <v>6000</v>
      </c>
      <c r="BJ53" s="187">
        <v>6000</v>
      </c>
      <c r="BK53" s="187">
        <v>6000</v>
      </c>
      <c r="BL53" s="187">
        <v>6000</v>
      </c>
      <c r="BM53" s="187">
        <v>6000</v>
      </c>
      <c r="BN53" s="186">
        <f t="shared" si="54"/>
        <v>72000</v>
      </c>
      <c r="BP53"/>
      <c r="BQ53"/>
      <c r="BR53"/>
      <c r="BS53"/>
      <c r="BT53"/>
      <c r="BU53"/>
      <c r="BV53"/>
      <c r="BW53"/>
      <c r="BX53"/>
      <c r="BY53"/>
      <c r="BZ53"/>
      <c r="CA53"/>
      <c r="CB53"/>
    </row>
    <row r="54" spans="1:80" ht="11.95" hidden="1" outlineLevel="2" thickBot="1" x14ac:dyDescent="0.3">
      <c r="A54" t="str">
        <f t="shared" ref="A54" si="61">IF(LEFT(G54,3)="Mul", "#hiderow", "#showrow")</f>
        <v>#hiderow</v>
      </c>
      <c r="E54" s="3"/>
      <c r="F54" s="3"/>
      <c r="G54" s="255" t="s">
        <v>6</v>
      </c>
      <c r="H54" s="3"/>
      <c r="I54" s="18"/>
      <c r="J54" s="18"/>
      <c r="K54" s="18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6">
        <f t="shared" si="51"/>
        <v>0</v>
      </c>
      <c r="Y54" s="219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6">
        <f t="shared" si="52"/>
        <v>0</v>
      </c>
      <c r="AM54" s="221"/>
      <c r="AN54" s="187"/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187"/>
      <c r="AZ54" s="186">
        <f t="shared" si="53"/>
        <v>0</v>
      </c>
      <c r="BA54" s="221"/>
      <c r="BB54" s="187"/>
      <c r="BC54" s="187"/>
      <c r="BD54" s="187"/>
      <c r="BE54" s="187"/>
      <c r="BF54" s="187"/>
      <c r="BG54" s="187"/>
      <c r="BH54" s="187"/>
      <c r="BI54" s="187"/>
      <c r="BJ54" s="187"/>
      <c r="BK54" s="187"/>
      <c r="BL54" s="187"/>
      <c r="BM54" s="187"/>
      <c r="BN54" s="186">
        <f t="shared" si="54"/>
        <v>0</v>
      </c>
      <c r="BP54"/>
      <c r="BQ54"/>
      <c r="BR54"/>
      <c r="BS54"/>
      <c r="BT54"/>
      <c r="BU54"/>
      <c r="BV54"/>
      <c r="BW54"/>
      <c r="BX54"/>
      <c r="BY54"/>
      <c r="BZ54"/>
      <c r="CA54"/>
      <c r="CB54"/>
    </row>
    <row r="55" spans="1:80" ht="11.95" outlineLevel="2" thickBot="1" x14ac:dyDescent="0.3">
      <c r="A55" t="str">
        <f t="shared" ref="A55:A63" si="62">IF(LEFT(G55,3)="Mul", "#hiderow", "#showrow")</f>
        <v>#showrow</v>
      </c>
      <c r="E55" s="3"/>
      <c r="F55" s="3"/>
      <c r="G55" s="255" t="s">
        <v>164</v>
      </c>
      <c r="H55" s="3"/>
      <c r="I55" s="18"/>
      <c r="J55" s="18"/>
      <c r="K55" s="18"/>
      <c r="L55" s="185"/>
      <c r="M55" s="185"/>
      <c r="N55" s="185"/>
      <c r="O55" s="185"/>
      <c r="P55" s="185"/>
      <c r="Q55" s="185">
        <v>12635.1</v>
      </c>
      <c r="R55" s="185">
        <v>942.43</v>
      </c>
      <c r="S55" s="185">
        <v>2955.58</v>
      </c>
      <c r="T55" s="185"/>
      <c r="U55" s="185"/>
      <c r="V55" s="185">
        <v>2844.73</v>
      </c>
      <c r="W55" s="185"/>
      <c r="X55" s="186">
        <f t="shared" ref="X55:X63" si="63">SUM(L55:W55)</f>
        <v>19377.84</v>
      </c>
      <c r="Y55" s="219"/>
      <c r="Z55" s="185">
        <v>3958.01</v>
      </c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6">
        <f t="shared" ref="AL55:AL63" si="64">SUM(Z55:AK55)</f>
        <v>3958.01</v>
      </c>
      <c r="AM55" s="221"/>
      <c r="AN55" s="187"/>
      <c r="AO55" s="187"/>
      <c r="AP55" s="187"/>
      <c r="AQ55" s="187"/>
      <c r="AR55" s="187"/>
      <c r="AS55" s="187"/>
      <c r="AT55" s="187"/>
      <c r="AU55" s="187"/>
      <c r="AV55" s="187"/>
      <c r="AW55" s="187"/>
      <c r="AX55" s="187"/>
      <c r="AY55" s="187"/>
      <c r="AZ55" s="186">
        <f t="shared" ref="AZ55:AZ63" si="65">SUM(AN55:AY55)</f>
        <v>0</v>
      </c>
      <c r="BA55" s="221"/>
      <c r="BB55" s="187"/>
      <c r="BC55" s="187"/>
      <c r="BD55" s="187"/>
      <c r="BE55" s="187"/>
      <c r="BF55" s="187"/>
      <c r="BG55" s="187"/>
      <c r="BH55" s="187"/>
      <c r="BI55" s="187"/>
      <c r="BJ55" s="187"/>
      <c r="BK55" s="187"/>
      <c r="BL55" s="187"/>
      <c r="BM55" s="187"/>
      <c r="BN55" s="186">
        <f t="shared" ref="BN55:BN63" si="66">SUM(BB55:BM55)</f>
        <v>0</v>
      </c>
      <c r="BP55"/>
      <c r="BQ55"/>
      <c r="BR55"/>
      <c r="BS55"/>
      <c r="BT55"/>
      <c r="BU55"/>
      <c r="BV55"/>
      <c r="BW55"/>
      <c r="BX55"/>
      <c r="BY55"/>
      <c r="BZ55"/>
      <c r="CA55"/>
      <c r="CB55"/>
    </row>
    <row r="56" spans="1:80" ht="11.95" outlineLevel="2" thickBot="1" x14ac:dyDescent="0.3">
      <c r="A56" t="str">
        <f t="shared" si="62"/>
        <v>#showrow</v>
      </c>
      <c r="E56" s="3"/>
      <c r="F56" s="3"/>
      <c r="G56" s="255" t="s">
        <v>165</v>
      </c>
      <c r="H56" s="3"/>
      <c r="I56" s="18"/>
      <c r="J56" s="18"/>
      <c r="K56" s="18"/>
      <c r="L56" s="185"/>
      <c r="M56" s="185"/>
      <c r="N56" s="185"/>
      <c r="O56" s="185"/>
      <c r="P56" s="185"/>
      <c r="Q56" s="185">
        <v>307.74</v>
      </c>
      <c r="R56" s="185"/>
      <c r="S56" s="185"/>
      <c r="T56" s="185">
        <v>317</v>
      </c>
      <c r="U56" s="185">
        <v>545.49</v>
      </c>
      <c r="V56" s="185">
        <v>351.4</v>
      </c>
      <c r="W56" s="185">
        <v>250</v>
      </c>
      <c r="X56" s="186">
        <f t="shared" si="63"/>
        <v>1771.63</v>
      </c>
      <c r="Y56" s="219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6">
        <f t="shared" si="64"/>
        <v>0</v>
      </c>
      <c r="AM56" s="221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87"/>
      <c r="AZ56" s="186">
        <f t="shared" si="65"/>
        <v>0</v>
      </c>
      <c r="BA56" s="221"/>
      <c r="BB56" s="187"/>
      <c r="BC56" s="187"/>
      <c r="BD56" s="187"/>
      <c r="BE56" s="187"/>
      <c r="BF56" s="187"/>
      <c r="BG56" s="187"/>
      <c r="BH56" s="187"/>
      <c r="BI56" s="187"/>
      <c r="BJ56" s="187"/>
      <c r="BK56" s="187"/>
      <c r="BL56" s="187"/>
      <c r="BM56" s="187"/>
      <c r="BN56" s="186">
        <f t="shared" si="66"/>
        <v>0</v>
      </c>
      <c r="BP56"/>
      <c r="BQ56"/>
      <c r="BR56"/>
      <c r="BS56"/>
      <c r="BT56"/>
      <c r="BU56"/>
      <c r="BV56"/>
      <c r="BW56"/>
      <c r="BX56"/>
      <c r="BY56"/>
      <c r="BZ56"/>
      <c r="CA56"/>
      <c r="CB56"/>
    </row>
    <row r="57" spans="1:80" ht="11.95" outlineLevel="2" thickBot="1" x14ac:dyDescent="0.3">
      <c r="A57" t="str">
        <f t="shared" si="62"/>
        <v>#showrow</v>
      </c>
      <c r="E57" s="3"/>
      <c r="F57" s="3"/>
      <c r="G57" s="255" t="s">
        <v>166</v>
      </c>
      <c r="H57" s="3"/>
      <c r="I57" s="18"/>
      <c r="J57" s="18"/>
      <c r="K57" s="18"/>
      <c r="L57" s="185"/>
      <c r="M57" s="185"/>
      <c r="N57" s="185"/>
      <c r="O57" s="185"/>
      <c r="P57" s="185"/>
      <c r="Q57" s="185"/>
      <c r="R57" s="185">
        <v>711.05</v>
      </c>
      <c r="S57" s="185"/>
      <c r="T57" s="185">
        <v>141.5</v>
      </c>
      <c r="U57" s="185"/>
      <c r="V57" s="185"/>
      <c r="W57" s="185">
        <v>33.15</v>
      </c>
      <c r="X57" s="186">
        <f t="shared" si="63"/>
        <v>885.69999999999993</v>
      </c>
      <c r="Y57" s="219"/>
      <c r="Z57" s="185">
        <v>1126.98</v>
      </c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6">
        <f t="shared" si="64"/>
        <v>1126.98</v>
      </c>
      <c r="AM57" s="221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6">
        <f t="shared" si="65"/>
        <v>0</v>
      </c>
      <c r="BA57" s="221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6">
        <f t="shared" si="66"/>
        <v>0</v>
      </c>
      <c r="BP57"/>
      <c r="BQ57"/>
      <c r="BR57"/>
      <c r="BS57"/>
      <c r="BT57"/>
      <c r="BU57"/>
      <c r="BV57"/>
      <c r="BW57"/>
      <c r="BX57"/>
      <c r="BY57"/>
      <c r="BZ57"/>
      <c r="CA57"/>
      <c r="CB57"/>
    </row>
    <row r="58" spans="1:80" ht="11.95" outlineLevel="2" thickBot="1" x14ac:dyDescent="0.3">
      <c r="A58" t="str">
        <f t="shared" si="62"/>
        <v>#showrow</v>
      </c>
      <c r="E58" s="3"/>
      <c r="F58" s="3"/>
      <c r="G58" s="255" t="s">
        <v>167</v>
      </c>
      <c r="H58" s="3"/>
      <c r="I58" s="18"/>
      <c r="J58" s="18"/>
      <c r="K58" s="18"/>
      <c r="L58" s="185"/>
      <c r="M58" s="185"/>
      <c r="N58" s="185"/>
      <c r="O58" s="185"/>
      <c r="P58" s="185"/>
      <c r="Q58" s="185">
        <v>1856.07</v>
      </c>
      <c r="R58" s="185"/>
      <c r="S58" s="185">
        <v>2143.7600000000002</v>
      </c>
      <c r="T58" s="185">
        <v>1485.21</v>
      </c>
      <c r="U58" s="185">
        <v>7745.51</v>
      </c>
      <c r="V58" s="185">
        <v>1451.1</v>
      </c>
      <c r="W58" s="185"/>
      <c r="X58" s="186">
        <f t="shared" si="63"/>
        <v>14681.65</v>
      </c>
      <c r="Y58" s="219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6">
        <f t="shared" si="64"/>
        <v>0</v>
      </c>
      <c r="AM58" s="221"/>
      <c r="AN58" s="187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187"/>
      <c r="AZ58" s="186">
        <f t="shared" si="65"/>
        <v>0</v>
      </c>
      <c r="BA58" s="221"/>
      <c r="BB58" s="187"/>
      <c r="BC58" s="187"/>
      <c r="BD58" s="187"/>
      <c r="BE58" s="187"/>
      <c r="BF58" s="187"/>
      <c r="BG58" s="187"/>
      <c r="BH58" s="187"/>
      <c r="BI58" s="187"/>
      <c r="BJ58" s="187"/>
      <c r="BK58" s="187"/>
      <c r="BL58" s="187"/>
      <c r="BM58" s="187"/>
      <c r="BN58" s="186">
        <f t="shared" si="66"/>
        <v>0</v>
      </c>
      <c r="BP58"/>
      <c r="BQ58"/>
      <c r="BR58"/>
      <c r="BS58"/>
      <c r="BT58"/>
      <c r="BU58"/>
      <c r="BV58"/>
      <c r="BW58"/>
      <c r="BX58"/>
      <c r="BY58"/>
      <c r="BZ58"/>
      <c r="CA58"/>
      <c r="CB58"/>
    </row>
    <row r="59" spans="1:80" ht="11.95" outlineLevel="2" thickBot="1" x14ac:dyDescent="0.3">
      <c r="A59" t="str">
        <f t="shared" si="62"/>
        <v>#showrow</v>
      </c>
      <c r="E59" s="3"/>
      <c r="F59" s="3"/>
      <c r="G59" s="255" t="s">
        <v>170</v>
      </c>
      <c r="H59" s="3"/>
      <c r="I59" s="18"/>
      <c r="J59" s="18"/>
      <c r="K59" s="18"/>
      <c r="L59" s="185"/>
      <c r="M59" s="185"/>
      <c r="N59" s="185"/>
      <c r="O59" s="185"/>
      <c r="P59" s="185"/>
      <c r="Q59" s="185">
        <v>48.88</v>
      </c>
      <c r="R59" s="185">
        <v>582.41</v>
      </c>
      <c r="S59" s="185">
        <v>757.19</v>
      </c>
      <c r="T59" s="185">
        <v>403.4</v>
      </c>
      <c r="U59" s="185"/>
      <c r="V59" s="185">
        <v>315.63</v>
      </c>
      <c r="W59" s="185">
        <v>186.25</v>
      </c>
      <c r="X59" s="186">
        <f t="shared" si="63"/>
        <v>2293.7600000000002</v>
      </c>
      <c r="Y59" s="219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6">
        <f t="shared" si="64"/>
        <v>0</v>
      </c>
      <c r="AM59" s="221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6">
        <f t="shared" si="65"/>
        <v>0</v>
      </c>
      <c r="BA59" s="221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6">
        <f t="shared" si="66"/>
        <v>0</v>
      </c>
      <c r="BP59"/>
      <c r="BQ59"/>
      <c r="BR59"/>
      <c r="BS59"/>
      <c r="BT59"/>
      <c r="BU59"/>
      <c r="BV59"/>
      <c r="BW59"/>
      <c r="BX59"/>
      <c r="BY59"/>
      <c r="BZ59"/>
      <c r="CA59"/>
      <c r="CB59"/>
    </row>
    <row r="60" spans="1:80" ht="11.95" outlineLevel="2" thickBot="1" x14ac:dyDescent="0.3">
      <c r="A60" t="str">
        <f t="shared" si="62"/>
        <v>#showrow</v>
      </c>
      <c r="E60" s="3"/>
      <c r="F60" s="3"/>
      <c r="G60" s="255" t="s">
        <v>171</v>
      </c>
      <c r="H60" s="3"/>
      <c r="I60" s="18"/>
      <c r="J60" s="18"/>
      <c r="K60" s="18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>
        <v>146.80000000000001</v>
      </c>
      <c r="W60" s="185">
        <v>73.36</v>
      </c>
      <c r="X60" s="186">
        <f t="shared" si="63"/>
        <v>220.16000000000003</v>
      </c>
      <c r="Y60" s="219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6">
        <f t="shared" si="64"/>
        <v>0</v>
      </c>
      <c r="AM60" s="221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6">
        <f t="shared" si="65"/>
        <v>0</v>
      </c>
      <c r="BA60" s="221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6">
        <f t="shared" si="66"/>
        <v>0</v>
      </c>
      <c r="BP60"/>
      <c r="BQ60"/>
      <c r="BR60"/>
      <c r="BS60"/>
      <c r="BT60"/>
      <c r="BU60"/>
      <c r="BV60"/>
      <c r="BW60"/>
      <c r="BX60"/>
      <c r="BY60"/>
      <c r="BZ60"/>
      <c r="CA60"/>
      <c r="CB60"/>
    </row>
    <row r="61" spans="1:80" ht="11.95" outlineLevel="2" thickBot="1" x14ac:dyDescent="0.3">
      <c r="A61" t="str">
        <f t="shared" si="62"/>
        <v>#showrow</v>
      </c>
      <c r="E61" s="3"/>
      <c r="F61" s="3"/>
      <c r="G61" s="255" t="s">
        <v>172</v>
      </c>
      <c r="H61" s="3"/>
      <c r="I61" s="18"/>
      <c r="J61" s="18"/>
      <c r="K61" s="18"/>
      <c r="L61" s="185"/>
      <c r="M61" s="185"/>
      <c r="N61" s="185"/>
      <c r="O61" s="185"/>
      <c r="P61" s="185"/>
      <c r="Q61" s="185">
        <v>104.65</v>
      </c>
      <c r="R61" s="185">
        <v>4228.63</v>
      </c>
      <c r="S61" s="185">
        <v>2089.75</v>
      </c>
      <c r="T61" s="185">
        <v>972.34</v>
      </c>
      <c r="U61" s="185"/>
      <c r="V61" s="185">
        <v>4488.66</v>
      </c>
      <c r="W61" s="185">
        <v>194.9</v>
      </c>
      <c r="X61" s="186">
        <f t="shared" si="63"/>
        <v>12078.929999999998</v>
      </c>
      <c r="Y61" s="219"/>
      <c r="Z61" s="185">
        <v>3363.42</v>
      </c>
      <c r="AA61" s="185">
        <v>6000</v>
      </c>
      <c r="AB61" s="185">
        <v>6000</v>
      </c>
      <c r="AC61" s="185">
        <v>6000</v>
      </c>
      <c r="AD61" s="185">
        <v>6000</v>
      </c>
      <c r="AE61" s="185">
        <v>6000</v>
      </c>
      <c r="AF61" s="185">
        <v>6000</v>
      </c>
      <c r="AG61" s="185">
        <v>6000</v>
      </c>
      <c r="AH61" s="185">
        <v>6000</v>
      </c>
      <c r="AI61" s="185">
        <v>6000</v>
      </c>
      <c r="AJ61" s="185">
        <v>6000</v>
      </c>
      <c r="AK61" s="185">
        <v>6000</v>
      </c>
      <c r="AL61" s="186">
        <f t="shared" si="64"/>
        <v>69363.42</v>
      </c>
      <c r="AM61" s="221"/>
      <c r="AN61" s="187">
        <v>6000</v>
      </c>
      <c r="AO61" s="187">
        <v>6000</v>
      </c>
      <c r="AP61" s="187">
        <v>6000</v>
      </c>
      <c r="AQ61" s="187">
        <v>6000</v>
      </c>
      <c r="AR61" s="187">
        <v>6000</v>
      </c>
      <c r="AS61" s="187">
        <v>6000</v>
      </c>
      <c r="AT61" s="187">
        <v>6000</v>
      </c>
      <c r="AU61" s="187">
        <v>6000</v>
      </c>
      <c r="AV61" s="187">
        <v>6000</v>
      </c>
      <c r="AW61" s="187">
        <v>6000</v>
      </c>
      <c r="AX61" s="187">
        <v>6000</v>
      </c>
      <c r="AY61" s="187">
        <v>6000</v>
      </c>
      <c r="AZ61" s="186">
        <f t="shared" si="65"/>
        <v>72000</v>
      </c>
      <c r="BA61" s="221"/>
      <c r="BB61" s="187">
        <v>6000</v>
      </c>
      <c r="BC61" s="187">
        <v>6000</v>
      </c>
      <c r="BD61" s="187">
        <v>6000</v>
      </c>
      <c r="BE61" s="187">
        <v>6000</v>
      </c>
      <c r="BF61" s="187">
        <v>6000</v>
      </c>
      <c r="BG61" s="187">
        <v>6000</v>
      </c>
      <c r="BH61" s="187">
        <v>6000</v>
      </c>
      <c r="BI61" s="187">
        <v>6000</v>
      </c>
      <c r="BJ61" s="187">
        <v>6000</v>
      </c>
      <c r="BK61" s="187">
        <v>6000</v>
      </c>
      <c r="BL61" s="187">
        <v>6000</v>
      </c>
      <c r="BM61" s="187">
        <v>6000</v>
      </c>
      <c r="BN61" s="186">
        <f t="shared" si="66"/>
        <v>72000</v>
      </c>
      <c r="BP61"/>
      <c r="BQ61"/>
      <c r="BR61"/>
      <c r="BS61"/>
      <c r="BT61"/>
      <c r="BU61"/>
      <c r="BV61"/>
      <c r="BW61"/>
      <c r="BX61"/>
      <c r="BY61"/>
      <c r="BZ61"/>
      <c r="CA61"/>
      <c r="CB61"/>
    </row>
    <row r="62" spans="1:80" ht="11.95" outlineLevel="2" thickBot="1" x14ac:dyDescent="0.3">
      <c r="A62" t="str">
        <f t="shared" si="62"/>
        <v>#showrow</v>
      </c>
      <c r="E62" s="3"/>
      <c r="F62" s="3"/>
      <c r="G62" s="255" t="s">
        <v>173</v>
      </c>
      <c r="H62" s="3"/>
      <c r="I62" s="18"/>
      <c r="J62" s="18"/>
      <c r="K62" s="18"/>
      <c r="L62" s="185"/>
      <c r="M62" s="185"/>
      <c r="N62" s="185"/>
      <c r="O62" s="185"/>
      <c r="P62" s="185"/>
      <c r="Q62" s="185"/>
      <c r="R62" s="185"/>
      <c r="S62" s="185">
        <v>767.94</v>
      </c>
      <c r="T62" s="185"/>
      <c r="U62" s="185"/>
      <c r="V62" s="185">
        <v>249</v>
      </c>
      <c r="W62" s="185"/>
      <c r="X62" s="186">
        <f t="shared" si="63"/>
        <v>1016.94</v>
      </c>
      <c r="Y62" s="219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6">
        <f t="shared" si="64"/>
        <v>0</v>
      </c>
      <c r="AM62" s="221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6">
        <f t="shared" si="65"/>
        <v>0</v>
      </c>
      <c r="BA62" s="221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6">
        <f t="shared" si="66"/>
        <v>0</v>
      </c>
      <c r="BP62"/>
      <c r="BQ62"/>
      <c r="BR62"/>
      <c r="BS62"/>
      <c r="BT62"/>
      <c r="BU62"/>
      <c r="BV62"/>
      <c r="BW62"/>
      <c r="BX62"/>
      <c r="BY62"/>
      <c r="BZ62"/>
      <c r="CA62"/>
      <c r="CB62"/>
    </row>
    <row r="63" spans="1:80" ht="11.95" outlineLevel="2" thickBot="1" x14ac:dyDescent="0.3">
      <c r="A63" t="str">
        <f t="shared" si="62"/>
        <v>#showrow</v>
      </c>
      <c r="E63" s="3"/>
      <c r="F63" s="3"/>
      <c r="G63" s="255" t="s">
        <v>174</v>
      </c>
      <c r="H63" s="3"/>
      <c r="I63" s="18"/>
      <c r="J63" s="18"/>
      <c r="K63" s="18"/>
      <c r="L63" s="185"/>
      <c r="M63" s="185"/>
      <c r="N63" s="185"/>
      <c r="O63" s="185"/>
      <c r="P63" s="185"/>
      <c r="Q63" s="185">
        <v>1538.24</v>
      </c>
      <c r="R63" s="185">
        <v>482.4</v>
      </c>
      <c r="S63" s="185">
        <v>1757.35</v>
      </c>
      <c r="T63" s="185">
        <v>870.28</v>
      </c>
      <c r="U63" s="185">
        <v>877.32</v>
      </c>
      <c r="V63" s="185"/>
      <c r="W63" s="185">
        <v>1652.5</v>
      </c>
      <c r="X63" s="186">
        <f t="shared" si="63"/>
        <v>7178.0899999999992</v>
      </c>
      <c r="Y63" s="219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6">
        <f t="shared" si="64"/>
        <v>0</v>
      </c>
      <c r="AM63" s="221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6">
        <f t="shared" si="65"/>
        <v>0</v>
      </c>
      <c r="BA63" s="221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6">
        <f t="shared" si="66"/>
        <v>0</v>
      </c>
      <c r="BP63"/>
      <c r="BQ63"/>
      <c r="BR63"/>
      <c r="BS63"/>
      <c r="BT63"/>
      <c r="BU63"/>
      <c r="BV63"/>
      <c r="BW63"/>
      <c r="BX63"/>
      <c r="BY63"/>
      <c r="BZ63"/>
      <c r="CA63"/>
      <c r="CB63"/>
    </row>
    <row r="64" spans="1:80" ht="11.95" outlineLevel="1" thickBot="1" x14ac:dyDescent="0.3">
      <c r="E64" s="3"/>
      <c r="F64" s="3"/>
      <c r="G64" s="256" t="s">
        <v>106</v>
      </c>
      <c r="H64" s="3"/>
      <c r="I64" s="18"/>
      <c r="J64" s="18"/>
      <c r="K64" s="18"/>
      <c r="L64" s="185">
        <v>0</v>
      </c>
      <c r="M64" s="185">
        <v>0</v>
      </c>
      <c r="N64" s="185">
        <v>0</v>
      </c>
      <c r="O64" s="185">
        <v>0</v>
      </c>
      <c r="P64" s="185">
        <v>0</v>
      </c>
      <c r="Q64" s="185">
        <v>0</v>
      </c>
      <c r="R64" s="185">
        <v>-186528.93</v>
      </c>
      <c r="S64" s="185">
        <v>-109471.19</v>
      </c>
      <c r="T64" s="185">
        <v>-67119.12</v>
      </c>
      <c r="U64" s="185">
        <v>-93295.35</v>
      </c>
      <c r="V64" s="185">
        <v>-53786.92</v>
      </c>
      <c r="W64" s="185">
        <v>-105094.04</v>
      </c>
      <c r="X64" s="186">
        <f t="shared" si="51"/>
        <v>-615295.54999999993</v>
      </c>
      <c r="Y64" s="219"/>
      <c r="Z64" s="185">
        <v>-84749.62</v>
      </c>
      <c r="AA64" s="185">
        <v>-78394.942538461502</v>
      </c>
      <c r="AB64" s="185">
        <v>-84068.6781730769</v>
      </c>
      <c r="AC64" s="185">
        <v>-78394.942538461502</v>
      </c>
      <c r="AD64" s="185">
        <v>-78394.942538461502</v>
      </c>
      <c r="AE64" s="185">
        <v>-84068.6781730769</v>
      </c>
      <c r="AF64" s="185">
        <v>-78394.942538461502</v>
      </c>
      <c r="AG64" s="185">
        <v>-78394.942538461502</v>
      </c>
      <c r="AH64" s="185">
        <v>-84068.6781730769</v>
      </c>
      <c r="AI64" s="185">
        <v>-78394.942538461502</v>
      </c>
      <c r="AJ64" s="185">
        <v>-78394.942538461502</v>
      </c>
      <c r="AK64" s="185">
        <v>-84068.6781730769</v>
      </c>
      <c r="AL64" s="186">
        <f t="shared" si="52"/>
        <v>-969788.93046153826</v>
      </c>
      <c r="AM64" s="221"/>
      <c r="AN64" s="187">
        <v>-78394.942538461502</v>
      </c>
      <c r="AO64" s="187">
        <v>-78394.942538461502</v>
      </c>
      <c r="AP64" s="187">
        <v>-84068.6781730769</v>
      </c>
      <c r="AQ64" s="187">
        <v>-78394.942538461502</v>
      </c>
      <c r="AR64" s="187">
        <v>-78394.942538461502</v>
      </c>
      <c r="AS64" s="187">
        <v>-84068.6781730769</v>
      </c>
      <c r="AT64" s="187">
        <v>-78394.942538461502</v>
      </c>
      <c r="AU64" s="187">
        <v>-78394.942538461502</v>
      </c>
      <c r="AV64" s="187">
        <v>-84068.6781730769</v>
      </c>
      <c r="AW64" s="187">
        <v>-78394.942538461502</v>
      </c>
      <c r="AX64" s="187">
        <v>-78394.942538461502</v>
      </c>
      <c r="AY64" s="187">
        <v>-84068.6781730769</v>
      </c>
      <c r="AZ64" s="186">
        <f t="shared" si="53"/>
        <v>-963434.25299999979</v>
      </c>
      <c r="BA64" s="221"/>
      <c r="BB64" s="187">
        <v>-78394.942538461502</v>
      </c>
      <c r="BC64" s="187">
        <v>-78394.942538461502</v>
      </c>
      <c r="BD64" s="187">
        <v>-84068.6781730769</v>
      </c>
      <c r="BE64" s="187">
        <v>-78394.942538461502</v>
      </c>
      <c r="BF64" s="187">
        <v>-78394.942538461502</v>
      </c>
      <c r="BG64" s="187">
        <v>-84068.6781730769</v>
      </c>
      <c r="BH64" s="187">
        <v>-78394.942538461502</v>
      </c>
      <c r="BI64" s="187">
        <v>-78394.942538461502</v>
      </c>
      <c r="BJ64" s="187">
        <v>-84068.6781730769</v>
      </c>
      <c r="BK64" s="187">
        <v>-78394.942538461502</v>
      </c>
      <c r="BL64" s="187">
        <v>-78394.942538461502</v>
      </c>
      <c r="BM64" s="187">
        <v>-84068.6781730769</v>
      </c>
      <c r="BN64" s="186">
        <f t="shared" si="54"/>
        <v>-963434.25299999979</v>
      </c>
      <c r="BP64"/>
      <c r="BQ64"/>
      <c r="BR64"/>
      <c r="BS64"/>
      <c r="BT64"/>
      <c r="BU64"/>
      <c r="BV64"/>
      <c r="BW64"/>
      <c r="BX64"/>
      <c r="BY64"/>
      <c r="BZ64"/>
      <c r="CA64"/>
      <c r="CB64"/>
    </row>
    <row r="65" spans="1:80" ht="11.95" hidden="1" outlineLevel="2" thickBot="1" x14ac:dyDescent="0.3">
      <c r="A65" t="str">
        <f>IF(LEFT(G65,3)="Mul", "#hiderow", "#showrow")</f>
        <v>#hiderow</v>
      </c>
      <c r="E65" s="3"/>
      <c r="F65" s="3"/>
      <c r="G65" s="255" t="s">
        <v>6</v>
      </c>
      <c r="H65" s="3"/>
      <c r="I65" s="18"/>
      <c r="J65" s="18"/>
      <c r="K65" s="18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6">
        <f t="shared" si="51"/>
        <v>0</v>
      </c>
      <c r="Y65" s="219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6">
        <f t="shared" si="52"/>
        <v>0</v>
      </c>
      <c r="AM65" s="221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6">
        <f t="shared" si="53"/>
        <v>0</v>
      </c>
      <c r="BA65" s="221"/>
      <c r="BB65" s="187"/>
      <c r="BC65" s="187"/>
      <c r="BD65" s="187"/>
      <c r="BE65" s="187"/>
      <c r="BF65" s="187"/>
      <c r="BG65" s="187"/>
      <c r="BH65" s="187"/>
      <c r="BI65" s="187"/>
      <c r="BJ65" s="187"/>
      <c r="BK65" s="187"/>
      <c r="BL65" s="187"/>
      <c r="BM65" s="187"/>
      <c r="BN65" s="186">
        <f t="shared" si="54"/>
        <v>0</v>
      </c>
      <c r="BP65"/>
      <c r="BQ65"/>
      <c r="BR65"/>
      <c r="BS65"/>
      <c r="BT65"/>
      <c r="BU65"/>
      <c r="BV65"/>
      <c r="BW65"/>
      <c r="BX65"/>
      <c r="BY65"/>
      <c r="BZ65"/>
      <c r="CA65"/>
      <c r="CB65"/>
    </row>
    <row r="66" spans="1:80" ht="11.95" outlineLevel="2" thickBot="1" x14ac:dyDescent="0.3">
      <c r="A66" t="str">
        <f>IF(LEFT(G66,3)="Mul", "#hiderow", "#showrow")</f>
        <v>#showrow</v>
      </c>
      <c r="E66" s="3"/>
      <c r="F66" s="3"/>
      <c r="G66" s="255" t="s">
        <v>140</v>
      </c>
      <c r="H66" s="3"/>
      <c r="I66" s="18"/>
      <c r="J66" s="18"/>
      <c r="K66" s="18"/>
      <c r="L66" s="185"/>
      <c r="M66" s="185"/>
      <c r="N66" s="185"/>
      <c r="O66" s="185"/>
      <c r="P66" s="185"/>
      <c r="Q66" s="185"/>
      <c r="R66" s="185">
        <v>-186528.93</v>
      </c>
      <c r="S66" s="185">
        <v>-109471.19</v>
      </c>
      <c r="T66" s="185">
        <v>-67119.12</v>
      </c>
      <c r="U66" s="185">
        <v>-93295.35</v>
      </c>
      <c r="V66" s="185">
        <v>-53786.92</v>
      </c>
      <c r="W66" s="185">
        <v>-105094.04</v>
      </c>
      <c r="X66" s="186">
        <f t="shared" ref="X66" si="67">SUM(L66:W66)</f>
        <v>-615295.54999999993</v>
      </c>
      <c r="Y66" s="219"/>
      <c r="Z66" s="185">
        <v>-84749.62</v>
      </c>
      <c r="AA66" s="185">
        <v>-78394.942538461502</v>
      </c>
      <c r="AB66" s="185">
        <v>-84068.6781730769</v>
      </c>
      <c r="AC66" s="185">
        <v>-78394.942538461502</v>
      </c>
      <c r="AD66" s="185">
        <v>-78394.942538461502</v>
      </c>
      <c r="AE66" s="185">
        <v>-84068.6781730769</v>
      </c>
      <c r="AF66" s="185">
        <v>-78394.942538461502</v>
      </c>
      <c r="AG66" s="185">
        <v>-78394.942538461502</v>
      </c>
      <c r="AH66" s="185">
        <v>-84068.6781730769</v>
      </c>
      <c r="AI66" s="185">
        <v>-78394.942538461502</v>
      </c>
      <c r="AJ66" s="185">
        <v>-78394.942538461502</v>
      </c>
      <c r="AK66" s="185">
        <v>-84068.6781730769</v>
      </c>
      <c r="AL66" s="186">
        <f t="shared" ref="AL66" si="68">SUM(Z66:AK66)</f>
        <v>-969788.93046153826</v>
      </c>
      <c r="AM66" s="221"/>
      <c r="AN66" s="187">
        <v>-78394.942538461502</v>
      </c>
      <c r="AO66" s="187">
        <v>-78394.942538461502</v>
      </c>
      <c r="AP66" s="187">
        <v>-84068.6781730769</v>
      </c>
      <c r="AQ66" s="187">
        <v>-78394.942538461502</v>
      </c>
      <c r="AR66" s="187">
        <v>-78394.942538461502</v>
      </c>
      <c r="AS66" s="187">
        <v>-84068.6781730769</v>
      </c>
      <c r="AT66" s="187">
        <v>-78394.942538461502</v>
      </c>
      <c r="AU66" s="187">
        <v>-78394.942538461502</v>
      </c>
      <c r="AV66" s="187">
        <v>-84068.6781730769</v>
      </c>
      <c r="AW66" s="187">
        <v>-78394.942538461502</v>
      </c>
      <c r="AX66" s="187">
        <v>-78394.942538461502</v>
      </c>
      <c r="AY66" s="187">
        <v>-84068.6781730769</v>
      </c>
      <c r="AZ66" s="186">
        <f t="shared" ref="AZ66" si="69">SUM(AN66:AY66)</f>
        <v>-963434.25299999979</v>
      </c>
      <c r="BA66" s="221"/>
      <c r="BB66" s="187">
        <v>-78394.942538461502</v>
      </c>
      <c r="BC66" s="187">
        <v>-78394.942538461502</v>
      </c>
      <c r="BD66" s="187">
        <v>-84068.6781730769</v>
      </c>
      <c r="BE66" s="187">
        <v>-78394.942538461502</v>
      </c>
      <c r="BF66" s="187">
        <v>-78394.942538461502</v>
      </c>
      <c r="BG66" s="187">
        <v>-84068.6781730769</v>
      </c>
      <c r="BH66" s="187">
        <v>-78394.942538461502</v>
      </c>
      <c r="BI66" s="187">
        <v>-78394.942538461502</v>
      </c>
      <c r="BJ66" s="187">
        <v>-84068.6781730769</v>
      </c>
      <c r="BK66" s="187">
        <v>-78394.942538461502</v>
      </c>
      <c r="BL66" s="187">
        <v>-78394.942538461502</v>
      </c>
      <c r="BM66" s="187">
        <v>-84068.6781730769</v>
      </c>
      <c r="BN66" s="186">
        <f t="shared" ref="BN66" si="70">SUM(BB66:BM66)</f>
        <v>-963434.25299999979</v>
      </c>
      <c r="BP66"/>
      <c r="BQ66"/>
      <c r="BR66"/>
      <c r="BS66"/>
      <c r="BT66"/>
      <c r="BU66"/>
      <c r="BV66"/>
      <c r="BW66"/>
      <c r="BX66"/>
      <c r="BY66"/>
      <c r="BZ66"/>
      <c r="CA66"/>
      <c r="CB66"/>
    </row>
    <row r="67" spans="1:80" ht="11.95" outlineLevel="1" thickBot="1" x14ac:dyDescent="0.3">
      <c r="E67" s="3"/>
      <c r="F67" s="3"/>
      <c r="G67" s="256" t="s">
        <v>107</v>
      </c>
      <c r="H67" s="3"/>
      <c r="I67" s="18"/>
      <c r="J67" s="18"/>
      <c r="K67" s="18"/>
      <c r="L67" s="185">
        <v>0</v>
      </c>
      <c r="M67" s="185">
        <v>0</v>
      </c>
      <c r="N67" s="185">
        <v>0</v>
      </c>
      <c r="O67" s="185">
        <v>0</v>
      </c>
      <c r="P67" s="185">
        <v>0</v>
      </c>
      <c r="Q67" s="185">
        <v>0</v>
      </c>
      <c r="R67" s="185">
        <v>2611.6</v>
      </c>
      <c r="S67" s="185">
        <v>0</v>
      </c>
      <c r="T67" s="185">
        <v>0</v>
      </c>
      <c r="U67" s="185">
        <v>0</v>
      </c>
      <c r="V67" s="185">
        <v>0</v>
      </c>
      <c r="W67" s="185">
        <v>0</v>
      </c>
      <c r="X67" s="186">
        <f t="shared" si="51"/>
        <v>2611.6</v>
      </c>
      <c r="Y67" s="219"/>
      <c r="Z67" s="185">
        <v>0</v>
      </c>
      <c r="AA67" s="185">
        <v>0</v>
      </c>
      <c r="AB67" s="185">
        <v>0</v>
      </c>
      <c r="AC67" s="185">
        <v>0</v>
      </c>
      <c r="AD67" s="185">
        <v>0</v>
      </c>
      <c r="AE67" s="185">
        <v>0</v>
      </c>
      <c r="AF67" s="185">
        <v>0</v>
      </c>
      <c r="AG67" s="185">
        <v>0</v>
      </c>
      <c r="AH67" s="185">
        <v>0</v>
      </c>
      <c r="AI67" s="185">
        <v>0</v>
      </c>
      <c r="AJ67" s="185">
        <v>0</v>
      </c>
      <c r="AK67" s="185">
        <v>0</v>
      </c>
      <c r="AL67" s="186">
        <f t="shared" si="52"/>
        <v>0</v>
      </c>
      <c r="AM67" s="221"/>
      <c r="AN67" s="187">
        <v>0</v>
      </c>
      <c r="AO67" s="187">
        <v>0</v>
      </c>
      <c r="AP67" s="187">
        <v>0</v>
      </c>
      <c r="AQ67" s="187">
        <v>0</v>
      </c>
      <c r="AR67" s="187">
        <v>0</v>
      </c>
      <c r="AS67" s="187">
        <v>0</v>
      </c>
      <c r="AT67" s="187">
        <v>0</v>
      </c>
      <c r="AU67" s="187">
        <v>0</v>
      </c>
      <c r="AV67" s="187">
        <v>0</v>
      </c>
      <c r="AW67" s="187">
        <v>0</v>
      </c>
      <c r="AX67" s="187">
        <v>0</v>
      </c>
      <c r="AY67" s="187">
        <v>0</v>
      </c>
      <c r="AZ67" s="186">
        <f t="shared" si="53"/>
        <v>0</v>
      </c>
      <c r="BA67" s="221"/>
      <c r="BB67" s="187">
        <v>0</v>
      </c>
      <c r="BC67" s="187">
        <v>0</v>
      </c>
      <c r="BD67" s="187">
        <v>0</v>
      </c>
      <c r="BE67" s="187">
        <v>0</v>
      </c>
      <c r="BF67" s="187">
        <v>0</v>
      </c>
      <c r="BG67" s="187">
        <v>0</v>
      </c>
      <c r="BH67" s="187">
        <v>0</v>
      </c>
      <c r="BI67" s="187">
        <v>0</v>
      </c>
      <c r="BJ67" s="187">
        <v>0</v>
      </c>
      <c r="BK67" s="187">
        <v>0</v>
      </c>
      <c r="BL67" s="187">
        <v>0</v>
      </c>
      <c r="BM67" s="187">
        <v>0</v>
      </c>
      <c r="BN67" s="186">
        <f t="shared" si="54"/>
        <v>0</v>
      </c>
      <c r="BP67"/>
      <c r="BQ67"/>
      <c r="BR67"/>
      <c r="BS67"/>
      <c r="BT67"/>
      <c r="BU67"/>
      <c r="BV67"/>
      <c r="BW67"/>
      <c r="BX67"/>
      <c r="BY67"/>
      <c r="BZ67"/>
      <c r="CA67"/>
      <c r="CB67"/>
    </row>
    <row r="68" spans="1:80" ht="11.95" hidden="1" outlineLevel="2" thickBot="1" x14ac:dyDescent="0.3">
      <c r="A68" t="str">
        <f t="shared" ref="A68" si="71">IF(LEFT(G68,3)="Mul", "#hiderow", "#showrow")</f>
        <v>#hiderow</v>
      </c>
      <c r="E68" s="3"/>
      <c r="F68" s="3"/>
      <c r="G68" s="255" t="s">
        <v>6</v>
      </c>
      <c r="H68" s="3"/>
      <c r="I68" s="18"/>
      <c r="J68" s="18"/>
      <c r="K68" s="18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6">
        <f t="shared" si="51"/>
        <v>0</v>
      </c>
      <c r="Y68" s="219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6">
        <f t="shared" si="52"/>
        <v>0</v>
      </c>
      <c r="AM68" s="221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6">
        <f t="shared" si="53"/>
        <v>0</v>
      </c>
      <c r="BA68" s="221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87"/>
      <c r="BN68" s="186">
        <f t="shared" si="54"/>
        <v>0</v>
      </c>
      <c r="BP68"/>
      <c r="BQ68"/>
      <c r="BR68"/>
      <c r="BS68"/>
      <c r="BT68"/>
      <c r="BU68"/>
      <c r="BV68"/>
      <c r="BW68"/>
      <c r="BX68"/>
      <c r="BY68"/>
      <c r="BZ68"/>
      <c r="CA68"/>
      <c r="CB68"/>
    </row>
    <row r="69" spans="1:80" ht="11.95" outlineLevel="2" thickBot="1" x14ac:dyDescent="0.3">
      <c r="A69" t="str">
        <f t="shared" ref="A69:A70" si="72">IF(LEFT(G69,3)="Mul", "#hiderow", "#showrow")</f>
        <v>#showrow</v>
      </c>
      <c r="E69" s="3"/>
      <c r="F69" s="3"/>
      <c r="G69" s="255" t="s">
        <v>482</v>
      </c>
      <c r="H69" s="3"/>
      <c r="I69" s="18"/>
      <c r="J69" s="18"/>
      <c r="K69" s="18"/>
      <c r="L69" s="185"/>
      <c r="M69" s="185"/>
      <c r="N69" s="185"/>
      <c r="O69" s="185"/>
      <c r="P69" s="185"/>
      <c r="Q69" s="185"/>
      <c r="R69" s="185">
        <v>1571.96</v>
      </c>
      <c r="S69" s="185"/>
      <c r="T69" s="185"/>
      <c r="U69" s="185"/>
      <c r="V69" s="185"/>
      <c r="W69" s="185"/>
      <c r="X69" s="186">
        <f t="shared" ref="X69:X70" si="73">SUM(L69:W69)</f>
        <v>1571.96</v>
      </c>
      <c r="Y69" s="219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6">
        <f t="shared" ref="AL69:AL70" si="74">SUM(Z69:AK69)</f>
        <v>0</v>
      </c>
      <c r="AM69" s="221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6">
        <f t="shared" ref="AZ69:AZ70" si="75">SUM(AN69:AY69)</f>
        <v>0</v>
      </c>
      <c r="BA69" s="221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6">
        <f t="shared" ref="BN69:BN70" si="76">SUM(BB69:BM69)</f>
        <v>0</v>
      </c>
      <c r="BP69"/>
      <c r="BQ69"/>
      <c r="BR69"/>
      <c r="BS69"/>
      <c r="BT69"/>
      <c r="BU69"/>
      <c r="BV69"/>
      <c r="BW69"/>
      <c r="BX69"/>
      <c r="BY69"/>
      <c r="BZ69"/>
      <c r="CA69"/>
      <c r="CB69"/>
    </row>
    <row r="70" spans="1:80" ht="11.95" outlineLevel="2" thickBot="1" x14ac:dyDescent="0.3">
      <c r="A70" t="str">
        <f t="shared" si="72"/>
        <v>#showrow</v>
      </c>
      <c r="E70" s="3"/>
      <c r="F70" s="3"/>
      <c r="G70" s="255" t="s">
        <v>486</v>
      </c>
      <c r="H70" s="3"/>
      <c r="I70" s="18"/>
      <c r="J70" s="18"/>
      <c r="K70" s="18"/>
      <c r="L70" s="185"/>
      <c r="M70" s="185"/>
      <c r="N70" s="185"/>
      <c r="O70" s="185"/>
      <c r="P70" s="185"/>
      <c r="Q70" s="185"/>
      <c r="R70" s="185">
        <v>1039.6400000000001</v>
      </c>
      <c r="S70" s="185"/>
      <c r="T70" s="185"/>
      <c r="U70" s="185"/>
      <c r="V70" s="185"/>
      <c r="W70" s="185"/>
      <c r="X70" s="186">
        <f t="shared" si="73"/>
        <v>1039.6400000000001</v>
      </c>
      <c r="Y70" s="219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6">
        <f t="shared" si="74"/>
        <v>0</v>
      </c>
      <c r="AM70" s="221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6">
        <f t="shared" si="75"/>
        <v>0</v>
      </c>
      <c r="BA70" s="221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87"/>
      <c r="BN70" s="186">
        <f t="shared" si="76"/>
        <v>0</v>
      </c>
      <c r="BP70"/>
      <c r="BQ70"/>
      <c r="BR70"/>
      <c r="BS70"/>
      <c r="BT70"/>
      <c r="BU70"/>
      <c r="BV70"/>
      <c r="BW70"/>
      <c r="BX70"/>
      <c r="BY70"/>
      <c r="BZ70"/>
      <c r="CA70"/>
      <c r="CB70"/>
    </row>
    <row r="71" spans="1:80" ht="11.95" outlineLevel="1" thickBot="1" x14ac:dyDescent="0.3">
      <c r="E71" s="3"/>
      <c r="F71" s="3"/>
      <c r="G71" s="256" t="s">
        <v>108</v>
      </c>
      <c r="H71" s="3"/>
      <c r="I71" s="18"/>
      <c r="J71" s="18"/>
      <c r="K71" s="18"/>
      <c r="L71" s="185">
        <v>0</v>
      </c>
      <c r="M71" s="185">
        <v>0</v>
      </c>
      <c r="N71" s="185">
        <v>0</v>
      </c>
      <c r="O71" s="185">
        <v>0</v>
      </c>
      <c r="P71" s="185">
        <v>0</v>
      </c>
      <c r="Q71" s="185">
        <v>0</v>
      </c>
      <c r="R71" s="185">
        <v>403.11</v>
      </c>
      <c r="S71" s="185">
        <v>0</v>
      </c>
      <c r="T71" s="185">
        <v>150</v>
      </c>
      <c r="U71" s="185">
        <v>0</v>
      </c>
      <c r="V71" s="185">
        <v>0</v>
      </c>
      <c r="W71" s="185">
        <v>176.99</v>
      </c>
      <c r="X71" s="186">
        <f t="shared" si="51"/>
        <v>730.1</v>
      </c>
      <c r="Y71" s="219"/>
      <c r="Z71" s="185">
        <v>92.76</v>
      </c>
      <c r="AA71" s="185">
        <v>200</v>
      </c>
      <c r="AB71" s="185">
        <v>200</v>
      </c>
      <c r="AC71" s="185">
        <v>200</v>
      </c>
      <c r="AD71" s="185">
        <v>200</v>
      </c>
      <c r="AE71" s="185">
        <v>200</v>
      </c>
      <c r="AF71" s="185">
        <v>200</v>
      </c>
      <c r="AG71" s="185">
        <v>200</v>
      </c>
      <c r="AH71" s="185">
        <v>200</v>
      </c>
      <c r="AI71" s="185">
        <v>200</v>
      </c>
      <c r="AJ71" s="185">
        <v>200</v>
      </c>
      <c r="AK71" s="185">
        <v>200</v>
      </c>
      <c r="AL71" s="186">
        <f t="shared" si="52"/>
        <v>2292.7600000000002</v>
      </c>
      <c r="AM71" s="221"/>
      <c r="AN71" s="187">
        <v>200</v>
      </c>
      <c r="AO71" s="187">
        <v>200</v>
      </c>
      <c r="AP71" s="187">
        <v>200</v>
      </c>
      <c r="AQ71" s="187">
        <v>200</v>
      </c>
      <c r="AR71" s="187">
        <v>200</v>
      </c>
      <c r="AS71" s="187">
        <v>200</v>
      </c>
      <c r="AT71" s="187">
        <v>200</v>
      </c>
      <c r="AU71" s="187">
        <v>200</v>
      </c>
      <c r="AV71" s="187">
        <v>200</v>
      </c>
      <c r="AW71" s="187">
        <v>200</v>
      </c>
      <c r="AX71" s="187">
        <v>200</v>
      </c>
      <c r="AY71" s="187">
        <v>200</v>
      </c>
      <c r="AZ71" s="186">
        <f t="shared" si="53"/>
        <v>2400</v>
      </c>
      <c r="BA71" s="221"/>
      <c r="BB71" s="187">
        <v>200</v>
      </c>
      <c r="BC71" s="187">
        <v>200</v>
      </c>
      <c r="BD71" s="187">
        <v>200</v>
      </c>
      <c r="BE71" s="187">
        <v>200</v>
      </c>
      <c r="BF71" s="187">
        <v>200</v>
      </c>
      <c r="BG71" s="187">
        <v>200</v>
      </c>
      <c r="BH71" s="187">
        <v>200</v>
      </c>
      <c r="BI71" s="187">
        <v>200</v>
      </c>
      <c r="BJ71" s="187">
        <v>200</v>
      </c>
      <c r="BK71" s="187">
        <v>200</v>
      </c>
      <c r="BL71" s="187">
        <v>200</v>
      </c>
      <c r="BM71" s="187">
        <v>200</v>
      </c>
      <c r="BN71" s="186">
        <f t="shared" si="54"/>
        <v>2400</v>
      </c>
      <c r="BP71"/>
      <c r="BQ71"/>
      <c r="BR71"/>
      <c r="BS71"/>
      <c r="BT71"/>
      <c r="BU71"/>
      <c r="BV71"/>
      <c r="BW71"/>
      <c r="BX71"/>
      <c r="BY71"/>
      <c r="BZ71"/>
      <c r="CA71"/>
      <c r="CB71"/>
    </row>
    <row r="72" spans="1:80" ht="11.95" hidden="1" outlineLevel="2" thickBot="1" x14ac:dyDescent="0.3">
      <c r="A72" t="str">
        <f t="shared" ref="A72" si="77">IF(LEFT(G72,3)="Mul", "#hiderow", "#showrow")</f>
        <v>#hiderow</v>
      </c>
      <c r="E72" s="3"/>
      <c r="F72" s="3"/>
      <c r="G72" s="255" t="s">
        <v>6</v>
      </c>
      <c r="H72" s="3"/>
      <c r="I72" s="18"/>
      <c r="J72" s="18"/>
      <c r="K72" s="18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6">
        <f t="shared" si="51"/>
        <v>0</v>
      </c>
      <c r="Y72" s="219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6">
        <f t="shared" si="52"/>
        <v>0</v>
      </c>
      <c r="AM72" s="221"/>
      <c r="AN72" s="187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6">
        <f t="shared" si="53"/>
        <v>0</v>
      </c>
      <c r="BA72" s="221"/>
      <c r="BB72" s="187"/>
      <c r="BC72" s="187"/>
      <c r="BD72" s="187"/>
      <c r="BE72" s="187"/>
      <c r="BF72" s="187"/>
      <c r="BG72" s="187"/>
      <c r="BH72" s="187"/>
      <c r="BI72" s="187"/>
      <c r="BJ72" s="187"/>
      <c r="BK72" s="187"/>
      <c r="BL72" s="187"/>
      <c r="BM72" s="187"/>
      <c r="BN72" s="186">
        <f t="shared" si="54"/>
        <v>0</v>
      </c>
      <c r="BP72"/>
      <c r="BQ72"/>
      <c r="BR72"/>
      <c r="BS72"/>
      <c r="BT72"/>
      <c r="BU72"/>
      <c r="BV72"/>
      <c r="BW72"/>
      <c r="BX72"/>
      <c r="BY72"/>
      <c r="BZ72"/>
      <c r="CA72"/>
      <c r="CB72"/>
    </row>
    <row r="73" spans="1:80" ht="11.95" outlineLevel="2" thickBot="1" x14ac:dyDescent="0.3">
      <c r="A73" t="str">
        <f t="shared" ref="A73:A75" si="78">IF(LEFT(G73,3)="Mul", "#hiderow", "#showrow")</f>
        <v>#showrow</v>
      </c>
      <c r="E73" s="3"/>
      <c r="F73" s="3"/>
      <c r="G73" s="255" t="s">
        <v>188</v>
      </c>
      <c r="H73" s="3"/>
      <c r="I73" s="18"/>
      <c r="J73" s="18"/>
      <c r="K73" s="18"/>
      <c r="L73" s="185"/>
      <c r="M73" s="185"/>
      <c r="N73" s="185"/>
      <c r="O73" s="185"/>
      <c r="P73" s="185"/>
      <c r="Q73" s="185"/>
      <c r="R73" s="185"/>
      <c r="S73" s="185"/>
      <c r="T73" s="185">
        <v>150</v>
      </c>
      <c r="U73" s="185"/>
      <c r="V73" s="185"/>
      <c r="W73" s="185"/>
      <c r="X73" s="186">
        <f t="shared" ref="X73:X75" si="79">SUM(L73:W73)</f>
        <v>150</v>
      </c>
      <c r="Y73" s="219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6">
        <f t="shared" ref="AL73:AL75" si="80">SUM(Z73:AK73)</f>
        <v>0</v>
      </c>
      <c r="AM73" s="221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186">
        <f t="shared" ref="AZ73:AZ75" si="81">SUM(AN73:AY73)</f>
        <v>0</v>
      </c>
      <c r="BA73" s="221"/>
      <c r="BB73" s="187"/>
      <c r="BC73" s="187"/>
      <c r="BD73" s="187"/>
      <c r="BE73" s="187"/>
      <c r="BF73" s="187"/>
      <c r="BG73" s="187"/>
      <c r="BH73" s="187"/>
      <c r="BI73" s="187"/>
      <c r="BJ73" s="187"/>
      <c r="BK73" s="187"/>
      <c r="BL73" s="187"/>
      <c r="BM73" s="187"/>
      <c r="BN73" s="186">
        <f t="shared" ref="BN73:BN75" si="82">SUM(BB73:BM73)</f>
        <v>0</v>
      </c>
      <c r="BP73"/>
      <c r="BQ73"/>
      <c r="BR73"/>
      <c r="BS73"/>
      <c r="BT73"/>
      <c r="BU73"/>
      <c r="BV73"/>
      <c r="BW73"/>
      <c r="BX73"/>
      <c r="BY73"/>
      <c r="BZ73"/>
      <c r="CA73"/>
      <c r="CB73"/>
    </row>
    <row r="74" spans="1:80" ht="11.95" outlineLevel="2" thickBot="1" x14ac:dyDescent="0.3">
      <c r="A74" t="str">
        <f t="shared" si="78"/>
        <v>#showrow</v>
      </c>
      <c r="E74" s="3"/>
      <c r="F74" s="3"/>
      <c r="G74" s="255" t="s">
        <v>189</v>
      </c>
      <c r="H74" s="3"/>
      <c r="I74" s="18"/>
      <c r="J74" s="18"/>
      <c r="K74" s="18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>
        <v>176.99</v>
      </c>
      <c r="X74" s="186">
        <f t="shared" si="79"/>
        <v>176.99</v>
      </c>
      <c r="Y74" s="219"/>
      <c r="Z74" s="185">
        <v>92.76</v>
      </c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6">
        <f t="shared" si="80"/>
        <v>92.76</v>
      </c>
      <c r="AM74" s="221"/>
      <c r="AN74" s="187"/>
      <c r="AO74" s="187"/>
      <c r="AP74" s="187"/>
      <c r="AQ74" s="187"/>
      <c r="AR74" s="187"/>
      <c r="AS74" s="187"/>
      <c r="AT74" s="187"/>
      <c r="AU74" s="187"/>
      <c r="AV74" s="187"/>
      <c r="AW74" s="187"/>
      <c r="AX74" s="187"/>
      <c r="AY74" s="187"/>
      <c r="AZ74" s="186">
        <f t="shared" si="81"/>
        <v>0</v>
      </c>
      <c r="BA74" s="221"/>
      <c r="BB74" s="187"/>
      <c r="BC74" s="187"/>
      <c r="BD74" s="187"/>
      <c r="BE74" s="187"/>
      <c r="BF74" s="187"/>
      <c r="BG74" s="187"/>
      <c r="BH74" s="187"/>
      <c r="BI74" s="187"/>
      <c r="BJ74" s="187"/>
      <c r="BK74" s="187"/>
      <c r="BL74" s="187"/>
      <c r="BM74" s="187"/>
      <c r="BN74" s="186">
        <f t="shared" si="82"/>
        <v>0</v>
      </c>
      <c r="BP74"/>
      <c r="BQ74"/>
      <c r="BR74"/>
      <c r="BS74"/>
      <c r="BT74"/>
      <c r="BU74"/>
      <c r="BV74"/>
      <c r="BW74"/>
      <c r="BX74"/>
      <c r="BY74"/>
      <c r="BZ74"/>
      <c r="CA74"/>
      <c r="CB74"/>
    </row>
    <row r="75" spans="1:80" ht="11.95" outlineLevel="2" thickBot="1" x14ac:dyDescent="0.3">
      <c r="A75" t="str">
        <f t="shared" si="78"/>
        <v>#showrow</v>
      </c>
      <c r="E75" s="3"/>
      <c r="F75" s="3"/>
      <c r="G75" s="255" t="s">
        <v>192</v>
      </c>
      <c r="H75" s="3"/>
      <c r="I75" s="18"/>
      <c r="J75" s="18"/>
      <c r="K75" s="18"/>
      <c r="L75" s="185"/>
      <c r="M75" s="185"/>
      <c r="N75" s="185"/>
      <c r="O75" s="185"/>
      <c r="P75" s="185"/>
      <c r="Q75" s="185"/>
      <c r="R75" s="185">
        <v>403.11</v>
      </c>
      <c r="S75" s="185"/>
      <c r="T75" s="185"/>
      <c r="U75" s="185"/>
      <c r="V75" s="185"/>
      <c r="W75" s="185"/>
      <c r="X75" s="186">
        <f t="shared" si="79"/>
        <v>403.11</v>
      </c>
      <c r="Y75" s="219"/>
      <c r="Z75" s="185"/>
      <c r="AA75" s="185">
        <v>200</v>
      </c>
      <c r="AB75" s="185">
        <v>200</v>
      </c>
      <c r="AC75" s="185">
        <v>200</v>
      </c>
      <c r="AD75" s="185">
        <v>200</v>
      </c>
      <c r="AE75" s="185">
        <v>200</v>
      </c>
      <c r="AF75" s="185">
        <v>200</v>
      </c>
      <c r="AG75" s="185">
        <v>200</v>
      </c>
      <c r="AH75" s="185">
        <v>200</v>
      </c>
      <c r="AI75" s="185">
        <v>200</v>
      </c>
      <c r="AJ75" s="185">
        <v>200</v>
      </c>
      <c r="AK75" s="185">
        <v>200</v>
      </c>
      <c r="AL75" s="186">
        <f t="shared" si="80"/>
        <v>2200</v>
      </c>
      <c r="AM75" s="221"/>
      <c r="AN75" s="187">
        <v>200</v>
      </c>
      <c r="AO75" s="187">
        <v>200</v>
      </c>
      <c r="AP75" s="187">
        <v>200</v>
      </c>
      <c r="AQ75" s="187">
        <v>200</v>
      </c>
      <c r="AR75" s="187">
        <v>200</v>
      </c>
      <c r="AS75" s="187">
        <v>200</v>
      </c>
      <c r="AT75" s="187">
        <v>200</v>
      </c>
      <c r="AU75" s="187">
        <v>200</v>
      </c>
      <c r="AV75" s="187">
        <v>200</v>
      </c>
      <c r="AW75" s="187">
        <v>200</v>
      </c>
      <c r="AX75" s="187">
        <v>200</v>
      </c>
      <c r="AY75" s="187">
        <v>200</v>
      </c>
      <c r="AZ75" s="186">
        <f t="shared" si="81"/>
        <v>2400</v>
      </c>
      <c r="BA75" s="221"/>
      <c r="BB75" s="187">
        <v>200</v>
      </c>
      <c r="BC75" s="187">
        <v>200</v>
      </c>
      <c r="BD75" s="187">
        <v>200</v>
      </c>
      <c r="BE75" s="187">
        <v>200</v>
      </c>
      <c r="BF75" s="187">
        <v>200</v>
      </c>
      <c r="BG75" s="187">
        <v>200</v>
      </c>
      <c r="BH75" s="187">
        <v>200</v>
      </c>
      <c r="BI75" s="187">
        <v>200</v>
      </c>
      <c r="BJ75" s="187">
        <v>200</v>
      </c>
      <c r="BK75" s="187">
        <v>200</v>
      </c>
      <c r="BL75" s="187">
        <v>200</v>
      </c>
      <c r="BM75" s="187">
        <v>200</v>
      </c>
      <c r="BN75" s="186">
        <f t="shared" si="82"/>
        <v>2400</v>
      </c>
      <c r="BP75"/>
      <c r="BQ75"/>
      <c r="BR75"/>
      <c r="BS75"/>
      <c r="BT75"/>
      <c r="BU75"/>
      <c r="BV75"/>
      <c r="BW75"/>
      <c r="BX75"/>
      <c r="BY75"/>
      <c r="BZ75"/>
      <c r="CA75"/>
      <c r="CB75"/>
    </row>
    <row r="76" spans="1:80" ht="11.95" outlineLevel="1" thickBot="1" x14ac:dyDescent="0.3">
      <c r="E76" s="3"/>
      <c r="F76" s="3"/>
      <c r="G76" s="256" t="s">
        <v>109</v>
      </c>
      <c r="H76" s="3"/>
      <c r="I76" s="18"/>
      <c r="J76" s="18"/>
      <c r="K76" s="18"/>
      <c r="L76" s="185">
        <v>0</v>
      </c>
      <c r="M76" s="185">
        <v>0</v>
      </c>
      <c r="N76" s="185">
        <v>0</v>
      </c>
      <c r="O76" s="185">
        <v>0</v>
      </c>
      <c r="P76" s="185">
        <v>0</v>
      </c>
      <c r="Q76" s="185">
        <v>1492.45</v>
      </c>
      <c r="R76" s="185">
        <v>7591.56</v>
      </c>
      <c r="S76" s="185">
        <v>2680.79</v>
      </c>
      <c r="T76" s="185">
        <v>2009.69</v>
      </c>
      <c r="U76" s="185">
        <v>0</v>
      </c>
      <c r="V76" s="185">
        <v>0</v>
      </c>
      <c r="W76" s="185">
        <v>0</v>
      </c>
      <c r="X76" s="186">
        <f t="shared" si="51"/>
        <v>13774.49</v>
      </c>
      <c r="Y76" s="219"/>
      <c r="Z76" s="185">
        <v>0</v>
      </c>
      <c r="AA76" s="185">
        <v>3000</v>
      </c>
      <c r="AB76" s="185">
        <v>3000</v>
      </c>
      <c r="AC76" s="185">
        <v>3000</v>
      </c>
      <c r="AD76" s="185">
        <v>3000</v>
      </c>
      <c r="AE76" s="185">
        <v>3000</v>
      </c>
      <c r="AF76" s="185">
        <v>3000</v>
      </c>
      <c r="AG76" s="185">
        <v>3000</v>
      </c>
      <c r="AH76" s="185">
        <v>3000</v>
      </c>
      <c r="AI76" s="185">
        <v>3000</v>
      </c>
      <c r="AJ76" s="185">
        <v>3000</v>
      </c>
      <c r="AK76" s="185">
        <v>3000</v>
      </c>
      <c r="AL76" s="186">
        <f t="shared" si="52"/>
        <v>33000</v>
      </c>
      <c r="AM76" s="221"/>
      <c r="AN76" s="187">
        <v>3000</v>
      </c>
      <c r="AO76" s="187">
        <v>3000</v>
      </c>
      <c r="AP76" s="187">
        <v>3000</v>
      </c>
      <c r="AQ76" s="187">
        <v>3000</v>
      </c>
      <c r="AR76" s="187">
        <v>3000</v>
      </c>
      <c r="AS76" s="187">
        <v>3000</v>
      </c>
      <c r="AT76" s="187">
        <v>3000</v>
      </c>
      <c r="AU76" s="187">
        <v>3000</v>
      </c>
      <c r="AV76" s="187">
        <v>3000</v>
      </c>
      <c r="AW76" s="187">
        <v>3000</v>
      </c>
      <c r="AX76" s="187">
        <v>3000</v>
      </c>
      <c r="AY76" s="187">
        <v>3000</v>
      </c>
      <c r="AZ76" s="186">
        <f t="shared" si="53"/>
        <v>36000</v>
      </c>
      <c r="BA76" s="221"/>
      <c r="BB76" s="187">
        <v>3000</v>
      </c>
      <c r="BC76" s="187">
        <v>3000</v>
      </c>
      <c r="BD76" s="187">
        <v>3000</v>
      </c>
      <c r="BE76" s="187">
        <v>3000</v>
      </c>
      <c r="BF76" s="187">
        <v>3000</v>
      </c>
      <c r="BG76" s="187">
        <v>3000</v>
      </c>
      <c r="BH76" s="187">
        <v>3000</v>
      </c>
      <c r="BI76" s="187">
        <v>3000</v>
      </c>
      <c r="BJ76" s="187">
        <v>3000</v>
      </c>
      <c r="BK76" s="187">
        <v>3000</v>
      </c>
      <c r="BL76" s="187">
        <v>3000</v>
      </c>
      <c r="BM76" s="187">
        <v>3000</v>
      </c>
      <c r="BN76" s="186">
        <f t="shared" si="54"/>
        <v>36000</v>
      </c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 spans="1:80" ht="11.95" hidden="1" outlineLevel="2" thickBot="1" x14ac:dyDescent="0.3">
      <c r="A77" t="str">
        <f t="shared" ref="A77" si="83">IF(LEFT(G77,3)="Mul", "#hiderow", "#showrow")</f>
        <v>#hiderow</v>
      </c>
      <c r="E77" s="3"/>
      <c r="F77" s="3"/>
      <c r="G77" s="255" t="s">
        <v>6</v>
      </c>
      <c r="H77" s="3"/>
      <c r="I77" s="18"/>
      <c r="J77" s="18"/>
      <c r="K77" s="18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6">
        <f t="shared" si="51"/>
        <v>0</v>
      </c>
      <c r="Y77" s="219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6">
        <f t="shared" si="52"/>
        <v>0</v>
      </c>
      <c r="AM77" s="221"/>
      <c r="AN77" s="187"/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6">
        <f t="shared" si="53"/>
        <v>0</v>
      </c>
      <c r="BA77" s="221"/>
      <c r="BB77" s="187"/>
      <c r="BC77" s="187"/>
      <c r="BD77" s="187"/>
      <c r="BE77" s="187"/>
      <c r="BF77" s="187"/>
      <c r="BG77" s="187"/>
      <c r="BH77" s="187"/>
      <c r="BI77" s="187"/>
      <c r="BJ77" s="187"/>
      <c r="BK77" s="187"/>
      <c r="BL77" s="187"/>
      <c r="BM77" s="187"/>
      <c r="BN77" s="186">
        <f t="shared" si="54"/>
        <v>0</v>
      </c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 spans="1:80" ht="11.95" outlineLevel="2" thickBot="1" x14ac:dyDescent="0.3">
      <c r="A78" t="str">
        <f t="shared" ref="A78:A80" si="84">IF(LEFT(G78,3)="Mul", "#hiderow", "#showrow")</f>
        <v>#showrow</v>
      </c>
      <c r="E78" s="3"/>
      <c r="F78" s="3"/>
      <c r="G78" s="255" t="s">
        <v>152</v>
      </c>
      <c r="H78" s="3"/>
      <c r="I78" s="18"/>
      <c r="J78" s="18"/>
      <c r="K78" s="18"/>
      <c r="L78" s="185"/>
      <c r="M78" s="185"/>
      <c r="N78" s="185"/>
      <c r="O78" s="185"/>
      <c r="P78" s="185"/>
      <c r="Q78" s="185">
        <v>1212.07</v>
      </c>
      <c r="R78" s="185">
        <v>1468.36</v>
      </c>
      <c r="S78" s="185"/>
      <c r="T78" s="185"/>
      <c r="U78" s="185"/>
      <c r="V78" s="185"/>
      <c r="W78" s="185"/>
      <c r="X78" s="186">
        <f t="shared" ref="X78:X80" si="85">SUM(L78:W78)</f>
        <v>2680.43</v>
      </c>
      <c r="Y78" s="219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6">
        <f t="shared" ref="AL78:AL80" si="86">SUM(Z78:AK78)</f>
        <v>0</v>
      </c>
      <c r="AM78" s="221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6">
        <f t="shared" ref="AZ78:AZ80" si="87">SUM(AN78:AY78)</f>
        <v>0</v>
      </c>
      <c r="BA78" s="221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87"/>
      <c r="BN78" s="186">
        <f t="shared" ref="BN78:BN80" si="88">SUM(BB78:BM78)</f>
        <v>0</v>
      </c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 spans="1:80" ht="11.95" outlineLevel="2" thickBot="1" x14ac:dyDescent="0.3">
      <c r="A79" t="str">
        <f t="shared" si="84"/>
        <v>#showrow</v>
      </c>
      <c r="E79" s="3"/>
      <c r="F79" s="3"/>
      <c r="G79" s="255" t="s">
        <v>154</v>
      </c>
      <c r="H79" s="3"/>
      <c r="I79" s="18"/>
      <c r="J79" s="18"/>
      <c r="K79" s="18"/>
      <c r="L79" s="185"/>
      <c r="M79" s="185"/>
      <c r="N79" s="185"/>
      <c r="O79" s="185"/>
      <c r="P79" s="185"/>
      <c r="Q79" s="185">
        <v>280.38</v>
      </c>
      <c r="R79" s="185">
        <v>4597.0600000000004</v>
      </c>
      <c r="S79" s="185">
        <v>2622</v>
      </c>
      <c r="T79" s="185">
        <v>2009.69</v>
      </c>
      <c r="U79" s="185"/>
      <c r="V79" s="185"/>
      <c r="W79" s="185"/>
      <c r="X79" s="186">
        <f t="shared" si="85"/>
        <v>9509.130000000001</v>
      </c>
      <c r="Y79" s="219"/>
      <c r="Z79" s="185"/>
      <c r="AA79" s="185">
        <v>2500</v>
      </c>
      <c r="AB79" s="185">
        <v>2500</v>
      </c>
      <c r="AC79" s="185">
        <v>2500</v>
      </c>
      <c r="AD79" s="185">
        <v>2500</v>
      </c>
      <c r="AE79" s="185">
        <v>2500</v>
      </c>
      <c r="AF79" s="185">
        <v>2500</v>
      </c>
      <c r="AG79" s="185">
        <v>2500</v>
      </c>
      <c r="AH79" s="185">
        <v>2500</v>
      </c>
      <c r="AI79" s="185">
        <v>2500</v>
      </c>
      <c r="AJ79" s="185">
        <v>2500</v>
      </c>
      <c r="AK79" s="185">
        <v>2500</v>
      </c>
      <c r="AL79" s="186">
        <f t="shared" si="86"/>
        <v>27500</v>
      </c>
      <c r="AM79" s="221"/>
      <c r="AN79" s="187">
        <v>2500</v>
      </c>
      <c r="AO79" s="187">
        <v>2500</v>
      </c>
      <c r="AP79" s="187">
        <v>2500</v>
      </c>
      <c r="AQ79" s="187">
        <v>2500</v>
      </c>
      <c r="AR79" s="187">
        <v>2500</v>
      </c>
      <c r="AS79" s="187">
        <v>2500</v>
      </c>
      <c r="AT79" s="187">
        <v>2500</v>
      </c>
      <c r="AU79" s="187">
        <v>2500</v>
      </c>
      <c r="AV79" s="187">
        <v>2500</v>
      </c>
      <c r="AW79" s="187">
        <v>2500</v>
      </c>
      <c r="AX79" s="187">
        <v>2500</v>
      </c>
      <c r="AY79" s="187">
        <v>2500</v>
      </c>
      <c r="AZ79" s="186">
        <f t="shared" si="87"/>
        <v>30000</v>
      </c>
      <c r="BA79" s="221"/>
      <c r="BB79" s="187">
        <v>2500</v>
      </c>
      <c r="BC79" s="187">
        <v>2500</v>
      </c>
      <c r="BD79" s="187">
        <v>2500</v>
      </c>
      <c r="BE79" s="187">
        <v>2500</v>
      </c>
      <c r="BF79" s="187">
        <v>2500</v>
      </c>
      <c r="BG79" s="187">
        <v>2500</v>
      </c>
      <c r="BH79" s="187">
        <v>2500</v>
      </c>
      <c r="BI79" s="187">
        <v>2500</v>
      </c>
      <c r="BJ79" s="187">
        <v>2500</v>
      </c>
      <c r="BK79" s="187">
        <v>2500</v>
      </c>
      <c r="BL79" s="187">
        <v>2500</v>
      </c>
      <c r="BM79" s="187">
        <v>2500</v>
      </c>
      <c r="BN79" s="186">
        <f t="shared" si="88"/>
        <v>30000</v>
      </c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spans="1:80" ht="11.95" outlineLevel="2" thickBot="1" x14ac:dyDescent="0.3">
      <c r="A80" t="str">
        <f t="shared" si="84"/>
        <v>#showrow</v>
      </c>
      <c r="E80" s="3"/>
      <c r="F80" s="3"/>
      <c r="G80" s="255" t="s">
        <v>159</v>
      </c>
      <c r="H80" s="3"/>
      <c r="I80" s="18"/>
      <c r="J80" s="18"/>
      <c r="K80" s="18"/>
      <c r="L80" s="185"/>
      <c r="M80" s="185"/>
      <c r="N80" s="185"/>
      <c r="O80" s="185"/>
      <c r="P80" s="185"/>
      <c r="Q80" s="185"/>
      <c r="R80" s="185">
        <v>1526.14</v>
      </c>
      <c r="S80" s="185">
        <v>58.79</v>
      </c>
      <c r="T80" s="185"/>
      <c r="U80" s="185"/>
      <c r="V80" s="185"/>
      <c r="W80" s="185"/>
      <c r="X80" s="186">
        <f t="shared" si="85"/>
        <v>1584.93</v>
      </c>
      <c r="Y80" s="219"/>
      <c r="Z80" s="185"/>
      <c r="AA80" s="185">
        <v>500</v>
      </c>
      <c r="AB80" s="185">
        <v>500</v>
      </c>
      <c r="AC80" s="185">
        <v>500</v>
      </c>
      <c r="AD80" s="185">
        <v>500</v>
      </c>
      <c r="AE80" s="185">
        <v>500</v>
      </c>
      <c r="AF80" s="185">
        <v>500</v>
      </c>
      <c r="AG80" s="185">
        <v>500</v>
      </c>
      <c r="AH80" s="185">
        <v>500</v>
      </c>
      <c r="AI80" s="185">
        <v>500</v>
      </c>
      <c r="AJ80" s="185">
        <v>500</v>
      </c>
      <c r="AK80" s="185">
        <v>500</v>
      </c>
      <c r="AL80" s="186">
        <f t="shared" si="86"/>
        <v>5500</v>
      </c>
      <c r="AM80" s="221"/>
      <c r="AN80" s="187">
        <v>500</v>
      </c>
      <c r="AO80" s="187">
        <v>500</v>
      </c>
      <c r="AP80" s="187">
        <v>500</v>
      </c>
      <c r="AQ80" s="187">
        <v>500</v>
      </c>
      <c r="AR80" s="187">
        <v>500</v>
      </c>
      <c r="AS80" s="187">
        <v>500</v>
      </c>
      <c r="AT80" s="187">
        <v>500</v>
      </c>
      <c r="AU80" s="187">
        <v>500</v>
      </c>
      <c r="AV80" s="187">
        <v>500</v>
      </c>
      <c r="AW80" s="187">
        <v>500</v>
      </c>
      <c r="AX80" s="187">
        <v>500</v>
      </c>
      <c r="AY80" s="187">
        <v>500</v>
      </c>
      <c r="AZ80" s="186">
        <f t="shared" si="87"/>
        <v>6000</v>
      </c>
      <c r="BA80" s="221"/>
      <c r="BB80" s="187">
        <v>500</v>
      </c>
      <c r="BC80" s="187">
        <v>500</v>
      </c>
      <c r="BD80" s="187">
        <v>500</v>
      </c>
      <c r="BE80" s="187">
        <v>500</v>
      </c>
      <c r="BF80" s="187">
        <v>500</v>
      </c>
      <c r="BG80" s="187">
        <v>500</v>
      </c>
      <c r="BH80" s="187">
        <v>500</v>
      </c>
      <c r="BI80" s="187">
        <v>500</v>
      </c>
      <c r="BJ80" s="187">
        <v>500</v>
      </c>
      <c r="BK80" s="187">
        <v>500</v>
      </c>
      <c r="BL80" s="187">
        <v>500</v>
      </c>
      <c r="BM80" s="187">
        <v>500</v>
      </c>
      <c r="BN80" s="186">
        <f t="shared" si="88"/>
        <v>6000</v>
      </c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 ht="11.95" outlineLevel="1" thickBot="1" x14ac:dyDescent="0.3">
      <c r="E81" s="3"/>
      <c r="F81" s="3"/>
      <c r="G81" s="256" t="s">
        <v>110</v>
      </c>
      <c r="H81" s="3"/>
      <c r="I81" s="18"/>
      <c r="J81" s="18"/>
      <c r="K81" s="18"/>
      <c r="L81" s="185">
        <v>0</v>
      </c>
      <c r="M81" s="185">
        <v>0</v>
      </c>
      <c r="N81" s="185">
        <v>0</v>
      </c>
      <c r="O81" s="185">
        <v>0</v>
      </c>
      <c r="P81" s="185">
        <v>0</v>
      </c>
      <c r="Q81" s="185">
        <v>6500</v>
      </c>
      <c r="R81" s="185">
        <v>6500</v>
      </c>
      <c r="S81" s="185">
        <v>6721.76</v>
      </c>
      <c r="T81" s="185">
        <v>8094.51</v>
      </c>
      <c r="U81" s="185">
        <v>9200.8799999999992</v>
      </c>
      <c r="V81" s="185">
        <v>13161.37</v>
      </c>
      <c r="W81" s="185">
        <v>9056.9500000000007</v>
      </c>
      <c r="X81" s="186">
        <f t="shared" si="51"/>
        <v>59235.47</v>
      </c>
      <c r="Y81" s="219"/>
      <c r="Z81" s="185">
        <v>33589.99</v>
      </c>
      <c r="AA81" s="185">
        <v>7000</v>
      </c>
      <c r="AB81" s="185">
        <v>7000</v>
      </c>
      <c r="AC81" s="185">
        <v>7000</v>
      </c>
      <c r="AD81" s="185">
        <v>7000</v>
      </c>
      <c r="AE81" s="185">
        <v>7000</v>
      </c>
      <c r="AF81" s="185">
        <v>7000</v>
      </c>
      <c r="AG81" s="185">
        <v>7000</v>
      </c>
      <c r="AH81" s="185">
        <v>7000</v>
      </c>
      <c r="AI81" s="185">
        <v>7000</v>
      </c>
      <c r="AJ81" s="185">
        <v>7000</v>
      </c>
      <c r="AK81" s="185">
        <v>7000</v>
      </c>
      <c r="AL81" s="186">
        <f t="shared" si="52"/>
        <v>110589.98999999999</v>
      </c>
      <c r="AM81" s="221"/>
      <c r="AN81" s="187">
        <v>7000</v>
      </c>
      <c r="AO81" s="187">
        <v>7000</v>
      </c>
      <c r="AP81" s="187">
        <v>7000</v>
      </c>
      <c r="AQ81" s="187">
        <v>7000</v>
      </c>
      <c r="AR81" s="187">
        <v>7000</v>
      </c>
      <c r="AS81" s="187">
        <v>7000</v>
      </c>
      <c r="AT81" s="187">
        <v>7000</v>
      </c>
      <c r="AU81" s="187">
        <v>7000</v>
      </c>
      <c r="AV81" s="187">
        <v>7000</v>
      </c>
      <c r="AW81" s="187">
        <v>7000</v>
      </c>
      <c r="AX81" s="187">
        <v>7000</v>
      </c>
      <c r="AY81" s="187">
        <v>7000</v>
      </c>
      <c r="AZ81" s="186">
        <f t="shared" si="53"/>
        <v>84000</v>
      </c>
      <c r="BA81" s="221"/>
      <c r="BB81" s="187">
        <v>7000</v>
      </c>
      <c r="BC81" s="187">
        <v>7000</v>
      </c>
      <c r="BD81" s="187">
        <v>7000</v>
      </c>
      <c r="BE81" s="187">
        <v>7000</v>
      </c>
      <c r="BF81" s="187">
        <v>7000</v>
      </c>
      <c r="BG81" s="187">
        <v>7000</v>
      </c>
      <c r="BH81" s="187">
        <v>7000</v>
      </c>
      <c r="BI81" s="187">
        <v>7000</v>
      </c>
      <c r="BJ81" s="187">
        <v>7000</v>
      </c>
      <c r="BK81" s="187">
        <v>7000</v>
      </c>
      <c r="BL81" s="187">
        <v>7000</v>
      </c>
      <c r="BM81" s="187">
        <v>7000</v>
      </c>
      <c r="BN81" s="186">
        <f t="shared" si="54"/>
        <v>84000</v>
      </c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spans="1:80" ht="11.95" hidden="1" outlineLevel="2" thickBot="1" x14ac:dyDescent="0.3">
      <c r="A82" t="str">
        <f t="shared" ref="A82" si="89">IF(LEFT(G82,3)="Mul", "#hiderow", "#showrow")</f>
        <v>#hiderow</v>
      </c>
      <c r="E82" s="3"/>
      <c r="F82" s="3"/>
      <c r="G82" s="255" t="s">
        <v>6</v>
      </c>
      <c r="H82" s="3"/>
      <c r="I82" s="18"/>
      <c r="J82" s="18"/>
      <c r="K82" s="18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6">
        <f t="shared" si="51"/>
        <v>0</v>
      </c>
      <c r="Y82" s="219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6">
        <f t="shared" si="52"/>
        <v>0</v>
      </c>
      <c r="AM82" s="221"/>
      <c r="AN82" s="187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6">
        <f t="shared" si="53"/>
        <v>0</v>
      </c>
      <c r="BA82" s="221"/>
      <c r="BB82" s="187"/>
      <c r="BC82" s="187"/>
      <c r="BD82" s="187"/>
      <c r="BE82" s="187"/>
      <c r="BF82" s="187"/>
      <c r="BG82" s="187"/>
      <c r="BH82" s="187"/>
      <c r="BI82" s="187"/>
      <c r="BJ82" s="187"/>
      <c r="BK82" s="187"/>
      <c r="BL82" s="187"/>
      <c r="BM82" s="187"/>
      <c r="BN82" s="186">
        <f t="shared" si="54"/>
        <v>0</v>
      </c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 ht="11.95" outlineLevel="2" thickBot="1" x14ac:dyDescent="0.3">
      <c r="A83" t="str">
        <f t="shared" ref="A83:A86" si="90">IF(LEFT(G83,3)="Mul", "#hiderow", "#showrow")</f>
        <v>#showrow</v>
      </c>
      <c r="E83" s="3"/>
      <c r="F83" s="3"/>
      <c r="G83" s="255" t="s">
        <v>479</v>
      </c>
      <c r="H83" s="3"/>
      <c r="I83" s="18"/>
      <c r="J83" s="18"/>
      <c r="K83" s="18"/>
      <c r="L83" s="185"/>
      <c r="M83" s="185"/>
      <c r="N83" s="185"/>
      <c r="O83" s="185"/>
      <c r="P83" s="185"/>
      <c r="Q83" s="185"/>
      <c r="R83" s="185"/>
      <c r="S83" s="185"/>
      <c r="T83" s="185">
        <v>1594.51</v>
      </c>
      <c r="U83" s="185">
        <v>2700.88</v>
      </c>
      <c r="V83" s="185">
        <v>6071.32</v>
      </c>
      <c r="W83" s="185">
        <v>1019.99</v>
      </c>
      <c r="X83" s="186">
        <f t="shared" ref="X83:X86" si="91">SUM(L83:W83)</f>
        <v>11386.699999999999</v>
      </c>
      <c r="Y83" s="219"/>
      <c r="Z83" s="185">
        <v>17886.740000000002</v>
      </c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6">
        <f t="shared" ref="AL83:AL86" si="92">SUM(Z83:AK83)</f>
        <v>17886.740000000002</v>
      </c>
      <c r="AM83" s="221"/>
      <c r="AN83" s="187"/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6">
        <f t="shared" ref="AZ83:AZ86" si="93">SUM(AN83:AY83)</f>
        <v>0</v>
      </c>
      <c r="BA83" s="221"/>
      <c r="BB83" s="187"/>
      <c r="BC83" s="187"/>
      <c r="BD83" s="187"/>
      <c r="BE83" s="187"/>
      <c r="BF83" s="187"/>
      <c r="BG83" s="187"/>
      <c r="BH83" s="187"/>
      <c r="BI83" s="187"/>
      <c r="BJ83" s="187"/>
      <c r="BK83" s="187"/>
      <c r="BL83" s="187"/>
      <c r="BM83" s="187"/>
      <c r="BN83" s="186">
        <f t="shared" ref="BN83:BN86" si="94">SUM(BB83:BM83)</f>
        <v>0</v>
      </c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 spans="1:80" ht="11.95" outlineLevel="2" thickBot="1" x14ac:dyDescent="0.3">
      <c r="A84" t="str">
        <f t="shared" si="90"/>
        <v>#showrow</v>
      </c>
      <c r="E84" s="3"/>
      <c r="F84" s="3"/>
      <c r="G84" s="255" t="s">
        <v>142</v>
      </c>
      <c r="H84" s="3"/>
      <c r="I84" s="18"/>
      <c r="J84" s="18"/>
      <c r="K84" s="18"/>
      <c r="L84" s="185"/>
      <c r="M84" s="185"/>
      <c r="N84" s="185"/>
      <c r="O84" s="185"/>
      <c r="P84" s="185"/>
      <c r="Q84" s="185"/>
      <c r="R84" s="185"/>
      <c r="S84" s="185">
        <v>221.76</v>
      </c>
      <c r="T84" s="185"/>
      <c r="U84" s="185"/>
      <c r="V84" s="185">
        <v>590.04999999999995</v>
      </c>
      <c r="W84" s="185">
        <v>1536.96</v>
      </c>
      <c r="X84" s="186">
        <f t="shared" si="91"/>
        <v>2348.77</v>
      </c>
      <c r="Y84" s="219"/>
      <c r="Z84" s="185">
        <v>2628.25</v>
      </c>
      <c r="AA84" s="185">
        <v>500</v>
      </c>
      <c r="AB84" s="185">
        <v>500</v>
      </c>
      <c r="AC84" s="185">
        <v>500</v>
      </c>
      <c r="AD84" s="185">
        <v>500</v>
      </c>
      <c r="AE84" s="185">
        <v>500</v>
      </c>
      <c r="AF84" s="185">
        <v>500</v>
      </c>
      <c r="AG84" s="185">
        <v>500</v>
      </c>
      <c r="AH84" s="185">
        <v>500</v>
      </c>
      <c r="AI84" s="185">
        <v>500</v>
      </c>
      <c r="AJ84" s="185">
        <v>500</v>
      </c>
      <c r="AK84" s="185">
        <v>500</v>
      </c>
      <c r="AL84" s="186">
        <f t="shared" si="92"/>
        <v>8128.25</v>
      </c>
      <c r="AM84" s="221"/>
      <c r="AN84" s="187">
        <v>500</v>
      </c>
      <c r="AO84" s="187">
        <v>500</v>
      </c>
      <c r="AP84" s="187">
        <v>500</v>
      </c>
      <c r="AQ84" s="187">
        <v>500</v>
      </c>
      <c r="AR84" s="187">
        <v>500</v>
      </c>
      <c r="AS84" s="187">
        <v>500</v>
      </c>
      <c r="AT84" s="187">
        <v>500</v>
      </c>
      <c r="AU84" s="187">
        <v>500</v>
      </c>
      <c r="AV84" s="187">
        <v>500</v>
      </c>
      <c r="AW84" s="187">
        <v>500</v>
      </c>
      <c r="AX84" s="187">
        <v>500</v>
      </c>
      <c r="AY84" s="187">
        <v>500</v>
      </c>
      <c r="AZ84" s="186">
        <f t="shared" si="93"/>
        <v>6000</v>
      </c>
      <c r="BA84" s="221"/>
      <c r="BB84" s="187">
        <v>500</v>
      </c>
      <c r="BC84" s="187">
        <v>500</v>
      </c>
      <c r="BD84" s="187">
        <v>500</v>
      </c>
      <c r="BE84" s="187">
        <v>500</v>
      </c>
      <c r="BF84" s="187">
        <v>500</v>
      </c>
      <c r="BG84" s="187">
        <v>500</v>
      </c>
      <c r="BH84" s="187">
        <v>500</v>
      </c>
      <c r="BI84" s="187">
        <v>500</v>
      </c>
      <c r="BJ84" s="187">
        <v>500</v>
      </c>
      <c r="BK84" s="187">
        <v>500</v>
      </c>
      <c r="BL84" s="187">
        <v>500</v>
      </c>
      <c r="BM84" s="187">
        <v>500</v>
      </c>
      <c r="BN84" s="186">
        <f t="shared" si="94"/>
        <v>6000</v>
      </c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 spans="1:80" ht="11.95" outlineLevel="2" thickBot="1" x14ac:dyDescent="0.3">
      <c r="A85" t="str">
        <f t="shared" si="90"/>
        <v>#showrow</v>
      </c>
      <c r="E85" s="3"/>
      <c r="F85" s="3"/>
      <c r="G85" s="255" t="s">
        <v>143</v>
      </c>
      <c r="H85" s="3"/>
      <c r="I85" s="18"/>
      <c r="J85" s="18"/>
      <c r="K85" s="18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6">
        <f t="shared" si="91"/>
        <v>0</v>
      </c>
      <c r="Y85" s="219"/>
      <c r="Z85" s="185">
        <v>6250</v>
      </c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6">
        <f t="shared" si="92"/>
        <v>6250</v>
      </c>
      <c r="AM85" s="221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6">
        <f t="shared" si="93"/>
        <v>0</v>
      </c>
      <c r="BA85" s="221"/>
      <c r="BB85" s="187"/>
      <c r="BC85" s="187"/>
      <c r="BD85" s="187"/>
      <c r="BE85" s="187"/>
      <c r="BF85" s="187"/>
      <c r="BG85" s="187"/>
      <c r="BH85" s="187"/>
      <c r="BI85" s="187"/>
      <c r="BJ85" s="187"/>
      <c r="BK85" s="187"/>
      <c r="BL85" s="187"/>
      <c r="BM85" s="187"/>
      <c r="BN85" s="186">
        <f t="shared" si="94"/>
        <v>0</v>
      </c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 spans="1:80" ht="11.95" outlineLevel="2" thickBot="1" x14ac:dyDescent="0.3">
      <c r="A86" t="str">
        <f t="shared" si="90"/>
        <v>#showrow</v>
      </c>
      <c r="E86" s="3"/>
      <c r="F86" s="3"/>
      <c r="G86" s="255" t="s">
        <v>145</v>
      </c>
      <c r="H86" s="3"/>
      <c r="I86" s="18"/>
      <c r="J86" s="18"/>
      <c r="K86" s="18"/>
      <c r="L86" s="185"/>
      <c r="M86" s="185"/>
      <c r="N86" s="185"/>
      <c r="O86" s="185"/>
      <c r="P86" s="185"/>
      <c r="Q86" s="185">
        <v>6500</v>
      </c>
      <c r="R86" s="185">
        <v>6500</v>
      </c>
      <c r="S86" s="185">
        <v>6500</v>
      </c>
      <c r="T86" s="185">
        <v>6500</v>
      </c>
      <c r="U86" s="185">
        <v>6500</v>
      </c>
      <c r="V86" s="185">
        <v>6500</v>
      </c>
      <c r="W86" s="185">
        <v>6500</v>
      </c>
      <c r="X86" s="186">
        <f t="shared" si="91"/>
        <v>45500</v>
      </c>
      <c r="Y86" s="219"/>
      <c r="Z86" s="185">
        <v>6825</v>
      </c>
      <c r="AA86" s="185">
        <v>6500</v>
      </c>
      <c r="AB86" s="185">
        <v>6500</v>
      </c>
      <c r="AC86" s="185">
        <v>6500</v>
      </c>
      <c r="AD86" s="185">
        <v>6500</v>
      </c>
      <c r="AE86" s="185">
        <v>6500</v>
      </c>
      <c r="AF86" s="185">
        <v>6500</v>
      </c>
      <c r="AG86" s="185">
        <v>6500</v>
      </c>
      <c r="AH86" s="185">
        <v>6500</v>
      </c>
      <c r="AI86" s="185">
        <v>6500</v>
      </c>
      <c r="AJ86" s="185">
        <v>6500</v>
      </c>
      <c r="AK86" s="185">
        <v>6500</v>
      </c>
      <c r="AL86" s="186">
        <f t="shared" si="92"/>
        <v>78325</v>
      </c>
      <c r="AM86" s="221"/>
      <c r="AN86" s="187">
        <v>6500</v>
      </c>
      <c r="AO86" s="187">
        <v>6500</v>
      </c>
      <c r="AP86" s="187">
        <v>6500</v>
      </c>
      <c r="AQ86" s="187">
        <v>6500</v>
      </c>
      <c r="AR86" s="187">
        <v>6500</v>
      </c>
      <c r="AS86" s="187">
        <v>6500</v>
      </c>
      <c r="AT86" s="187">
        <v>6500</v>
      </c>
      <c r="AU86" s="187">
        <v>6500</v>
      </c>
      <c r="AV86" s="187">
        <v>6500</v>
      </c>
      <c r="AW86" s="187">
        <v>6500</v>
      </c>
      <c r="AX86" s="187">
        <v>6500</v>
      </c>
      <c r="AY86" s="187">
        <v>6500</v>
      </c>
      <c r="AZ86" s="186">
        <f t="shared" si="93"/>
        <v>78000</v>
      </c>
      <c r="BA86" s="221"/>
      <c r="BB86" s="187">
        <v>6500</v>
      </c>
      <c r="BC86" s="187">
        <v>6500</v>
      </c>
      <c r="BD86" s="187">
        <v>6500</v>
      </c>
      <c r="BE86" s="187">
        <v>6500</v>
      </c>
      <c r="BF86" s="187">
        <v>6500</v>
      </c>
      <c r="BG86" s="187">
        <v>6500</v>
      </c>
      <c r="BH86" s="187">
        <v>6500</v>
      </c>
      <c r="BI86" s="187">
        <v>6500</v>
      </c>
      <c r="BJ86" s="187">
        <v>6500</v>
      </c>
      <c r="BK86" s="187">
        <v>6500</v>
      </c>
      <c r="BL86" s="187">
        <v>6500</v>
      </c>
      <c r="BM86" s="187">
        <v>6500</v>
      </c>
      <c r="BN86" s="186">
        <f t="shared" si="94"/>
        <v>78000</v>
      </c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 spans="1:80" ht="11.95" outlineLevel="1" thickBot="1" x14ac:dyDescent="0.3">
      <c r="E87" s="3"/>
      <c r="F87" s="3"/>
      <c r="G87" s="256" t="s">
        <v>111</v>
      </c>
      <c r="H87" s="3"/>
      <c r="I87" s="18"/>
      <c r="J87" s="18"/>
      <c r="K87" s="18"/>
      <c r="L87" s="185">
        <v>0</v>
      </c>
      <c r="M87" s="185">
        <v>0</v>
      </c>
      <c r="N87" s="185">
        <v>0</v>
      </c>
      <c r="O87" s="185">
        <v>0</v>
      </c>
      <c r="P87" s="185">
        <v>0</v>
      </c>
      <c r="Q87" s="185">
        <v>51308.97</v>
      </c>
      <c r="R87" s="185">
        <v>31001.38</v>
      </c>
      <c r="S87" s="185">
        <v>55830</v>
      </c>
      <c r="T87" s="185">
        <v>23430</v>
      </c>
      <c r="U87" s="185">
        <v>46330</v>
      </c>
      <c r="V87" s="185">
        <v>7182.08</v>
      </c>
      <c r="W87" s="185">
        <v>26813.1</v>
      </c>
      <c r="X87" s="186">
        <f t="shared" si="51"/>
        <v>241895.53</v>
      </c>
      <c r="Y87" s="219"/>
      <c r="Z87" s="185">
        <v>20830</v>
      </c>
      <c r="AA87" s="185">
        <v>33500</v>
      </c>
      <c r="AB87" s="185">
        <v>33500</v>
      </c>
      <c r="AC87" s="185">
        <v>33500</v>
      </c>
      <c r="AD87" s="185">
        <v>33500</v>
      </c>
      <c r="AE87" s="185">
        <v>33500</v>
      </c>
      <c r="AF87" s="185">
        <v>33500</v>
      </c>
      <c r="AG87" s="185">
        <v>33500</v>
      </c>
      <c r="AH87" s="185">
        <v>33500</v>
      </c>
      <c r="AI87" s="185">
        <v>33500</v>
      </c>
      <c r="AJ87" s="185">
        <v>33500</v>
      </c>
      <c r="AK87" s="185">
        <v>33500</v>
      </c>
      <c r="AL87" s="186">
        <f t="shared" si="52"/>
        <v>389330</v>
      </c>
      <c r="AM87" s="221"/>
      <c r="AN87" s="187">
        <v>33500</v>
      </c>
      <c r="AO87" s="187">
        <v>33500</v>
      </c>
      <c r="AP87" s="187">
        <v>33500</v>
      </c>
      <c r="AQ87" s="187">
        <v>33500</v>
      </c>
      <c r="AR87" s="187">
        <v>33500</v>
      </c>
      <c r="AS87" s="187">
        <v>33500</v>
      </c>
      <c r="AT87" s="187">
        <v>33500</v>
      </c>
      <c r="AU87" s="187">
        <v>33500</v>
      </c>
      <c r="AV87" s="187">
        <v>33500</v>
      </c>
      <c r="AW87" s="187">
        <v>33500</v>
      </c>
      <c r="AX87" s="187">
        <v>33500</v>
      </c>
      <c r="AY87" s="187">
        <v>33500</v>
      </c>
      <c r="AZ87" s="186">
        <f t="shared" si="53"/>
        <v>402000</v>
      </c>
      <c r="BA87" s="221"/>
      <c r="BB87" s="187">
        <v>33500</v>
      </c>
      <c r="BC87" s="187">
        <v>33500</v>
      </c>
      <c r="BD87" s="187">
        <v>33500</v>
      </c>
      <c r="BE87" s="187">
        <v>33500</v>
      </c>
      <c r="BF87" s="187">
        <v>33500</v>
      </c>
      <c r="BG87" s="187">
        <v>33500</v>
      </c>
      <c r="BH87" s="187">
        <v>33500</v>
      </c>
      <c r="BI87" s="187">
        <v>33500</v>
      </c>
      <c r="BJ87" s="187">
        <v>33500</v>
      </c>
      <c r="BK87" s="187">
        <v>33500</v>
      </c>
      <c r="BL87" s="187">
        <v>33500</v>
      </c>
      <c r="BM87" s="187">
        <v>33500</v>
      </c>
      <c r="BN87" s="186">
        <f t="shared" si="54"/>
        <v>402000</v>
      </c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spans="1:80" ht="11.95" hidden="1" outlineLevel="2" thickBot="1" x14ac:dyDescent="0.3">
      <c r="A88" t="str">
        <f t="shared" ref="A88" si="95">IF(LEFT(G88,3)="Mul", "#hiderow", "#showrow")</f>
        <v>#hiderow</v>
      </c>
      <c r="E88" s="3"/>
      <c r="F88" s="3"/>
      <c r="G88" s="255" t="s">
        <v>6</v>
      </c>
      <c r="H88" s="3"/>
      <c r="I88" s="18"/>
      <c r="J88" s="18"/>
      <c r="K88" s="18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6">
        <f t="shared" si="51"/>
        <v>0</v>
      </c>
      <c r="Y88" s="219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6">
        <f t="shared" si="52"/>
        <v>0</v>
      </c>
      <c r="AM88" s="221"/>
      <c r="AN88" s="187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187"/>
      <c r="AZ88" s="186">
        <f t="shared" si="53"/>
        <v>0</v>
      </c>
      <c r="BA88" s="221"/>
      <c r="BB88" s="187"/>
      <c r="BC88" s="187"/>
      <c r="BD88" s="187"/>
      <c r="BE88" s="187"/>
      <c r="BF88" s="187"/>
      <c r="BG88" s="187"/>
      <c r="BH88" s="187"/>
      <c r="BI88" s="187"/>
      <c r="BJ88" s="187"/>
      <c r="BK88" s="187"/>
      <c r="BL88" s="187"/>
      <c r="BM88" s="187"/>
      <c r="BN88" s="186">
        <f t="shared" si="54"/>
        <v>0</v>
      </c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0" ht="11.95" outlineLevel="2" thickBot="1" x14ac:dyDescent="0.3">
      <c r="A89" t="str">
        <f t="shared" ref="A89:A92" si="96">IF(LEFT(G89,3)="Mul", "#hiderow", "#showrow")</f>
        <v>#showrow</v>
      </c>
      <c r="E89" s="3"/>
      <c r="F89" s="3"/>
      <c r="G89" s="255" t="s">
        <v>483</v>
      </c>
      <c r="H89" s="3"/>
      <c r="I89" s="18"/>
      <c r="J89" s="18"/>
      <c r="K89" s="18"/>
      <c r="L89" s="185"/>
      <c r="M89" s="185"/>
      <c r="N89" s="185"/>
      <c r="O89" s="185"/>
      <c r="P89" s="185"/>
      <c r="Q89" s="185"/>
      <c r="R89" s="185">
        <v>0.35</v>
      </c>
      <c r="S89" s="185"/>
      <c r="T89" s="185"/>
      <c r="U89" s="185"/>
      <c r="V89" s="185"/>
      <c r="W89" s="185"/>
      <c r="X89" s="186">
        <f t="shared" ref="X89:X92" si="97">SUM(L89:W89)</f>
        <v>0.35</v>
      </c>
      <c r="Y89" s="219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6">
        <f t="shared" ref="AL89:AL92" si="98">SUM(Z89:AK89)</f>
        <v>0</v>
      </c>
      <c r="AM89" s="221"/>
      <c r="AN89" s="187"/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6">
        <f t="shared" ref="AZ89:AZ92" si="99">SUM(AN89:AY89)</f>
        <v>0</v>
      </c>
      <c r="BA89" s="221"/>
      <c r="BB89" s="187"/>
      <c r="BC89" s="187"/>
      <c r="BD89" s="187"/>
      <c r="BE89" s="187"/>
      <c r="BF89" s="187"/>
      <c r="BG89" s="187"/>
      <c r="BH89" s="187"/>
      <c r="BI89" s="187"/>
      <c r="BJ89" s="187"/>
      <c r="BK89" s="187"/>
      <c r="BL89" s="187"/>
      <c r="BM89" s="187"/>
      <c r="BN89" s="186">
        <f t="shared" ref="BN89:BN92" si="100">SUM(BB89:BM89)</f>
        <v>0</v>
      </c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 spans="1:80" ht="11.95" outlineLevel="2" thickBot="1" x14ac:dyDescent="0.3">
      <c r="A90" t="str">
        <f t="shared" si="96"/>
        <v>#showrow</v>
      </c>
      <c r="E90" s="3"/>
      <c r="F90" s="3"/>
      <c r="G90" s="255" t="s">
        <v>160</v>
      </c>
      <c r="H90" s="3"/>
      <c r="I90" s="18"/>
      <c r="J90" s="18"/>
      <c r="K90" s="18"/>
      <c r="L90" s="185"/>
      <c r="M90" s="185"/>
      <c r="N90" s="185"/>
      <c r="O90" s="185"/>
      <c r="P90" s="185"/>
      <c r="Q90" s="185"/>
      <c r="R90" s="185"/>
      <c r="S90" s="185"/>
      <c r="T90" s="185"/>
      <c r="U90" s="185">
        <v>500</v>
      </c>
      <c r="V90" s="185"/>
      <c r="W90" s="185"/>
      <c r="X90" s="186">
        <f t="shared" si="97"/>
        <v>500</v>
      </c>
      <c r="Y90" s="219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6">
        <f t="shared" si="98"/>
        <v>0</v>
      </c>
      <c r="AM90" s="221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6">
        <f t="shared" si="99"/>
        <v>0</v>
      </c>
      <c r="BA90" s="221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87"/>
      <c r="BN90" s="186">
        <f t="shared" si="100"/>
        <v>0</v>
      </c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 spans="1:80" ht="11.95" outlineLevel="2" thickBot="1" x14ac:dyDescent="0.3">
      <c r="A91" t="str">
        <f t="shared" si="96"/>
        <v>#showrow</v>
      </c>
      <c r="E91" s="3"/>
      <c r="F91" s="3"/>
      <c r="G91" s="255" t="s">
        <v>161</v>
      </c>
      <c r="H91" s="3"/>
      <c r="I91" s="18"/>
      <c r="J91" s="18"/>
      <c r="K91" s="18"/>
      <c r="L91" s="185"/>
      <c r="M91" s="185"/>
      <c r="N91" s="185"/>
      <c r="O91" s="185"/>
      <c r="P91" s="185"/>
      <c r="Q91" s="185">
        <v>47530</v>
      </c>
      <c r="R91" s="185">
        <v>22915</v>
      </c>
      <c r="S91" s="185">
        <v>55830</v>
      </c>
      <c r="T91" s="185">
        <v>23330</v>
      </c>
      <c r="U91" s="185">
        <v>45830</v>
      </c>
      <c r="V91" s="185">
        <v>4130</v>
      </c>
      <c r="W91" s="185">
        <v>26237.58</v>
      </c>
      <c r="X91" s="186">
        <f t="shared" si="97"/>
        <v>225802.58000000002</v>
      </c>
      <c r="Y91" s="219"/>
      <c r="Z91" s="185">
        <v>20830</v>
      </c>
      <c r="AA91" s="185">
        <v>33500</v>
      </c>
      <c r="AB91" s="185">
        <v>33500</v>
      </c>
      <c r="AC91" s="185">
        <v>33500</v>
      </c>
      <c r="AD91" s="185">
        <v>33500</v>
      </c>
      <c r="AE91" s="185">
        <v>33500</v>
      </c>
      <c r="AF91" s="185">
        <v>33500</v>
      </c>
      <c r="AG91" s="185">
        <v>33500</v>
      </c>
      <c r="AH91" s="185">
        <v>33500</v>
      </c>
      <c r="AI91" s="185">
        <v>33500</v>
      </c>
      <c r="AJ91" s="185">
        <v>33500</v>
      </c>
      <c r="AK91" s="185">
        <v>33500</v>
      </c>
      <c r="AL91" s="186">
        <f t="shared" si="98"/>
        <v>389330</v>
      </c>
      <c r="AM91" s="221"/>
      <c r="AN91" s="187">
        <v>33500</v>
      </c>
      <c r="AO91" s="187">
        <v>33500</v>
      </c>
      <c r="AP91" s="187">
        <v>33500</v>
      </c>
      <c r="AQ91" s="187">
        <v>33500</v>
      </c>
      <c r="AR91" s="187">
        <v>33500</v>
      </c>
      <c r="AS91" s="187">
        <v>33500</v>
      </c>
      <c r="AT91" s="187">
        <v>33500</v>
      </c>
      <c r="AU91" s="187">
        <v>33500</v>
      </c>
      <c r="AV91" s="187">
        <v>33500</v>
      </c>
      <c r="AW91" s="187">
        <v>33500</v>
      </c>
      <c r="AX91" s="187">
        <v>33500</v>
      </c>
      <c r="AY91" s="187">
        <v>33500</v>
      </c>
      <c r="AZ91" s="186">
        <f t="shared" si="99"/>
        <v>402000</v>
      </c>
      <c r="BA91" s="221"/>
      <c r="BB91" s="187">
        <v>33500</v>
      </c>
      <c r="BC91" s="187">
        <v>33500</v>
      </c>
      <c r="BD91" s="187">
        <v>33500</v>
      </c>
      <c r="BE91" s="187">
        <v>33500</v>
      </c>
      <c r="BF91" s="187">
        <v>33500</v>
      </c>
      <c r="BG91" s="187">
        <v>33500</v>
      </c>
      <c r="BH91" s="187">
        <v>33500</v>
      </c>
      <c r="BI91" s="187">
        <v>33500</v>
      </c>
      <c r="BJ91" s="187">
        <v>33500</v>
      </c>
      <c r="BK91" s="187">
        <v>33500</v>
      </c>
      <c r="BL91" s="187">
        <v>33500</v>
      </c>
      <c r="BM91" s="187">
        <v>33500</v>
      </c>
      <c r="BN91" s="186">
        <f t="shared" si="100"/>
        <v>402000</v>
      </c>
      <c r="BP91"/>
      <c r="BQ91"/>
      <c r="BR91"/>
      <c r="BS91"/>
      <c r="BT91"/>
      <c r="BU91"/>
      <c r="BV91"/>
      <c r="BW91"/>
      <c r="BX91"/>
      <c r="BY91"/>
      <c r="BZ91"/>
      <c r="CA91"/>
      <c r="CB91"/>
    </row>
    <row r="92" spans="1:80" ht="11.95" outlineLevel="2" thickBot="1" x14ac:dyDescent="0.3">
      <c r="A92" t="str">
        <f t="shared" si="96"/>
        <v>#showrow</v>
      </c>
      <c r="E92" s="3"/>
      <c r="F92" s="3"/>
      <c r="G92" s="255" t="s">
        <v>162</v>
      </c>
      <c r="H92" s="3"/>
      <c r="I92" s="18"/>
      <c r="J92" s="18"/>
      <c r="K92" s="18"/>
      <c r="L92" s="185"/>
      <c r="M92" s="185"/>
      <c r="N92" s="185"/>
      <c r="O92" s="185"/>
      <c r="P92" s="185"/>
      <c r="Q92" s="185">
        <v>3778.97</v>
      </c>
      <c r="R92" s="185">
        <v>8086.03</v>
      </c>
      <c r="S92" s="185"/>
      <c r="T92" s="185">
        <v>100</v>
      </c>
      <c r="U92" s="185"/>
      <c r="V92" s="185">
        <v>3052.08</v>
      </c>
      <c r="W92" s="185">
        <v>575.52</v>
      </c>
      <c r="X92" s="186">
        <f t="shared" si="97"/>
        <v>15592.6</v>
      </c>
      <c r="Y92" s="219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6">
        <f t="shared" si="98"/>
        <v>0</v>
      </c>
      <c r="AM92" s="221"/>
      <c r="AN92" s="187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187"/>
      <c r="AZ92" s="186">
        <f t="shared" si="99"/>
        <v>0</v>
      </c>
      <c r="BA92" s="221"/>
      <c r="BB92" s="187"/>
      <c r="BC92" s="187"/>
      <c r="BD92" s="187"/>
      <c r="BE92" s="187"/>
      <c r="BF92" s="187"/>
      <c r="BG92" s="187"/>
      <c r="BH92" s="187"/>
      <c r="BI92" s="187"/>
      <c r="BJ92" s="187"/>
      <c r="BK92" s="187"/>
      <c r="BL92" s="187"/>
      <c r="BM92" s="187"/>
      <c r="BN92" s="186">
        <f t="shared" si="100"/>
        <v>0</v>
      </c>
      <c r="BP92"/>
      <c r="BQ92"/>
      <c r="BR92"/>
      <c r="BS92"/>
      <c r="BT92"/>
      <c r="BU92"/>
      <c r="BV92"/>
      <c r="BW92"/>
      <c r="BX92"/>
      <c r="BY92"/>
      <c r="BZ92"/>
      <c r="CA92"/>
      <c r="CB92"/>
    </row>
    <row r="93" spans="1:80" ht="11.95" outlineLevel="1" thickBot="1" x14ac:dyDescent="0.3">
      <c r="E93" s="3"/>
      <c r="F93" s="3"/>
      <c r="G93" s="256" t="s">
        <v>112</v>
      </c>
      <c r="H93" s="3"/>
      <c r="I93" s="18"/>
      <c r="J93" s="18"/>
      <c r="K93" s="18"/>
      <c r="L93" s="185">
        <v>0</v>
      </c>
      <c r="M93" s="185">
        <v>0</v>
      </c>
      <c r="N93" s="185">
        <v>0</v>
      </c>
      <c r="O93" s="185">
        <v>0</v>
      </c>
      <c r="P93" s="185">
        <v>0</v>
      </c>
      <c r="Q93" s="185">
        <v>0</v>
      </c>
      <c r="R93" s="185">
        <v>139</v>
      </c>
      <c r="S93" s="185">
        <v>0</v>
      </c>
      <c r="T93" s="185">
        <v>0</v>
      </c>
      <c r="U93" s="185">
        <v>0</v>
      </c>
      <c r="V93" s="185">
        <v>0</v>
      </c>
      <c r="W93" s="185">
        <v>0</v>
      </c>
      <c r="X93" s="186">
        <f t="shared" si="51"/>
        <v>139</v>
      </c>
      <c r="Y93" s="219"/>
      <c r="Z93" s="185">
        <v>0</v>
      </c>
      <c r="AA93" s="185">
        <v>0</v>
      </c>
      <c r="AB93" s="185">
        <v>0</v>
      </c>
      <c r="AC93" s="185">
        <v>0</v>
      </c>
      <c r="AD93" s="185">
        <v>0</v>
      </c>
      <c r="AE93" s="185">
        <v>0</v>
      </c>
      <c r="AF93" s="185">
        <v>0</v>
      </c>
      <c r="AG93" s="185">
        <v>0</v>
      </c>
      <c r="AH93" s="185">
        <v>0</v>
      </c>
      <c r="AI93" s="185">
        <v>0</v>
      </c>
      <c r="AJ93" s="185">
        <v>0</v>
      </c>
      <c r="AK93" s="185">
        <v>0</v>
      </c>
      <c r="AL93" s="186">
        <f t="shared" si="52"/>
        <v>0</v>
      </c>
      <c r="AM93" s="221"/>
      <c r="AN93" s="187">
        <v>0</v>
      </c>
      <c r="AO93" s="187">
        <v>0</v>
      </c>
      <c r="AP93" s="187">
        <v>0</v>
      </c>
      <c r="AQ93" s="187">
        <v>0</v>
      </c>
      <c r="AR93" s="187">
        <v>0</v>
      </c>
      <c r="AS93" s="187">
        <v>0</v>
      </c>
      <c r="AT93" s="187">
        <v>0</v>
      </c>
      <c r="AU93" s="187">
        <v>0</v>
      </c>
      <c r="AV93" s="187">
        <v>0</v>
      </c>
      <c r="AW93" s="187">
        <v>0</v>
      </c>
      <c r="AX93" s="187">
        <v>0</v>
      </c>
      <c r="AY93" s="187">
        <v>0</v>
      </c>
      <c r="AZ93" s="186">
        <f t="shared" si="53"/>
        <v>0</v>
      </c>
      <c r="BA93" s="221"/>
      <c r="BB93" s="187">
        <v>0</v>
      </c>
      <c r="BC93" s="187">
        <v>0</v>
      </c>
      <c r="BD93" s="187">
        <v>0</v>
      </c>
      <c r="BE93" s="187">
        <v>0</v>
      </c>
      <c r="BF93" s="187">
        <v>0</v>
      </c>
      <c r="BG93" s="187">
        <v>0</v>
      </c>
      <c r="BH93" s="187">
        <v>0</v>
      </c>
      <c r="BI93" s="187">
        <v>0</v>
      </c>
      <c r="BJ93" s="187">
        <v>0</v>
      </c>
      <c r="BK93" s="187">
        <v>0</v>
      </c>
      <c r="BL93" s="187">
        <v>0</v>
      </c>
      <c r="BM93" s="187">
        <v>0</v>
      </c>
      <c r="BN93" s="186">
        <f t="shared" si="54"/>
        <v>0</v>
      </c>
      <c r="BP93"/>
      <c r="BQ93"/>
      <c r="BR93"/>
      <c r="BS93"/>
      <c r="BT93"/>
      <c r="BU93"/>
      <c r="BV93"/>
      <c r="BW93"/>
      <c r="BX93"/>
      <c r="BY93"/>
      <c r="BZ93"/>
      <c r="CA93"/>
      <c r="CB93"/>
    </row>
    <row r="94" spans="1:80" ht="11.95" hidden="1" outlineLevel="2" thickBot="1" x14ac:dyDescent="0.3">
      <c r="A94" t="str">
        <f t="shared" ref="A94" si="101">IF(LEFT(G94,3)="Mul", "#hiderow", "#showrow")</f>
        <v>#hiderow</v>
      </c>
      <c r="E94" s="3"/>
      <c r="F94" s="3"/>
      <c r="G94" s="255" t="s">
        <v>6</v>
      </c>
      <c r="H94" s="3"/>
      <c r="I94" s="18"/>
      <c r="J94" s="18"/>
      <c r="K94" s="18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6">
        <f t="shared" si="51"/>
        <v>0</v>
      </c>
      <c r="Y94" s="219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6">
        <f t="shared" si="52"/>
        <v>0</v>
      </c>
      <c r="AM94" s="221"/>
      <c r="AN94" s="187"/>
      <c r="AO94" s="187"/>
      <c r="AP94" s="187"/>
      <c r="AQ94" s="187"/>
      <c r="AR94" s="187"/>
      <c r="AS94" s="187"/>
      <c r="AT94" s="187"/>
      <c r="AU94" s="187"/>
      <c r="AV94" s="187"/>
      <c r="AW94" s="187"/>
      <c r="AX94" s="187"/>
      <c r="AY94" s="187"/>
      <c r="AZ94" s="186">
        <f t="shared" si="53"/>
        <v>0</v>
      </c>
      <c r="BA94" s="221"/>
      <c r="BB94" s="187"/>
      <c r="BC94" s="187"/>
      <c r="BD94" s="187"/>
      <c r="BE94" s="187"/>
      <c r="BF94" s="187"/>
      <c r="BG94" s="187"/>
      <c r="BH94" s="187"/>
      <c r="BI94" s="187"/>
      <c r="BJ94" s="187"/>
      <c r="BK94" s="187"/>
      <c r="BL94" s="187"/>
      <c r="BM94" s="187"/>
      <c r="BN94" s="186">
        <f t="shared" si="54"/>
        <v>0</v>
      </c>
      <c r="BP94"/>
      <c r="BQ94"/>
      <c r="BR94"/>
      <c r="BS94"/>
      <c r="BT94"/>
      <c r="BU94"/>
      <c r="BV94"/>
      <c r="BW94"/>
      <c r="BX94"/>
      <c r="BY94"/>
      <c r="BZ94"/>
      <c r="CA94"/>
      <c r="CB94"/>
    </row>
    <row r="95" spans="1:80" ht="11.95" outlineLevel="2" thickBot="1" x14ac:dyDescent="0.3">
      <c r="A95" t="str">
        <f t="shared" ref="A95" si="102">IF(LEFT(G95,3)="Mul", "#hiderow", "#showrow")</f>
        <v>#showrow</v>
      </c>
      <c r="E95" s="3"/>
      <c r="F95" s="3"/>
      <c r="G95" s="255" t="s">
        <v>485</v>
      </c>
      <c r="H95" s="3"/>
      <c r="I95" s="18"/>
      <c r="J95" s="18"/>
      <c r="K95" s="18"/>
      <c r="L95" s="185"/>
      <c r="M95" s="185"/>
      <c r="N95" s="185"/>
      <c r="O95" s="185"/>
      <c r="P95" s="185"/>
      <c r="Q95" s="185"/>
      <c r="R95" s="185">
        <v>139</v>
      </c>
      <c r="S95" s="185"/>
      <c r="T95" s="185"/>
      <c r="U95" s="185"/>
      <c r="V95" s="185"/>
      <c r="W95" s="185"/>
      <c r="X95" s="186">
        <f t="shared" ref="X95" si="103">SUM(L95:W95)</f>
        <v>139</v>
      </c>
      <c r="Y95" s="219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6">
        <f t="shared" ref="AL95" si="104">SUM(Z95:AK95)</f>
        <v>0</v>
      </c>
      <c r="AM95" s="221"/>
      <c r="AN95" s="187"/>
      <c r="AO95" s="187"/>
      <c r="AP95" s="187"/>
      <c r="AQ95" s="187"/>
      <c r="AR95" s="187"/>
      <c r="AS95" s="187"/>
      <c r="AT95" s="187"/>
      <c r="AU95" s="187"/>
      <c r="AV95" s="187"/>
      <c r="AW95" s="187"/>
      <c r="AX95" s="187"/>
      <c r="AY95" s="187"/>
      <c r="AZ95" s="186">
        <f t="shared" ref="AZ95" si="105">SUM(AN95:AY95)</f>
        <v>0</v>
      </c>
      <c r="BA95" s="221"/>
      <c r="BB95" s="187"/>
      <c r="BC95" s="187"/>
      <c r="BD95" s="187"/>
      <c r="BE95" s="187"/>
      <c r="BF95" s="187"/>
      <c r="BG95" s="187"/>
      <c r="BH95" s="187"/>
      <c r="BI95" s="187"/>
      <c r="BJ95" s="187"/>
      <c r="BK95" s="187"/>
      <c r="BL95" s="187"/>
      <c r="BM95" s="187"/>
      <c r="BN95" s="186">
        <f t="shared" ref="BN95" si="106">SUM(BB95:BM95)</f>
        <v>0</v>
      </c>
      <c r="BP95"/>
      <c r="BQ95"/>
      <c r="BR95"/>
      <c r="BS95"/>
      <c r="BT95"/>
      <c r="BU95"/>
      <c r="BV95"/>
      <c r="BW95"/>
      <c r="BX95"/>
      <c r="BY95"/>
      <c r="BZ95"/>
      <c r="CA95"/>
      <c r="CB95"/>
    </row>
    <row r="96" spans="1:80" ht="11.95" outlineLevel="1" thickBot="1" x14ac:dyDescent="0.3">
      <c r="E96" s="3"/>
      <c r="F96" s="3"/>
      <c r="G96" s="256" t="s">
        <v>113</v>
      </c>
      <c r="H96" s="3"/>
      <c r="I96" s="18"/>
      <c r="J96" s="18"/>
      <c r="K96" s="18"/>
      <c r="L96" s="185">
        <v>0</v>
      </c>
      <c r="M96" s="185">
        <v>0</v>
      </c>
      <c r="N96" s="185">
        <v>0</v>
      </c>
      <c r="O96" s="185">
        <v>0</v>
      </c>
      <c r="P96" s="185">
        <v>0</v>
      </c>
      <c r="Q96" s="185">
        <v>0</v>
      </c>
      <c r="R96" s="185">
        <v>0</v>
      </c>
      <c r="S96" s="185">
        <v>6818.92</v>
      </c>
      <c r="T96" s="185">
        <v>0</v>
      </c>
      <c r="U96" s="185">
        <v>0</v>
      </c>
      <c r="V96" s="185">
        <v>0</v>
      </c>
      <c r="W96" s="185">
        <v>1292</v>
      </c>
      <c r="X96" s="186">
        <f t="shared" si="51"/>
        <v>8110.92</v>
      </c>
      <c r="Y96" s="219"/>
      <c r="Z96" s="185">
        <v>0</v>
      </c>
      <c r="AA96" s="185">
        <v>6000</v>
      </c>
      <c r="AB96" s="185">
        <v>6000</v>
      </c>
      <c r="AC96" s="185">
        <v>6000</v>
      </c>
      <c r="AD96" s="185">
        <v>6000</v>
      </c>
      <c r="AE96" s="185">
        <v>6000</v>
      </c>
      <c r="AF96" s="185">
        <v>6000</v>
      </c>
      <c r="AG96" s="185">
        <v>6000</v>
      </c>
      <c r="AH96" s="185">
        <v>6000</v>
      </c>
      <c r="AI96" s="185">
        <v>6000</v>
      </c>
      <c r="AJ96" s="185">
        <v>6000</v>
      </c>
      <c r="AK96" s="185">
        <v>6000</v>
      </c>
      <c r="AL96" s="186">
        <f t="shared" si="52"/>
        <v>66000</v>
      </c>
      <c r="AM96" s="221"/>
      <c r="AN96" s="187">
        <v>6000</v>
      </c>
      <c r="AO96" s="187">
        <v>6000</v>
      </c>
      <c r="AP96" s="187">
        <v>6000</v>
      </c>
      <c r="AQ96" s="187">
        <v>6000</v>
      </c>
      <c r="AR96" s="187">
        <v>6000</v>
      </c>
      <c r="AS96" s="187">
        <v>6000</v>
      </c>
      <c r="AT96" s="187">
        <v>6000</v>
      </c>
      <c r="AU96" s="187">
        <v>6000</v>
      </c>
      <c r="AV96" s="187">
        <v>6000</v>
      </c>
      <c r="AW96" s="187">
        <v>6000</v>
      </c>
      <c r="AX96" s="187">
        <v>6000</v>
      </c>
      <c r="AY96" s="187">
        <v>6000</v>
      </c>
      <c r="AZ96" s="186">
        <f t="shared" si="53"/>
        <v>72000</v>
      </c>
      <c r="BA96" s="221"/>
      <c r="BB96" s="187">
        <v>6000</v>
      </c>
      <c r="BC96" s="187">
        <v>6000</v>
      </c>
      <c r="BD96" s="187">
        <v>6000</v>
      </c>
      <c r="BE96" s="187">
        <v>6000</v>
      </c>
      <c r="BF96" s="187">
        <v>6000</v>
      </c>
      <c r="BG96" s="187">
        <v>6000</v>
      </c>
      <c r="BH96" s="187">
        <v>6000</v>
      </c>
      <c r="BI96" s="187">
        <v>6000</v>
      </c>
      <c r="BJ96" s="187">
        <v>6000</v>
      </c>
      <c r="BK96" s="187">
        <v>6000</v>
      </c>
      <c r="BL96" s="187">
        <v>6000</v>
      </c>
      <c r="BM96" s="187">
        <v>6000</v>
      </c>
      <c r="BN96" s="186">
        <f t="shared" si="54"/>
        <v>72000</v>
      </c>
      <c r="BP96"/>
      <c r="BQ96"/>
      <c r="BR96"/>
      <c r="BS96"/>
      <c r="BT96"/>
      <c r="BU96"/>
      <c r="BV96"/>
      <c r="BW96"/>
      <c r="BX96"/>
      <c r="BY96"/>
      <c r="BZ96"/>
      <c r="CA96"/>
      <c r="CB96"/>
    </row>
    <row r="97" spans="1:80" ht="11.95" hidden="1" outlineLevel="2" thickBot="1" x14ac:dyDescent="0.3">
      <c r="A97" t="str">
        <f t="shared" ref="A97" si="107">IF(LEFT(G97,3)="Mul", "#hiderow", "#showrow")</f>
        <v>#hiderow</v>
      </c>
      <c r="E97" s="3"/>
      <c r="F97" s="3"/>
      <c r="G97" s="255" t="s">
        <v>6</v>
      </c>
      <c r="H97" s="3"/>
      <c r="I97" s="18"/>
      <c r="J97" s="18"/>
      <c r="K97" s="18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6">
        <f t="shared" si="51"/>
        <v>0</v>
      </c>
      <c r="Y97" s="219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6">
        <f t="shared" si="52"/>
        <v>0</v>
      </c>
      <c r="AM97" s="221"/>
      <c r="AN97" s="187"/>
      <c r="AO97" s="187"/>
      <c r="AP97" s="187"/>
      <c r="AQ97" s="187"/>
      <c r="AR97" s="187"/>
      <c r="AS97" s="187"/>
      <c r="AT97" s="187"/>
      <c r="AU97" s="187"/>
      <c r="AV97" s="187"/>
      <c r="AW97" s="187"/>
      <c r="AX97" s="187"/>
      <c r="AY97" s="187"/>
      <c r="AZ97" s="186">
        <f t="shared" si="53"/>
        <v>0</v>
      </c>
      <c r="BA97" s="221"/>
      <c r="BB97" s="187"/>
      <c r="BC97" s="187"/>
      <c r="BD97" s="187"/>
      <c r="BE97" s="187"/>
      <c r="BF97" s="187"/>
      <c r="BG97" s="187"/>
      <c r="BH97" s="187"/>
      <c r="BI97" s="187"/>
      <c r="BJ97" s="187"/>
      <c r="BK97" s="187"/>
      <c r="BL97" s="187"/>
      <c r="BM97" s="187"/>
      <c r="BN97" s="186">
        <f t="shared" si="54"/>
        <v>0</v>
      </c>
      <c r="BP97"/>
      <c r="BQ97"/>
      <c r="BR97"/>
      <c r="BS97"/>
      <c r="BT97"/>
      <c r="BU97"/>
      <c r="BV97"/>
      <c r="BW97"/>
      <c r="BX97"/>
      <c r="BY97"/>
      <c r="BZ97"/>
      <c r="CA97"/>
      <c r="CB97"/>
    </row>
    <row r="98" spans="1:80" ht="11.95" outlineLevel="2" thickBot="1" x14ac:dyDescent="0.3">
      <c r="A98" t="str">
        <f t="shared" ref="A98" si="108">IF(LEFT(G98,3)="Mul", "#hiderow", "#showrow")</f>
        <v>#showrow</v>
      </c>
      <c r="E98" s="3"/>
      <c r="F98" s="3"/>
      <c r="G98" s="255" t="s">
        <v>180</v>
      </c>
      <c r="H98" s="3"/>
      <c r="I98" s="18"/>
      <c r="J98" s="18"/>
      <c r="K98" s="18"/>
      <c r="L98" s="185"/>
      <c r="M98" s="185"/>
      <c r="N98" s="185"/>
      <c r="O98" s="185"/>
      <c r="P98" s="185"/>
      <c r="Q98" s="185"/>
      <c r="R98" s="185"/>
      <c r="S98" s="185">
        <v>6818.92</v>
      </c>
      <c r="T98" s="185"/>
      <c r="U98" s="185"/>
      <c r="V98" s="185"/>
      <c r="W98" s="185">
        <v>1292</v>
      </c>
      <c r="X98" s="186">
        <f t="shared" ref="X98" si="109">SUM(L98:W98)</f>
        <v>8110.92</v>
      </c>
      <c r="Y98" s="219"/>
      <c r="Z98" s="185"/>
      <c r="AA98" s="185">
        <v>6000</v>
      </c>
      <c r="AB98" s="185">
        <v>6000</v>
      </c>
      <c r="AC98" s="185">
        <v>6000</v>
      </c>
      <c r="AD98" s="185">
        <v>6000</v>
      </c>
      <c r="AE98" s="185">
        <v>6000</v>
      </c>
      <c r="AF98" s="185">
        <v>6000</v>
      </c>
      <c r="AG98" s="185">
        <v>6000</v>
      </c>
      <c r="AH98" s="185">
        <v>6000</v>
      </c>
      <c r="AI98" s="185">
        <v>6000</v>
      </c>
      <c r="AJ98" s="185">
        <v>6000</v>
      </c>
      <c r="AK98" s="185">
        <v>6000</v>
      </c>
      <c r="AL98" s="186">
        <f t="shared" ref="AL98" si="110">SUM(Z98:AK98)</f>
        <v>66000</v>
      </c>
      <c r="AM98" s="221"/>
      <c r="AN98" s="187">
        <v>6000</v>
      </c>
      <c r="AO98" s="187">
        <v>6000</v>
      </c>
      <c r="AP98" s="187">
        <v>6000</v>
      </c>
      <c r="AQ98" s="187">
        <v>6000</v>
      </c>
      <c r="AR98" s="187">
        <v>6000</v>
      </c>
      <c r="AS98" s="187">
        <v>6000</v>
      </c>
      <c r="AT98" s="187">
        <v>6000</v>
      </c>
      <c r="AU98" s="187">
        <v>6000</v>
      </c>
      <c r="AV98" s="187">
        <v>6000</v>
      </c>
      <c r="AW98" s="187">
        <v>6000</v>
      </c>
      <c r="AX98" s="187">
        <v>6000</v>
      </c>
      <c r="AY98" s="187">
        <v>6000</v>
      </c>
      <c r="AZ98" s="186">
        <f t="shared" ref="AZ98" si="111">SUM(AN98:AY98)</f>
        <v>72000</v>
      </c>
      <c r="BA98" s="221"/>
      <c r="BB98" s="187">
        <v>6000</v>
      </c>
      <c r="BC98" s="187">
        <v>6000</v>
      </c>
      <c r="BD98" s="187">
        <v>6000</v>
      </c>
      <c r="BE98" s="187">
        <v>6000</v>
      </c>
      <c r="BF98" s="187">
        <v>6000</v>
      </c>
      <c r="BG98" s="187">
        <v>6000</v>
      </c>
      <c r="BH98" s="187">
        <v>6000</v>
      </c>
      <c r="BI98" s="187">
        <v>6000</v>
      </c>
      <c r="BJ98" s="187">
        <v>6000</v>
      </c>
      <c r="BK98" s="187">
        <v>6000</v>
      </c>
      <c r="BL98" s="187">
        <v>6000</v>
      </c>
      <c r="BM98" s="187">
        <v>6000</v>
      </c>
      <c r="BN98" s="186">
        <f t="shared" ref="BN98" si="112">SUM(BB98:BM98)</f>
        <v>72000</v>
      </c>
      <c r="BP98"/>
      <c r="BQ98"/>
      <c r="BR98"/>
      <c r="BS98"/>
      <c r="BT98"/>
      <c r="BU98"/>
      <c r="BV98"/>
      <c r="BW98"/>
      <c r="BX98"/>
      <c r="BY98"/>
      <c r="BZ98"/>
      <c r="CA98"/>
      <c r="CB98"/>
    </row>
    <row r="99" spans="1:80" ht="11.95" outlineLevel="1" collapsed="1" thickBot="1" x14ac:dyDescent="0.3">
      <c r="E99" s="3"/>
      <c r="F99" s="3"/>
      <c r="G99" s="256" t="s">
        <v>114</v>
      </c>
      <c r="H99" s="3"/>
      <c r="I99" s="18"/>
      <c r="J99" s="18"/>
      <c r="K99" s="18"/>
      <c r="L99" s="185">
        <v>0</v>
      </c>
      <c r="M99" s="185">
        <v>0</v>
      </c>
      <c r="N99" s="185">
        <v>0</v>
      </c>
      <c r="O99" s="185">
        <v>0</v>
      </c>
      <c r="P99" s="185">
        <v>0</v>
      </c>
      <c r="Q99" s="185">
        <v>0</v>
      </c>
      <c r="R99" s="185">
        <v>0</v>
      </c>
      <c r="S99" s="185">
        <v>0</v>
      </c>
      <c r="T99" s="185">
        <v>0</v>
      </c>
      <c r="U99" s="185">
        <v>0</v>
      </c>
      <c r="V99" s="185">
        <v>0</v>
      </c>
      <c r="W99" s="185">
        <v>0</v>
      </c>
      <c r="X99" s="186">
        <f t="shared" si="51"/>
        <v>0</v>
      </c>
      <c r="Y99" s="219"/>
      <c r="Z99" s="185">
        <v>0</v>
      </c>
      <c r="AA99" s="185">
        <v>0</v>
      </c>
      <c r="AB99" s="185">
        <v>0</v>
      </c>
      <c r="AC99" s="185">
        <v>0</v>
      </c>
      <c r="AD99" s="185">
        <v>0</v>
      </c>
      <c r="AE99" s="185">
        <v>0</v>
      </c>
      <c r="AF99" s="185">
        <v>0</v>
      </c>
      <c r="AG99" s="185">
        <v>0</v>
      </c>
      <c r="AH99" s="185">
        <v>0</v>
      </c>
      <c r="AI99" s="185">
        <v>0</v>
      </c>
      <c r="AJ99" s="185">
        <v>0</v>
      </c>
      <c r="AK99" s="185">
        <v>0</v>
      </c>
      <c r="AL99" s="186">
        <f t="shared" si="52"/>
        <v>0</v>
      </c>
      <c r="AM99" s="221"/>
      <c r="AN99" s="187">
        <v>0</v>
      </c>
      <c r="AO99" s="187">
        <v>0</v>
      </c>
      <c r="AP99" s="187">
        <v>0</v>
      </c>
      <c r="AQ99" s="187">
        <v>0</v>
      </c>
      <c r="AR99" s="187">
        <v>0</v>
      </c>
      <c r="AS99" s="187">
        <v>0</v>
      </c>
      <c r="AT99" s="187">
        <v>0</v>
      </c>
      <c r="AU99" s="187">
        <v>0</v>
      </c>
      <c r="AV99" s="187">
        <v>0</v>
      </c>
      <c r="AW99" s="187">
        <v>0</v>
      </c>
      <c r="AX99" s="187">
        <v>0</v>
      </c>
      <c r="AY99" s="187">
        <v>0</v>
      </c>
      <c r="AZ99" s="186">
        <f t="shared" si="53"/>
        <v>0</v>
      </c>
      <c r="BA99" s="221"/>
      <c r="BB99" s="187">
        <v>0</v>
      </c>
      <c r="BC99" s="187">
        <v>0</v>
      </c>
      <c r="BD99" s="187">
        <v>0</v>
      </c>
      <c r="BE99" s="187">
        <v>0</v>
      </c>
      <c r="BF99" s="187">
        <v>0</v>
      </c>
      <c r="BG99" s="187">
        <v>0</v>
      </c>
      <c r="BH99" s="187">
        <v>0</v>
      </c>
      <c r="BI99" s="187">
        <v>0</v>
      </c>
      <c r="BJ99" s="187">
        <v>0</v>
      </c>
      <c r="BK99" s="187">
        <v>0</v>
      </c>
      <c r="BL99" s="187">
        <v>0</v>
      </c>
      <c r="BM99" s="187">
        <v>0</v>
      </c>
      <c r="BN99" s="186">
        <f t="shared" si="54"/>
        <v>0</v>
      </c>
      <c r="BP99"/>
      <c r="BQ99"/>
      <c r="BR99"/>
      <c r="BS99"/>
      <c r="BT99"/>
      <c r="BU99"/>
      <c r="BV99"/>
      <c r="BW99"/>
      <c r="BX99"/>
      <c r="BY99"/>
      <c r="BZ99"/>
      <c r="CA99"/>
      <c r="CB99"/>
    </row>
    <row r="100" spans="1:80" ht="11.95" hidden="1" outlineLevel="2" thickBot="1" x14ac:dyDescent="0.3">
      <c r="A100" t="str">
        <f t="shared" ref="A100" si="113">IF(LEFT(G100,3)="Mul", "#hiderow", "#showrow")</f>
        <v>#hiderow</v>
      </c>
      <c r="E100" s="3"/>
      <c r="F100" s="3"/>
      <c r="G100" s="255" t="s">
        <v>6</v>
      </c>
      <c r="H100" s="3"/>
      <c r="I100" s="18"/>
      <c r="J100" s="18"/>
      <c r="K100" s="18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6">
        <f t="shared" si="51"/>
        <v>0</v>
      </c>
      <c r="Y100" s="219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186">
        <f t="shared" si="52"/>
        <v>0</v>
      </c>
      <c r="AM100" s="221"/>
      <c r="AN100" s="187"/>
      <c r="AO100" s="187"/>
      <c r="AP100" s="187"/>
      <c r="AQ100" s="187"/>
      <c r="AR100" s="187"/>
      <c r="AS100" s="187"/>
      <c r="AT100" s="187"/>
      <c r="AU100" s="187"/>
      <c r="AV100" s="187"/>
      <c r="AW100" s="187"/>
      <c r="AX100" s="187"/>
      <c r="AY100" s="187"/>
      <c r="AZ100" s="186">
        <f t="shared" si="53"/>
        <v>0</v>
      </c>
      <c r="BA100" s="221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6">
        <f t="shared" si="54"/>
        <v>0</v>
      </c>
      <c r="BP100"/>
      <c r="BQ100"/>
      <c r="BR100"/>
      <c r="BS100"/>
      <c r="BT100"/>
      <c r="BU100"/>
      <c r="BV100"/>
      <c r="BW100"/>
      <c r="BX100"/>
      <c r="BY100"/>
      <c r="BZ100"/>
      <c r="CA100"/>
      <c r="CB100"/>
    </row>
    <row r="101" spans="1:80" ht="11.95" x14ac:dyDescent="0.25">
      <c r="C101" s="19" t="str">
        <f>"Total "&amp;C46</f>
        <v>Total Operating Expenses</v>
      </c>
      <c r="D101" s="19"/>
      <c r="E101" s="19"/>
      <c r="F101" s="19"/>
      <c r="G101" s="19"/>
      <c r="H101" s="188"/>
      <c r="I101" s="188"/>
      <c r="J101" s="188"/>
      <c r="K101" s="188">
        <v>-1</v>
      </c>
      <c r="L101" s="188">
        <f t="shared" ref="L101:X101" si="114">SUMIF($G$5:$G$1048,"Operating Expenses",L5:L1048)</f>
        <v>0</v>
      </c>
      <c r="M101" s="188">
        <f t="shared" si="114"/>
        <v>0</v>
      </c>
      <c r="N101" s="188">
        <f t="shared" si="114"/>
        <v>0</v>
      </c>
      <c r="O101" s="188">
        <f t="shared" si="114"/>
        <v>0</v>
      </c>
      <c r="P101" s="188">
        <f t="shared" si="114"/>
        <v>0</v>
      </c>
      <c r="Q101" s="188">
        <f t="shared" si="114"/>
        <v>107739.21</v>
      </c>
      <c r="R101" s="188">
        <f t="shared" si="114"/>
        <v>-107739.21</v>
      </c>
      <c r="S101" s="188">
        <f t="shared" si="114"/>
        <v>0</v>
      </c>
      <c r="T101" s="188">
        <f t="shared" si="114"/>
        <v>0</v>
      </c>
      <c r="U101" s="188">
        <f t="shared" si="114"/>
        <v>0</v>
      </c>
      <c r="V101" s="188">
        <f t="shared" si="114"/>
        <v>0</v>
      </c>
      <c r="W101" s="188">
        <f t="shared" si="114"/>
        <v>0</v>
      </c>
      <c r="X101" s="189">
        <f t="shared" si="114"/>
        <v>0</v>
      </c>
      <c r="Z101" s="188">
        <f t="shared" ref="Z101:AL101" si="115">SUMIF($G$5:$G$1048,"Operating Expenses",Z5:Z1048)</f>
        <v>0</v>
      </c>
      <c r="AA101" s="188">
        <f t="shared" si="115"/>
        <v>3.9999999999999998E-11</v>
      </c>
      <c r="AB101" s="188">
        <f t="shared" si="115"/>
        <v>1.9999999999999999E-11</v>
      </c>
      <c r="AC101" s="188">
        <f t="shared" si="115"/>
        <v>3.9999999999999998E-11</v>
      </c>
      <c r="AD101" s="188">
        <f t="shared" si="115"/>
        <v>3.9999999999999998E-11</v>
      </c>
      <c r="AE101" s="188">
        <f t="shared" si="115"/>
        <v>1.9999999999999999E-11</v>
      </c>
      <c r="AF101" s="188">
        <f t="shared" si="115"/>
        <v>3.9999999999999998E-11</v>
      </c>
      <c r="AG101" s="188">
        <f t="shared" si="115"/>
        <v>3.9999999999999998E-11</v>
      </c>
      <c r="AH101" s="188">
        <f t="shared" si="115"/>
        <v>1.9999999999999999E-11</v>
      </c>
      <c r="AI101" s="188">
        <f t="shared" si="115"/>
        <v>3.9999999999999998E-11</v>
      </c>
      <c r="AJ101" s="188">
        <f t="shared" si="115"/>
        <v>3.9999999999999998E-11</v>
      </c>
      <c r="AK101" s="188">
        <f t="shared" si="115"/>
        <v>1.9999999999999999E-11</v>
      </c>
      <c r="AL101" s="189">
        <f t="shared" si="115"/>
        <v>3.6E-10</v>
      </c>
      <c r="AN101" s="188">
        <f t="shared" ref="AN101:AZ101" si="116">SUMIF($G$5:$G$1048,"Operating Expenses",AN5:AN1048)</f>
        <v>3.9999999999999998E-11</v>
      </c>
      <c r="AO101" s="188">
        <f t="shared" si="116"/>
        <v>3.9999999999999998E-11</v>
      </c>
      <c r="AP101" s="188">
        <f t="shared" si="116"/>
        <v>1.9999999999999999E-11</v>
      </c>
      <c r="AQ101" s="188">
        <f t="shared" si="116"/>
        <v>3.9999999999999998E-11</v>
      </c>
      <c r="AR101" s="188">
        <f t="shared" si="116"/>
        <v>3.9999999999999998E-11</v>
      </c>
      <c r="AS101" s="188">
        <f t="shared" si="116"/>
        <v>1.9999999999999999E-11</v>
      </c>
      <c r="AT101" s="188">
        <f t="shared" si="116"/>
        <v>3.9999999999999998E-11</v>
      </c>
      <c r="AU101" s="188">
        <f t="shared" si="116"/>
        <v>3.9999999999999998E-11</v>
      </c>
      <c r="AV101" s="188">
        <f t="shared" si="116"/>
        <v>1.9999999999999999E-11</v>
      </c>
      <c r="AW101" s="188">
        <f t="shared" si="116"/>
        <v>3.9999999999999998E-11</v>
      </c>
      <c r="AX101" s="188">
        <f t="shared" si="116"/>
        <v>3.9999999999999998E-11</v>
      </c>
      <c r="AY101" s="188">
        <f t="shared" si="116"/>
        <v>1.9999999999999999E-11</v>
      </c>
      <c r="AZ101" s="189">
        <f t="shared" si="116"/>
        <v>4.0000000000000001E-10</v>
      </c>
      <c r="BB101" s="188">
        <f t="shared" ref="BB101:BN101" si="117">SUMIF($G$5:$G$1048,"Operating Expenses",BB5:BB1048)</f>
        <v>3.9999999999999998E-11</v>
      </c>
      <c r="BC101" s="188">
        <f t="shared" si="117"/>
        <v>3.9999999999999998E-11</v>
      </c>
      <c r="BD101" s="188">
        <f t="shared" si="117"/>
        <v>1.9999999999999999E-11</v>
      </c>
      <c r="BE101" s="188">
        <f t="shared" si="117"/>
        <v>3.9999999999999998E-11</v>
      </c>
      <c r="BF101" s="188">
        <f t="shared" si="117"/>
        <v>3.9999999999999998E-11</v>
      </c>
      <c r="BG101" s="188">
        <f t="shared" si="117"/>
        <v>1.9999999999999999E-11</v>
      </c>
      <c r="BH101" s="188">
        <f t="shared" si="117"/>
        <v>3.9999999999999998E-11</v>
      </c>
      <c r="BI101" s="188">
        <f t="shared" si="117"/>
        <v>3.9999999999999998E-11</v>
      </c>
      <c r="BJ101" s="188">
        <f t="shared" si="117"/>
        <v>1.9999999999999999E-11</v>
      </c>
      <c r="BK101" s="188">
        <f t="shared" si="117"/>
        <v>3.9999999999999998E-11</v>
      </c>
      <c r="BL101" s="188">
        <f t="shared" si="117"/>
        <v>3.9999999999999998E-11</v>
      </c>
      <c r="BM101" s="188">
        <f t="shared" si="117"/>
        <v>1.9999999999999999E-11</v>
      </c>
      <c r="BN101" s="189">
        <f t="shared" si="117"/>
        <v>4.0000000000000001E-10</v>
      </c>
      <c r="BP101" s="204">
        <f t="shared" ref="BP101:CB101" si="118">SUMIF($G$5:$G$1048,"[+] Operating Expenses",BP5:BP1048)</f>
        <v>0</v>
      </c>
      <c r="BQ101" s="204">
        <f t="shared" si="118"/>
        <v>0</v>
      </c>
      <c r="BR101" s="204">
        <f t="shared" si="118"/>
        <v>0</v>
      </c>
      <c r="BS101" s="204">
        <f t="shared" si="118"/>
        <v>0</v>
      </c>
      <c r="BT101" s="204">
        <f t="shared" si="118"/>
        <v>0</v>
      </c>
      <c r="BU101" s="204">
        <f t="shared" si="118"/>
        <v>0</v>
      </c>
      <c r="BV101" s="204">
        <f t="shared" si="118"/>
        <v>0</v>
      </c>
      <c r="BW101" s="204">
        <f t="shared" si="118"/>
        <v>0</v>
      </c>
      <c r="BX101" s="204">
        <f t="shared" si="118"/>
        <v>0</v>
      </c>
      <c r="BY101" s="204">
        <f t="shared" si="118"/>
        <v>0</v>
      </c>
      <c r="BZ101" s="204">
        <f t="shared" si="118"/>
        <v>0</v>
      </c>
      <c r="CA101" s="204">
        <f t="shared" si="118"/>
        <v>0</v>
      </c>
      <c r="CB101" s="204">
        <f t="shared" si="118"/>
        <v>0</v>
      </c>
    </row>
    <row r="103" spans="1:80" ht="12.45" thickBot="1" x14ac:dyDescent="0.3">
      <c r="C103" s="4" t="s">
        <v>18</v>
      </c>
      <c r="D103" s="4"/>
      <c r="E103" s="4"/>
      <c r="F103" s="4"/>
      <c r="G103" s="4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P103" s="133"/>
      <c r="BQ103" s="133"/>
      <c r="BR103" s="133"/>
      <c r="BS103" s="133"/>
      <c r="BT103" s="133"/>
      <c r="BU103" s="133"/>
      <c r="BV103" s="133"/>
      <c r="BW103" s="133"/>
      <c r="BX103" s="133"/>
      <c r="BY103" s="133"/>
      <c r="BZ103" s="133"/>
      <c r="CA103" s="133"/>
      <c r="CB103" s="133"/>
    </row>
    <row r="104" spans="1:80" ht="11.95" hidden="1" thickBot="1" x14ac:dyDescent="0.3">
      <c r="A104" t="s">
        <v>1</v>
      </c>
      <c r="E104" s="3"/>
      <c r="F104" s="3"/>
      <c r="G104" s="3"/>
      <c r="H104" s="3"/>
      <c r="I104" s="18"/>
      <c r="J104" s="18"/>
      <c r="K104" s="18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6">
        <f>SUM(L104:W104)</f>
        <v>0</v>
      </c>
      <c r="Y104" s="219"/>
      <c r="Z104" s="185"/>
      <c r="AA104" s="185"/>
      <c r="AB104" s="185"/>
      <c r="AC104" s="185"/>
      <c r="AD104" s="185"/>
      <c r="AE104" s="185"/>
      <c r="AF104" s="185"/>
      <c r="AG104" s="185"/>
      <c r="AH104" s="185"/>
      <c r="AI104" s="185"/>
      <c r="AJ104" s="185"/>
      <c r="AK104" s="185"/>
      <c r="AL104" s="186">
        <f>SUM(Z104:AK104)</f>
        <v>0</v>
      </c>
      <c r="AM104" s="221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6">
        <f>SUM(AN104:AY104)</f>
        <v>0</v>
      </c>
      <c r="BA104" s="221"/>
      <c r="BB104" s="187"/>
      <c r="BC104" s="187"/>
      <c r="BD104" s="187"/>
      <c r="BE104" s="187"/>
      <c r="BF104" s="187"/>
      <c r="BG104" s="187"/>
      <c r="BH104" s="187"/>
      <c r="BI104" s="187"/>
      <c r="BJ104" s="187"/>
      <c r="BK104" s="187"/>
      <c r="BL104" s="187"/>
      <c r="BM104" s="187"/>
      <c r="BN104" s="186">
        <f>SUM(BB104:BM104)</f>
        <v>0</v>
      </c>
      <c r="BP104"/>
      <c r="BQ104"/>
      <c r="BR104"/>
      <c r="BS104"/>
      <c r="BT104"/>
      <c r="BU104"/>
      <c r="BV104"/>
      <c r="BW104"/>
      <c r="BX104"/>
      <c r="BY104"/>
      <c r="BZ104"/>
      <c r="CA104"/>
      <c r="CB104">
        <f>SUM(BP104:CA104)</f>
        <v>0</v>
      </c>
    </row>
    <row r="105" spans="1:80" ht="11.95" thickBot="1" x14ac:dyDescent="0.3">
      <c r="E105" s="3"/>
      <c r="F105" s="3"/>
      <c r="G105" s="253" t="s">
        <v>18</v>
      </c>
      <c r="H105" s="3"/>
      <c r="I105" s="18"/>
      <c r="J105" s="18"/>
      <c r="K105" s="18"/>
      <c r="L105" s="185">
        <v>0</v>
      </c>
      <c r="M105" s="185">
        <v>0</v>
      </c>
      <c r="N105" s="185">
        <v>0</v>
      </c>
      <c r="O105" s="185">
        <v>0</v>
      </c>
      <c r="P105" s="185">
        <v>0</v>
      </c>
      <c r="Q105" s="185">
        <v>0</v>
      </c>
      <c r="R105" s="185">
        <v>0</v>
      </c>
      <c r="S105" s="185">
        <v>0</v>
      </c>
      <c r="T105" s="185">
        <v>0</v>
      </c>
      <c r="U105" s="185">
        <v>0</v>
      </c>
      <c r="V105" s="185">
        <v>0</v>
      </c>
      <c r="W105" s="185">
        <v>0</v>
      </c>
      <c r="X105" s="186">
        <f t="shared" ref="X105:X109" si="119">SUM(L105:W105)</f>
        <v>0</v>
      </c>
      <c r="Y105" s="220"/>
      <c r="Z105" s="185">
        <v>0</v>
      </c>
      <c r="AA105" s="185">
        <v>0</v>
      </c>
      <c r="AB105" s="185">
        <v>0</v>
      </c>
      <c r="AC105" s="185">
        <v>0</v>
      </c>
      <c r="AD105" s="185">
        <v>0</v>
      </c>
      <c r="AE105" s="185">
        <v>0</v>
      </c>
      <c r="AF105" s="185">
        <v>0</v>
      </c>
      <c r="AG105" s="185">
        <v>0</v>
      </c>
      <c r="AH105" s="185">
        <v>0</v>
      </c>
      <c r="AI105" s="185">
        <v>0</v>
      </c>
      <c r="AJ105" s="185">
        <v>0</v>
      </c>
      <c r="AK105" s="185">
        <v>0</v>
      </c>
      <c r="AL105" s="186">
        <f t="shared" ref="AL105:AL109" si="120">SUM(Z105:AK105)</f>
        <v>0</v>
      </c>
      <c r="AM105" s="221"/>
      <c r="AN105" s="187">
        <v>0</v>
      </c>
      <c r="AO105" s="187">
        <v>0</v>
      </c>
      <c r="AP105" s="187">
        <v>0</v>
      </c>
      <c r="AQ105" s="187">
        <v>0</v>
      </c>
      <c r="AR105" s="187">
        <v>0</v>
      </c>
      <c r="AS105" s="187">
        <v>0</v>
      </c>
      <c r="AT105" s="187">
        <v>0</v>
      </c>
      <c r="AU105" s="187">
        <v>0</v>
      </c>
      <c r="AV105" s="187">
        <v>0</v>
      </c>
      <c r="AW105" s="187">
        <v>0</v>
      </c>
      <c r="AX105" s="187">
        <v>0</v>
      </c>
      <c r="AY105" s="187">
        <v>0</v>
      </c>
      <c r="AZ105" s="186">
        <f t="shared" ref="AZ105:AZ109" si="121">SUM(AN105:AY105)</f>
        <v>0</v>
      </c>
      <c r="BA105" s="221"/>
      <c r="BB105" s="187">
        <v>0</v>
      </c>
      <c r="BC105" s="187">
        <v>0</v>
      </c>
      <c r="BD105" s="187">
        <v>0</v>
      </c>
      <c r="BE105" s="187">
        <v>0</v>
      </c>
      <c r="BF105" s="187">
        <v>0</v>
      </c>
      <c r="BG105" s="187">
        <v>0</v>
      </c>
      <c r="BH105" s="187">
        <v>0</v>
      </c>
      <c r="BI105" s="187">
        <v>0</v>
      </c>
      <c r="BJ105" s="187">
        <v>0</v>
      </c>
      <c r="BK105" s="187">
        <v>0</v>
      </c>
      <c r="BL105" s="187">
        <v>0</v>
      </c>
      <c r="BM105" s="187">
        <v>0</v>
      </c>
      <c r="BN105" s="186">
        <f t="shared" ref="BN105:BN109" si="122">SUM(BB105:BM105)</f>
        <v>0</v>
      </c>
      <c r="BP105"/>
      <c r="BQ105"/>
      <c r="BR105"/>
      <c r="BS105"/>
      <c r="BT105"/>
      <c r="BU105"/>
      <c r="BV105"/>
      <c r="BW105"/>
      <c r="BX105"/>
      <c r="BY105"/>
      <c r="BZ105"/>
      <c r="CA105"/>
      <c r="CB105"/>
    </row>
    <row r="106" spans="1:80" ht="11.95" outlineLevel="1" collapsed="1" thickBot="1" x14ac:dyDescent="0.3">
      <c r="E106" s="3"/>
      <c r="F106" s="3"/>
      <c r="G106" s="256" t="s">
        <v>115</v>
      </c>
      <c r="H106" s="3"/>
      <c r="I106" s="18"/>
      <c r="J106" s="18"/>
      <c r="K106" s="18"/>
      <c r="L106" s="185">
        <v>0</v>
      </c>
      <c r="M106" s="185">
        <v>0</v>
      </c>
      <c r="N106" s="185">
        <v>0</v>
      </c>
      <c r="O106" s="185">
        <v>0</v>
      </c>
      <c r="P106" s="185">
        <v>0</v>
      </c>
      <c r="Q106" s="185">
        <v>0</v>
      </c>
      <c r="R106" s="185">
        <v>0</v>
      </c>
      <c r="S106" s="185">
        <v>0</v>
      </c>
      <c r="T106" s="185">
        <v>0</v>
      </c>
      <c r="U106" s="185">
        <v>0</v>
      </c>
      <c r="V106" s="185">
        <v>0</v>
      </c>
      <c r="W106" s="185">
        <v>0</v>
      </c>
      <c r="X106" s="186">
        <f t="shared" si="119"/>
        <v>0</v>
      </c>
      <c r="Y106" s="220"/>
      <c r="Z106" s="185">
        <v>0</v>
      </c>
      <c r="AA106" s="185">
        <v>0</v>
      </c>
      <c r="AB106" s="185">
        <v>0</v>
      </c>
      <c r="AC106" s="185">
        <v>0</v>
      </c>
      <c r="AD106" s="185">
        <v>0</v>
      </c>
      <c r="AE106" s="185">
        <v>0</v>
      </c>
      <c r="AF106" s="185">
        <v>0</v>
      </c>
      <c r="AG106" s="185">
        <v>0</v>
      </c>
      <c r="AH106" s="185">
        <v>0</v>
      </c>
      <c r="AI106" s="185">
        <v>0</v>
      </c>
      <c r="AJ106" s="185">
        <v>0</v>
      </c>
      <c r="AK106" s="185">
        <v>0</v>
      </c>
      <c r="AL106" s="186">
        <f t="shared" si="120"/>
        <v>0</v>
      </c>
      <c r="AM106" s="221"/>
      <c r="AN106" s="187">
        <v>0</v>
      </c>
      <c r="AO106" s="187">
        <v>0</v>
      </c>
      <c r="AP106" s="187">
        <v>0</v>
      </c>
      <c r="AQ106" s="187">
        <v>0</v>
      </c>
      <c r="AR106" s="187">
        <v>0</v>
      </c>
      <c r="AS106" s="187">
        <v>0</v>
      </c>
      <c r="AT106" s="187">
        <v>0</v>
      </c>
      <c r="AU106" s="187">
        <v>0</v>
      </c>
      <c r="AV106" s="187">
        <v>0</v>
      </c>
      <c r="AW106" s="187">
        <v>0</v>
      </c>
      <c r="AX106" s="187">
        <v>0</v>
      </c>
      <c r="AY106" s="187">
        <v>0</v>
      </c>
      <c r="AZ106" s="186">
        <f t="shared" si="121"/>
        <v>0</v>
      </c>
      <c r="BA106" s="221"/>
      <c r="BB106" s="187">
        <v>0</v>
      </c>
      <c r="BC106" s="187">
        <v>0</v>
      </c>
      <c r="BD106" s="187">
        <v>0</v>
      </c>
      <c r="BE106" s="187">
        <v>0</v>
      </c>
      <c r="BF106" s="187">
        <v>0</v>
      </c>
      <c r="BG106" s="187">
        <v>0</v>
      </c>
      <c r="BH106" s="187">
        <v>0</v>
      </c>
      <c r="BI106" s="187">
        <v>0</v>
      </c>
      <c r="BJ106" s="187">
        <v>0</v>
      </c>
      <c r="BK106" s="187">
        <v>0</v>
      </c>
      <c r="BL106" s="187">
        <v>0</v>
      </c>
      <c r="BM106" s="187">
        <v>0</v>
      </c>
      <c r="BN106" s="186">
        <f t="shared" si="122"/>
        <v>0</v>
      </c>
      <c r="BP106"/>
      <c r="BQ106"/>
      <c r="BR106"/>
      <c r="BS106"/>
      <c r="BT106"/>
      <c r="BU106"/>
      <c r="BV106"/>
      <c r="BW106"/>
      <c r="BX106"/>
      <c r="BY106"/>
      <c r="BZ106"/>
      <c r="CA106"/>
      <c r="CB106"/>
    </row>
    <row r="107" spans="1:80" ht="11.95" hidden="1" outlineLevel="2" thickBot="1" x14ac:dyDescent="0.3">
      <c r="A107" t="str">
        <f>IF(LEFT(G107,3)="Mul", "#hiderow", "#showrow")</f>
        <v>#hiderow</v>
      </c>
      <c r="E107" s="3"/>
      <c r="F107" s="3"/>
      <c r="G107" s="255" t="s">
        <v>6</v>
      </c>
      <c r="H107" s="3"/>
      <c r="I107" s="18"/>
      <c r="J107" s="18"/>
      <c r="K107" s="18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6">
        <f t="shared" si="119"/>
        <v>0</v>
      </c>
      <c r="Y107" s="220"/>
      <c r="Z107" s="185"/>
      <c r="AA107" s="185"/>
      <c r="AB107" s="185"/>
      <c r="AC107" s="185"/>
      <c r="AD107" s="185"/>
      <c r="AE107" s="185"/>
      <c r="AF107" s="185"/>
      <c r="AG107" s="185"/>
      <c r="AH107" s="185"/>
      <c r="AI107" s="185"/>
      <c r="AJ107" s="185"/>
      <c r="AK107" s="185"/>
      <c r="AL107" s="186">
        <f t="shared" si="120"/>
        <v>0</v>
      </c>
      <c r="AM107" s="221"/>
      <c r="AN107" s="187"/>
      <c r="AO107" s="187"/>
      <c r="AP107" s="187"/>
      <c r="AQ107" s="187"/>
      <c r="AR107" s="187"/>
      <c r="AS107" s="187"/>
      <c r="AT107" s="187"/>
      <c r="AU107" s="187"/>
      <c r="AV107" s="187"/>
      <c r="AW107" s="187"/>
      <c r="AX107" s="187"/>
      <c r="AY107" s="187"/>
      <c r="AZ107" s="186">
        <f t="shared" si="121"/>
        <v>0</v>
      </c>
      <c r="BA107" s="221"/>
      <c r="BB107" s="187"/>
      <c r="BC107" s="187"/>
      <c r="BD107" s="187"/>
      <c r="BE107" s="187"/>
      <c r="BF107" s="187"/>
      <c r="BG107" s="187"/>
      <c r="BH107" s="187"/>
      <c r="BI107" s="187"/>
      <c r="BJ107" s="187"/>
      <c r="BK107" s="187"/>
      <c r="BL107" s="187"/>
      <c r="BM107" s="187"/>
      <c r="BN107" s="186">
        <f t="shared" si="122"/>
        <v>0</v>
      </c>
      <c r="BP107"/>
      <c r="BQ107"/>
      <c r="BR107"/>
      <c r="BS107"/>
      <c r="BT107"/>
      <c r="BU107"/>
      <c r="BV107"/>
      <c r="BW107"/>
      <c r="BX107"/>
      <c r="BY107"/>
      <c r="BZ107"/>
      <c r="CA107"/>
      <c r="CB107"/>
    </row>
    <row r="108" spans="1:80" ht="11.95" outlineLevel="1" collapsed="1" thickBot="1" x14ac:dyDescent="0.3">
      <c r="E108" s="3"/>
      <c r="F108" s="3"/>
      <c r="G108" s="256" t="s">
        <v>116</v>
      </c>
      <c r="H108" s="3"/>
      <c r="I108" s="18"/>
      <c r="J108" s="18"/>
      <c r="K108" s="18"/>
      <c r="L108" s="185">
        <v>0</v>
      </c>
      <c r="M108" s="185">
        <v>0</v>
      </c>
      <c r="N108" s="185">
        <v>0</v>
      </c>
      <c r="O108" s="185">
        <v>0</v>
      </c>
      <c r="P108" s="185">
        <v>0</v>
      </c>
      <c r="Q108" s="185">
        <v>0</v>
      </c>
      <c r="R108" s="185">
        <v>0</v>
      </c>
      <c r="S108" s="185">
        <v>0</v>
      </c>
      <c r="T108" s="185">
        <v>0</v>
      </c>
      <c r="U108" s="185">
        <v>0</v>
      </c>
      <c r="V108" s="185">
        <v>0</v>
      </c>
      <c r="W108" s="185">
        <v>0</v>
      </c>
      <c r="X108" s="186">
        <f t="shared" si="119"/>
        <v>0</v>
      </c>
      <c r="Y108" s="220"/>
      <c r="Z108" s="185">
        <v>0</v>
      </c>
      <c r="AA108" s="185">
        <v>0</v>
      </c>
      <c r="AB108" s="185">
        <v>0</v>
      </c>
      <c r="AC108" s="185">
        <v>0</v>
      </c>
      <c r="AD108" s="185">
        <v>0</v>
      </c>
      <c r="AE108" s="185">
        <v>0</v>
      </c>
      <c r="AF108" s="185">
        <v>0</v>
      </c>
      <c r="AG108" s="185">
        <v>0</v>
      </c>
      <c r="AH108" s="185">
        <v>0</v>
      </c>
      <c r="AI108" s="185">
        <v>0</v>
      </c>
      <c r="AJ108" s="185">
        <v>0</v>
      </c>
      <c r="AK108" s="185">
        <v>0</v>
      </c>
      <c r="AL108" s="186">
        <f t="shared" si="120"/>
        <v>0</v>
      </c>
      <c r="AM108" s="221"/>
      <c r="AN108" s="187">
        <v>0</v>
      </c>
      <c r="AO108" s="187">
        <v>0</v>
      </c>
      <c r="AP108" s="187">
        <v>0</v>
      </c>
      <c r="AQ108" s="187">
        <v>0</v>
      </c>
      <c r="AR108" s="187">
        <v>0</v>
      </c>
      <c r="AS108" s="187">
        <v>0</v>
      </c>
      <c r="AT108" s="187">
        <v>0</v>
      </c>
      <c r="AU108" s="187">
        <v>0</v>
      </c>
      <c r="AV108" s="187">
        <v>0</v>
      </c>
      <c r="AW108" s="187">
        <v>0</v>
      </c>
      <c r="AX108" s="187">
        <v>0</v>
      </c>
      <c r="AY108" s="187">
        <v>0</v>
      </c>
      <c r="AZ108" s="186">
        <f t="shared" si="121"/>
        <v>0</v>
      </c>
      <c r="BA108" s="221"/>
      <c r="BB108" s="187">
        <v>0</v>
      </c>
      <c r="BC108" s="187">
        <v>0</v>
      </c>
      <c r="BD108" s="187">
        <v>0</v>
      </c>
      <c r="BE108" s="187">
        <v>0</v>
      </c>
      <c r="BF108" s="187">
        <v>0</v>
      </c>
      <c r="BG108" s="187">
        <v>0</v>
      </c>
      <c r="BH108" s="187">
        <v>0</v>
      </c>
      <c r="BI108" s="187">
        <v>0</v>
      </c>
      <c r="BJ108" s="187">
        <v>0</v>
      </c>
      <c r="BK108" s="187">
        <v>0</v>
      </c>
      <c r="BL108" s="187">
        <v>0</v>
      </c>
      <c r="BM108" s="187">
        <v>0</v>
      </c>
      <c r="BN108" s="186">
        <f t="shared" si="122"/>
        <v>0</v>
      </c>
      <c r="BP108"/>
      <c r="BQ108"/>
      <c r="BR108"/>
      <c r="BS108"/>
      <c r="BT108"/>
      <c r="BU108"/>
      <c r="BV108"/>
      <c r="BW108"/>
      <c r="BX108"/>
      <c r="BY108"/>
      <c r="BZ108"/>
      <c r="CA108"/>
      <c r="CB108"/>
    </row>
    <row r="109" spans="1:80" ht="11.95" hidden="1" outlineLevel="2" thickBot="1" x14ac:dyDescent="0.3">
      <c r="A109" t="str">
        <f>IF(LEFT(G109,3)="Mul", "#hiderow", "#showrow")</f>
        <v>#hiderow</v>
      </c>
      <c r="E109" s="3"/>
      <c r="F109" s="3"/>
      <c r="G109" s="255" t="s">
        <v>6</v>
      </c>
      <c r="H109" s="3"/>
      <c r="I109" s="18"/>
      <c r="J109" s="18"/>
      <c r="K109" s="18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6">
        <f t="shared" si="119"/>
        <v>0</v>
      </c>
      <c r="Y109" s="220"/>
      <c r="Z109" s="185"/>
      <c r="AA109" s="185"/>
      <c r="AB109" s="185"/>
      <c r="AC109" s="185"/>
      <c r="AD109" s="185"/>
      <c r="AE109" s="185"/>
      <c r="AF109" s="185"/>
      <c r="AG109" s="185"/>
      <c r="AH109" s="185"/>
      <c r="AI109" s="185"/>
      <c r="AJ109" s="185"/>
      <c r="AK109" s="185"/>
      <c r="AL109" s="186">
        <f t="shared" si="120"/>
        <v>0</v>
      </c>
      <c r="AM109" s="221"/>
      <c r="AN109" s="187"/>
      <c r="AO109" s="187"/>
      <c r="AP109" s="187"/>
      <c r="AQ109" s="187"/>
      <c r="AR109" s="187"/>
      <c r="AS109" s="187"/>
      <c r="AT109" s="187"/>
      <c r="AU109" s="187"/>
      <c r="AV109" s="187"/>
      <c r="AW109" s="187"/>
      <c r="AX109" s="187"/>
      <c r="AY109" s="187"/>
      <c r="AZ109" s="186">
        <f t="shared" si="121"/>
        <v>0</v>
      </c>
      <c r="BA109" s="221"/>
      <c r="BB109" s="187"/>
      <c r="BC109" s="187"/>
      <c r="BD109" s="187"/>
      <c r="BE109" s="187"/>
      <c r="BF109" s="187"/>
      <c r="BG109" s="187"/>
      <c r="BH109" s="187"/>
      <c r="BI109" s="187"/>
      <c r="BJ109" s="187"/>
      <c r="BK109" s="187"/>
      <c r="BL109" s="187"/>
      <c r="BM109" s="187"/>
      <c r="BN109" s="186">
        <f t="shared" si="122"/>
        <v>0</v>
      </c>
      <c r="BP109"/>
      <c r="BQ109"/>
      <c r="BR109"/>
      <c r="BS109"/>
      <c r="BT109"/>
      <c r="BU109"/>
      <c r="BV109"/>
      <c r="BW109"/>
      <c r="BX109"/>
      <c r="BY109"/>
      <c r="BZ109"/>
      <c r="CA109"/>
      <c r="CB109"/>
    </row>
    <row r="110" spans="1:80" ht="11.95" x14ac:dyDescent="0.25">
      <c r="C110" s="19" t="str">
        <f>"Total "&amp;C103</f>
        <v>Total Other Income/Expense</v>
      </c>
      <c r="D110" s="19"/>
      <c r="E110" s="19"/>
      <c r="F110" s="19"/>
      <c r="G110" s="19"/>
      <c r="H110" s="188"/>
      <c r="I110" s="188"/>
      <c r="J110" s="188"/>
      <c r="K110" s="188">
        <v>-1</v>
      </c>
      <c r="L110" s="188">
        <f t="shared" ref="L110:X110" si="123">SUMIF($G$5:$G$1048,"Other Income/Expense",L5:L1048)</f>
        <v>0</v>
      </c>
      <c r="M110" s="188">
        <f t="shared" si="123"/>
        <v>0</v>
      </c>
      <c r="N110" s="188">
        <f t="shared" si="123"/>
        <v>0</v>
      </c>
      <c r="O110" s="188">
        <f t="shared" si="123"/>
        <v>0</v>
      </c>
      <c r="P110" s="188">
        <f t="shared" si="123"/>
        <v>0</v>
      </c>
      <c r="Q110" s="188">
        <f t="shared" si="123"/>
        <v>0</v>
      </c>
      <c r="R110" s="188">
        <f t="shared" si="123"/>
        <v>0</v>
      </c>
      <c r="S110" s="188">
        <f t="shared" si="123"/>
        <v>0</v>
      </c>
      <c r="T110" s="188">
        <f t="shared" si="123"/>
        <v>0</v>
      </c>
      <c r="U110" s="188">
        <f t="shared" si="123"/>
        <v>0</v>
      </c>
      <c r="V110" s="188">
        <f t="shared" si="123"/>
        <v>0</v>
      </c>
      <c r="W110" s="188">
        <f t="shared" si="123"/>
        <v>0</v>
      </c>
      <c r="X110" s="189">
        <f t="shared" si="123"/>
        <v>0</v>
      </c>
      <c r="Z110" s="188">
        <f t="shared" ref="Z110:AL110" si="124">SUMIF($G$5:$G$1048,"Other Income/Expense",Z5:Z1048)</f>
        <v>0</v>
      </c>
      <c r="AA110" s="188">
        <f t="shared" si="124"/>
        <v>0</v>
      </c>
      <c r="AB110" s="188">
        <f t="shared" si="124"/>
        <v>0</v>
      </c>
      <c r="AC110" s="188">
        <f t="shared" si="124"/>
        <v>0</v>
      </c>
      <c r="AD110" s="188">
        <f t="shared" si="124"/>
        <v>0</v>
      </c>
      <c r="AE110" s="188">
        <f t="shared" si="124"/>
        <v>0</v>
      </c>
      <c r="AF110" s="188">
        <f t="shared" si="124"/>
        <v>0</v>
      </c>
      <c r="AG110" s="188">
        <f t="shared" si="124"/>
        <v>0</v>
      </c>
      <c r="AH110" s="188">
        <f t="shared" si="124"/>
        <v>0</v>
      </c>
      <c r="AI110" s="188">
        <f t="shared" si="124"/>
        <v>0</v>
      </c>
      <c r="AJ110" s="188">
        <f t="shared" si="124"/>
        <v>0</v>
      </c>
      <c r="AK110" s="188">
        <f t="shared" si="124"/>
        <v>0</v>
      </c>
      <c r="AL110" s="189">
        <f t="shared" si="124"/>
        <v>0</v>
      </c>
      <c r="AN110" s="188">
        <f t="shared" ref="AN110:AZ110" si="125">SUMIF($G$5:$G$1048,"Other Income/Expense",AN5:AN1048)</f>
        <v>0</v>
      </c>
      <c r="AO110" s="188">
        <f t="shared" si="125"/>
        <v>0</v>
      </c>
      <c r="AP110" s="188">
        <f t="shared" si="125"/>
        <v>0</v>
      </c>
      <c r="AQ110" s="188">
        <f t="shared" si="125"/>
        <v>0</v>
      </c>
      <c r="AR110" s="188">
        <f t="shared" si="125"/>
        <v>0</v>
      </c>
      <c r="AS110" s="188">
        <f t="shared" si="125"/>
        <v>0</v>
      </c>
      <c r="AT110" s="188">
        <f t="shared" si="125"/>
        <v>0</v>
      </c>
      <c r="AU110" s="188">
        <f t="shared" si="125"/>
        <v>0</v>
      </c>
      <c r="AV110" s="188">
        <f t="shared" si="125"/>
        <v>0</v>
      </c>
      <c r="AW110" s="188">
        <f t="shared" si="125"/>
        <v>0</v>
      </c>
      <c r="AX110" s="188">
        <f t="shared" si="125"/>
        <v>0</v>
      </c>
      <c r="AY110" s="188">
        <f t="shared" si="125"/>
        <v>0</v>
      </c>
      <c r="AZ110" s="189">
        <f t="shared" si="125"/>
        <v>0</v>
      </c>
      <c r="BB110" s="188">
        <f t="shared" ref="BB110:BN110" si="126">SUMIF($G$5:$G$1048,"Other Income/Expense",BB5:BB1048)</f>
        <v>0</v>
      </c>
      <c r="BC110" s="188">
        <f t="shared" si="126"/>
        <v>0</v>
      </c>
      <c r="BD110" s="188">
        <f t="shared" si="126"/>
        <v>0</v>
      </c>
      <c r="BE110" s="188">
        <f t="shared" si="126"/>
        <v>0</v>
      </c>
      <c r="BF110" s="188">
        <f t="shared" si="126"/>
        <v>0</v>
      </c>
      <c r="BG110" s="188">
        <f t="shared" si="126"/>
        <v>0</v>
      </c>
      <c r="BH110" s="188">
        <f t="shared" si="126"/>
        <v>0</v>
      </c>
      <c r="BI110" s="188">
        <f t="shared" si="126"/>
        <v>0</v>
      </c>
      <c r="BJ110" s="188">
        <f t="shared" si="126"/>
        <v>0</v>
      </c>
      <c r="BK110" s="188">
        <f t="shared" si="126"/>
        <v>0</v>
      </c>
      <c r="BL110" s="188">
        <f t="shared" si="126"/>
        <v>0</v>
      </c>
      <c r="BM110" s="188">
        <f t="shared" si="126"/>
        <v>0</v>
      </c>
      <c r="BN110" s="189">
        <f t="shared" si="126"/>
        <v>0</v>
      </c>
      <c r="BP110" s="203">
        <f t="shared" ref="BP110:CB110" si="127">SUMIF($G$5:$G$1048,"[+] Other Income/Expense",BP5:BP1048)</f>
        <v>0</v>
      </c>
      <c r="BQ110" s="203">
        <f t="shared" si="127"/>
        <v>0</v>
      </c>
      <c r="BR110" s="203">
        <f t="shared" si="127"/>
        <v>0</v>
      </c>
      <c r="BS110" s="203">
        <f t="shared" si="127"/>
        <v>0</v>
      </c>
      <c r="BT110" s="203">
        <f t="shared" si="127"/>
        <v>0</v>
      </c>
      <c r="BU110" s="203">
        <f t="shared" si="127"/>
        <v>0</v>
      </c>
      <c r="BV110" s="203">
        <f t="shared" si="127"/>
        <v>0</v>
      </c>
      <c r="BW110" s="203">
        <f t="shared" si="127"/>
        <v>0</v>
      </c>
      <c r="BX110" s="203">
        <f t="shared" si="127"/>
        <v>0</v>
      </c>
      <c r="BY110" s="203">
        <f t="shared" si="127"/>
        <v>0</v>
      </c>
      <c r="BZ110" s="203">
        <f t="shared" si="127"/>
        <v>0</v>
      </c>
      <c r="CA110" s="203">
        <f t="shared" si="127"/>
        <v>0</v>
      </c>
      <c r="CB110" s="204">
        <f t="shared" si="127"/>
        <v>0</v>
      </c>
    </row>
    <row r="112" spans="1:80" ht="12.45" thickBot="1" x14ac:dyDescent="0.3">
      <c r="C112" s="4" t="s">
        <v>19</v>
      </c>
      <c r="D112" s="4"/>
      <c r="E112" s="4"/>
      <c r="F112" s="4"/>
      <c r="G112" s="4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P112" s="133"/>
      <c r="BQ112" s="133"/>
      <c r="BR112" s="133"/>
      <c r="BS112" s="133"/>
      <c r="BT112" s="133"/>
      <c r="BU112" s="133"/>
      <c r="BV112" s="133"/>
      <c r="BW112" s="133"/>
      <c r="BX112" s="133"/>
      <c r="BY112" s="133"/>
      <c r="BZ112" s="133"/>
      <c r="CA112" s="133"/>
      <c r="CB112" s="133"/>
    </row>
    <row r="113" spans="1:80" ht="11.95" hidden="1" thickBot="1" x14ac:dyDescent="0.3">
      <c r="A113" t="s">
        <v>1</v>
      </c>
      <c r="E113" s="3"/>
      <c r="F113" s="3"/>
      <c r="G113" s="3" t="s">
        <v>19</v>
      </c>
      <c r="H113" s="18"/>
      <c r="I113" s="18"/>
      <c r="J113" s="18"/>
      <c r="K113" s="185"/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f>SUM(L113:W113)</f>
        <v>0</v>
      </c>
      <c r="Z113" s="185">
        <v>0</v>
      </c>
      <c r="AA113" s="185">
        <v>0</v>
      </c>
      <c r="AB113" s="185">
        <v>0</v>
      </c>
      <c r="AC113" s="185">
        <v>0</v>
      </c>
      <c r="AD113" s="185">
        <v>0</v>
      </c>
      <c r="AE113" s="185">
        <v>0</v>
      </c>
      <c r="AF113" s="185">
        <v>0</v>
      </c>
      <c r="AG113" s="185">
        <v>0</v>
      </c>
      <c r="AH113" s="185">
        <v>0</v>
      </c>
      <c r="AI113" s="185">
        <v>0</v>
      </c>
      <c r="AJ113" s="185">
        <v>0</v>
      </c>
      <c r="AK113" s="185">
        <v>0</v>
      </c>
      <c r="AL113" s="186">
        <f>SUM(Z113:AK113)</f>
        <v>0</v>
      </c>
      <c r="AN113" s="187">
        <v>0</v>
      </c>
      <c r="AO113" s="187">
        <v>0</v>
      </c>
      <c r="AP113" s="187">
        <v>0</v>
      </c>
      <c r="AQ113" s="187">
        <v>0</v>
      </c>
      <c r="AR113" s="187">
        <v>0</v>
      </c>
      <c r="AS113" s="187">
        <v>0</v>
      </c>
      <c r="AT113" s="187">
        <v>0</v>
      </c>
      <c r="AU113" s="187">
        <v>0</v>
      </c>
      <c r="AV113" s="187">
        <v>0</v>
      </c>
      <c r="AW113" s="187">
        <v>0</v>
      </c>
      <c r="AX113" s="187">
        <v>0</v>
      </c>
      <c r="AY113" s="187">
        <v>0</v>
      </c>
      <c r="AZ113" s="186">
        <f>SUM(AN113:AY113)</f>
        <v>0</v>
      </c>
      <c r="BB113" s="187">
        <v>0</v>
      </c>
      <c r="BC113" s="187">
        <v>0</v>
      </c>
      <c r="BD113" s="187">
        <v>0</v>
      </c>
      <c r="BE113" s="187">
        <v>0</v>
      </c>
      <c r="BF113" s="187">
        <v>0</v>
      </c>
      <c r="BG113" s="187">
        <v>0</v>
      </c>
      <c r="BH113" s="187">
        <v>0</v>
      </c>
      <c r="BI113" s="187">
        <v>0</v>
      </c>
      <c r="BJ113" s="187">
        <v>0</v>
      </c>
      <c r="BK113" s="187">
        <v>0</v>
      </c>
      <c r="BL113" s="187">
        <v>0</v>
      </c>
      <c r="BM113" s="187">
        <v>0</v>
      </c>
      <c r="BN113" s="186">
        <f>SUM(BB113:BM113)</f>
        <v>0</v>
      </c>
      <c r="BP113" s="202"/>
      <c r="BQ113" s="202"/>
      <c r="BR113" s="202"/>
      <c r="BS113" s="202"/>
      <c r="BT113" s="202"/>
      <c r="BU113" s="202"/>
      <c r="BV113" s="202"/>
      <c r="BW113" s="202"/>
      <c r="BX113" s="202"/>
      <c r="BY113" s="202"/>
      <c r="BZ113" s="202"/>
      <c r="CA113" s="202"/>
      <c r="CB113" s="201">
        <f>SUM(BP113:CA113)</f>
        <v>0</v>
      </c>
    </row>
    <row r="114" spans="1:80" ht="11.95" hidden="1" thickBot="1" x14ac:dyDescent="0.3">
      <c r="A114" t="str">
        <f>IF(LEFT(G114,3)="Mul", "#hiderow", "#showrow")</f>
        <v>#hiderow</v>
      </c>
      <c r="E114" s="3"/>
      <c r="F114" s="3"/>
      <c r="G114" s="3" t="s">
        <v>6</v>
      </c>
      <c r="H114" s="18"/>
      <c r="I114" s="18"/>
      <c r="J114" s="18"/>
      <c r="K114" s="185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>
        <f>SUM(L114:W114)</f>
        <v>0</v>
      </c>
      <c r="Z114" s="185"/>
      <c r="AA114" s="185"/>
      <c r="AB114" s="185"/>
      <c r="AC114" s="185"/>
      <c r="AD114" s="185"/>
      <c r="AE114" s="185"/>
      <c r="AF114" s="185"/>
      <c r="AG114" s="185"/>
      <c r="AH114" s="185"/>
      <c r="AI114" s="185"/>
      <c r="AJ114" s="185"/>
      <c r="AK114" s="185"/>
      <c r="AL114" s="186">
        <f>SUM(Z114:AK114)</f>
        <v>0</v>
      </c>
      <c r="AN114" s="187"/>
      <c r="AO114" s="187"/>
      <c r="AP114" s="187"/>
      <c r="AQ114" s="187"/>
      <c r="AR114" s="187"/>
      <c r="AS114" s="187"/>
      <c r="AT114" s="187"/>
      <c r="AU114" s="187"/>
      <c r="AV114" s="187"/>
      <c r="AW114" s="187"/>
      <c r="AX114" s="187"/>
      <c r="AY114" s="187"/>
      <c r="AZ114" s="186">
        <f>SUM(AN114:AY114)</f>
        <v>0</v>
      </c>
      <c r="BB114" s="187"/>
      <c r="BC114" s="187"/>
      <c r="BD114" s="187"/>
      <c r="BE114" s="187"/>
      <c r="BF114" s="187"/>
      <c r="BG114" s="187"/>
      <c r="BH114" s="187"/>
      <c r="BI114" s="187"/>
      <c r="BJ114" s="187"/>
      <c r="BK114" s="187"/>
      <c r="BL114" s="187"/>
      <c r="BM114" s="187"/>
      <c r="BN114" s="186">
        <f>SUM(BB114:BM114)</f>
        <v>0</v>
      </c>
      <c r="BP114" s="202"/>
      <c r="BQ114" s="202"/>
      <c r="BR114" s="202"/>
      <c r="BS114" s="202"/>
      <c r="BT114" s="202"/>
      <c r="BU114" s="202"/>
      <c r="BV114" s="202"/>
      <c r="BW114" s="202"/>
      <c r="BX114" s="202"/>
      <c r="BY114" s="202"/>
      <c r="BZ114" s="202"/>
      <c r="CA114" s="202"/>
      <c r="CB114" s="201"/>
    </row>
    <row r="115" spans="1:80" ht="11.95" x14ac:dyDescent="0.25">
      <c r="C115" s="19" t="str">
        <f>"Total "&amp;C112</f>
        <v>Total Income Tax Expense/Benefit</v>
      </c>
      <c r="D115" s="19"/>
      <c r="E115" s="19"/>
      <c r="F115" s="19"/>
      <c r="G115" s="19"/>
      <c r="H115" s="188"/>
      <c r="I115" s="188"/>
      <c r="J115" s="188"/>
      <c r="K115" s="188">
        <v>-1</v>
      </c>
      <c r="L115" s="188">
        <f t="shared" ref="L115:X115" si="128">SUMIFS(L113:L114,$H113:$H114,"&lt;&gt;"&amp;$H$18,$D113:$D114,"&lt;&gt;*[-]*",$E113:$E114,"&lt;&gt;*[-]*",$F113:$F114,"&lt;&gt;*[-]*",$G113:$G114,"Income Tax Expense/Benefit")</f>
        <v>0</v>
      </c>
      <c r="M115" s="188">
        <f t="shared" si="128"/>
        <v>0</v>
      </c>
      <c r="N115" s="188">
        <f t="shared" si="128"/>
        <v>0</v>
      </c>
      <c r="O115" s="188">
        <f t="shared" si="128"/>
        <v>0</v>
      </c>
      <c r="P115" s="188">
        <f t="shared" si="128"/>
        <v>0</v>
      </c>
      <c r="Q115" s="188">
        <f t="shared" si="128"/>
        <v>0</v>
      </c>
      <c r="R115" s="188">
        <f t="shared" si="128"/>
        <v>0</v>
      </c>
      <c r="S115" s="188">
        <f t="shared" si="128"/>
        <v>0</v>
      </c>
      <c r="T115" s="188">
        <f t="shared" si="128"/>
        <v>0</v>
      </c>
      <c r="U115" s="188">
        <f t="shared" si="128"/>
        <v>0</v>
      </c>
      <c r="V115" s="188">
        <f t="shared" si="128"/>
        <v>0</v>
      </c>
      <c r="W115" s="188">
        <f t="shared" si="128"/>
        <v>0</v>
      </c>
      <c r="X115" s="189">
        <f t="shared" si="128"/>
        <v>0</v>
      </c>
      <c r="Z115" s="188">
        <f t="shared" ref="Z115:AL115" si="129">SUMIFS(Z113:Z114,$H113:$H114,"&lt;&gt;"&amp;$H$18,$D113:$D114,"&lt;&gt;*[-]*",$E113:$E114,"&lt;&gt;*[-]*",$F113:$F114,"&lt;&gt;*[-]*",$G113:$G114,"Income Tax Expense/Benefit")</f>
        <v>0</v>
      </c>
      <c r="AA115" s="188">
        <f t="shared" si="129"/>
        <v>0</v>
      </c>
      <c r="AB115" s="188">
        <f t="shared" si="129"/>
        <v>0</v>
      </c>
      <c r="AC115" s="188">
        <f t="shared" si="129"/>
        <v>0</v>
      </c>
      <c r="AD115" s="188">
        <f t="shared" si="129"/>
        <v>0</v>
      </c>
      <c r="AE115" s="188">
        <f t="shared" si="129"/>
        <v>0</v>
      </c>
      <c r="AF115" s="188">
        <f t="shared" si="129"/>
        <v>0</v>
      </c>
      <c r="AG115" s="188">
        <f t="shared" si="129"/>
        <v>0</v>
      </c>
      <c r="AH115" s="188">
        <f t="shared" si="129"/>
        <v>0</v>
      </c>
      <c r="AI115" s="188">
        <f t="shared" si="129"/>
        <v>0</v>
      </c>
      <c r="AJ115" s="188">
        <f t="shared" si="129"/>
        <v>0</v>
      </c>
      <c r="AK115" s="188">
        <f t="shared" si="129"/>
        <v>0</v>
      </c>
      <c r="AL115" s="189">
        <f t="shared" si="129"/>
        <v>0</v>
      </c>
      <c r="AN115" s="188">
        <f t="shared" ref="AN115:AZ115" si="130">SUMIFS(AN113:AN114,$H113:$H114,"&lt;&gt;"&amp;$H$18,$D113:$D114,"&lt;&gt;*[-]*",$E113:$E114,"&lt;&gt;*[-]*",$F113:$F114,"&lt;&gt;*[-]*",$G113:$G114,"Income Tax Expense/Benefit")</f>
        <v>0</v>
      </c>
      <c r="AO115" s="188">
        <f t="shared" si="130"/>
        <v>0</v>
      </c>
      <c r="AP115" s="188">
        <f t="shared" si="130"/>
        <v>0</v>
      </c>
      <c r="AQ115" s="188">
        <f t="shared" si="130"/>
        <v>0</v>
      </c>
      <c r="AR115" s="188">
        <f t="shared" si="130"/>
        <v>0</v>
      </c>
      <c r="AS115" s="188">
        <f t="shared" si="130"/>
        <v>0</v>
      </c>
      <c r="AT115" s="188">
        <f t="shared" si="130"/>
        <v>0</v>
      </c>
      <c r="AU115" s="188">
        <f t="shared" si="130"/>
        <v>0</v>
      </c>
      <c r="AV115" s="188">
        <f t="shared" si="130"/>
        <v>0</v>
      </c>
      <c r="AW115" s="188">
        <f t="shared" si="130"/>
        <v>0</v>
      </c>
      <c r="AX115" s="188">
        <f t="shared" si="130"/>
        <v>0</v>
      </c>
      <c r="AY115" s="188">
        <f t="shared" si="130"/>
        <v>0</v>
      </c>
      <c r="AZ115" s="189">
        <f t="shared" si="130"/>
        <v>0</v>
      </c>
      <c r="BB115" s="188">
        <f t="shared" ref="BB115:BN115" si="131">SUMIFS(BB113:BB114,$H113:$H114,"&lt;&gt;"&amp;$H$18,$D113:$D114,"&lt;&gt;*[-]*",$E113:$E114,"&lt;&gt;*[-]*",$F113:$F114,"&lt;&gt;*[-]*",$G113:$G114,"Income Tax Expense/Benefit")</f>
        <v>0</v>
      </c>
      <c r="BC115" s="188">
        <f t="shared" si="131"/>
        <v>0</v>
      </c>
      <c r="BD115" s="188">
        <f t="shared" si="131"/>
        <v>0</v>
      </c>
      <c r="BE115" s="188">
        <f t="shared" si="131"/>
        <v>0</v>
      </c>
      <c r="BF115" s="188">
        <f t="shared" si="131"/>
        <v>0</v>
      </c>
      <c r="BG115" s="188">
        <f t="shared" si="131"/>
        <v>0</v>
      </c>
      <c r="BH115" s="188">
        <f t="shared" si="131"/>
        <v>0</v>
      </c>
      <c r="BI115" s="188">
        <f t="shared" si="131"/>
        <v>0</v>
      </c>
      <c r="BJ115" s="188">
        <f t="shared" si="131"/>
        <v>0</v>
      </c>
      <c r="BK115" s="188">
        <f t="shared" si="131"/>
        <v>0</v>
      </c>
      <c r="BL115" s="188">
        <f t="shared" si="131"/>
        <v>0</v>
      </c>
      <c r="BM115" s="188">
        <f t="shared" si="131"/>
        <v>0</v>
      </c>
      <c r="BN115" s="189">
        <f t="shared" si="131"/>
        <v>0</v>
      </c>
      <c r="BP115" s="203">
        <f t="shared" ref="BP115:CB115" si="132">SUMIFS(BP113:BP114,$H113:$H114,"&lt;&gt;"&amp;$H$18,$D113:$D114,"&lt;&gt;*[-]*",$E113:$E114,"&lt;&gt;*[-]*",$F113:$F114,"&lt;&gt;*[-]*",$G113:$G114,"&lt;&gt;*[-]*")</f>
        <v>0</v>
      </c>
      <c r="BQ115" s="203">
        <f t="shared" si="132"/>
        <v>0</v>
      </c>
      <c r="BR115" s="203">
        <f t="shared" si="132"/>
        <v>0</v>
      </c>
      <c r="BS115" s="203">
        <f t="shared" si="132"/>
        <v>0</v>
      </c>
      <c r="BT115" s="203">
        <f t="shared" si="132"/>
        <v>0</v>
      </c>
      <c r="BU115" s="203">
        <f t="shared" si="132"/>
        <v>0</v>
      </c>
      <c r="BV115" s="203">
        <f t="shared" si="132"/>
        <v>0</v>
      </c>
      <c r="BW115" s="203">
        <f t="shared" si="132"/>
        <v>0</v>
      </c>
      <c r="BX115" s="203">
        <f t="shared" si="132"/>
        <v>0</v>
      </c>
      <c r="BY115" s="203">
        <f t="shared" si="132"/>
        <v>0</v>
      </c>
      <c r="BZ115" s="203">
        <f t="shared" si="132"/>
        <v>0</v>
      </c>
      <c r="CA115" s="203">
        <f t="shared" si="132"/>
        <v>0</v>
      </c>
      <c r="CB115" s="204">
        <f t="shared" si="132"/>
        <v>0</v>
      </c>
    </row>
    <row r="117" spans="1:80" ht="12.45" thickBot="1" x14ac:dyDescent="0.3">
      <c r="C117" s="4" t="s">
        <v>28</v>
      </c>
      <c r="D117" s="4"/>
      <c r="E117" s="4"/>
      <c r="F117" s="4"/>
      <c r="G117" s="4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P117" s="133"/>
      <c r="BQ117" s="133"/>
      <c r="BR117" s="133"/>
      <c r="BS117" s="133"/>
      <c r="BT117" s="133"/>
      <c r="BU117" s="133"/>
      <c r="BV117" s="133"/>
      <c r="BW117" s="133"/>
      <c r="BX117" s="133"/>
      <c r="BY117" s="133"/>
      <c r="BZ117" s="133"/>
      <c r="CA117" s="133"/>
      <c r="CB117" s="133"/>
    </row>
    <row r="118" spans="1:80" ht="11.95" hidden="1" thickBot="1" x14ac:dyDescent="0.3">
      <c r="A118" t="s">
        <v>1</v>
      </c>
      <c r="E118" s="3"/>
      <c r="F118" s="3"/>
      <c r="G118" s="3" t="s">
        <v>28</v>
      </c>
      <c r="H118" s="18"/>
      <c r="I118" s="18"/>
      <c r="J118" s="18"/>
      <c r="K118" s="185"/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f>SUM(L118:W118)</f>
        <v>0</v>
      </c>
      <c r="Z118" s="185">
        <v>0</v>
      </c>
      <c r="AA118" s="185">
        <v>0</v>
      </c>
      <c r="AB118" s="185">
        <v>0</v>
      </c>
      <c r="AC118" s="185">
        <v>0</v>
      </c>
      <c r="AD118" s="185">
        <v>0</v>
      </c>
      <c r="AE118" s="185">
        <v>0</v>
      </c>
      <c r="AF118" s="185">
        <v>0</v>
      </c>
      <c r="AG118" s="185">
        <v>0</v>
      </c>
      <c r="AH118" s="185">
        <v>0</v>
      </c>
      <c r="AI118" s="185">
        <v>0</v>
      </c>
      <c r="AJ118" s="185">
        <v>0</v>
      </c>
      <c r="AK118" s="185">
        <v>0</v>
      </c>
      <c r="AL118" s="186">
        <f>SUM(Z118:AK118)</f>
        <v>0</v>
      </c>
      <c r="AN118" s="187">
        <v>0</v>
      </c>
      <c r="AO118" s="187">
        <v>0</v>
      </c>
      <c r="AP118" s="187">
        <v>0</v>
      </c>
      <c r="AQ118" s="187">
        <v>0</v>
      </c>
      <c r="AR118" s="187">
        <v>0</v>
      </c>
      <c r="AS118" s="187">
        <v>0</v>
      </c>
      <c r="AT118" s="187">
        <v>0</v>
      </c>
      <c r="AU118" s="187">
        <v>0</v>
      </c>
      <c r="AV118" s="187">
        <v>0</v>
      </c>
      <c r="AW118" s="187">
        <v>0</v>
      </c>
      <c r="AX118" s="187">
        <v>0</v>
      </c>
      <c r="AY118" s="187">
        <v>0</v>
      </c>
      <c r="AZ118" s="186">
        <f>SUM(AN118:AY118)</f>
        <v>0</v>
      </c>
      <c r="BB118" s="187">
        <v>0</v>
      </c>
      <c r="BC118" s="187">
        <v>0</v>
      </c>
      <c r="BD118" s="187">
        <v>0</v>
      </c>
      <c r="BE118" s="187">
        <v>0</v>
      </c>
      <c r="BF118" s="187">
        <v>0</v>
      </c>
      <c r="BG118" s="187">
        <v>0</v>
      </c>
      <c r="BH118" s="187">
        <v>0</v>
      </c>
      <c r="BI118" s="187">
        <v>0</v>
      </c>
      <c r="BJ118" s="187">
        <v>0</v>
      </c>
      <c r="BK118" s="187">
        <v>0</v>
      </c>
      <c r="BL118" s="187">
        <v>0</v>
      </c>
      <c r="BM118" s="187">
        <v>0</v>
      </c>
      <c r="BN118" s="186">
        <f>SUM(BB118:BM118)</f>
        <v>0</v>
      </c>
      <c r="BP118" s="202"/>
      <c r="BQ118" s="202"/>
      <c r="BR118" s="202"/>
      <c r="BS118" s="202"/>
      <c r="BT118" s="202"/>
      <c r="BU118" s="202"/>
      <c r="BV118" s="202"/>
      <c r="BW118" s="202"/>
      <c r="BX118" s="202"/>
      <c r="BY118" s="202"/>
      <c r="BZ118" s="202"/>
      <c r="CA118" s="202"/>
      <c r="CB118" s="201">
        <f>SUM(BP118:CA118)</f>
        <v>0</v>
      </c>
    </row>
    <row r="119" spans="1:80" ht="11.95" hidden="1" thickBot="1" x14ac:dyDescent="0.3">
      <c r="A119" t="str">
        <f t="shared" ref="A119" si="133">IF(LEFT(G119,3)="Mul", "#hiderow", "#showrow")</f>
        <v>#hiderow</v>
      </c>
      <c r="E119" s="3"/>
      <c r="F119" s="3"/>
      <c r="G119" s="3" t="s">
        <v>6</v>
      </c>
      <c r="H119" s="18"/>
      <c r="I119" s="18"/>
      <c r="J119" s="18"/>
      <c r="K119" s="185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>
        <f>SUM(L119:W119)</f>
        <v>0</v>
      </c>
      <c r="Z119" s="185"/>
      <c r="AA119" s="185"/>
      <c r="AB119" s="185"/>
      <c r="AC119" s="185"/>
      <c r="AD119" s="185"/>
      <c r="AE119" s="185"/>
      <c r="AF119" s="185"/>
      <c r="AG119" s="185"/>
      <c r="AH119" s="185"/>
      <c r="AI119" s="185"/>
      <c r="AJ119" s="185"/>
      <c r="AK119" s="185"/>
      <c r="AL119" s="186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6"/>
      <c r="BB119" s="187"/>
      <c r="BC119" s="187"/>
      <c r="BD119" s="187"/>
      <c r="BE119" s="187"/>
      <c r="BF119" s="187"/>
      <c r="BG119" s="187"/>
      <c r="BH119" s="187"/>
      <c r="BI119" s="187"/>
      <c r="BJ119" s="187"/>
      <c r="BK119" s="187"/>
      <c r="BL119" s="187"/>
      <c r="BM119" s="187"/>
      <c r="BN119" s="186"/>
      <c r="BP119" s="202"/>
      <c r="BQ119" s="202"/>
      <c r="BR119" s="202"/>
      <c r="BS119" s="202"/>
      <c r="BT119" s="202"/>
      <c r="BU119" s="202"/>
      <c r="BV119" s="202"/>
      <c r="BW119" s="202"/>
      <c r="BX119" s="202"/>
      <c r="BY119" s="202"/>
      <c r="BZ119" s="202"/>
      <c r="CA119" s="202"/>
      <c r="CB119" s="201"/>
    </row>
    <row r="120" spans="1:80" ht="11.95" x14ac:dyDescent="0.25">
      <c r="C120" s="19" t="str">
        <f>"Total "&amp;C117</f>
        <v>Total Depreciation &amp; Amortization</v>
      </c>
      <c r="D120" s="19"/>
      <c r="E120" s="19"/>
      <c r="F120" s="19"/>
      <c r="G120" s="19"/>
      <c r="H120" s="188"/>
      <c r="I120" s="188"/>
      <c r="J120" s="188"/>
      <c r="K120" s="188">
        <v>-1</v>
      </c>
      <c r="L120" s="188">
        <f t="shared" ref="L120:X120" si="134">SUMIFS(L118:L119,$H118:$H119,"&lt;&gt;"&amp;$H$18,$D118:$D119,"&lt;&gt;*[-]*",$E118:$E119,"&lt;&gt;*[-]*",$F118:$F119,"&lt;&gt;*[-]*",$G118:$G119,"Depreciation &amp; Amortization")</f>
        <v>0</v>
      </c>
      <c r="M120" s="188">
        <f t="shared" si="134"/>
        <v>0</v>
      </c>
      <c r="N120" s="188">
        <f t="shared" si="134"/>
        <v>0</v>
      </c>
      <c r="O120" s="188">
        <f t="shared" si="134"/>
        <v>0</v>
      </c>
      <c r="P120" s="188">
        <f t="shared" si="134"/>
        <v>0</v>
      </c>
      <c r="Q120" s="188">
        <f t="shared" si="134"/>
        <v>0</v>
      </c>
      <c r="R120" s="188">
        <f t="shared" si="134"/>
        <v>0</v>
      </c>
      <c r="S120" s="188">
        <f t="shared" si="134"/>
        <v>0</v>
      </c>
      <c r="T120" s="188">
        <f t="shared" si="134"/>
        <v>0</v>
      </c>
      <c r="U120" s="188">
        <f t="shared" si="134"/>
        <v>0</v>
      </c>
      <c r="V120" s="188">
        <f t="shared" si="134"/>
        <v>0</v>
      </c>
      <c r="W120" s="188">
        <f t="shared" si="134"/>
        <v>0</v>
      </c>
      <c r="X120" s="189">
        <f t="shared" si="134"/>
        <v>0</v>
      </c>
      <c r="Z120" s="188">
        <f t="shared" ref="Z120:AL120" si="135">SUMIFS(Z118:Z119,$H118:$H119,"&lt;&gt;"&amp;$H$18,$D118:$D119,"&lt;&gt;*[-]*",$E118:$E119,"&lt;&gt;*[-]*",$F118:$F119,"&lt;&gt;*[-]*",$G118:$G119,"Depreciation &amp; Amortization")</f>
        <v>0</v>
      </c>
      <c r="AA120" s="188">
        <f t="shared" si="135"/>
        <v>0</v>
      </c>
      <c r="AB120" s="188">
        <f t="shared" si="135"/>
        <v>0</v>
      </c>
      <c r="AC120" s="188">
        <f t="shared" si="135"/>
        <v>0</v>
      </c>
      <c r="AD120" s="188">
        <f t="shared" si="135"/>
        <v>0</v>
      </c>
      <c r="AE120" s="188">
        <f t="shared" si="135"/>
        <v>0</v>
      </c>
      <c r="AF120" s="188">
        <f t="shared" si="135"/>
        <v>0</v>
      </c>
      <c r="AG120" s="188">
        <f t="shared" si="135"/>
        <v>0</v>
      </c>
      <c r="AH120" s="188">
        <f t="shared" si="135"/>
        <v>0</v>
      </c>
      <c r="AI120" s="188">
        <f t="shared" si="135"/>
        <v>0</v>
      </c>
      <c r="AJ120" s="188">
        <f t="shared" si="135"/>
        <v>0</v>
      </c>
      <c r="AK120" s="188">
        <f t="shared" si="135"/>
        <v>0</v>
      </c>
      <c r="AL120" s="189">
        <f t="shared" si="135"/>
        <v>0</v>
      </c>
      <c r="AN120" s="188">
        <f t="shared" ref="AN120:AZ120" si="136">SUMIFS(AN118:AN119,$H118:$H119,"&lt;&gt;"&amp;$H$18,$D118:$D119,"&lt;&gt;*[-]*",$E118:$E119,"&lt;&gt;*[-]*",$F118:$F119,"&lt;&gt;*[-]*",$G118:$G119,"Depreciation &amp; Amortization")</f>
        <v>0</v>
      </c>
      <c r="AO120" s="188">
        <f t="shared" si="136"/>
        <v>0</v>
      </c>
      <c r="AP120" s="188">
        <f t="shared" si="136"/>
        <v>0</v>
      </c>
      <c r="AQ120" s="188">
        <f t="shared" si="136"/>
        <v>0</v>
      </c>
      <c r="AR120" s="188">
        <f t="shared" si="136"/>
        <v>0</v>
      </c>
      <c r="AS120" s="188">
        <f t="shared" si="136"/>
        <v>0</v>
      </c>
      <c r="AT120" s="188">
        <f t="shared" si="136"/>
        <v>0</v>
      </c>
      <c r="AU120" s="188">
        <f t="shared" si="136"/>
        <v>0</v>
      </c>
      <c r="AV120" s="188">
        <f t="shared" si="136"/>
        <v>0</v>
      </c>
      <c r="AW120" s="188">
        <f t="shared" si="136"/>
        <v>0</v>
      </c>
      <c r="AX120" s="188">
        <f t="shared" si="136"/>
        <v>0</v>
      </c>
      <c r="AY120" s="188">
        <f t="shared" si="136"/>
        <v>0</v>
      </c>
      <c r="AZ120" s="189">
        <f t="shared" si="136"/>
        <v>0</v>
      </c>
      <c r="BB120" s="188">
        <f t="shared" ref="BB120:BN120" si="137">SUMIFS(BB118:BB119,$H118:$H119,"&lt;&gt;"&amp;$H$18,$D118:$D119,"&lt;&gt;*[-]*",$E118:$E119,"&lt;&gt;*[-]*",$F118:$F119,"&lt;&gt;*[-]*",$G118:$G119,"Depreciation &amp; Amortization")</f>
        <v>0</v>
      </c>
      <c r="BC120" s="188">
        <f t="shared" si="137"/>
        <v>0</v>
      </c>
      <c r="BD120" s="188">
        <f t="shared" si="137"/>
        <v>0</v>
      </c>
      <c r="BE120" s="188">
        <f t="shared" si="137"/>
        <v>0</v>
      </c>
      <c r="BF120" s="188">
        <f t="shared" si="137"/>
        <v>0</v>
      </c>
      <c r="BG120" s="188">
        <f t="shared" si="137"/>
        <v>0</v>
      </c>
      <c r="BH120" s="188">
        <f t="shared" si="137"/>
        <v>0</v>
      </c>
      <c r="BI120" s="188">
        <f t="shared" si="137"/>
        <v>0</v>
      </c>
      <c r="BJ120" s="188">
        <f t="shared" si="137"/>
        <v>0</v>
      </c>
      <c r="BK120" s="188">
        <f t="shared" si="137"/>
        <v>0</v>
      </c>
      <c r="BL120" s="188">
        <f t="shared" si="137"/>
        <v>0</v>
      </c>
      <c r="BM120" s="188">
        <f t="shared" si="137"/>
        <v>0</v>
      </c>
      <c r="BN120" s="189">
        <f t="shared" si="137"/>
        <v>0</v>
      </c>
      <c r="BP120" s="203">
        <f t="shared" ref="BP120:CB120" si="138">SUMIFS(BP118:BP119,$H118:$H119,"&lt;&gt;"&amp;$H$18,$D118:$D119,"&lt;&gt;*[-]*",$E118:$E119,"&lt;&gt;*[-]*",$F118:$F119,"&lt;&gt;*[-]*",$G118:$G119,"&lt;&gt;*[-]*")</f>
        <v>0</v>
      </c>
      <c r="BQ120" s="203">
        <f t="shared" si="138"/>
        <v>0</v>
      </c>
      <c r="BR120" s="203">
        <f t="shared" si="138"/>
        <v>0</v>
      </c>
      <c r="BS120" s="203">
        <f t="shared" si="138"/>
        <v>0</v>
      </c>
      <c r="BT120" s="203">
        <f t="shared" si="138"/>
        <v>0</v>
      </c>
      <c r="BU120" s="203">
        <f t="shared" si="138"/>
        <v>0</v>
      </c>
      <c r="BV120" s="203">
        <f t="shared" si="138"/>
        <v>0</v>
      </c>
      <c r="BW120" s="203">
        <f t="shared" si="138"/>
        <v>0</v>
      </c>
      <c r="BX120" s="203">
        <f t="shared" si="138"/>
        <v>0</v>
      </c>
      <c r="BY120" s="203">
        <f t="shared" si="138"/>
        <v>0</v>
      </c>
      <c r="BZ120" s="203">
        <f t="shared" si="138"/>
        <v>0</v>
      </c>
      <c r="CA120" s="203">
        <f t="shared" si="138"/>
        <v>0</v>
      </c>
      <c r="CB120" s="204">
        <f t="shared" si="138"/>
        <v>0</v>
      </c>
    </row>
    <row r="122" spans="1:80" ht="12.45" thickBot="1" x14ac:dyDescent="0.3">
      <c r="C122" s="4" t="s">
        <v>29</v>
      </c>
      <c r="D122" s="4"/>
      <c r="E122" s="4"/>
      <c r="F122" s="4"/>
      <c r="G122" s="4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P122" s="133"/>
      <c r="BQ122" s="133"/>
      <c r="BR122" s="133"/>
      <c r="BS122" s="133"/>
      <c r="BT122" s="133"/>
      <c r="BU122" s="133"/>
      <c r="BV122" s="133"/>
      <c r="BW122" s="133"/>
      <c r="BX122" s="133"/>
      <c r="BY122" s="133"/>
      <c r="BZ122" s="133"/>
      <c r="CA122" s="133"/>
      <c r="CB122" s="133"/>
    </row>
    <row r="123" spans="1:80" ht="11.95" hidden="1" thickBot="1" x14ac:dyDescent="0.3">
      <c r="A123" t="s">
        <v>1</v>
      </c>
      <c r="E123" s="3"/>
      <c r="F123" s="3"/>
      <c r="G123" s="3" t="s">
        <v>119</v>
      </c>
      <c r="H123" s="18"/>
      <c r="I123" s="18"/>
      <c r="J123" s="18"/>
      <c r="K123" s="185"/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f>SUM(L123:W123)</f>
        <v>0</v>
      </c>
      <c r="Z123" s="185">
        <v>0</v>
      </c>
      <c r="AA123" s="185">
        <v>0</v>
      </c>
      <c r="AB123" s="185">
        <v>0</v>
      </c>
      <c r="AC123" s="185">
        <v>0</v>
      </c>
      <c r="AD123" s="185">
        <v>0</v>
      </c>
      <c r="AE123" s="185">
        <v>0</v>
      </c>
      <c r="AF123" s="185">
        <v>0</v>
      </c>
      <c r="AG123" s="185">
        <v>0</v>
      </c>
      <c r="AH123" s="185">
        <v>0</v>
      </c>
      <c r="AI123" s="185">
        <v>0</v>
      </c>
      <c r="AJ123" s="185">
        <v>0</v>
      </c>
      <c r="AK123" s="185">
        <v>0</v>
      </c>
      <c r="AL123" s="186">
        <f>SUM(Z123:AK123)</f>
        <v>0</v>
      </c>
      <c r="AN123" s="187">
        <v>0</v>
      </c>
      <c r="AO123" s="187">
        <v>0</v>
      </c>
      <c r="AP123" s="187">
        <v>0</v>
      </c>
      <c r="AQ123" s="187">
        <v>0</v>
      </c>
      <c r="AR123" s="187">
        <v>0</v>
      </c>
      <c r="AS123" s="187">
        <v>0</v>
      </c>
      <c r="AT123" s="187">
        <v>0</v>
      </c>
      <c r="AU123" s="187">
        <v>0</v>
      </c>
      <c r="AV123" s="187">
        <v>0</v>
      </c>
      <c r="AW123" s="187">
        <v>0</v>
      </c>
      <c r="AX123" s="187">
        <v>0</v>
      </c>
      <c r="AY123" s="187">
        <v>0</v>
      </c>
      <c r="AZ123" s="186">
        <f>SUM(AN123:AY123)</f>
        <v>0</v>
      </c>
      <c r="BB123" s="187">
        <v>0</v>
      </c>
      <c r="BC123" s="187">
        <v>0</v>
      </c>
      <c r="BD123" s="187">
        <v>0</v>
      </c>
      <c r="BE123" s="187">
        <v>0</v>
      </c>
      <c r="BF123" s="187">
        <v>0</v>
      </c>
      <c r="BG123" s="187">
        <v>0</v>
      </c>
      <c r="BH123" s="187">
        <v>0</v>
      </c>
      <c r="BI123" s="187">
        <v>0</v>
      </c>
      <c r="BJ123" s="187">
        <v>0</v>
      </c>
      <c r="BK123" s="187">
        <v>0</v>
      </c>
      <c r="BL123" s="187">
        <v>0</v>
      </c>
      <c r="BM123" s="187">
        <v>0</v>
      </c>
      <c r="BN123" s="186">
        <f>SUM(BB123:BM123)</f>
        <v>0</v>
      </c>
      <c r="BP123" s="202"/>
      <c r="BQ123" s="202"/>
      <c r="BR123" s="202"/>
      <c r="BS123" s="202"/>
      <c r="BT123" s="202"/>
      <c r="BU123" s="202"/>
      <c r="BV123" s="202"/>
      <c r="BW123" s="202"/>
      <c r="BX123" s="202"/>
      <c r="BY123" s="202"/>
      <c r="BZ123" s="202"/>
      <c r="CA123" s="202"/>
      <c r="CB123" s="201">
        <f>SUM(BP123:CA123)</f>
        <v>0</v>
      </c>
    </row>
    <row r="124" spans="1:80" ht="11.95" hidden="1" thickBot="1" x14ac:dyDescent="0.3">
      <c r="A124" t="str">
        <f>IF(LEFT(G124,3)="Mul", "#hiderow", "#showrow")</f>
        <v>#hiderow</v>
      </c>
      <c r="E124" s="3"/>
      <c r="F124" s="3"/>
      <c r="G124" s="3" t="s">
        <v>6</v>
      </c>
      <c r="H124" s="18"/>
      <c r="I124" s="18"/>
      <c r="J124" s="18"/>
      <c r="K124" s="185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Z124" s="185"/>
      <c r="AA124" s="185"/>
      <c r="AB124" s="185"/>
      <c r="AC124" s="185"/>
      <c r="AD124" s="185"/>
      <c r="AE124" s="185"/>
      <c r="AF124" s="185"/>
      <c r="AG124" s="185"/>
      <c r="AH124" s="185"/>
      <c r="AI124" s="185"/>
      <c r="AJ124" s="185"/>
      <c r="AK124" s="185"/>
      <c r="AL124" s="186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6"/>
      <c r="BB124" s="187"/>
      <c r="BC124" s="187"/>
      <c r="BD124" s="187"/>
      <c r="BE124" s="187"/>
      <c r="BF124" s="187"/>
      <c r="BG124" s="187"/>
      <c r="BH124" s="187"/>
      <c r="BI124" s="187"/>
      <c r="BJ124" s="187"/>
      <c r="BK124" s="187"/>
      <c r="BL124" s="187"/>
      <c r="BM124" s="187"/>
      <c r="BN124" s="186"/>
      <c r="BP124" s="202"/>
      <c r="BQ124" s="202"/>
      <c r="BR124" s="202"/>
      <c r="BS124" s="202"/>
      <c r="BT124" s="202"/>
      <c r="BU124" s="202"/>
      <c r="BV124" s="202"/>
      <c r="BW124" s="202"/>
      <c r="BX124" s="202"/>
      <c r="BY124" s="202"/>
      <c r="BZ124" s="202"/>
      <c r="CA124" s="202"/>
      <c r="CB124" s="201"/>
    </row>
    <row r="125" spans="1:80" ht="11.95" x14ac:dyDescent="0.25">
      <c r="C125" s="19" t="str">
        <f>"Total "&amp;C122</f>
        <v>Total 6895 (Restructuring)</v>
      </c>
      <c r="D125" s="19"/>
      <c r="E125" s="19"/>
      <c r="F125" s="19"/>
      <c r="G125" s="19"/>
      <c r="H125" s="188"/>
      <c r="I125" s="188"/>
      <c r="J125" s="188"/>
      <c r="K125" s="188">
        <v>-1</v>
      </c>
      <c r="L125" s="188">
        <f t="shared" ref="L125:X125" si="139">SUMIFS(L123:L124,$H123:$H124,"&lt;&gt;"&amp;$H$18,$D123:$D124,"&lt;&gt;*[-]*",$E123:$E124,"&lt;&gt;*[-]*",$F123:$F124,"&lt;&gt;*[-]*",$G123:$G124,"Restructuring")</f>
        <v>0</v>
      </c>
      <c r="M125" s="188">
        <f t="shared" si="139"/>
        <v>0</v>
      </c>
      <c r="N125" s="188">
        <f t="shared" si="139"/>
        <v>0</v>
      </c>
      <c r="O125" s="188">
        <f t="shared" si="139"/>
        <v>0</v>
      </c>
      <c r="P125" s="188">
        <f t="shared" si="139"/>
        <v>0</v>
      </c>
      <c r="Q125" s="188">
        <f t="shared" si="139"/>
        <v>0</v>
      </c>
      <c r="R125" s="188">
        <f t="shared" si="139"/>
        <v>0</v>
      </c>
      <c r="S125" s="188">
        <f t="shared" si="139"/>
        <v>0</v>
      </c>
      <c r="T125" s="188">
        <f t="shared" si="139"/>
        <v>0</v>
      </c>
      <c r="U125" s="188">
        <f t="shared" si="139"/>
        <v>0</v>
      </c>
      <c r="V125" s="188">
        <f t="shared" si="139"/>
        <v>0</v>
      </c>
      <c r="W125" s="188">
        <f t="shared" si="139"/>
        <v>0</v>
      </c>
      <c r="X125" s="189">
        <f t="shared" si="139"/>
        <v>0</v>
      </c>
      <c r="Z125" s="188">
        <f t="shared" ref="Z125:AL125" si="140">SUMIFS(Z123:Z124,$H123:$H124,"&lt;&gt;"&amp;$H$18,$D123:$D124,"&lt;&gt;*[-]*",$E123:$E124,"&lt;&gt;*[-]*",$F123:$F124,"&lt;&gt;*[-]*",$G123:$G124,"Restructuring")</f>
        <v>0</v>
      </c>
      <c r="AA125" s="188">
        <f t="shared" si="140"/>
        <v>0</v>
      </c>
      <c r="AB125" s="188">
        <f t="shared" si="140"/>
        <v>0</v>
      </c>
      <c r="AC125" s="188">
        <f t="shared" si="140"/>
        <v>0</v>
      </c>
      <c r="AD125" s="188">
        <f t="shared" si="140"/>
        <v>0</v>
      </c>
      <c r="AE125" s="188">
        <f t="shared" si="140"/>
        <v>0</v>
      </c>
      <c r="AF125" s="188">
        <f t="shared" si="140"/>
        <v>0</v>
      </c>
      <c r="AG125" s="188">
        <f t="shared" si="140"/>
        <v>0</v>
      </c>
      <c r="AH125" s="188">
        <f t="shared" si="140"/>
        <v>0</v>
      </c>
      <c r="AI125" s="188">
        <f t="shared" si="140"/>
        <v>0</v>
      </c>
      <c r="AJ125" s="188">
        <f t="shared" si="140"/>
        <v>0</v>
      </c>
      <c r="AK125" s="188">
        <f t="shared" si="140"/>
        <v>0</v>
      </c>
      <c r="AL125" s="189">
        <f t="shared" si="140"/>
        <v>0</v>
      </c>
      <c r="AN125" s="188">
        <f t="shared" ref="AN125:AZ125" si="141">SUMIFS(AN123:AN124,$H123:$H124,"&lt;&gt;"&amp;$H$18,$D123:$D124,"&lt;&gt;*[-]*",$E123:$E124,"&lt;&gt;*[-]*",$F123:$F124,"&lt;&gt;*[-]*",$G123:$G124,"Restructuring")</f>
        <v>0</v>
      </c>
      <c r="AO125" s="188">
        <f t="shared" si="141"/>
        <v>0</v>
      </c>
      <c r="AP125" s="188">
        <f t="shared" si="141"/>
        <v>0</v>
      </c>
      <c r="AQ125" s="188">
        <f t="shared" si="141"/>
        <v>0</v>
      </c>
      <c r="AR125" s="188">
        <f t="shared" si="141"/>
        <v>0</v>
      </c>
      <c r="AS125" s="188">
        <f t="shared" si="141"/>
        <v>0</v>
      </c>
      <c r="AT125" s="188">
        <f t="shared" si="141"/>
        <v>0</v>
      </c>
      <c r="AU125" s="188">
        <f t="shared" si="141"/>
        <v>0</v>
      </c>
      <c r="AV125" s="188">
        <f t="shared" si="141"/>
        <v>0</v>
      </c>
      <c r="AW125" s="188">
        <f t="shared" si="141"/>
        <v>0</v>
      </c>
      <c r="AX125" s="188">
        <f t="shared" si="141"/>
        <v>0</v>
      </c>
      <c r="AY125" s="188">
        <f t="shared" si="141"/>
        <v>0</v>
      </c>
      <c r="AZ125" s="189">
        <f t="shared" si="141"/>
        <v>0</v>
      </c>
      <c r="BB125" s="188">
        <f t="shared" ref="BB125:BN125" si="142">SUMIFS(BB123:BB124,$H123:$H124,"&lt;&gt;"&amp;$H$18,$D123:$D124,"&lt;&gt;*[-]*",$E123:$E124,"&lt;&gt;*[-]*",$F123:$F124,"&lt;&gt;*[-]*",$G123:$G124,"Restructuring")</f>
        <v>0</v>
      </c>
      <c r="BC125" s="188">
        <f t="shared" si="142"/>
        <v>0</v>
      </c>
      <c r="BD125" s="188">
        <f t="shared" si="142"/>
        <v>0</v>
      </c>
      <c r="BE125" s="188">
        <f t="shared" si="142"/>
        <v>0</v>
      </c>
      <c r="BF125" s="188">
        <f t="shared" si="142"/>
        <v>0</v>
      </c>
      <c r="BG125" s="188">
        <f t="shared" si="142"/>
        <v>0</v>
      </c>
      <c r="BH125" s="188">
        <f t="shared" si="142"/>
        <v>0</v>
      </c>
      <c r="BI125" s="188">
        <f t="shared" si="142"/>
        <v>0</v>
      </c>
      <c r="BJ125" s="188">
        <f t="shared" si="142"/>
        <v>0</v>
      </c>
      <c r="BK125" s="188">
        <f t="shared" si="142"/>
        <v>0</v>
      </c>
      <c r="BL125" s="188">
        <f t="shared" si="142"/>
        <v>0</v>
      </c>
      <c r="BM125" s="188">
        <f t="shared" si="142"/>
        <v>0</v>
      </c>
      <c r="BN125" s="189">
        <f t="shared" si="142"/>
        <v>0</v>
      </c>
      <c r="BP125" s="203">
        <f t="shared" ref="BP125:CB125" si="143">SUMIFS(BP123:BP124,$H123:$H124,"&lt;&gt;"&amp;$H$18,$D123:$D124,"&lt;&gt;*[-]*",$E123:$E124,"&lt;&gt;*[-]*",$F123:$F124,"&lt;&gt;*[-]*",$G123:$G124,"&lt;&gt;*[-]*")</f>
        <v>0</v>
      </c>
      <c r="BQ125" s="203">
        <f t="shared" si="143"/>
        <v>0</v>
      </c>
      <c r="BR125" s="203">
        <f t="shared" si="143"/>
        <v>0</v>
      </c>
      <c r="BS125" s="203">
        <f t="shared" si="143"/>
        <v>0</v>
      </c>
      <c r="BT125" s="203">
        <f t="shared" si="143"/>
        <v>0</v>
      </c>
      <c r="BU125" s="203">
        <f t="shared" si="143"/>
        <v>0</v>
      </c>
      <c r="BV125" s="203">
        <f t="shared" si="143"/>
        <v>0</v>
      </c>
      <c r="BW125" s="203">
        <f t="shared" si="143"/>
        <v>0</v>
      </c>
      <c r="BX125" s="203">
        <f t="shared" si="143"/>
        <v>0</v>
      </c>
      <c r="BY125" s="203">
        <f t="shared" si="143"/>
        <v>0</v>
      </c>
      <c r="BZ125" s="203">
        <f t="shared" si="143"/>
        <v>0</v>
      </c>
      <c r="CA125" s="203">
        <f t="shared" si="143"/>
        <v>0</v>
      </c>
      <c r="CB125" s="204">
        <f t="shared" si="143"/>
        <v>0</v>
      </c>
    </row>
    <row r="127" spans="1:80" ht="12.45" thickBot="1" x14ac:dyDescent="0.3">
      <c r="C127" s="4" t="s">
        <v>30</v>
      </c>
      <c r="D127" s="4"/>
      <c r="E127" s="4"/>
      <c r="F127" s="4"/>
      <c r="G127" s="4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P127" s="133"/>
      <c r="BQ127" s="133"/>
      <c r="BR127" s="133"/>
      <c r="BS127" s="133"/>
      <c r="BT127" s="133"/>
      <c r="BU127" s="133"/>
      <c r="BV127" s="133"/>
      <c r="BW127" s="133"/>
      <c r="BX127" s="133"/>
      <c r="BY127" s="133"/>
      <c r="BZ127" s="133"/>
      <c r="CA127" s="133"/>
      <c r="CB127" s="133"/>
    </row>
    <row r="128" spans="1:80" ht="11.95" hidden="1" thickBot="1" x14ac:dyDescent="0.3">
      <c r="A128" t="s">
        <v>1</v>
      </c>
      <c r="E128" s="3"/>
      <c r="F128" s="3"/>
      <c r="G128" s="3" t="s">
        <v>30</v>
      </c>
      <c r="H128" s="18"/>
      <c r="I128" s="18"/>
      <c r="J128" s="18"/>
      <c r="K128" s="185"/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f>SUM(L128:W128)</f>
        <v>0</v>
      </c>
      <c r="Z128" s="185">
        <v>0</v>
      </c>
      <c r="AA128" s="185">
        <v>0</v>
      </c>
      <c r="AB128" s="185">
        <v>0</v>
      </c>
      <c r="AC128" s="185">
        <v>0</v>
      </c>
      <c r="AD128" s="185">
        <v>0</v>
      </c>
      <c r="AE128" s="185">
        <v>0</v>
      </c>
      <c r="AF128" s="185">
        <v>0</v>
      </c>
      <c r="AG128" s="185">
        <v>0</v>
      </c>
      <c r="AH128" s="185">
        <v>0</v>
      </c>
      <c r="AI128" s="185">
        <v>0</v>
      </c>
      <c r="AJ128" s="185">
        <v>0</v>
      </c>
      <c r="AK128" s="185">
        <v>0</v>
      </c>
      <c r="AL128" s="186">
        <f>SUM(Z128:AK128)</f>
        <v>0</v>
      </c>
      <c r="AN128" s="187">
        <v>0</v>
      </c>
      <c r="AO128" s="187">
        <v>0</v>
      </c>
      <c r="AP128" s="187">
        <v>0</v>
      </c>
      <c r="AQ128" s="187">
        <v>0</v>
      </c>
      <c r="AR128" s="187">
        <v>0</v>
      </c>
      <c r="AS128" s="187">
        <v>0</v>
      </c>
      <c r="AT128" s="187">
        <v>0</v>
      </c>
      <c r="AU128" s="187">
        <v>0</v>
      </c>
      <c r="AV128" s="187">
        <v>0</v>
      </c>
      <c r="AW128" s="187">
        <v>0</v>
      </c>
      <c r="AX128" s="187">
        <v>0</v>
      </c>
      <c r="AY128" s="187">
        <v>0</v>
      </c>
      <c r="AZ128" s="186">
        <f>SUM(AN128:AY128)</f>
        <v>0</v>
      </c>
      <c r="BB128" s="187">
        <v>0</v>
      </c>
      <c r="BC128" s="187">
        <v>0</v>
      </c>
      <c r="BD128" s="187">
        <v>0</v>
      </c>
      <c r="BE128" s="187">
        <v>0</v>
      </c>
      <c r="BF128" s="187">
        <v>0</v>
      </c>
      <c r="BG128" s="187">
        <v>0</v>
      </c>
      <c r="BH128" s="187">
        <v>0</v>
      </c>
      <c r="BI128" s="187">
        <v>0</v>
      </c>
      <c r="BJ128" s="187">
        <v>0</v>
      </c>
      <c r="BK128" s="187">
        <v>0</v>
      </c>
      <c r="BL128" s="187">
        <v>0</v>
      </c>
      <c r="BM128" s="187">
        <v>0</v>
      </c>
      <c r="BN128" s="186">
        <f>SUM(BB128:BM128)</f>
        <v>0</v>
      </c>
      <c r="BP128" s="202"/>
      <c r="BQ128" s="202"/>
      <c r="BR128" s="202"/>
      <c r="BS128" s="202"/>
      <c r="BT128" s="202"/>
      <c r="BU128" s="202"/>
      <c r="BV128" s="202"/>
      <c r="BW128" s="202"/>
      <c r="BX128" s="202"/>
      <c r="BY128" s="202"/>
      <c r="BZ128" s="202"/>
      <c r="CA128" s="202"/>
      <c r="CB128" s="201">
        <f>SUM(BP128:CA128)</f>
        <v>0</v>
      </c>
    </row>
    <row r="129" spans="1:80" ht="11.95" hidden="1" thickBot="1" x14ac:dyDescent="0.3">
      <c r="A129" t="str">
        <f>IF(LEFT(G129,3)="Mul", "#hiderow", "#showrow")</f>
        <v>#hiderow</v>
      </c>
      <c r="E129" s="3"/>
      <c r="F129" s="3"/>
      <c r="G129" s="3" t="s">
        <v>6</v>
      </c>
      <c r="H129" s="18"/>
      <c r="I129" s="18"/>
      <c r="J129" s="18"/>
      <c r="K129" s="185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6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186"/>
      <c r="BB129" s="187"/>
      <c r="BC129" s="187"/>
      <c r="BD129" s="187"/>
      <c r="BE129" s="187"/>
      <c r="BF129" s="187"/>
      <c r="BG129" s="187"/>
      <c r="BH129" s="187"/>
      <c r="BI129" s="187"/>
      <c r="BJ129" s="187"/>
      <c r="BK129" s="187"/>
      <c r="BL129" s="187"/>
      <c r="BM129" s="187"/>
      <c r="BN129" s="186"/>
      <c r="BP129" s="202"/>
      <c r="BQ129" s="202"/>
      <c r="BR129" s="202"/>
      <c r="BS129" s="202"/>
      <c r="BT129" s="202"/>
      <c r="BU129" s="202"/>
      <c r="BV129" s="202"/>
      <c r="BW129" s="202"/>
      <c r="BX129" s="202"/>
      <c r="BY129" s="202"/>
      <c r="BZ129" s="202"/>
      <c r="CA129" s="202"/>
      <c r="CB129" s="201"/>
    </row>
    <row r="130" spans="1:80" ht="11.95" x14ac:dyDescent="0.25">
      <c r="C130" s="19" t="str">
        <f>"Total "&amp;C127</f>
        <v>Total Pension</v>
      </c>
      <c r="D130" s="19"/>
      <c r="E130" s="19"/>
      <c r="F130" s="19"/>
      <c r="G130" s="19"/>
      <c r="H130" s="188"/>
      <c r="I130" s="188"/>
      <c r="J130" s="188"/>
      <c r="K130" s="188">
        <v>-1</v>
      </c>
      <c r="L130" s="188">
        <f t="shared" ref="L130:X130" si="144">SUMIFS(L128:L129,$H128:$H129,"&lt;&gt;"&amp;$H$18,$D128:$D129,"&lt;&gt;*[-]*",$E128:$E129,"&lt;&gt;*[-]*",$F128:$F129,"&lt;&gt;*[-]*",$G128:$G129,"Pension")</f>
        <v>0</v>
      </c>
      <c r="M130" s="188">
        <f t="shared" si="144"/>
        <v>0</v>
      </c>
      <c r="N130" s="188">
        <f t="shared" si="144"/>
        <v>0</v>
      </c>
      <c r="O130" s="188">
        <f t="shared" si="144"/>
        <v>0</v>
      </c>
      <c r="P130" s="188">
        <f t="shared" si="144"/>
        <v>0</v>
      </c>
      <c r="Q130" s="188">
        <f t="shared" si="144"/>
        <v>0</v>
      </c>
      <c r="R130" s="188">
        <f t="shared" si="144"/>
        <v>0</v>
      </c>
      <c r="S130" s="188">
        <f t="shared" si="144"/>
        <v>0</v>
      </c>
      <c r="T130" s="188">
        <f t="shared" si="144"/>
        <v>0</v>
      </c>
      <c r="U130" s="188">
        <f t="shared" si="144"/>
        <v>0</v>
      </c>
      <c r="V130" s="188">
        <f t="shared" si="144"/>
        <v>0</v>
      </c>
      <c r="W130" s="188">
        <f t="shared" si="144"/>
        <v>0</v>
      </c>
      <c r="X130" s="189">
        <f t="shared" si="144"/>
        <v>0</v>
      </c>
      <c r="Z130" s="188">
        <f t="shared" ref="Z130:AL130" si="145">SUMIFS(Z128:Z129,$H128:$H129,"&lt;&gt;"&amp;$H$18,$D128:$D129,"&lt;&gt;*[-]*",$E128:$E129,"&lt;&gt;*[-]*",$F128:$F129,"&lt;&gt;*[-]*",$G128:$G129,"Pension")</f>
        <v>0</v>
      </c>
      <c r="AA130" s="188">
        <f t="shared" si="145"/>
        <v>0</v>
      </c>
      <c r="AB130" s="188">
        <f t="shared" si="145"/>
        <v>0</v>
      </c>
      <c r="AC130" s="188">
        <f t="shared" si="145"/>
        <v>0</v>
      </c>
      <c r="AD130" s="188">
        <f t="shared" si="145"/>
        <v>0</v>
      </c>
      <c r="AE130" s="188">
        <f t="shared" si="145"/>
        <v>0</v>
      </c>
      <c r="AF130" s="188">
        <f t="shared" si="145"/>
        <v>0</v>
      </c>
      <c r="AG130" s="188">
        <f t="shared" si="145"/>
        <v>0</v>
      </c>
      <c r="AH130" s="188">
        <f t="shared" si="145"/>
        <v>0</v>
      </c>
      <c r="AI130" s="188">
        <f t="shared" si="145"/>
        <v>0</v>
      </c>
      <c r="AJ130" s="188">
        <f t="shared" si="145"/>
        <v>0</v>
      </c>
      <c r="AK130" s="188">
        <f t="shared" si="145"/>
        <v>0</v>
      </c>
      <c r="AL130" s="189">
        <f t="shared" si="145"/>
        <v>0</v>
      </c>
      <c r="AN130" s="188">
        <f t="shared" ref="AN130:AZ130" si="146">SUMIFS(AN128:AN129,$H128:$H129,"&lt;&gt;"&amp;$H$18,$D128:$D129,"&lt;&gt;*[-]*",$E128:$E129,"&lt;&gt;*[-]*",$F128:$F129,"&lt;&gt;*[-]*",$G128:$G129,"Pension")</f>
        <v>0</v>
      </c>
      <c r="AO130" s="188">
        <f t="shared" si="146"/>
        <v>0</v>
      </c>
      <c r="AP130" s="188">
        <f t="shared" si="146"/>
        <v>0</v>
      </c>
      <c r="AQ130" s="188">
        <f t="shared" si="146"/>
        <v>0</v>
      </c>
      <c r="AR130" s="188">
        <f t="shared" si="146"/>
        <v>0</v>
      </c>
      <c r="AS130" s="188">
        <f t="shared" si="146"/>
        <v>0</v>
      </c>
      <c r="AT130" s="188">
        <f t="shared" si="146"/>
        <v>0</v>
      </c>
      <c r="AU130" s="188">
        <f t="shared" si="146"/>
        <v>0</v>
      </c>
      <c r="AV130" s="188">
        <f t="shared" si="146"/>
        <v>0</v>
      </c>
      <c r="AW130" s="188">
        <f t="shared" si="146"/>
        <v>0</v>
      </c>
      <c r="AX130" s="188">
        <f t="shared" si="146"/>
        <v>0</v>
      </c>
      <c r="AY130" s="188">
        <f t="shared" si="146"/>
        <v>0</v>
      </c>
      <c r="AZ130" s="189">
        <f t="shared" si="146"/>
        <v>0</v>
      </c>
      <c r="BB130" s="188">
        <f t="shared" ref="BB130:BN130" si="147">SUMIFS(BB128:BB129,$H128:$H129,"&lt;&gt;"&amp;$H$18,$D128:$D129,"&lt;&gt;*[-]*",$E128:$E129,"&lt;&gt;*[-]*",$F128:$F129,"&lt;&gt;*[-]*",$G128:$G129,"Pension")</f>
        <v>0</v>
      </c>
      <c r="BC130" s="188">
        <f t="shared" si="147"/>
        <v>0</v>
      </c>
      <c r="BD130" s="188">
        <f t="shared" si="147"/>
        <v>0</v>
      </c>
      <c r="BE130" s="188">
        <f t="shared" si="147"/>
        <v>0</v>
      </c>
      <c r="BF130" s="188">
        <f t="shared" si="147"/>
        <v>0</v>
      </c>
      <c r="BG130" s="188">
        <f t="shared" si="147"/>
        <v>0</v>
      </c>
      <c r="BH130" s="188">
        <f t="shared" si="147"/>
        <v>0</v>
      </c>
      <c r="BI130" s="188">
        <f t="shared" si="147"/>
        <v>0</v>
      </c>
      <c r="BJ130" s="188">
        <f t="shared" si="147"/>
        <v>0</v>
      </c>
      <c r="BK130" s="188">
        <f t="shared" si="147"/>
        <v>0</v>
      </c>
      <c r="BL130" s="188">
        <f t="shared" si="147"/>
        <v>0</v>
      </c>
      <c r="BM130" s="188">
        <f t="shared" si="147"/>
        <v>0</v>
      </c>
      <c r="BN130" s="189">
        <f t="shared" si="147"/>
        <v>0</v>
      </c>
      <c r="BP130" s="203">
        <f t="shared" ref="BP130:CB130" si="148">SUMIFS(BP128:BP129,$H128:$H129,"&lt;&gt;"&amp;$H$18,$D128:$D129,"&lt;&gt;*[-]*",$E128:$E129,"&lt;&gt;*[-]*",$F128:$F129,"&lt;&gt;*[-]*",$G128:$G129,"&lt;&gt;*[-]*")</f>
        <v>0</v>
      </c>
      <c r="BQ130" s="203">
        <f t="shared" si="148"/>
        <v>0</v>
      </c>
      <c r="BR130" s="203">
        <f t="shared" si="148"/>
        <v>0</v>
      </c>
      <c r="BS130" s="203">
        <f t="shared" si="148"/>
        <v>0</v>
      </c>
      <c r="BT130" s="203">
        <f t="shared" si="148"/>
        <v>0</v>
      </c>
      <c r="BU130" s="203">
        <f t="shared" si="148"/>
        <v>0</v>
      </c>
      <c r="BV130" s="203">
        <f t="shared" si="148"/>
        <v>0</v>
      </c>
      <c r="BW130" s="203">
        <f t="shared" si="148"/>
        <v>0</v>
      </c>
      <c r="BX130" s="203">
        <f t="shared" si="148"/>
        <v>0</v>
      </c>
      <c r="BY130" s="203">
        <f t="shared" si="148"/>
        <v>0</v>
      </c>
      <c r="BZ130" s="203">
        <f t="shared" si="148"/>
        <v>0</v>
      </c>
      <c r="CA130" s="203">
        <f t="shared" si="148"/>
        <v>0</v>
      </c>
      <c r="CB130" s="204">
        <f t="shared" si="148"/>
        <v>0</v>
      </c>
    </row>
    <row r="132" spans="1:80" ht="12.45" thickBot="1" x14ac:dyDescent="0.3">
      <c r="C132" s="4" t="s">
        <v>45</v>
      </c>
      <c r="D132" s="4"/>
      <c r="E132" s="4"/>
      <c r="F132" s="4"/>
      <c r="G132" s="4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P132" s="133"/>
      <c r="BQ132" s="133"/>
      <c r="BR132" s="133"/>
      <c r="BS132" s="133"/>
      <c r="BT132" s="133"/>
      <c r="BU132" s="133"/>
      <c r="BV132" s="133"/>
      <c r="BW132" s="133"/>
      <c r="BX132" s="133"/>
      <c r="BY132" s="133"/>
      <c r="BZ132" s="133"/>
      <c r="CA132" s="133"/>
      <c r="CB132" s="133"/>
    </row>
    <row r="133" spans="1:80" ht="11.95" hidden="1" thickBot="1" x14ac:dyDescent="0.3">
      <c r="A133" t="s">
        <v>1</v>
      </c>
      <c r="D133" s="3"/>
      <c r="E133" s="3"/>
      <c r="F133" s="3"/>
      <c r="G133" s="3" t="s">
        <v>45</v>
      </c>
      <c r="H133" s="18"/>
      <c r="I133" s="18"/>
      <c r="J133" s="18"/>
      <c r="K133" s="185"/>
      <c r="L133" s="185">
        <v>0</v>
      </c>
      <c r="M133" s="185">
        <v>0</v>
      </c>
      <c r="N133" s="185">
        <v>0</v>
      </c>
      <c r="O133" s="185">
        <v>0</v>
      </c>
      <c r="P133" s="185">
        <v>0</v>
      </c>
      <c r="Q133" s="185">
        <v>0</v>
      </c>
      <c r="R133" s="185">
        <v>0</v>
      </c>
      <c r="S133" s="185">
        <v>0</v>
      </c>
      <c r="T133" s="185">
        <v>0</v>
      </c>
      <c r="U133" s="185">
        <v>0</v>
      </c>
      <c r="V133" s="185">
        <v>0</v>
      </c>
      <c r="W133" s="185">
        <v>0</v>
      </c>
      <c r="X133" s="186">
        <f>SUM(L133:W133)</f>
        <v>0</v>
      </c>
      <c r="Z133" s="185">
        <v>0</v>
      </c>
      <c r="AA133" s="185">
        <v>0</v>
      </c>
      <c r="AB133" s="185">
        <v>0</v>
      </c>
      <c r="AC133" s="185">
        <v>0</v>
      </c>
      <c r="AD133" s="185">
        <v>0</v>
      </c>
      <c r="AE133" s="185">
        <v>0</v>
      </c>
      <c r="AF133" s="185">
        <v>0</v>
      </c>
      <c r="AG133" s="185">
        <v>0</v>
      </c>
      <c r="AH133" s="185">
        <v>0</v>
      </c>
      <c r="AI133" s="185">
        <v>0</v>
      </c>
      <c r="AJ133" s="185">
        <v>0</v>
      </c>
      <c r="AK133" s="185">
        <v>0</v>
      </c>
      <c r="AL133" s="186">
        <f>SUM(Z133:AK133)</f>
        <v>0</v>
      </c>
      <c r="AN133" s="187">
        <v>0</v>
      </c>
      <c r="AO133" s="187">
        <v>0</v>
      </c>
      <c r="AP133" s="187">
        <v>0</v>
      </c>
      <c r="AQ133" s="187">
        <v>0</v>
      </c>
      <c r="AR133" s="187">
        <v>0</v>
      </c>
      <c r="AS133" s="187">
        <v>0</v>
      </c>
      <c r="AT133" s="187">
        <v>0</v>
      </c>
      <c r="AU133" s="187">
        <v>0</v>
      </c>
      <c r="AV133" s="187">
        <v>0</v>
      </c>
      <c r="AW133" s="187">
        <v>0</v>
      </c>
      <c r="AX133" s="187">
        <v>0</v>
      </c>
      <c r="AY133" s="187">
        <v>0</v>
      </c>
      <c r="AZ133" s="186">
        <f>SUM(AN133:AY133)</f>
        <v>0</v>
      </c>
      <c r="BB133" s="187">
        <v>0</v>
      </c>
      <c r="BC133" s="187">
        <v>0</v>
      </c>
      <c r="BD133" s="187">
        <v>0</v>
      </c>
      <c r="BE133" s="187">
        <v>0</v>
      </c>
      <c r="BF133" s="187">
        <v>0</v>
      </c>
      <c r="BG133" s="187">
        <v>0</v>
      </c>
      <c r="BH133" s="187">
        <v>0</v>
      </c>
      <c r="BI133" s="187">
        <v>0</v>
      </c>
      <c r="BJ133" s="187">
        <v>0</v>
      </c>
      <c r="BK133" s="187">
        <v>0</v>
      </c>
      <c r="BL133" s="187">
        <v>0</v>
      </c>
      <c r="BM133" s="187">
        <v>0</v>
      </c>
      <c r="BN133" s="186">
        <f>SUM(BB133:BM133)</f>
        <v>0</v>
      </c>
      <c r="BP133" s="202"/>
      <c r="BQ133" s="202"/>
      <c r="BR133" s="202"/>
      <c r="BS133" s="202"/>
      <c r="BT133" s="202"/>
      <c r="BU133" s="202"/>
      <c r="BV133" s="202"/>
      <c r="BW133" s="202"/>
      <c r="BX133" s="202"/>
      <c r="BY133" s="202"/>
      <c r="BZ133" s="202"/>
      <c r="CA133" s="202"/>
      <c r="CB133" s="201">
        <f>SUM(BP133:CA133)</f>
        <v>0</v>
      </c>
    </row>
    <row r="134" spans="1:80" ht="11.95" hidden="1" thickBot="1" x14ac:dyDescent="0.3">
      <c r="A134" t="str">
        <f>IF(LEFT(G134,3)="Mul", "#hiderow", "#showrow")</f>
        <v>#hiderow</v>
      </c>
      <c r="E134" s="3"/>
      <c r="F134" s="3"/>
      <c r="G134" s="3" t="s">
        <v>6</v>
      </c>
      <c r="H134" s="18"/>
      <c r="I134" s="18"/>
      <c r="J134" s="18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6"/>
      <c r="Z134" s="185"/>
      <c r="AA134" s="185"/>
      <c r="AB134" s="185"/>
      <c r="AC134" s="185"/>
      <c r="AD134" s="185"/>
      <c r="AE134" s="185"/>
      <c r="AF134" s="185"/>
      <c r="AG134" s="185"/>
      <c r="AH134" s="185"/>
      <c r="AI134" s="185"/>
      <c r="AJ134" s="185"/>
      <c r="AK134" s="185"/>
      <c r="AL134" s="186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186"/>
      <c r="BB134" s="187"/>
      <c r="BC134" s="187"/>
      <c r="BD134" s="187"/>
      <c r="BE134" s="187"/>
      <c r="BF134" s="187"/>
      <c r="BG134" s="187"/>
      <c r="BH134" s="187"/>
      <c r="BI134" s="187"/>
      <c r="BJ134" s="187"/>
      <c r="BK134" s="187"/>
      <c r="BL134" s="187"/>
      <c r="BM134" s="187"/>
      <c r="BN134" s="186"/>
      <c r="BP134" s="202"/>
      <c r="BQ134" s="202"/>
      <c r="BR134" s="202"/>
      <c r="BS134" s="202"/>
      <c r="BT134" s="202"/>
      <c r="BU134" s="202"/>
      <c r="BV134" s="202"/>
      <c r="BW134" s="202"/>
      <c r="BX134" s="202"/>
      <c r="BY134" s="202"/>
      <c r="BZ134" s="202"/>
      <c r="CA134" s="202"/>
      <c r="CB134" s="201"/>
    </row>
    <row r="135" spans="1:80" ht="11.95" x14ac:dyDescent="0.25">
      <c r="C135" s="19" t="str">
        <f>"Total "&amp;C132</f>
        <v>Total Interest Expense</v>
      </c>
      <c r="D135" s="19"/>
      <c r="E135" s="19"/>
      <c r="F135" s="19"/>
      <c r="G135" s="19"/>
      <c r="H135" s="188"/>
      <c r="I135" s="188"/>
      <c r="J135" s="188"/>
      <c r="K135" s="188">
        <v>-1</v>
      </c>
      <c r="L135" s="188">
        <f t="shared" ref="L135:X135" si="149">SUMIFS(L133:L134,$H133:$H134,"&lt;&gt;"&amp;$H$18,$D133:$D134,"&lt;&gt;*[-]*",$E133:$E134,"&lt;&gt;*[-]*",$F133:$F134,"&lt;&gt;*[-]*",$G133:$G134,"Interest Expense")</f>
        <v>0</v>
      </c>
      <c r="M135" s="188">
        <f t="shared" si="149"/>
        <v>0</v>
      </c>
      <c r="N135" s="188">
        <f t="shared" si="149"/>
        <v>0</v>
      </c>
      <c r="O135" s="188">
        <f t="shared" si="149"/>
        <v>0</v>
      </c>
      <c r="P135" s="188">
        <f t="shared" si="149"/>
        <v>0</v>
      </c>
      <c r="Q135" s="188">
        <f t="shared" si="149"/>
        <v>0</v>
      </c>
      <c r="R135" s="188">
        <f t="shared" si="149"/>
        <v>0</v>
      </c>
      <c r="S135" s="188">
        <f t="shared" si="149"/>
        <v>0</v>
      </c>
      <c r="T135" s="188">
        <f t="shared" si="149"/>
        <v>0</v>
      </c>
      <c r="U135" s="188">
        <f t="shared" si="149"/>
        <v>0</v>
      </c>
      <c r="V135" s="188">
        <f t="shared" si="149"/>
        <v>0</v>
      </c>
      <c r="W135" s="188">
        <f t="shared" si="149"/>
        <v>0</v>
      </c>
      <c r="X135" s="189">
        <f t="shared" si="149"/>
        <v>0</v>
      </c>
      <c r="Z135" s="188">
        <f t="shared" ref="Z135:AL135" si="150">SUMIFS(Z133:Z134,$H133:$H134,"&lt;&gt;"&amp;$H$18,$D133:$D134,"&lt;&gt;*[-]*",$E133:$E134,"&lt;&gt;*[-]*",$F133:$F134,"&lt;&gt;*[-]*",$G133:$G134,"Interest Expense")</f>
        <v>0</v>
      </c>
      <c r="AA135" s="188">
        <f t="shared" si="150"/>
        <v>0</v>
      </c>
      <c r="AB135" s="188">
        <f t="shared" si="150"/>
        <v>0</v>
      </c>
      <c r="AC135" s="188">
        <f t="shared" si="150"/>
        <v>0</v>
      </c>
      <c r="AD135" s="188">
        <f t="shared" si="150"/>
        <v>0</v>
      </c>
      <c r="AE135" s="188">
        <f t="shared" si="150"/>
        <v>0</v>
      </c>
      <c r="AF135" s="188">
        <f t="shared" si="150"/>
        <v>0</v>
      </c>
      <c r="AG135" s="188">
        <f t="shared" si="150"/>
        <v>0</v>
      </c>
      <c r="AH135" s="188">
        <f t="shared" si="150"/>
        <v>0</v>
      </c>
      <c r="AI135" s="188">
        <f t="shared" si="150"/>
        <v>0</v>
      </c>
      <c r="AJ135" s="188">
        <f t="shared" si="150"/>
        <v>0</v>
      </c>
      <c r="AK135" s="188">
        <f t="shared" si="150"/>
        <v>0</v>
      </c>
      <c r="AL135" s="189">
        <f t="shared" si="150"/>
        <v>0</v>
      </c>
      <c r="AN135" s="188">
        <f t="shared" ref="AN135:AZ135" si="151">SUMIFS(AN133:AN134,$H133:$H134,"&lt;&gt;"&amp;$H$18,$D133:$D134,"&lt;&gt;*[-]*",$E133:$E134,"&lt;&gt;*[-]*",$F133:$F134,"&lt;&gt;*[-]*",$G133:$G134,"Interest Expense")</f>
        <v>0</v>
      </c>
      <c r="AO135" s="188">
        <f t="shared" si="151"/>
        <v>0</v>
      </c>
      <c r="AP135" s="188">
        <f t="shared" si="151"/>
        <v>0</v>
      </c>
      <c r="AQ135" s="188">
        <f t="shared" si="151"/>
        <v>0</v>
      </c>
      <c r="AR135" s="188">
        <f t="shared" si="151"/>
        <v>0</v>
      </c>
      <c r="AS135" s="188">
        <f t="shared" si="151"/>
        <v>0</v>
      </c>
      <c r="AT135" s="188">
        <f t="shared" si="151"/>
        <v>0</v>
      </c>
      <c r="AU135" s="188">
        <f t="shared" si="151"/>
        <v>0</v>
      </c>
      <c r="AV135" s="188">
        <f t="shared" si="151"/>
        <v>0</v>
      </c>
      <c r="AW135" s="188">
        <f t="shared" si="151"/>
        <v>0</v>
      </c>
      <c r="AX135" s="188">
        <f t="shared" si="151"/>
        <v>0</v>
      </c>
      <c r="AY135" s="188">
        <f t="shared" si="151"/>
        <v>0</v>
      </c>
      <c r="AZ135" s="189">
        <f t="shared" si="151"/>
        <v>0</v>
      </c>
      <c r="BB135" s="188">
        <f t="shared" ref="BB135:BN135" si="152">SUMIFS(BB133:BB134,$H133:$H134,"&lt;&gt;"&amp;$H$18,$D133:$D134,"&lt;&gt;*[-]*",$E133:$E134,"&lt;&gt;*[-]*",$F133:$F134,"&lt;&gt;*[-]*",$G133:$G134,"Interest Expense")</f>
        <v>0</v>
      </c>
      <c r="BC135" s="188">
        <f t="shared" si="152"/>
        <v>0</v>
      </c>
      <c r="BD135" s="188">
        <f t="shared" si="152"/>
        <v>0</v>
      </c>
      <c r="BE135" s="188">
        <f t="shared" si="152"/>
        <v>0</v>
      </c>
      <c r="BF135" s="188">
        <f t="shared" si="152"/>
        <v>0</v>
      </c>
      <c r="BG135" s="188">
        <f t="shared" si="152"/>
        <v>0</v>
      </c>
      <c r="BH135" s="188">
        <f t="shared" si="152"/>
        <v>0</v>
      </c>
      <c r="BI135" s="188">
        <f t="shared" si="152"/>
        <v>0</v>
      </c>
      <c r="BJ135" s="188">
        <f t="shared" si="152"/>
        <v>0</v>
      </c>
      <c r="BK135" s="188">
        <f t="shared" si="152"/>
        <v>0</v>
      </c>
      <c r="BL135" s="188">
        <f t="shared" si="152"/>
        <v>0</v>
      </c>
      <c r="BM135" s="188">
        <f t="shared" si="152"/>
        <v>0</v>
      </c>
      <c r="BN135" s="189">
        <f t="shared" si="152"/>
        <v>0</v>
      </c>
      <c r="BP135" s="203">
        <f t="shared" ref="BP135:CB135" si="153">SUMIFS(BP133:BP134,$H133:$H134,"&lt;&gt;"&amp;$H$18,$D133:$D134,"&lt;&gt;*[-]*",$E133:$E134,"&lt;&gt;*[-]*",$F133:$F134,"&lt;&gt;*[-]*",$G133:$G134,"&lt;&gt;*[-]*")</f>
        <v>0</v>
      </c>
      <c r="BQ135" s="203">
        <f t="shared" si="153"/>
        <v>0</v>
      </c>
      <c r="BR135" s="203">
        <f t="shared" si="153"/>
        <v>0</v>
      </c>
      <c r="BS135" s="203">
        <f t="shared" si="153"/>
        <v>0</v>
      </c>
      <c r="BT135" s="203">
        <f t="shared" si="153"/>
        <v>0</v>
      </c>
      <c r="BU135" s="203">
        <f t="shared" si="153"/>
        <v>0</v>
      </c>
      <c r="BV135" s="203">
        <f t="shared" si="153"/>
        <v>0</v>
      </c>
      <c r="BW135" s="203">
        <f t="shared" si="153"/>
        <v>0</v>
      </c>
      <c r="BX135" s="203">
        <f t="shared" si="153"/>
        <v>0</v>
      </c>
      <c r="BY135" s="203">
        <f t="shared" si="153"/>
        <v>0</v>
      </c>
      <c r="BZ135" s="203">
        <f t="shared" si="153"/>
        <v>0</v>
      </c>
      <c r="CA135" s="203">
        <f t="shared" si="153"/>
        <v>0</v>
      </c>
      <c r="CB135" s="204">
        <f t="shared" si="153"/>
        <v>0</v>
      </c>
    </row>
    <row r="137" spans="1:80" ht="12.45" thickBot="1" x14ac:dyDescent="0.3">
      <c r="C137" s="4" t="s">
        <v>117</v>
      </c>
      <c r="D137" s="4"/>
      <c r="E137" s="4"/>
      <c r="F137" s="4"/>
      <c r="G137" s="4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P137" s="133"/>
      <c r="BQ137" s="133"/>
      <c r="BR137" s="133"/>
      <c r="BS137" s="133"/>
      <c r="BT137" s="133"/>
      <c r="BU137" s="133"/>
      <c r="BV137" s="133"/>
      <c r="BW137" s="133"/>
      <c r="BX137" s="133"/>
      <c r="BY137" s="133"/>
      <c r="BZ137" s="133"/>
      <c r="CA137" s="133"/>
      <c r="CB137" s="133"/>
    </row>
    <row r="138" spans="1:80" ht="11.95" hidden="1" thickBot="1" x14ac:dyDescent="0.3">
      <c r="A138" t="s">
        <v>1</v>
      </c>
      <c r="D138" s="3"/>
      <c r="E138" s="3"/>
      <c r="F138" s="3"/>
      <c r="G138" s="3" t="s">
        <v>117</v>
      </c>
      <c r="H138" s="18"/>
      <c r="I138" s="18"/>
      <c r="J138" s="18"/>
      <c r="K138" s="185"/>
      <c r="L138" s="185">
        <v>0</v>
      </c>
      <c r="M138" s="185">
        <v>0</v>
      </c>
      <c r="N138" s="185">
        <v>0</v>
      </c>
      <c r="O138" s="185">
        <v>0</v>
      </c>
      <c r="P138" s="185">
        <v>0</v>
      </c>
      <c r="Q138" s="185">
        <v>0</v>
      </c>
      <c r="R138" s="185">
        <v>0</v>
      </c>
      <c r="S138" s="185">
        <v>0</v>
      </c>
      <c r="T138" s="185">
        <v>0</v>
      </c>
      <c r="U138" s="185">
        <v>0</v>
      </c>
      <c r="V138" s="185">
        <v>0</v>
      </c>
      <c r="W138" s="185">
        <v>0</v>
      </c>
      <c r="X138" s="186">
        <f>SUM(L138:W138)</f>
        <v>0</v>
      </c>
      <c r="Z138" s="185">
        <v>0</v>
      </c>
      <c r="AA138" s="185">
        <v>0</v>
      </c>
      <c r="AB138" s="185">
        <v>0</v>
      </c>
      <c r="AC138" s="185">
        <v>0</v>
      </c>
      <c r="AD138" s="185">
        <v>0</v>
      </c>
      <c r="AE138" s="185">
        <v>0</v>
      </c>
      <c r="AF138" s="185">
        <v>0</v>
      </c>
      <c r="AG138" s="185">
        <v>0</v>
      </c>
      <c r="AH138" s="185">
        <v>0</v>
      </c>
      <c r="AI138" s="185">
        <v>0</v>
      </c>
      <c r="AJ138" s="185">
        <v>0</v>
      </c>
      <c r="AK138" s="185">
        <v>0</v>
      </c>
      <c r="AL138" s="186">
        <f>SUM(Z138:AK138)</f>
        <v>0</v>
      </c>
      <c r="AN138" s="187">
        <v>0</v>
      </c>
      <c r="AO138" s="187">
        <v>0</v>
      </c>
      <c r="AP138" s="187">
        <v>0</v>
      </c>
      <c r="AQ138" s="187">
        <v>0</v>
      </c>
      <c r="AR138" s="187">
        <v>0</v>
      </c>
      <c r="AS138" s="187">
        <v>0</v>
      </c>
      <c r="AT138" s="187">
        <v>0</v>
      </c>
      <c r="AU138" s="187">
        <v>0</v>
      </c>
      <c r="AV138" s="187">
        <v>0</v>
      </c>
      <c r="AW138" s="187">
        <v>0</v>
      </c>
      <c r="AX138" s="187">
        <v>0</v>
      </c>
      <c r="AY138" s="187">
        <v>0</v>
      </c>
      <c r="AZ138" s="186">
        <f>SUM(AN138:AY138)</f>
        <v>0</v>
      </c>
      <c r="BB138" s="187">
        <v>0</v>
      </c>
      <c r="BC138" s="187">
        <v>0</v>
      </c>
      <c r="BD138" s="187">
        <v>0</v>
      </c>
      <c r="BE138" s="187">
        <v>0</v>
      </c>
      <c r="BF138" s="187">
        <v>0</v>
      </c>
      <c r="BG138" s="187">
        <v>0</v>
      </c>
      <c r="BH138" s="187">
        <v>0</v>
      </c>
      <c r="BI138" s="187">
        <v>0</v>
      </c>
      <c r="BJ138" s="187">
        <v>0</v>
      </c>
      <c r="BK138" s="187">
        <v>0</v>
      </c>
      <c r="BL138" s="187">
        <v>0</v>
      </c>
      <c r="BM138" s="187">
        <v>0</v>
      </c>
      <c r="BN138" s="186">
        <f>SUM(BB138:BM138)</f>
        <v>0</v>
      </c>
      <c r="BP138" s="202"/>
      <c r="BQ138" s="202"/>
      <c r="BR138" s="202"/>
      <c r="BS138" s="202"/>
      <c r="BT138" s="202"/>
      <c r="BU138" s="202"/>
      <c r="BV138" s="202"/>
      <c r="BW138" s="202"/>
      <c r="BX138" s="202"/>
      <c r="BY138" s="202"/>
      <c r="BZ138" s="202"/>
      <c r="CA138" s="202"/>
      <c r="CB138" s="201">
        <f>SUM(BP138:CA138)</f>
        <v>0</v>
      </c>
    </row>
    <row r="139" spans="1:80" ht="11.95" hidden="1" thickBot="1" x14ac:dyDescent="0.3">
      <c r="A139" t="str">
        <f>IF(LEFT(G139,3)="Mul", "#hiderow", "#showrow")</f>
        <v>#hiderow</v>
      </c>
      <c r="E139" s="3"/>
      <c r="F139" s="3"/>
      <c r="G139" s="3" t="s">
        <v>6</v>
      </c>
      <c r="H139" s="18"/>
      <c r="I139" s="18"/>
      <c r="J139" s="18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6"/>
      <c r="Z139" s="185"/>
      <c r="AA139" s="185"/>
      <c r="AB139" s="185"/>
      <c r="AC139" s="185"/>
      <c r="AD139" s="185"/>
      <c r="AE139" s="185"/>
      <c r="AF139" s="185"/>
      <c r="AG139" s="185"/>
      <c r="AH139" s="185"/>
      <c r="AI139" s="185"/>
      <c r="AJ139" s="185"/>
      <c r="AK139" s="185"/>
      <c r="AL139" s="186"/>
      <c r="AN139" s="187"/>
      <c r="AO139" s="187"/>
      <c r="AP139" s="187"/>
      <c r="AQ139" s="187"/>
      <c r="AR139" s="187"/>
      <c r="AS139" s="187"/>
      <c r="AT139" s="187"/>
      <c r="AU139" s="187"/>
      <c r="AV139" s="187"/>
      <c r="AW139" s="187"/>
      <c r="AX139" s="187"/>
      <c r="AY139" s="187"/>
      <c r="AZ139" s="186"/>
      <c r="BB139" s="187"/>
      <c r="BC139" s="187"/>
      <c r="BD139" s="187"/>
      <c r="BE139" s="187"/>
      <c r="BF139" s="187"/>
      <c r="BG139" s="187"/>
      <c r="BH139" s="187"/>
      <c r="BI139" s="187"/>
      <c r="BJ139" s="187"/>
      <c r="BK139" s="187"/>
      <c r="BL139" s="187"/>
      <c r="BM139" s="187"/>
      <c r="BN139" s="186"/>
      <c r="BP139" s="202"/>
      <c r="BQ139" s="202"/>
      <c r="BR139" s="202"/>
      <c r="BS139" s="202"/>
      <c r="BT139" s="202"/>
      <c r="BU139" s="202"/>
      <c r="BV139" s="202"/>
      <c r="BW139" s="202"/>
      <c r="BX139" s="202"/>
      <c r="BY139" s="202"/>
      <c r="BZ139" s="202"/>
      <c r="CA139" s="202"/>
      <c r="CB139" s="201"/>
    </row>
    <row r="140" spans="1:80" ht="11.95" x14ac:dyDescent="0.25">
      <c r="C140" s="19" t="str">
        <f>"Total "&amp;C137</f>
        <v>Total Gain/Loss on Swap MTM</v>
      </c>
      <c r="D140" s="19"/>
      <c r="E140" s="19"/>
      <c r="F140" s="19"/>
      <c r="G140" s="19"/>
      <c r="H140" s="188"/>
      <c r="I140" s="188"/>
      <c r="J140" s="188"/>
      <c r="K140" s="188">
        <v>-1</v>
      </c>
      <c r="L140" s="188">
        <f t="shared" ref="L140:X140" si="154">SUMIFS(L138:L139,$H138:$H139,"&lt;&gt;"&amp;$H$18,$D138:$D139,"&lt;&gt;*[-]*",$E138:$E139,"&lt;&gt;*[-]*",$F138:$F139,"&lt;&gt;*[-]*",$G138:$G139,"Gain/Loss on Swap MTM")</f>
        <v>0</v>
      </c>
      <c r="M140" s="188">
        <f t="shared" si="154"/>
        <v>0</v>
      </c>
      <c r="N140" s="188">
        <f t="shared" si="154"/>
        <v>0</v>
      </c>
      <c r="O140" s="188">
        <f t="shared" si="154"/>
        <v>0</v>
      </c>
      <c r="P140" s="188">
        <f t="shared" si="154"/>
        <v>0</v>
      </c>
      <c r="Q140" s="188">
        <f t="shared" si="154"/>
        <v>0</v>
      </c>
      <c r="R140" s="188">
        <f t="shared" si="154"/>
        <v>0</v>
      </c>
      <c r="S140" s="188">
        <f t="shared" si="154"/>
        <v>0</v>
      </c>
      <c r="T140" s="188">
        <f t="shared" si="154"/>
        <v>0</v>
      </c>
      <c r="U140" s="188">
        <f t="shared" si="154"/>
        <v>0</v>
      </c>
      <c r="V140" s="188">
        <f t="shared" si="154"/>
        <v>0</v>
      </c>
      <c r="W140" s="188">
        <f t="shared" si="154"/>
        <v>0</v>
      </c>
      <c r="X140" s="189">
        <f t="shared" si="154"/>
        <v>0</v>
      </c>
      <c r="Z140" s="188">
        <f t="shared" ref="Z140:AL140" si="155">SUMIFS(Z138:Z139,$H138:$H139,"&lt;&gt;"&amp;$H$18,$D138:$D139,"&lt;&gt;*[-]*",$E138:$E139,"&lt;&gt;*[-]*",$F138:$F139,"&lt;&gt;*[-]*",$G138:$G139,"Gain/Loss on Swap MTM")</f>
        <v>0</v>
      </c>
      <c r="AA140" s="188">
        <f t="shared" si="155"/>
        <v>0</v>
      </c>
      <c r="AB140" s="188">
        <f t="shared" si="155"/>
        <v>0</v>
      </c>
      <c r="AC140" s="188">
        <f t="shared" si="155"/>
        <v>0</v>
      </c>
      <c r="AD140" s="188">
        <f t="shared" si="155"/>
        <v>0</v>
      </c>
      <c r="AE140" s="188">
        <f t="shared" si="155"/>
        <v>0</v>
      </c>
      <c r="AF140" s="188">
        <f t="shared" si="155"/>
        <v>0</v>
      </c>
      <c r="AG140" s="188">
        <f t="shared" si="155"/>
        <v>0</v>
      </c>
      <c r="AH140" s="188">
        <f t="shared" si="155"/>
        <v>0</v>
      </c>
      <c r="AI140" s="188">
        <f t="shared" si="155"/>
        <v>0</v>
      </c>
      <c r="AJ140" s="188">
        <f t="shared" si="155"/>
        <v>0</v>
      </c>
      <c r="AK140" s="188">
        <f t="shared" si="155"/>
        <v>0</v>
      </c>
      <c r="AL140" s="189">
        <f t="shared" si="155"/>
        <v>0</v>
      </c>
      <c r="AN140" s="188">
        <f t="shared" ref="AN140:AZ140" si="156">SUMIFS(AN138:AN139,$H138:$H139,"&lt;&gt;"&amp;$H$18,$D138:$D139,"&lt;&gt;*[-]*",$E138:$E139,"&lt;&gt;*[-]*",$F138:$F139,"&lt;&gt;*[-]*",$G138:$G139,"Gain/Loss on Swap MTM")</f>
        <v>0</v>
      </c>
      <c r="AO140" s="188">
        <f t="shared" si="156"/>
        <v>0</v>
      </c>
      <c r="AP140" s="188">
        <f t="shared" si="156"/>
        <v>0</v>
      </c>
      <c r="AQ140" s="188">
        <f t="shared" si="156"/>
        <v>0</v>
      </c>
      <c r="AR140" s="188">
        <f t="shared" si="156"/>
        <v>0</v>
      </c>
      <c r="AS140" s="188">
        <f t="shared" si="156"/>
        <v>0</v>
      </c>
      <c r="AT140" s="188">
        <f t="shared" si="156"/>
        <v>0</v>
      </c>
      <c r="AU140" s="188">
        <f t="shared" si="156"/>
        <v>0</v>
      </c>
      <c r="AV140" s="188">
        <f t="shared" si="156"/>
        <v>0</v>
      </c>
      <c r="AW140" s="188">
        <f t="shared" si="156"/>
        <v>0</v>
      </c>
      <c r="AX140" s="188">
        <f t="shared" si="156"/>
        <v>0</v>
      </c>
      <c r="AY140" s="188">
        <f t="shared" si="156"/>
        <v>0</v>
      </c>
      <c r="AZ140" s="189">
        <f t="shared" si="156"/>
        <v>0</v>
      </c>
      <c r="BB140" s="188">
        <f t="shared" ref="BB140:BN140" si="157">SUMIFS(BB138:BB139,$H138:$H139,"&lt;&gt;"&amp;$H$18,$D138:$D139,"&lt;&gt;*[-]*",$E138:$E139,"&lt;&gt;*[-]*",$F138:$F139,"&lt;&gt;*[-]*",$G138:$G139,"Gain/Loss on Swap MTM")</f>
        <v>0</v>
      </c>
      <c r="BC140" s="188">
        <f t="shared" si="157"/>
        <v>0</v>
      </c>
      <c r="BD140" s="188">
        <f t="shared" si="157"/>
        <v>0</v>
      </c>
      <c r="BE140" s="188">
        <f t="shared" si="157"/>
        <v>0</v>
      </c>
      <c r="BF140" s="188">
        <f t="shared" si="157"/>
        <v>0</v>
      </c>
      <c r="BG140" s="188">
        <f t="shared" si="157"/>
        <v>0</v>
      </c>
      <c r="BH140" s="188">
        <f t="shared" si="157"/>
        <v>0</v>
      </c>
      <c r="BI140" s="188">
        <f t="shared" si="157"/>
        <v>0</v>
      </c>
      <c r="BJ140" s="188">
        <f t="shared" si="157"/>
        <v>0</v>
      </c>
      <c r="BK140" s="188">
        <f t="shared" si="157"/>
        <v>0</v>
      </c>
      <c r="BL140" s="188">
        <f t="shared" si="157"/>
        <v>0</v>
      </c>
      <c r="BM140" s="188">
        <f t="shared" si="157"/>
        <v>0</v>
      </c>
      <c r="BN140" s="189">
        <f t="shared" si="157"/>
        <v>0</v>
      </c>
      <c r="BP140" s="203">
        <f t="shared" ref="BP140:CB140" si="158">SUMIFS(BP138:BP139,$H138:$H139,"&lt;&gt;"&amp;$H$18,$D138:$D139,"&lt;&gt;*[-]*",$E138:$E139,"&lt;&gt;*[-]*",$F138:$F139,"&lt;&gt;*[-]*",$G138:$G139,"&lt;&gt;*[-]*")</f>
        <v>0</v>
      </c>
      <c r="BQ140" s="203">
        <f t="shared" si="158"/>
        <v>0</v>
      </c>
      <c r="BR140" s="203">
        <f t="shared" si="158"/>
        <v>0</v>
      </c>
      <c r="BS140" s="203">
        <f t="shared" si="158"/>
        <v>0</v>
      </c>
      <c r="BT140" s="203">
        <f t="shared" si="158"/>
        <v>0</v>
      </c>
      <c r="BU140" s="203">
        <f t="shared" si="158"/>
        <v>0</v>
      </c>
      <c r="BV140" s="203">
        <f t="shared" si="158"/>
        <v>0</v>
      </c>
      <c r="BW140" s="203">
        <f t="shared" si="158"/>
        <v>0</v>
      </c>
      <c r="BX140" s="203">
        <f t="shared" si="158"/>
        <v>0</v>
      </c>
      <c r="BY140" s="203">
        <f t="shared" si="158"/>
        <v>0</v>
      </c>
      <c r="BZ140" s="203">
        <f t="shared" si="158"/>
        <v>0</v>
      </c>
      <c r="CA140" s="203">
        <f t="shared" si="158"/>
        <v>0</v>
      </c>
      <c r="CB140" s="204">
        <f t="shared" si="158"/>
        <v>0</v>
      </c>
    </row>
    <row r="142" spans="1:80" s="47" customFormat="1" ht="12.45" hidden="1" thickBot="1" x14ac:dyDescent="0.3">
      <c r="A142" t="s">
        <v>1</v>
      </c>
      <c r="C142" s="132" t="s">
        <v>117</v>
      </c>
      <c r="D142" s="132"/>
      <c r="E142" s="132"/>
      <c r="F142" s="132"/>
      <c r="G142" s="132"/>
      <c r="H142" s="132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33"/>
      <c r="AZ142" s="133"/>
      <c r="BB142" s="133"/>
      <c r="BC142" s="133"/>
      <c r="BD142" s="133"/>
      <c r="BE142" s="133"/>
      <c r="BF142" s="133"/>
      <c r="BG142" s="133"/>
      <c r="BH142" s="133"/>
      <c r="BI142" s="133"/>
      <c r="BJ142" s="133"/>
      <c r="BK142" s="133"/>
      <c r="BL142" s="133"/>
      <c r="BM142" s="133"/>
      <c r="BN142" s="133"/>
      <c r="BP142" s="133"/>
      <c r="BQ142" s="133"/>
      <c r="BR142" s="133"/>
      <c r="BS142" s="133"/>
      <c r="BT142" s="133"/>
      <c r="BU142" s="133"/>
      <c r="BV142" s="133"/>
      <c r="BW142" s="133"/>
      <c r="BX142" s="133"/>
      <c r="BY142" s="133"/>
      <c r="BZ142" s="133"/>
      <c r="CA142" s="133"/>
      <c r="CB142" s="133"/>
    </row>
    <row r="143" spans="1:80" s="47" customFormat="1" ht="11.95" hidden="1" thickBot="1" x14ac:dyDescent="0.3">
      <c r="A143" t="s">
        <v>1</v>
      </c>
      <c r="D143" s="135"/>
      <c r="E143" s="135"/>
      <c r="F143" s="135"/>
      <c r="G143" s="135" t="s">
        <v>117</v>
      </c>
      <c r="H143" s="136"/>
      <c r="I143" s="136"/>
      <c r="J143" s="136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1">
        <f>SUM(L143:W143)</f>
        <v>0</v>
      </c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1">
        <f>SUM(Z143:AK143)</f>
        <v>0</v>
      </c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1">
        <f>SUM(AN143:AY143)</f>
        <v>0</v>
      </c>
      <c r="BB143" s="202"/>
      <c r="BC143" s="202"/>
      <c r="BD143" s="202"/>
      <c r="BE143" s="202"/>
      <c r="BF143" s="202"/>
      <c r="BG143" s="202"/>
      <c r="BH143" s="202"/>
      <c r="BI143" s="202"/>
      <c r="BJ143" s="202"/>
      <c r="BK143" s="202"/>
      <c r="BL143" s="202"/>
      <c r="BM143" s="202"/>
      <c r="BN143" s="201">
        <f>SUM(BB143:BM143)</f>
        <v>0</v>
      </c>
      <c r="BP143" s="202"/>
      <c r="BQ143" s="202"/>
      <c r="BR143" s="202"/>
      <c r="BS143" s="202"/>
      <c r="BT143" s="202"/>
      <c r="BU143" s="202"/>
      <c r="BV143" s="202"/>
      <c r="BW143" s="202"/>
      <c r="BX143" s="202"/>
      <c r="BY143" s="202"/>
      <c r="BZ143" s="202"/>
      <c r="CA143" s="202"/>
      <c r="CB143" s="201">
        <f>SUM(BP143:CA143)</f>
        <v>0</v>
      </c>
    </row>
    <row r="144" spans="1:80" s="47" customFormat="1" ht="11.95" hidden="1" thickBot="1" x14ac:dyDescent="0.3">
      <c r="A144" t="s">
        <v>1</v>
      </c>
      <c r="E144" s="135"/>
      <c r="F144" s="135"/>
      <c r="G144" s="135" t="s">
        <v>6</v>
      </c>
      <c r="H144" s="136"/>
      <c r="I144" s="136"/>
      <c r="J144" s="136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1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1"/>
      <c r="AN144" s="202"/>
      <c r="AO144" s="202"/>
      <c r="AP144" s="202"/>
      <c r="AQ144" s="202"/>
      <c r="AR144" s="202"/>
      <c r="AS144" s="202"/>
      <c r="AT144" s="202"/>
      <c r="AU144" s="202"/>
      <c r="AV144" s="202"/>
      <c r="AW144" s="202"/>
      <c r="AX144" s="202"/>
      <c r="AY144" s="202"/>
      <c r="AZ144" s="201"/>
      <c r="BB144" s="202"/>
      <c r="BC144" s="202"/>
      <c r="BD144" s="202"/>
      <c r="BE144" s="202"/>
      <c r="BF144" s="202"/>
      <c r="BG144" s="202"/>
      <c r="BH144" s="202"/>
      <c r="BI144" s="202"/>
      <c r="BJ144" s="202"/>
      <c r="BK144" s="202"/>
      <c r="BL144" s="202"/>
      <c r="BM144" s="202"/>
      <c r="BN144" s="201"/>
      <c r="BP144" s="202"/>
      <c r="BQ144" s="202"/>
      <c r="BR144" s="202"/>
      <c r="BS144" s="202"/>
      <c r="BT144" s="202"/>
      <c r="BU144" s="202"/>
      <c r="BV144" s="202"/>
      <c r="BW144" s="202"/>
      <c r="BX144" s="202"/>
      <c r="BY144" s="202"/>
      <c r="BZ144" s="202"/>
      <c r="CA144" s="202"/>
      <c r="CB144" s="201"/>
    </row>
    <row r="145" spans="1:80" s="47" customFormat="1" ht="11.95" hidden="1" x14ac:dyDescent="0.25">
      <c r="A145" t="s">
        <v>1</v>
      </c>
      <c r="C145" s="141" t="str">
        <f>"Total "&amp;C142</f>
        <v>Total Gain/Loss on Swap MTM</v>
      </c>
      <c r="D145" s="141"/>
      <c r="E145" s="141"/>
      <c r="F145" s="141"/>
      <c r="G145" s="141"/>
      <c r="H145" s="203"/>
      <c r="I145" s="203"/>
      <c r="J145" s="203"/>
      <c r="K145" s="203">
        <v>-1</v>
      </c>
      <c r="L145" s="203">
        <f t="shared" ref="L145:X145" si="159">SUMIFS(L143:L144,$H143:$H144,"&lt;&gt;"&amp;$H$18,$D143:$D144,"&lt;&gt;*[-]*",$E143:$E144,"&lt;&gt;*[-]*",$F143:$F144,"&lt;&gt;*[-]*",$G143:$G144,"&lt;&gt;*[-]*")</f>
        <v>0</v>
      </c>
      <c r="M145" s="203">
        <f t="shared" si="159"/>
        <v>0</v>
      </c>
      <c r="N145" s="203">
        <f t="shared" si="159"/>
        <v>0</v>
      </c>
      <c r="O145" s="203">
        <f t="shared" si="159"/>
        <v>0</v>
      </c>
      <c r="P145" s="203">
        <f t="shared" si="159"/>
        <v>0</v>
      </c>
      <c r="Q145" s="203">
        <f t="shared" si="159"/>
        <v>0</v>
      </c>
      <c r="R145" s="203">
        <f t="shared" si="159"/>
        <v>0</v>
      </c>
      <c r="S145" s="203">
        <f t="shared" si="159"/>
        <v>0</v>
      </c>
      <c r="T145" s="203">
        <f t="shared" si="159"/>
        <v>0</v>
      </c>
      <c r="U145" s="203">
        <f t="shared" si="159"/>
        <v>0</v>
      </c>
      <c r="V145" s="203">
        <f t="shared" si="159"/>
        <v>0</v>
      </c>
      <c r="W145" s="203">
        <f t="shared" si="159"/>
        <v>0</v>
      </c>
      <c r="X145" s="204">
        <f t="shared" si="159"/>
        <v>0</v>
      </c>
      <c r="Z145" s="203">
        <f t="shared" ref="Z145:AL145" si="160">SUMIFS(Z143:Z144,$H143:$H144,"&lt;&gt;"&amp;$H$18,$D143:$D144,"&lt;&gt;*[-]*",$E143:$E144,"&lt;&gt;*[-]*",$F143:$F144,"&lt;&gt;*[-]*",$G143:$G144,"&lt;&gt;*[-]*")</f>
        <v>0</v>
      </c>
      <c r="AA145" s="203">
        <f t="shared" si="160"/>
        <v>0</v>
      </c>
      <c r="AB145" s="203">
        <f t="shared" si="160"/>
        <v>0</v>
      </c>
      <c r="AC145" s="203">
        <f t="shared" si="160"/>
        <v>0</v>
      </c>
      <c r="AD145" s="203">
        <f t="shared" si="160"/>
        <v>0</v>
      </c>
      <c r="AE145" s="203">
        <f t="shared" si="160"/>
        <v>0</v>
      </c>
      <c r="AF145" s="203">
        <f t="shared" si="160"/>
        <v>0</v>
      </c>
      <c r="AG145" s="203">
        <f t="shared" si="160"/>
        <v>0</v>
      </c>
      <c r="AH145" s="203">
        <f t="shared" si="160"/>
        <v>0</v>
      </c>
      <c r="AI145" s="203">
        <f t="shared" si="160"/>
        <v>0</v>
      </c>
      <c r="AJ145" s="203">
        <f t="shared" si="160"/>
        <v>0</v>
      </c>
      <c r="AK145" s="203">
        <f t="shared" si="160"/>
        <v>0</v>
      </c>
      <c r="AL145" s="204">
        <f t="shared" si="160"/>
        <v>0</v>
      </c>
      <c r="AN145" s="203">
        <f t="shared" ref="AN145:AZ145" si="161">SUMIFS(AN143:AN144,$H143:$H144,"&lt;&gt;"&amp;$H$18,$D143:$D144,"&lt;&gt;*[-]*",$E143:$E144,"&lt;&gt;*[-]*",$F143:$F144,"&lt;&gt;*[-]*",$G143:$G144,"&lt;&gt;*[-]*")</f>
        <v>0</v>
      </c>
      <c r="AO145" s="203">
        <f t="shared" si="161"/>
        <v>0</v>
      </c>
      <c r="AP145" s="203">
        <f t="shared" si="161"/>
        <v>0</v>
      </c>
      <c r="AQ145" s="203">
        <f t="shared" si="161"/>
        <v>0</v>
      </c>
      <c r="AR145" s="203">
        <f t="shared" si="161"/>
        <v>0</v>
      </c>
      <c r="AS145" s="203">
        <f t="shared" si="161"/>
        <v>0</v>
      </c>
      <c r="AT145" s="203">
        <f t="shared" si="161"/>
        <v>0</v>
      </c>
      <c r="AU145" s="203">
        <f t="shared" si="161"/>
        <v>0</v>
      </c>
      <c r="AV145" s="203">
        <f t="shared" si="161"/>
        <v>0</v>
      </c>
      <c r="AW145" s="203">
        <f t="shared" si="161"/>
        <v>0</v>
      </c>
      <c r="AX145" s="203">
        <f t="shared" si="161"/>
        <v>0</v>
      </c>
      <c r="AY145" s="203">
        <f t="shared" si="161"/>
        <v>0</v>
      </c>
      <c r="AZ145" s="204">
        <f t="shared" si="161"/>
        <v>0</v>
      </c>
      <c r="BB145" s="203">
        <f t="shared" ref="BB145:BN145" si="162">SUMIFS(BB143:BB144,$H143:$H144,"&lt;&gt;"&amp;$H$18,$D143:$D144,"&lt;&gt;*[-]*",$E143:$E144,"&lt;&gt;*[-]*",$F143:$F144,"&lt;&gt;*[-]*",$G143:$G144,"&lt;&gt;*[-]*")</f>
        <v>0</v>
      </c>
      <c r="BC145" s="203">
        <f t="shared" si="162"/>
        <v>0</v>
      </c>
      <c r="BD145" s="203">
        <f t="shared" si="162"/>
        <v>0</v>
      </c>
      <c r="BE145" s="203">
        <f t="shared" si="162"/>
        <v>0</v>
      </c>
      <c r="BF145" s="203">
        <f t="shared" si="162"/>
        <v>0</v>
      </c>
      <c r="BG145" s="203">
        <f t="shared" si="162"/>
        <v>0</v>
      </c>
      <c r="BH145" s="203">
        <f t="shared" si="162"/>
        <v>0</v>
      </c>
      <c r="BI145" s="203">
        <f t="shared" si="162"/>
        <v>0</v>
      </c>
      <c r="BJ145" s="203">
        <f t="shared" si="162"/>
        <v>0</v>
      </c>
      <c r="BK145" s="203">
        <f t="shared" si="162"/>
        <v>0</v>
      </c>
      <c r="BL145" s="203">
        <f t="shared" si="162"/>
        <v>0</v>
      </c>
      <c r="BM145" s="203">
        <f t="shared" si="162"/>
        <v>0</v>
      </c>
      <c r="BN145" s="204">
        <f t="shared" si="162"/>
        <v>0</v>
      </c>
      <c r="BP145" s="203">
        <f t="shared" ref="BP145:CB145" si="163">SUMIFS(BP143:BP144,$H143:$H144,"&lt;&gt;"&amp;$H$18,$D143:$D144,"&lt;&gt;*[-]*",$E143:$E144,"&lt;&gt;*[-]*",$F143:$F144,"&lt;&gt;*[-]*",$G143:$G144,"&lt;&gt;*[-]*")</f>
        <v>0</v>
      </c>
      <c r="BQ145" s="203">
        <f t="shared" si="163"/>
        <v>0</v>
      </c>
      <c r="BR145" s="203">
        <f t="shared" si="163"/>
        <v>0</v>
      </c>
      <c r="BS145" s="203">
        <f t="shared" si="163"/>
        <v>0</v>
      </c>
      <c r="BT145" s="203">
        <f t="shared" si="163"/>
        <v>0</v>
      </c>
      <c r="BU145" s="203">
        <f t="shared" si="163"/>
        <v>0</v>
      </c>
      <c r="BV145" s="203">
        <f t="shared" si="163"/>
        <v>0</v>
      </c>
      <c r="BW145" s="203">
        <f t="shared" si="163"/>
        <v>0</v>
      </c>
      <c r="BX145" s="203">
        <f t="shared" si="163"/>
        <v>0</v>
      </c>
      <c r="BY145" s="203">
        <f t="shared" si="163"/>
        <v>0</v>
      </c>
      <c r="BZ145" s="203">
        <f t="shared" si="163"/>
        <v>0</v>
      </c>
      <c r="CA145" s="203">
        <f t="shared" si="163"/>
        <v>0</v>
      </c>
      <c r="CB145" s="204">
        <f t="shared" si="163"/>
        <v>0</v>
      </c>
    </row>
    <row r="146" spans="1:80" s="47" customFormat="1" hidden="1" x14ac:dyDescent="0.25">
      <c r="A146" t="s">
        <v>1</v>
      </c>
    </row>
    <row r="147" spans="1:80" s="47" customFormat="1" ht="12.45" hidden="1" thickBot="1" x14ac:dyDescent="0.3">
      <c r="A147" t="s">
        <v>1</v>
      </c>
      <c r="C147" s="132" t="s">
        <v>117</v>
      </c>
      <c r="D147" s="132"/>
      <c r="E147" s="132"/>
      <c r="F147" s="132"/>
      <c r="G147" s="132"/>
      <c r="H147" s="132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  <c r="AY147" s="133"/>
      <c r="AZ147" s="133"/>
      <c r="BB147" s="133"/>
      <c r="BC147" s="133"/>
      <c r="BD147" s="133"/>
      <c r="BE147" s="133"/>
      <c r="BF147" s="133"/>
      <c r="BG147" s="133"/>
      <c r="BH147" s="133"/>
      <c r="BI147" s="133"/>
      <c r="BJ147" s="133"/>
      <c r="BK147" s="133"/>
      <c r="BL147" s="133"/>
      <c r="BM147" s="133"/>
      <c r="BN147" s="133"/>
      <c r="BP147" s="133"/>
      <c r="BQ147" s="133"/>
      <c r="BR147" s="133"/>
      <c r="BS147" s="133"/>
      <c r="BT147" s="133"/>
      <c r="BU147" s="133"/>
      <c r="BV147" s="133"/>
      <c r="BW147" s="133"/>
      <c r="BX147" s="133"/>
      <c r="BY147" s="133"/>
      <c r="BZ147" s="133"/>
      <c r="CA147" s="133"/>
      <c r="CB147" s="133"/>
    </row>
    <row r="148" spans="1:80" s="47" customFormat="1" ht="11.95" hidden="1" thickBot="1" x14ac:dyDescent="0.3">
      <c r="A148" t="s">
        <v>1</v>
      </c>
      <c r="D148" s="135"/>
      <c r="E148" s="135"/>
      <c r="F148" s="135"/>
      <c r="G148" s="135" t="s">
        <v>117</v>
      </c>
      <c r="H148" s="136"/>
      <c r="I148" s="136"/>
      <c r="J148" s="136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1">
        <f>SUM(L148:W148)</f>
        <v>0</v>
      </c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1">
        <f>SUM(Z148:AK148)</f>
        <v>0</v>
      </c>
      <c r="AN148" s="202"/>
      <c r="AO148" s="202"/>
      <c r="AP148" s="202"/>
      <c r="AQ148" s="202"/>
      <c r="AR148" s="202"/>
      <c r="AS148" s="202"/>
      <c r="AT148" s="202"/>
      <c r="AU148" s="202"/>
      <c r="AV148" s="202"/>
      <c r="AW148" s="202"/>
      <c r="AX148" s="202"/>
      <c r="AY148" s="202"/>
      <c r="AZ148" s="201">
        <f>SUM(AN148:AY148)</f>
        <v>0</v>
      </c>
      <c r="BB148" s="202"/>
      <c r="BC148" s="202"/>
      <c r="BD148" s="202"/>
      <c r="BE148" s="202"/>
      <c r="BF148" s="202"/>
      <c r="BG148" s="202"/>
      <c r="BH148" s="202"/>
      <c r="BI148" s="202"/>
      <c r="BJ148" s="202"/>
      <c r="BK148" s="202"/>
      <c r="BL148" s="202"/>
      <c r="BM148" s="202"/>
      <c r="BN148" s="201">
        <f>SUM(BB148:BM148)</f>
        <v>0</v>
      </c>
      <c r="BP148" s="202"/>
      <c r="BQ148" s="202"/>
      <c r="BR148" s="202"/>
      <c r="BS148" s="202"/>
      <c r="BT148" s="202"/>
      <c r="BU148" s="202"/>
      <c r="BV148" s="202"/>
      <c r="BW148" s="202"/>
      <c r="BX148" s="202"/>
      <c r="BY148" s="202"/>
      <c r="BZ148" s="202"/>
      <c r="CA148" s="202"/>
      <c r="CB148" s="201">
        <f>SUM(BP148:CA148)</f>
        <v>0</v>
      </c>
    </row>
    <row r="149" spans="1:80" s="47" customFormat="1" ht="11.95" hidden="1" thickBot="1" x14ac:dyDescent="0.3">
      <c r="A149" t="s">
        <v>1</v>
      </c>
      <c r="E149" s="135"/>
      <c r="F149" s="135"/>
      <c r="G149" s="135" t="s">
        <v>6</v>
      </c>
      <c r="H149" s="136"/>
      <c r="I149" s="136"/>
      <c r="J149" s="136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1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1"/>
      <c r="AN149" s="202"/>
      <c r="AO149" s="202"/>
      <c r="AP149" s="202"/>
      <c r="AQ149" s="202"/>
      <c r="AR149" s="202"/>
      <c r="AS149" s="202"/>
      <c r="AT149" s="202"/>
      <c r="AU149" s="202"/>
      <c r="AV149" s="202"/>
      <c r="AW149" s="202"/>
      <c r="AX149" s="202"/>
      <c r="AY149" s="202"/>
      <c r="AZ149" s="201"/>
      <c r="BB149" s="202"/>
      <c r="BC149" s="202"/>
      <c r="BD149" s="202"/>
      <c r="BE149" s="202"/>
      <c r="BF149" s="202"/>
      <c r="BG149" s="202"/>
      <c r="BH149" s="202"/>
      <c r="BI149" s="202"/>
      <c r="BJ149" s="202"/>
      <c r="BK149" s="202"/>
      <c r="BL149" s="202"/>
      <c r="BM149" s="202"/>
      <c r="BN149" s="201"/>
      <c r="BP149" s="202"/>
      <c r="BQ149" s="202"/>
      <c r="BR149" s="202"/>
      <c r="BS149" s="202"/>
      <c r="BT149" s="202"/>
      <c r="BU149" s="202"/>
      <c r="BV149" s="202"/>
      <c r="BW149" s="202"/>
      <c r="BX149" s="202"/>
      <c r="BY149" s="202"/>
      <c r="BZ149" s="202"/>
      <c r="CA149" s="202"/>
      <c r="CB149" s="201"/>
    </row>
    <row r="150" spans="1:80" s="47" customFormat="1" ht="11.95" hidden="1" x14ac:dyDescent="0.25">
      <c r="A150" t="s">
        <v>1</v>
      </c>
      <c r="C150" s="141" t="str">
        <f>"Total "&amp;C147</f>
        <v>Total Gain/Loss on Swap MTM</v>
      </c>
      <c r="D150" s="141"/>
      <c r="E150" s="141"/>
      <c r="F150" s="141"/>
      <c r="G150" s="141"/>
      <c r="H150" s="203"/>
      <c r="I150" s="203"/>
      <c r="J150" s="203"/>
      <c r="K150" s="203">
        <v>-1</v>
      </c>
      <c r="L150" s="203">
        <f t="shared" ref="L150:X150" si="164">SUMIFS(L148:L149,$H148:$H149,"&lt;&gt;"&amp;$H$18,$D148:$D149,"&lt;&gt;*[-]*",$E148:$E149,"&lt;&gt;*[-]*",$F148:$F149,"&lt;&gt;*[-]*",$G148:$G149,"&lt;&gt;*[-]*")</f>
        <v>0</v>
      </c>
      <c r="M150" s="203">
        <f t="shared" si="164"/>
        <v>0</v>
      </c>
      <c r="N150" s="203">
        <f t="shared" si="164"/>
        <v>0</v>
      </c>
      <c r="O150" s="203">
        <f t="shared" si="164"/>
        <v>0</v>
      </c>
      <c r="P150" s="203">
        <f t="shared" si="164"/>
        <v>0</v>
      </c>
      <c r="Q150" s="203">
        <f t="shared" si="164"/>
        <v>0</v>
      </c>
      <c r="R150" s="203">
        <f t="shared" si="164"/>
        <v>0</v>
      </c>
      <c r="S150" s="203">
        <f t="shared" si="164"/>
        <v>0</v>
      </c>
      <c r="T150" s="203">
        <f t="shared" si="164"/>
        <v>0</v>
      </c>
      <c r="U150" s="203">
        <f t="shared" si="164"/>
        <v>0</v>
      </c>
      <c r="V150" s="203">
        <f t="shared" si="164"/>
        <v>0</v>
      </c>
      <c r="W150" s="203">
        <f t="shared" si="164"/>
        <v>0</v>
      </c>
      <c r="X150" s="204">
        <f t="shared" si="164"/>
        <v>0</v>
      </c>
      <c r="Z150" s="203">
        <f t="shared" ref="Z150:AL150" si="165">SUMIFS(Z148:Z149,$H148:$H149,"&lt;&gt;"&amp;$H$18,$D148:$D149,"&lt;&gt;*[-]*",$E148:$E149,"&lt;&gt;*[-]*",$F148:$F149,"&lt;&gt;*[-]*",$G148:$G149,"&lt;&gt;*[-]*")</f>
        <v>0</v>
      </c>
      <c r="AA150" s="203">
        <f t="shared" si="165"/>
        <v>0</v>
      </c>
      <c r="AB150" s="203">
        <f t="shared" si="165"/>
        <v>0</v>
      </c>
      <c r="AC150" s="203">
        <f t="shared" si="165"/>
        <v>0</v>
      </c>
      <c r="AD150" s="203">
        <f t="shared" si="165"/>
        <v>0</v>
      </c>
      <c r="AE150" s="203">
        <f t="shared" si="165"/>
        <v>0</v>
      </c>
      <c r="AF150" s="203">
        <f t="shared" si="165"/>
        <v>0</v>
      </c>
      <c r="AG150" s="203">
        <f t="shared" si="165"/>
        <v>0</v>
      </c>
      <c r="AH150" s="203">
        <f t="shared" si="165"/>
        <v>0</v>
      </c>
      <c r="AI150" s="203">
        <f t="shared" si="165"/>
        <v>0</v>
      </c>
      <c r="AJ150" s="203">
        <f t="shared" si="165"/>
        <v>0</v>
      </c>
      <c r="AK150" s="203">
        <f t="shared" si="165"/>
        <v>0</v>
      </c>
      <c r="AL150" s="204">
        <f t="shared" si="165"/>
        <v>0</v>
      </c>
      <c r="AN150" s="203">
        <f t="shared" ref="AN150:AZ150" si="166">SUMIFS(AN148:AN149,$H148:$H149,"&lt;&gt;"&amp;$H$18,$D148:$D149,"&lt;&gt;*[-]*",$E148:$E149,"&lt;&gt;*[-]*",$F148:$F149,"&lt;&gt;*[-]*",$G148:$G149,"&lt;&gt;*[-]*")</f>
        <v>0</v>
      </c>
      <c r="AO150" s="203">
        <f t="shared" si="166"/>
        <v>0</v>
      </c>
      <c r="AP150" s="203">
        <f t="shared" si="166"/>
        <v>0</v>
      </c>
      <c r="AQ150" s="203">
        <f t="shared" si="166"/>
        <v>0</v>
      </c>
      <c r="AR150" s="203">
        <f t="shared" si="166"/>
        <v>0</v>
      </c>
      <c r="AS150" s="203">
        <f t="shared" si="166"/>
        <v>0</v>
      </c>
      <c r="AT150" s="203">
        <f t="shared" si="166"/>
        <v>0</v>
      </c>
      <c r="AU150" s="203">
        <f t="shared" si="166"/>
        <v>0</v>
      </c>
      <c r="AV150" s="203">
        <f t="shared" si="166"/>
        <v>0</v>
      </c>
      <c r="AW150" s="203">
        <f t="shared" si="166"/>
        <v>0</v>
      </c>
      <c r="AX150" s="203">
        <f t="shared" si="166"/>
        <v>0</v>
      </c>
      <c r="AY150" s="203">
        <f t="shared" si="166"/>
        <v>0</v>
      </c>
      <c r="AZ150" s="204">
        <f t="shared" si="166"/>
        <v>0</v>
      </c>
      <c r="BB150" s="203">
        <f t="shared" ref="BB150:BN150" si="167">SUMIFS(BB148:BB149,$H148:$H149,"&lt;&gt;"&amp;$H$18,$D148:$D149,"&lt;&gt;*[-]*",$E148:$E149,"&lt;&gt;*[-]*",$F148:$F149,"&lt;&gt;*[-]*",$G148:$G149,"&lt;&gt;*[-]*")</f>
        <v>0</v>
      </c>
      <c r="BC150" s="203">
        <f t="shared" si="167"/>
        <v>0</v>
      </c>
      <c r="BD150" s="203">
        <f t="shared" si="167"/>
        <v>0</v>
      </c>
      <c r="BE150" s="203">
        <f t="shared" si="167"/>
        <v>0</v>
      </c>
      <c r="BF150" s="203">
        <f t="shared" si="167"/>
        <v>0</v>
      </c>
      <c r="BG150" s="203">
        <f t="shared" si="167"/>
        <v>0</v>
      </c>
      <c r="BH150" s="203">
        <f t="shared" si="167"/>
        <v>0</v>
      </c>
      <c r="BI150" s="203">
        <f t="shared" si="167"/>
        <v>0</v>
      </c>
      <c r="BJ150" s="203">
        <f t="shared" si="167"/>
        <v>0</v>
      </c>
      <c r="BK150" s="203">
        <f t="shared" si="167"/>
        <v>0</v>
      </c>
      <c r="BL150" s="203">
        <f t="shared" si="167"/>
        <v>0</v>
      </c>
      <c r="BM150" s="203">
        <f t="shared" si="167"/>
        <v>0</v>
      </c>
      <c r="BN150" s="204">
        <f t="shared" si="167"/>
        <v>0</v>
      </c>
      <c r="BP150" s="203">
        <f t="shared" ref="BP150:CB150" si="168">SUMIFS(BP148:BP149,$H148:$H149,"&lt;&gt;"&amp;$H$18,$D148:$D149,"&lt;&gt;*[-]*",$E148:$E149,"&lt;&gt;*[-]*",$F148:$F149,"&lt;&gt;*[-]*",$G148:$G149,"&lt;&gt;*[-]*")</f>
        <v>0</v>
      </c>
      <c r="BQ150" s="203">
        <f t="shared" si="168"/>
        <v>0</v>
      </c>
      <c r="BR150" s="203">
        <f t="shared" si="168"/>
        <v>0</v>
      </c>
      <c r="BS150" s="203">
        <f t="shared" si="168"/>
        <v>0</v>
      </c>
      <c r="BT150" s="203">
        <f t="shared" si="168"/>
        <v>0</v>
      </c>
      <c r="BU150" s="203">
        <f t="shared" si="168"/>
        <v>0</v>
      </c>
      <c r="BV150" s="203">
        <f t="shared" si="168"/>
        <v>0</v>
      </c>
      <c r="BW150" s="203">
        <f t="shared" si="168"/>
        <v>0</v>
      </c>
      <c r="BX150" s="203">
        <f t="shared" si="168"/>
        <v>0</v>
      </c>
      <c r="BY150" s="203">
        <f t="shared" si="168"/>
        <v>0</v>
      </c>
      <c r="BZ150" s="203">
        <f t="shared" si="168"/>
        <v>0</v>
      </c>
      <c r="CA150" s="203">
        <f t="shared" si="168"/>
        <v>0</v>
      </c>
      <c r="CB150" s="204">
        <f t="shared" si="168"/>
        <v>0</v>
      </c>
    </row>
    <row r="151" spans="1:80" s="47" customFormat="1" hidden="1" x14ac:dyDescent="0.25">
      <c r="A151" t="s">
        <v>1</v>
      </c>
    </row>
    <row r="152" spans="1:80" s="47" customFormat="1" ht="12.45" hidden="1" thickBot="1" x14ac:dyDescent="0.3">
      <c r="A152" t="s">
        <v>1</v>
      </c>
      <c r="C152" s="132" t="s">
        <v>117</v>
      </c>
      <c r="D152" s="132"/>
      <c r="E152" s="132"/>
      <c r="F152" s="132"/>
      <c r="G152" s="132"/>
      <c r="H152" s="132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P152" s="133"/>
      <c r="BQ152" s="133"/>
      <c r="BR152" s="133"/>
      <c r="BS152" s="133"/>
      <c r="BT152" s="133"/>
      <c r="BU152" s="133"/>
      <c r="BV152" s="133"/>
      <c r="BW152" s="133"/>
      <c r="BX152" s="133"/>
      <c r="BY152" s="133"/>
      <c r="BZ152" s="133"/>
      <c r="CA152" s="133"/>
      <c r="CB152" s="133"/>
    </row>
    <row r="153" spans="1:80" s="47" customFormat="1" ht="11.95" hidden="1" thickBot="1" x14ac:dyDescent="0.3">
      <c r="A153" t="s">
        <v>1</v>
      </c>
      <c r="D153" s="135"/>
      <c r="E153" s="135"/>
      <c r="F153" s="135"/>
      <c r="G153" s="135" t="s">
        <v>117</v>
      </c>
      <c r="H153" s="136"/>
      <c r="I153" s="136"/>
      <c r="J153" s="136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1">
        <f>SUM(L153:W153)</f>
        <v>0</v>
      </c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1">
        <f>SUM(Z153:AK153)</f>
        <v>0</v>
      </c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1">
        <f>SUM(AN153:AY153)</f>
        <v>0</v>
      </c>
      <c r="BB153" s="202"/>
      <c r="BC153" s="202"/>
      <c r="BD153" s="202"/>
      <c r="BE153" s="202"/>
      <c r="BF153" s="202"/>
      <c r="BG153" s="202"/>
      <c r="BH153" s="202"/>
      <c r="BI153" s="202"/>
      <c r="BJ153" s="202"/>
      <c r="BK153" s="202"/>
      <c r="BL153" s="202"/>
      <c r="BM153" s="202"/>
      <c r="BN153" s="201">
        <f>SUM(BB153:BM153)</f>
        <v>0</v>
      </c>
      <c r="BP153" s="202"/>
      <c r="BQ153" s="202"/>
      <c r="BR153" s="202"/>
      <c r="BS153" s="202"/>
      <c r="BT153" s="202"/>
      <c r="BU153" s="202"/>
      <c r="BV153" s="202"/>
      <c r="BW153" s="202"/>
      <c r="BX153" s="202"/>
      <c r="BY153" s="202"/>
      <c r="BZ153" s="202"/>
      <c r="CA153" s="202"/>
      <c r="CB153" s="201">
        <f>SUM(BP153:CA153)</f>
        <v>0</v>
      </c>
    </row>
    <row r="154" spans="1:80" s="47" customFormat="1" ht="11.95" hidden="1" thickBot="1" x14ac:dyDescent="0.3">
      <c r="A154" t="s">
        <v>1</v>
      </c>
      <c r="E154" s="135"/>
      <c r="F154" s="135"/>
      <c r="G154" s="135" t="s">
        <v>6</v>
      </c>
      <c r="H154" s="136"/>
      <c r="I154" s="136"/>
      <c r="J154" s="136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1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1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1"/>
      <c r="BB154" s="202"/>
      <c r="BC154" s="202"/>
      <c r="BD154" s="202"/>
      <c r="BE154" s="202"/>
      <c r="BF154" s="202"/>
      <c r="BG154" s="202"/>
      <c r="BH154" s="202"/>
      <c r="BI154" s="202"/>
      <c r="BJ154" s="202"/>
      <c r="BK154" s="202"/>
      <c r="BL154" s="202"/>
      <c r="BM154" s="202"/>
      <c r="BN154" s="201"/>
      <c r="BP154" s="202"/>
      <c r="BQ154" s="202"/>
      <c r="BR154" s="202"/>
      <c r="BS154" s="202"/>
      <c r="BT154" s="202"/>
      <c r="BU154" s="202"/>
      <c r="BV154" s="202"/>
      <c r="BW154" s="202"/>
      <c r="BX154" s="202"/>
      <c r="BY154" s="202"/>
      <c r="BZ154" s="202"/>
      <c r="CA154" s="202"/>
      <c r="CB154" s="201"/>
    </row>
    <row r="155" spans="1:80" s="47" customFormat="1" ht="11.95" hidden="1" x14ac:dyDescent="0.25">
      <c r="A155" t="s">
        <v>1</v>
      </c>
      <c r="C155" s="141" t="str">
        <f>"Total "&amp;C152</f>
        <v>Total Gain/Loss on Swap MTM</v>
      </c>
      <c r="D155" s="141"/>
      <c r="E155" s="141"/>
      <c r="F155" s="141"/>
      <c r="G155" s="141"/>
      <c r="H155" s="203"/>
      <c r="I155" s="203"/>
      <c r="J155" s="203"/>
      <c r="K155" s="203">
        <v>-1</v>
      </c>
      <c r="L155" s="203">
        <f t="shared" ref="L155:X155" si="169">SUMIFS(L153:L154,$H153:$H154,"&lt;&gt;"&amp;$H$18,$D153:$D154,"&lt;&gt;*[-]*",$E153:$E154,"&lt;&gt;*[-]*",$F153:$F154,"&lt;&gt;*[-]*",$G153:$G154,"&lt;&gt;*[-]*")</f>
        <v>0</v>
      </c>
      <c r="M155" s="203">
        <f t="shared" si="169"/>
        <v>0</v>
      </c>
      <c r="N155" s="203">
        <f t="shared" si="169"/>
        <v>0</v>
      </c>
      <c r="O155" s="203">
        <f t="shared" si="169"/>
        <v>0</v>
      </c>
      <c r="P155" s="203">
        <f t="shared" si="169"/>
        <v>0</v>
      </c>
      <c r="Q155" s="203">
        <f t="shared" si="169"/>
        <v>0</v>
      </c>
      <c r="R155" s="203">
        <f t="shared" si="169"/>
        <v>0</v>
      </c>
      <c r="S155" s="203">
        <f t="shared" si="169"/>
        <v>0</v>
      </c>
      <c r="T155" s="203">
        <f t="shared" si="169"/>
        <v>0</v>
      </c>
      <c r="U155" s="203">
        <f t="shared" si="169"/>
        <v>0</v>
      </c>
      <c r="V155" s="203">
        <f t="shared" si="169"/>
        <v>0</v>
      </c>
      <c r="W155" s="203">
        <f t="shared" si="169"/>
        <v>0</v>
      </c>
      <c r="X155" s="204">
        <f t="shared" si="169"/>
        <v>0</v>
      </c>
      <c r="Z155" s="203">
        <f t="shared" ref="Z155:AL155" si="170">SUMIFS(Z153:Z154,$H153:$H154,"&lt;&gt;"&amp;$H$18,$D153:$D154,"&lt;&gt;*[-]*",$E153:$E154,"&lt;&gt;*[-]*",$F153:$F154,"&lt;&gt;*[-]*",$G153:$G154,"&lt;&gt;*[-]*")</f>
        <v>0</v>
      </c>
      <c r="AA155" s="203">
        <f t="shared" si="170"/>
        <v>0</v>
      </c>
      <c r="AB155" s="203">
        <f t="shared" si="170"/>
        <v>0</v>
      </c>
      <c r="AC155" s="203">
        <f t="shared" si="170"/>
        <v>0</v>
      </c>
      <c r="AD155" s="203">
        <f t="shared" si="170"/>
        <v>0</v>
      </c>
      <c r="AE155" s="203">
        <f t="shared" si="170"/>
        <v>0</v>
      </c>
      <c r="AF155" s="203">
        <f t="shared" si="170"/>
        <v>0</v>
      </c>
      <c r="AG155" s="203">
        <f t="shared" si="170"/>
        <v>0</v>
      </c>
      <c r="AH155" s="203">
        <f t="shared" si="170"/>
        <v>0</v>
      </c>
      <c r="AI155" s="203">
        <f t="shared" si="170"/>
        <v>0</v>
      </c>
      <c r="AJ155" s="203">
        <f t="shared" si="170"/>
        <v>0</v>
      </c>
      <c r="AK155" s="203">
        <f t="shared" si="170"/>
        <v>0</v>
      </c>
      <c r="AL155" s="204">
        <f t="shared" si="170"/>
        <v>0</v>
      </c>
      <c r="AN155" s="203">
        <f t="shared" ref="AN155:AZ155" si="171">SUMIFS(AN153:AN154,$H153:$H154,"&lt;&gt;"&amp;$H$18,$D153:$D154,"&lt;&gt;*[-]*",$E153:$E154,"&lt;&gt;*[-]*",$F153:$F154,"&lt;&gt;*[-]*",$G153:$G154,"&lt;&gt;*[-]*")</f>
        <v>0</v>
      </c>
      <c r="AO155" s="203">
        <f t="shared" si="171"/>
        <v>0</v>
      </c>
      <c r="AP155" s="203">
        <f t="shared" si="171"/>
        <v>0</v>
      </c>
      <c r="AQ155" s="203">
        <f t="shared" si="171"/>
        <v>0</v>
      </c>
      <c r="AR155" s="203">
        <f t="shared" si="171"/>
        <v>0</v>
      </c>
      <c r="AS155" s="203">
        <f t="shared" si="171"/>
        <v>0</v>
      </c>
      <c r="AT155" s="203">
        <f t="shared" si="171"/>
        <v>0</v>
      </c>
      <c r="AU155" s="203">
        <f t="shared" si="171"/>
        <v>0</v>
      </c>
      <c r="AV155" s="203">
        <f t="shared" si="171"/>
        <v>0</v>
      </c>
      <c r="AW155" s="203">
        <f t="shared" si="171"/>
        <v>0</v>
      </c>
      <c r="AX155" s="203">
        <f t="shared" si="171"/>
        <v>0</v>
      </c>
      <c r="AY155" s="203">
        <f t="shared" si="171"/>
        <v>0</v>
      </c>
      <c r="AZ155" s="204">
        <f t="shared" si="171"/>
        <v>0</v>
      </c>
      <c r="BB155" s="203">
        <f t="shared" ref="BB155:BN155" si="172">SUMIFS(BB153:BB154,$H153:$H154,"&lt;&gt;"&amp;$H$18,$D153:$D154,"&lt;&gt;*[-]*",$E153:$E154,"&lt;&gt;*[-]*",$F153:$F154,"&lt;&gt;*[-]*",$G153:$G154,"&lt;&gt;*[-]*")</f>
        <v>0</v>
      </c>
      <c r="BC155" s="203">
        <f t="shared" si="172"/>
        <v>0</v>
      </c>
      <c r="BD155" s="203">
        <f t="shared" si="172"/>
        <v>0</v>
      </c>
      <c r="BE155" s="203">
        <f t="shared" si="172"/>
        <v>0</v>
      </c>
      <c r="BF155" s="203">
        <f t="shared" si="172"/>
        <v>0</v>
      </c>
      <c r="BG155" s="203">
        <f t="shared" si="172"/>
        <v>0</v>
      </c>
      <c r="BH155" s="203">
        <f t="shared" si="172"/>
        <v>0</v>
      </c>
      <c r="BI155" s="203">
        <f t="shared" si="172"/>
        <v>0</v>
      </c>
      <c r="BJ155" s="203">
        <f t="shared" si="172"/>
        <v>0</v>
      </c>
      <c r="BK155" s="203">
        <f t="shared" si="172"/>
        <v>0</v>
      </c>
      <c r="BL155" s="203">
        <f t="shared" si="172"/>
        <v>0</v>
      </c>
      <c r="BM155" s="203">
        <f t="shared" si="172"/>
        <v>0</v>
      </c>
      <c r="BN155" s="204">
        <f t="shared" si="172"/>
        <v>0</v>
      </c>
      <c r="BP155" s="203">
        <f t="shared" ref="BP155:CB155" si="173">SUMIFS(BP153:BP154,$H153:$H154,"&lt;&gt;"&amp;$H$18,$D153:$D154,"&lt;&gt;*[-]*",$E153:$E154,"&lt;&gt;*[-]*",$F153:$F154,"&lt;&gt;*[-]*",$G153:$G154,"&lt;&gt;*[-]*")</f>
        <v>0</v>
      </c>
      <c r="BQ155" s="203">
        <f t="shared" si="173"/>
        <v>0</v>
      </c>
      <c r="BR155" s="203">
        <f t="shared" si="173"/>
        <v>0</v>
      </c>
      <c r="BS155" s="203">
        <f t="shared" si="173"/>
        <v>0</v>
      </c>
      <c r="BT155" s="203">
        <f t="shared" si="173"/>
        <v>0</v>
      </c>
      <c r="BU155" s="203">
        <f t="shared" si="173"/>
        <v>0</v>
      </c>
      <c r="BV155" s="203">
        <f t="shared" si="173"/>
        <v>0</v>
      </c>
      <c r="BW155" s="203">
        <f t="shared" si="173"/>
        <v>0</v>
      </c>
      <c r="BX155" s="203">
        <f t="shared" si="173"/>
        <v>0</v>
      </c>
      <c r="BY155" s="203">
        <f t="shared" si="173"/>
        <v>0</v>
      </c>
      <c r="BZ155" s="203">
        <f t="shared" si="173"/>
        <v>0</v>
      </c>
      <c r="CA155" s="203">
        <f t="shared" si="173"/>
        <v>0</v>
      </c>
      <c r="CB155" s="204">
        <f t="shared" si="173"/>
        <v>0</v>
      </c>
    </row>
    <row r="156" spans="1:80" s="47" customFormat="1" hidden="1" x14ac:dyDescent="0.25">
      <c r="A156" t="s">
        <v>1</v>
      </c>
    </row>
    <row r="157" spans="1:80" s="47" customFormat="1" ht="12.45" hidden="1" thickBot="1" x14ac:dyDescent="0.3">
      <c r="A157" t="s">
        <v>1</v>
      </c>
      <c r="C157" s="132" t="s">
        <v>117</v>
      </c>
      <c r="D157" s="132"/>
      <c r="E157" s="132"/>
      <c r="F157" s="132"/>
      <c r="G157" s="132"/>
      <c r="H157" s="132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B157" s="133"/>
      <c r="BC157" s="133"/>
      <c r="BD157" s="133"/>
      <c r="BE157" s="133"/>
      <c r="BF157" s="133"/>
      <c r="BG157" s="133"/>
      <c r="BH157" s="133"/>
      <c r="BI157" s="133"/>
      <c r="BJ157" s="133"/>
      <c r="BK157" s="133"/>
      <c r="BL157" s="133"/>
      <c r="BM157" s="133"/>
      <c r="BN157" s="133"/>
      <c r="BP157" s="133"/>
      <c r="BQ157" s="133"/>
      <c r="BR157" s="133"/>
      <c r="BS157" s="133"/>
      <c r="BT157" s="133"/>
      <c r="BU157" s="133"/>
      <c r="BV157" s="133"/>
      <c r="BW157" s="133"/>
      <c r="BX157" s="133"/>
      <c r="BY157" s="133"/>
      <c r="BZ157" s="133"/>
      <c r="CA157" s="133"/>
      <c r="CB157" s="133"/>
    </row>
    <row r="158" spans="1:80" s="47" customFormat="1" ht="11.95" hidden="1" thickBot="1" x14ac:dyDescent="0.3">
      <c r="A158" t="s">
        <v>1</v>
      </c>
      <c r="D158" s="135"/>
      <c r="E158" s="135"/>
      <c r="F158" s="135"/>
      <c r="G158" s="135" t="s">
        <v>117</v>
      </c>
      <c r="H158" s="136"/>
      <c r="I158" s="136"/>
      <c r="J158" s="136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1">
        <f>SUM(L158:W158)</f>
        <v>0</v>
      </c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1">
        <f>SUM(Z158:AK158)</f>
        <v>0</v>
      </c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1">
        <f>SUM(AN158:AY158)</f>
        <v>0</v>
      </c>
      <c r="BB158" s="202"/>
      <c r="BC158" s="202"/>
      <c r="BD158" s="202"/>
      <c r="BE158" s="202"/>
      <c r="BF158" s="202"/>
      <c r="BG158" s="202"/>
      <c r="BH158" s="202"/>
      <c r="BI158" s="202"/>
      <c r="BJ158" s="202"/>
      <c r="BK158" s="202"/>
      <c r="BL158" s="202"/>
      <c r="BM158" s="202"/>
      <c r="BN158" s="201">
        <f>SUM(BB158:BM158)</f>
        <v>0</v>
      </c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1">
        <f>SUM(BP158:CA158)</f>
        <v>0</v>
      </c>
    </row>
    <row r="159" spans="1:80" s="47" customFormat="1" ht="11.95" hidden="1" thickBot="1" x14ac:dyDescent="0.3">
      <c r="A159" t="s">
        <v>1</v>
      </c>
      <c r="E159" s="135"/>
      <c r="F159" s="135"/>
      <c r="G159" s="135" t="s">
        <v>6</v>
      </c>
      <c r="H159" s="136"/>
      <c r="I159" s="136"/>
      <c r="J159" s="136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1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1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1"/>
      <c r="BB159" s="202"/>
      <c r="BC159" s="202"/>
      <c r="BD159" s="202"/>
      <c r="BE159" s="202"/>
      <c r="BF159" s="202"/>
      <c r="BG159" s="202"/>
      <c r="BH159" s="202"/>
      <c r="BI159" s="202"/>
      <c r="BJ159" s="202"/>
      <c r="BK159" s="202"/>
      <c r="BL159" s="202"/>
      <c r="BM159" s="202"/>
      <c r="BN159" s="201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2"/>
      <c r="BZ159" s="202"/>
      <c r="CA159" s="202"/>
      <c r="CB159" s="201"/>
    </row>
    <row r="160" spans="1:80" s="47" customFormat="1" ht="11.95" hidden="1" x14ac:dyDescent="0.25">
      <c r="A160" t="s">
        <v>1</v>
      </c>
      <c r="C160" s="141" t="str">
        <f>"Total "&amp;C157</f>
        <v>Total Gain/Loss on Swap MTM</v>
      </c>
      <c r="D160" s="141"/>
      <c r="E160" s="141"/>
      <c r="F160" s="141"/>
      <c r="G160" s="141"/>
      <c r="H160" s="203"/>
      <c r="I160" s="203"/>
      <c r="J160" s="203"/>
      <c r="K160" s="203">
        <v>-1</v>
      </c>
      <c r="L160" s="203">
        <f t="shared" ref="L160:X160" si="174">SUMIFS(L158:L159,$H158:$H159,"&lt;&gt;"&amp;$H$18,$D158:$D159,"&lt;&gt;*[-]*",$E158:$E159,"&lt;&gt;*[-]*",$F158:$F159,"&lt;&gt;*[-]*",$G158:$G159,"&lt;&gt;*[-]*")</f>
        <v>0</v>
      </c>
      <c r="M160" s="203">
        <f t="shared" si="174"/>
        <v>0</v>
      </c>
      <c r="N160" s="203">
        <f t="shared" si="174"/>
        <v>0</v>
      </c>
      <c r="O160" s="203">
        <f t="shared" si="174"/>
        <v>0</v>
      </c>
      <c r="P160" s="203">
        <f t="shared" si="174"/>
        <v>0</v>
      </c>
      <c r="Q160" s="203">
        <f t="shared" si="174"/>
        <v>0</v>
      </c>
      <c r="R160" s="203">
        <f t="shared" si="174"/>
        <v>0</v>
      </c>
      <c r="S160" s="203">
        <f t="shared" si="174"/>
        <v>0</v>
      </c>
      <c r="T160" s="203">
        <f t="shared" si="174"/>
        <v>0</v>
      </c>
      <c r="U160" s="203">
        <f t="shared" si="174"/>
        <v>0</v>
      </c>
      <c r="V160" s="203">
        <f t="shared" si="174"/>
        <v>0</v>
      </c>
      <c r="W160" s="203">
        <f t="shared" si="174"/>
        <v>0</v>
      </c>
      <c r="X160" s="204">
        <f t="shared" si="174"/>
        <v>0</v>
      </c>
      <c r="Z160" s="203">
        <f t="shared" ref="Z160:AL160" si="175">SUMIFS(Z158:Z159,$H158:$H159,"&lt;&gt;"&amp;$H$18,$D158:$D159,"&lt;&gt;*[-]*",$E158:$E159,"&lt;&gt;*[-]*",$F158:$F159,"&lt;&gt;*[-]*",$G158:$G159,"&lt;&gt;*[-]*")</f>
        <v>0</v>
      </c>
      <c r="AA160" s="203">
        <f t="shared" si="175"/>
        <v>0</v>
      </c>
      <c r="AB160" s="203">
        <f t="shared" si="175"/>
        <v>0</v>
      </c>
      <c r="AC160" s="203">
        <f t="shared" si="175"/>
        <v>0</v>
      </c>
      <c r="AD160" s="203">
        <f t="shared" si="175"/>
        <v>0</v>
      </c>
      <c r="AE160" s="203">
        <f t="shared" si="175"/>
        <v>0</v>
      </c>
      <c r="AF160" s="203">
        <f t="shared" si="175"/>
        <v>0</v>
      </c>
      <c r="AG160" s="203">
        <f t="shared" si="175"/>
        <v>0</v>
      </c>
      <c r="AH160" s="203">
        <f t="shared" si="175"/>
        <v>0</v>
      </c>
      <c r="AI160" s="203">
        <f t="shared" si="175"/>
        <v>0</v>
      </c>
      <c r="AJ160" s="203">
        <f t="shared" si="175"/>
        <v>0</v>
      </c>
      <c r="AK160" s="203">
        <f t="shared" si="175"/>
        <v>0</v>
      </c>
      <c r="AL160" s="204">
        <f t="shared" si="175"/>
        <v>0</v>
      </c>
      <c r="AN160" s="203">
        <f t="shared" ref="AN160:AZ160" si="176">SUMIFS(AN158:AN159,$H158:$H159,"&lt;&gt;"&amp;$H$18,$D158:$D159,"&lt;&gt;*[-]*",$E158:$E159,"&lt;&gt;*[-]*",$F158:$F159,"&lt;&gt;*[-]*",$G158:$G159,"&lt;&gt;*[-]*")</f>
        <v>0</v>
      </c>
      <c r="AO160" s="203">
        <f t="shared" si="176"/>
        <v>0</v>
      </c>
      <c r="AP160" s="203">
        <f t="shared" si="176"/>
        <v>0</v>
      </c>
      <c r="AQ160" s="203">
        <f t="shared" si="176"/>
        <v>0</v>
      </c>
      <c r="AR160" s="203">
        <f t="shared" si="176"/>
        <v>0</v>
      </c>
      <c r="AS160" s="203">
        <f t="shared" si="176"/>
        <v>0</v>
      </c>
      <c r="AT160" s="203">
        <f t="shared" si="176"/>
        <v>0</v>
      </c>
      <c r="AU160" s="203">
        <f t="shared" si="176"/>
        <v>0</v>
      </c>
      <c r="AV160" s="203">
        <f t="shared" si="176"/>
        <v>0</v>
      </c>
      <c r="AW160" s="203">
        <f t="shared" si="176"/>
        <v>0</v>
      </c>
      <c r="AX160" s="203">
        <f t="shared" si="176"/>
        <v>0</v>
      </c>
      <c r="AY160" s="203">
        <f t="shared" si="176"/>
        <v>0</v>
      </c>
      <c r="AZ160" s="204">
        <f t="shared" si="176"/>
        <v>0</v>
      </c>
      <c r="BB160" s="203">
        <f t="shared" ref="BB160:BN160" si="177">SUMIFS(BB158:BB159,$H158:$H159,"&lt;&gt;"&amp;$H$18,$D158:$D159,"&lt;&gt;*[-]*",$E158:$E159,"&lt;&gt;*[-]*",$F158:$F159,"&lt;&gt;*[-]*",$G158:$G159,"&lt;&gt;*[-]*")</f>
        <v>0</v>
      </c>
      <c r="BC160" s="203">
        <f t="shared" si="177"/>
        <v>0</v>
      </c>
      <c r="BD160" s="203">
        <f t="shared" si="177"/>
        <v>0</v>
      </c>
      <c r="BE160" s="203">
        <f t="shared" si="177"/>
        <v>0</v>
      </c>
      <c r="BF160" s="203">
        <f t="shared" si="177"/>
        <v>0</v>
      </c>
      <c r="BG160" s="203">
        <f t="shared" si="177"/>
        <v>0</v>
      </c>
      <c r="BH160" s="203">
        <f t="shared" si="177"/>
        <v>0</v>
      </c>
      <c r="BI160" s="203">
        <f t="shared" si="177"/>
        <v>0</v>
      </c>
      <c r="BJ160" s="203">
        <f t="shared" si="177"/>
        <v>0</v>
      </c>
      <c r="BK160" s="203">
        <f t="shared" si="177"/>
        <v>0</v>
      </c>
      <c r="BL160" s="203">
        <f t="shared" si="177"/>
        <v>0</v>
      </c>
      <c r="BM160" s="203">
        <f t="shared" si="177"/>
        <v>0</v>
      </c>
      <c r="BN160" s="204">
        <f t="shared" si="177"/>
        <v>0</v>
      </c>
      <c r="BP160" s="203">
        <f t="shared" ref="BP160:CB160" si="178">SUMIFS(BP158:BP159,$H158:$H159,"&lt;&gt;"&amp;$H$18,$D158:$D159,"&lt;&gt;*[-]*",$E158:$E159,"&lt;&gt;*[-]*",$F158:$F159,"&lt;&gt;*[-]*",$G158:$G159,"&lt;&gt;*[-]*")</f>
        <v>0</v>
      </c>
      <c r="BQ160" s="203">
        <f t="shared" si="178"/>
        <v>0</v>
      </c>
      <c r="BR160" s="203">
        <f t="shared" si="178"/>
        <v>0</v>
      </c>
      <c r="BS160" s="203">
        <f t="shared" si="178"/>
        <v>0</v>
      </c>
      <c r="BT160" s="203">
        <f t="shared" si="178"/>
        <v>0</v>
      </c>
      <c r="BU160" s="203">
        <f t="shared" si="178"/>
        <v>0</v>
      </c>
      <c r="BV160" s="203">
        <f t="shared" si="178"/>
        <v>0</v>
      </c>
      <c r="BW160" s="203">
        <f t="shared" si="178"/>
        <v>0</v>
      </c>
      <c r="BX160" s="203">
        <f t="shared" si="178"/>
        <v>0</v>
      </c>
      <c r="BY160" s="203">
        <f t="shared" si="178"/>
        <v>0</v>
      </c>
      <c r="BZ160" s="203">
        <f t="shared" si="178"/>
        <v>0</v>
      </c>
      <c r="CA160" s="203">
        <f t="shared" si="178"/>
        <v>0</v>
      </c>
      <c r="CB160" s="204">
        <f t="shared" si="178"/>
        <v>0</v>
      </c>
    </row>
    <row r="161" spans="1:80" s="47" customFormat="1" hidden="1" x14ac:dyDescent="0.25">
      <c r="A161" t="s">
        <v>1</v>
      </c>
    </row>
    <row r="162" spans="1:80" s="47" customFormat="1" ht="12.45" hidden="1" thickBot="1" x14ac:dyDescent="0.3">
      <c r="A162" t="s">
        <v>1</v>
      </c>
      <c r="C162" s="132" t="s">
        <v>117</v>
      </c>
      <c r="D162" s="132"/>
      <c r="E162" s="132"/>
      <c r="F162" s="132"/>
      <c r="G162" s="132"/>
      <c r="H162" s="132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B162" s="133"/>
      <c r="BC162" s="133"/>
      <c r="BD162" s="133"/>
      <c r="BE162" s="133"/>
      <c r="BF162" s="133"/>
      <c r="BG162" s="133"/>
      <c r="BH162" s="133"/>
      <c r="BI162" s="133"/>
      <c r="BJ162" s="133"/>
      <c r="BK162" s="133"/>
      <c r="BL162" s="133"/>
      <c r="BM162" s="133"/>
      <c r="BN162" s="133"/>
      <c r="BP162" s="133"/>
      <c r="BQ162" s="133"/>
      <c r="BR162" s="133"/>
      <c r="BS162" s="133"/>
      <c r="BT162" s="133"/>
      <c r="BU162" s="133"/>
      <c r="BV162" s="133"/>
      <c r="BW162" s="133"/>
      <c r="BX162" s="133"/>
      <c r="BY162" s="133"/>
      <c r="BZ162" s="133"/>
      <c r="CA162" s="133"/>
      <c r="CB162" s="133"/>
    </row>
    <row r="163" spans="1:80" s="47" customFormat="1" ht="11.95" hidden="1" thickBot="1" x14ac:dyDescent="0.3">
      <c r="A163" t="s">
        <v>1</v>
      </c>
      <c r="D163" s="135"/>
      <c r="E163" s="135"/>
      <c r="F163" s="135"/>
      <c r="G163" s="135" t="s">
        <v>117</v>
      </c>
      <c r="H163" s="136"/>
      <c r="I163" s="136"/>
      <c r="J163" s="136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1">
        <f>SUM(L163:W163)</f>
        <v>0</v>
      </c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1">
        <f>SUM(Z163:AK163)</f>
        <v>0</v>
      </c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1">
        <f>SUM(AN163:AY163)</f>
        <v>0</v>
      </c>
      <c r="BB163" s="202"/>
      <c r="BC163" s="202"/>
      <c r="BD163" s="202"/>
      <c r="BE163" s="202"/>
      <c r="BF163" s="202"/>
      <c r="BG163" s="202"/>
      <c r="BH163" s="202"/>
      <c r="BI163" s="202"/>
      <c r="BJ163" s="202"/>
      <c r="BK163" s="202"/>
      <c r="BL163" s="202"/>
      <c r="BM163" s="202"/>
      <c r="BN163" s="201">
        <f>SUM(BB163:BM163)</f>
        <v>0</v>
      </c>
      <c r="BP163" s="202"/>
      <c r="BQ163" s="202"/>
      <c r="BR163" s="202"/>
      <c r="BS163" s="202"/>
      <c r="BT163" s="202"/>
      <c r="BU163" s="202"/>
      <c r="BV163" s="202"/>
      <c r="BW163" s="202"/>
      <c r="BX163" s="202"/>
      <c r="BY163" s="202"/>
      <c r="BZ163" s="202"/>
      <c r="CA163" s="202"/>
      <c r="CB163" s="201">
        <f>SUM(BP163:CA163)</f>
        <v>0</v>
      </c>
    </row>
    <row r="164" spans="1:80" s="47" customFormat="1" ht="11.95" hidden="1" thickBot="1" x14ac:dyDescent="0.3">
      <c r="A164" t="s">
        <v>1</v>
      </c>
      <c r="E164" s="135"/>
      <c r="F164" s="135"/>
      <c r="G164" s="135" t="s">
        <v>6</v>
      </c>
      <c r="H164" s="136"/>
      <c r="I164" s="136"/>
      <c r="J164" s="136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1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1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1"/>
      <c r="BB164" s="202"/>
      <c r="BC164" s="202"/>
      <c r="BD164" s="202"/>
      <c r="BE164" s="202"/>
      <c r="BF164" s="202"/>
      <c r="BG164" s="202"/>
      <c r="BH164" s="202"/>
      <c r="BI164" s="202"/>
      <c r="BJ164" s="202"/>
      <c r="BK164" s="202"/>
      <c r="BL164" s="202"/>
      <c r="BM164" s="202"/>
      <c r="BN164" s="201"/>
      <c r="BP164" s="202"/>
      <c r="BQ164" s="202"/>
      <c r="BR164" s="202"/>
      <c r="BS164" s="202"/>
      <c r="BT164" s="202"/>
      <c r="BU164" s="202"/>
      <c r="BV164" s="202"/>
      <c r="BW164" s="202"/>
      <c r="BX164" s="202"/>
      <c r="BY164" s="202"/>
      <c r="BZ164" s="202"/>
      <c r="CA164" s="202"/>
      <c r="CB164" s="201"/>
    </row>
    <row r="165" spans="1:80" s="47" customFormat="1" ht="11.95" hidden="1" x14ac:dyDescent="0.25">
      <c r="A165" t="s">
        <v>1</v>
      </c>
      <c r="C165" s="141" t="str">
        <f>"Total "&amp;C162</f>
        <v>Total Gain/Loss on Swap MTM</v>
      </c>
      <c r="D165" s="141"/>
      <c r="E165" s="141"/>
      <c r="F165" s="141"/>
      <c r="G165" s="141"/>
      <c r="H165" s="203"/>
      <c r="I165" s="203"/>
      <c r="J165" s="203"/>
      <c r="K165" s="203">
        <v>-1</v>
      </c>
      <c r="L165" s="203">
        <f t="shared" ref="L165:X165" si="179">SUMIFS(L163:L164,$H163:$H164,"&lt;&gt;"&amp;$H$18,$D163:$D164,"&lt;&gt;*[-]*",$E163:$E164,"&lt;&gt;*[-]*",$F163:$F164,"&lt;&gt;*[-]*",$G163:$G164,"&lt;&gt;*[-]*")</f>
        <v>0</v>
      </c>
      <c r="M165" s="203">
        <f t="shared" si="179"/>
        <v>0</v>
      </c>
      <c r="N165" s="203">
        <f t="shared" si="179"/>
        <v>0</v>
      </c>
      <c r="O165" s="203">
        <f t="shared" si="179"/>
        <v>0</v>
      </c>
      <c r="P165" s="203">
        <f t="shared" si="179"/>
        <v>0</v>
      </c>
      <c r="Q165" s="203">
        <f t="shared" si="179"/>
        <v>0</v>
      </c>
      <c r="R165" s="203">
        <f t="shared" si="179"/>
        <v>0</v>
      </c>
      <c r="S165" s="203">
        <f t="shared" si="179"/>
        <v>0</v>
      </c>
      <c r="T165" s="203">
        <f t="shared" si="179"/>
        <v>0</v>
      </c>
      <c r="U165" s="203">
        <f t="shared" si="179"/>
        <v>0</v>
      </c>
      <c r="V165" s="203">
        <f t="shared" si="179"/>
        <v>0</v>
      </c>
      <c r="W165" s="203">
        <f t="shared" si="179"/>
        <v>0</v>
      </c>
      <c r="X165" s="204">
        <f t="shared" si="179"/>
        <v>0</v>
      </c>
      <c r="Z165" s="203">
        <f t="shared" ref="Z165:AL165" si="180">SUMIFS(Z163:Z164,$H163:$H164,"&lt;&gt;"&amp;$H$18,$D163:$D164,"&lt;&gt;*[-]*",$E163:$E164,"&lt;&gt;*[-]*",$F163:$F164,"&lt;&gt;*[-]*",$G163:$G164,"&lt;&gt;*[-]*")</f>
        <v>0</v>
      </c>
      <c r="AA165" s="203">
        <f t="shared" si="180"/>
        <v>0</v>
      </c>
      <c r="AB165" s="203">
        <f t="shared" si="180"/>
        <v>0</v>
      </c>
      <c r="AC165" s="203">
        <f t="shared" si="180"/>
        <v>0</v>
      </c>
      <c r="AD165" s="203">
        <f t="shared" si="180"/>
        <v>0</v>
      </c>
      <c r="AE165" s="203">
        <f t="shared" si="180"/>
        <v>0</v>
      </c>
      <c r="AF165" s="203">
        <f t="shared" si="180"/>
        <v>0</v>
      </c>
      <c r="AG165" s="203">
        <f t="shared" si="180"/>
        <v>0</v>
      </c>
      <c r="AH165" s="203">
        <f t="shared" si="180"/>
        <v>0</v>
      </c>
      <c r="AI165" s="203">
        <f t="shared" si="180"/>
        <v>0</v>
      </c>
      <c r="AJ165" s="203">
        <f t="shared" si="180"/>
        <v>0</v>
      </c>
      <c r="AK165" s="203">
        <f t="shared" si="180"/>
        <v>0</v>
      </c>
      <c r="AL165" s="204">
        <f t="shared" si="180"/>
        <v>0</v>
      </c>
      <c r="AN165" s="203">
        <f t="shared" ref="AN165:AZ165" si="181">SUMIFS(AN163:AN164,$H163:$H164,"&lt;&gt;"&amp;$H$18,$D163:$D164,"&lt;&gt;*[-]*",$E163:$E164,"&lt;&gt;*[-]*",$F163:$F164,"&lt;&gt;*[-]*",$G163:$G164,"&lt;&gt;*[-]*")</f>
        <v>0</v>
      </c>
      <c r="AO165" s="203">
        <f t="shared" si="181"/>
        <v>0</v>
      </c>
      <c r="AP165" s="203">
        <f t="shared" si="181"/>
        <v>0</v>
      </c>
      <c r="AQ165" s="203">
        <f t="shared" si="181"/>
        <v>0</v>
      </c>
      <c r="AR165" s="203">
        <f t="shared" si="181"/>
        <v>0</v>
      </c>
      <c r="AS165" s="203">
        <f t="shared" si="181"/>
        <v>0</v>
      </c>
      <c r="AT165" s="203">
        <f t="shared" si="181"/>
        <v>0</v>
      </c>
      <c r="AU165" s="203">
        <f t="shared" si="181"/>
        <v>0</v>
      </c>
      <c r="AV165" s="203">
        <f t="shared" si="181"/>
        <v>0</v>
      </c>
      <c r="AW165" s="203">
        <f t="shared" si="181"/>
        <v>0</v>
      </c>
      <c r="AX165" s="203">
        <f t="shared" si="181"/>
        <v>0</v>
      </c>
      <c r="AY165" s="203">
        <f t="shared" si="181"/>
        <v>0</v>
      </c>
      <c r="AZ165" s="204">
        <f t="shared" si="181"/>
        <v>0</v>
      </c>
      <c r="BB165" s="203">
        <f t="shared" ref="BB165:BN165" si="182">SUMIFS(BB163:BB164,$H163:$H164,"&lt;&gt;"&amp;$H$18,$D163:$D164,"&lt;&gt;*[-]*",$E163:$E164,"&lt;&gt;*[-]*",$F163:$F164,"&lt;&gt;*[-]*",$G163:$G164,"&lt;&gt;*[-]*")</f>
        <v>0</v>
      </c>
      <c r="BC165" s="203">
        <f t="shared" si="182"/>
        <v>0</v>
      </c>
      <c r="BD165" s="203">
        <f t="shared" si="182"/>
        <v>0</v>
      </c>
      <c r="BE165" s="203">
        <f t="shared" si="182"/>
        <v>0</v>
      </c>
      <c r="BF165" s="203">
        <f t="shared" si="182"/>
        <v>0</v>
      </c>
      <c r="BG165" s="203">
        <f t="shared" si="182"/>
        <v>0</v>
      </c>
      <c r="BH165" s="203">
        <f t="shared" si="182"/>
        <v>0</v>
      </c>
      <c r="BI165" s="203">
        <f t="shared" si="182"/>
        <v>0</v>
      </c>
      <c r="BJ165" s="203">
        <f t="shared" si="182"/>
        <v>0</v>
      </c>
      <c r="BK165" s="203">
        <f t="shared" si="182"/>
        <v>0</v>
      </c>
      <c r="BL165" s="203">
        <f t="shared" si="182"/>
        <v>0</v>
      </c>
      <c r="BM165" s="203">
        <f t="shared" si="182"/>
        <v>0</v>
      </c>
      <c r="BN165" s="204">
        <f t="shared" si="182"/>
        <v>0</v>
      </c>
      <c r="BP165" s="203">
        <f t="shared" ref="BP165:CB165" si="183">SUMIFS(BP163:BP164,$H163:$H164,"&lt;&gt;"&amp;$H$18,$D163:$D164,"&lt;&gt;*[-]*",$E163:$E164,"&lt;&gt;*[-]*",$F163:$F164,"&lt;&gt;*[-]*",$G163:$G164,"&lt;&gt;*[-]*")</f>
        <v>0</v>
      </c>
      <c r="BQ165" s="203">
        <f t="shared" si="183"/>
        <v>0</v>
      </c>
      <c r="BR165" s="203">
        <f t="shared" si="183"/>
        <v>0</v>
      </c>
      <c r="BS165" s="203">
        <f t="shared" si="183"/>
        <v>0</v>
      </c>
      <c r="BT165" s="203">
        <f t="shared" si="183"/>
        <v>0</v>
      </c>
      <c r="BU165" s="203">
        <f t="shared" si="183"/>
        <v>0</v>
      </c>
      <c r="BV165" s="203">
        <f t="shared" si="183"/>
        <v>0</v>
      </c>
      <c r="BW165" s="203">
        <f t="shared" si="183"/>
        <v>0</v>
      </c>
      <c r="BX165" s="203">
        <f t="shared" si="183"/>
        <v>0</v>
      </c>
      <c r="BY165" s="203">
        <f t="shared" si="183"/>
        <v>0</v>
      </c>
      <c r="BZ165" s="203">
        <f t="shared" si="183"/>
        <v>0</v>
      </c>
      <c r="CA165" s="203">
        <f t="shared" si="183"/>
        <v>0</v>
      </c>
      <c r="CB165" s="204">
        <f t="shared" si="183"/>
        <v>0</v>
      </c>
    </row>
    <row r="166" spans="1:80" s="47" customFormat="1" hidden="1" x14ac:dyDescent="0.25">
      <c r="A166" t="s">
        <v>1</v>
      </c>
    </row>
    <row r="167" spans="1:80" s="47" customFormat="1" ht="12.45" hidden="1" thickBot="1" x14ac:dyDescent="0.3">
      <c r="A167" t="s">
        <v>1</v>
      </c>
      <c r="C167" s="132" t="s">
        <v>117</v>
      </c>
      <c r="D167" s="132"/>
      <c r="E167" s="132"/>
      <c r="F167" s="132"/>
      <c r="G167" s="132"/>
      <c r="H167" s="132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B167" s="133"/>
      <c r="BC167" s="133"/>
      <c r="BD167" s="133"/>
      <c r="BE167" s="133"/>
      <c r="BF167" s="133"/>
      <c r="BG167" s="133"/>
      <c r="BH167" s="133"/>
      <c r="BI167" s="133"/>
      <c r="BJ167" s="133"/>
      <c r="BK167" s="133"/>
      <c r="BL167" s="133"/>
      <c r="BM167" s="133"/>
      <c r="BN167" s="133"/>
      <c r="BP167" s="133"/>
      <c r="BQ167" s="133"/>
      <c r="BR167" s="133"/>
      <c r="BS167" s="133"/>
      <c r="BT167" s="133"/>
      <c r="BU167" s="133"/>
      <c r="BV167" s="133"/>
      <c r="BW167" s="133"/>
      <c r="BX167" s="133"/>
      <c r="BY167" s="133"/>
      <c r="BZ167" s="133"/>
      <c r="CA167" s="133"/>
      <c r="CB167" s="133"/>
    </row>
    <row r="168" spans="1:80" s="47" customFormat="1" ht="11.95" hidden="1" thickBot="1" x14ac:dyDescent="0.3">
      <c r="A168" t="s">
        <v>1</v>
      </c>
      <c r="D168" s="135"/>
      <c r="E168" s="135"/>
      <c r="F168" s="135"/>
      <c r="G168" s="135" t="s">
        <v>117</v>
      </c>
      <c r="H168" s="136"/>
      <c r="I168" s="136"/>
      <c r="J168" s="136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1">
        <f>SUM(L168:W168)</f>
        <v>0</v>
      </c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1">
        <f>SUM(Z168:AK168)</f>
        <v>0</v>
      </c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1">
        <f>SUM(AN168:AY168)</f>
        <v>0</v>
      </c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1">
        <f>SUM(BB168:BM168)</f>
        <v>0</v>
      </c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1">
        <f>SUM(BP168:CA168)</f>
        <v>0</v>
      </c>
    </row>
    <row r="169" spans="1:80" s="47" customFormat="1" ht="11.95" hidden="1" thickBot="1" x14ac:dyDescent="0.3">
      <c r="A169" t="s">
        <v>1</v>
      </c>
      <c r="E169" s="135"/>
      <c r="F169" s="135"/>
      <c r="G169" s="135" t="s">
        <v>6</v>
      </c>
      <c r="H169" s="136"/>
      <c r="I169" s="136"/>
      <c r="J169" s="136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1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  <c r="AK169" s="200"/>
      <c r="AL169" s="201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1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1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1"/>
    </row>
    <row r="170" spans="1:80" s="47" customFormat="1" ht="11.95" hidden="1" x14ac:dyDescent="0.25">
      <c r="A170" t="s">
        <v>1</v>
      </c>
      <c r="C170" s="141" t="str">
        <f>"Total "&amp;C167</f>
        <v>Total Gain/Loss on Swap MTM</v>
      </c>
      <c r="D170" s="141"/>
      <c r="E170" s="141"/>
      <c r="F170" s="141"/>
      <c r="G170" s="141"/>
      <c r="H170" s="203"/>
      <c r="I170" s="203"/>
      <c r="J170" s="203"/>
      <c r="K170" s="203">
        <v>-1</v>
      </c>
      <c r="L170" s="203">
        <f t="shared" ref="L170:X170" si="184">SUMIFS(L168:L169,$H168:$H169,"&lt;&gt;"&amp;$H$18,$D168:$D169,"&lt;&gt;*[-]*",$E168:$E169,"&lt;&gt;*[-]*",$F168:$F169,"&lt;&gt;*[-]*",$G168:$G169,"&lt;&gt;*[-]*")</f>
        <v>0</v>
      </c>
      <c r="M170" s="203">
        <f t="shared" si="184"/>
        <v>0</v>
      </c>
      <c r="N170" s="203">
        <f t="shared" si="184"/>
        <v>0</v>
      </c>
      <c r="O170" s="203">
        <f t="shared" si="184"/>
        <v>0</v>
      </c>
      <c r="P170" s="203">
        <f t="shared" si="184"/>
        <v>0</v>
      </c>
      <c r="Q170" s="203">
        <f t="shared" si="184"/>
        <v>0</v>
      </c>
      <c r="R170" s="203">
        <f t="shared" si="184"/>
        <v>0</v>
      </c>
      <c r="S170" s="203">
        <f t="shared" si="184"/>
        <v>0</v>
      </c>
      <c r="T170" s="203">
        <f t="shared" si="184"/>
        <v>0</v>
      </c>
      <c r="U170" s="203">
        <f t="shared" si="184"/>
        <v>0</v>
      </c>
      <c r="V170" s="203">
        <f t="shared" si="184"/>
        <v>0</v>
      </c>
      <c r="W170" s="203">
        <f t="shared" si="184"/>
        <v>0</v>
      </c>
      <c r="X170" s="204">
        <f t="shared" si="184"/>
        <v>0</v>
      </c>
      <c r="Z170" s="203">
        <f t="shared" ref="Z170:AL170" si="185">SUMIFS(Z168:Z169,$H168:$H169,"&lt;&gt;"&amp;$H$18,$D168:$D169,"&lt;&gt;*[-]*",$E168:$E169,"&lt;&gt;*[-]*",$F168:$F169,"&lt;&gt;*[-]*",$G168:$G169,"&lt;&gt;*[-]*")</f>
        <v>0</v>
      </c>
      <c r="AA170" s="203">
        <f t="shared" si="185"/>
        <v>0</v>
      </c>
      <c r="AB170" s="203">
        <f t="shared" si="185"/>
        <v>0</v>
      </c>
      <c r="AC170" s="203">
        <f t="shared" si="185"/>
        <v>0</v>
      </c>
      <c r="AD170" s="203">
        <f t="shared" si="185"/>
        <v>0</v>
      </c>
      <c r="AE170" s="203">
        <f t="shared" si="185"/>
        <v>0</v>
      </c>
      <c r="AF170" s="203">
        <f t="shared" si="185"/>
        <v>0</v>
      </c>
      <c r="AG170" s="203">
        <f t="shared" si="185"/>
        <v>0</v>
      </c>
      <c r="AH170" s="203">
        <f t="shared" si="185"/>
        <v>0</v>
      </c>
      <c r="AI170" s="203">
        <f t="shared" si="185"/>
        <v>0</v>
      </c>
      <c r="AJ170" s="203">
        <f t="shared" si="185"/>
        <v>0</v>
      </c>
      <c r="AK170" s="203">
        <f t="shared" si="185"/>
        <v>0</v>
      </c>
      <c r="AL170" s="204">
        <f t="shared" si="185"/>
        <v>0</v>
      </c>
      <c r="AN170" s="203">
        <f t="shared" ref="AN170:AZ170" si="186">SUMIFS(AN168:AN169,$H168:$H169,"&lt;&gt;"&amp;$H$18,$D168:$D169,"&lt;&gt;*[-]*",$E168:$E169,"&lt;&gt;*[-]*",$F168:$F169,"&lt;&gt;*[-]*",$G168:$G169,"&lt;&gt;*[-]*")</f>
        <v>0</v>
      </c>
      <c r="AO170" s="203">
        <f t="shared" si="186"/>
        <v>0</v>
      </c>
      <c r="AP170" s="203">
        <f t="shared" si="186"/>
        <v>0</v>
      </c>
      <c r="AQ170" s="203">
        <f t="shared" si="186"/>
        <v>0</v>
      </c>
      <c r="AR170" s="203">
        <f t="shared" si="186"/>
        <v>0</v>
      </c>
      <c r="AS170" s="203">
        <f t="shared" si="186"/>
        <v>0</v>
      </c>
      <c r="AT170" s="203">
        <f t="shared" si="186"/>
        <v>0</v>
      </c>
      <c r="AU170" s="203">
        <f t="shared" si="186"/>
        <v>0</v>
      </c>
      <c r="AV170" s="203">
        <f t="shared" si="186"/>
        <v>0</v>
      </c>
      <c r="AW170" s="203">
        <f t="shared" si="186"/>
        <v>0</v>
      </c>
      <c r="AX170" s="203">
        <f t="shared" si="186"/>
        <v>0</v>
      </c>
      <c r="AY170" s="203">
        <f t="shared" si="186"/>
        <v>0</v>
      </c>
      <c r="AZ170" s="204">
        <f t="shared" si="186"/>
        <v>0</v>
      </c>
      <c r="BB170" s="203">
        <f t="shared" ref="BB170:BN170" si="187">SUMIFS(BB168:BB169,$H168:$H169,"&lt;&gt;"&amp;$H$18,$D168:$D169,"&lt;&gt;*[-]*",$E168:$E169,"&lt;&gt;*[-]*",$F168:$F169,"&lt;&gt;*[-]*",$G168:$G169,"&lt;&gt;*[-]*")</f>
        <v>0</v>
      </c>
      <c r="BC170" s="203">
        <f t="shared" si="187"/>
        <v>0</v>
      </c>
      <c r="BD170" s="203">
        <f t="shared" si="187"/>
        <v>0</v>
      </c>
      <c r="BE170" s="203">
        <f t="shared" si="187"/>
        <v>0</v>
      </c>
      <c r="BF170" s="203">
        <f t="shared" si="187"/>
        <v>0</v>
      </c>
      <c r="BG170" s="203">
        <f t="shared" si="187"/>
        <v>0</v>
      </c>
      <c r="BH170" s="203">
        <f t="shared" si="187"/>
        <v>0</v>
      </c>
      <c r="BI170" s="203">
        <f t="shared" si="187"/>
        <v>0</v>
      </c>
      <c r="BJ170" s="203">
        <f t="shared" si="187"/>
        <v>0</v>
      </c>
      <c r="BK170" s="203">
        <f t="shared" si="187"/>
        <v>0</v>
      </c>
      <c r="BL170" s="203">
        <f t="shared" si="187"/>
        <v>0</v>
      </c>
      <c r="BM170" s="203">
        <f t="shared" si="187"/>
        <v>0</v>
      </c>
      <c r="BN170" s="204">
        <f t="shared" si="187"/>
        <v>0</v>
      </c>
      <c r="BP170" s="203">
        <f t="shared" ref="BP170:CB170" si="188">SUMIFS(BP168:BP169,$H168:$H169,"&lt;&gt;"&amp;$H$18,$D168:$D169,"&lt;&gt;*[-]*",$E168:$E169,"&lt;&gt;*[-]*",$F168:$F169,"&lt;&gt;*[-]*",$G168:$G169,"&lt;&gt;*[-]*")</f>
        <v>0</v>
      </c>
      <c r="BQ170" s="203">
        <f t="shared" si="188"/>
        <v>0</v>
      </c>
      <c r="BR170" s="203">
        <f t="shared" si="188"/>
        <v>0</v>
      </c>
      <c r="BS170" s="203">
        <f t="shared" si="188"/>
        <v>0</v>
      </c>
      <c r="BT170" s="203">
        <f t="shared" si="188"/>
        <v>0</v>
      </c>
      <c r="BU170" s="203">
        <f t="shared" si="188"/>
        <v>0</v>
      </c>
      <c r="BV170" s="203">
        <f t="shared" si="188"/>
        <v>0</v>
      </c>
      <c r="BW170" s="203">
        <f t="shared" si="188"/>
        <v>0</v>
      </c>
      <c r="BX170" s="203">
        <f t="shared" si="188"/>
        <v>0</v>
      </c>
      <c r="BY170" s="203">
        <f t="shared" si="188"/>
        <v>0</v>
      </c>
      <c r="BZ170" s="203">
        <f t="shared" si="188"/>
        <v>0</v>
      </c>
      <c r="CA170" s="203">
        <f t="shared" si="188"/>
        <v>0</v>
      </c>
      <c r="CB170" s="204">
        <f t="shared" si="188"/>
        <v>0</v>
      </c>
    </row>
    <row r="171" spans="1:80" ht="11.95" thickBot="1" x14ac:dyDescent="0.3"/>
    <row r="172" spans="1:80" ht="12.45" thickBot="1" x14ac:dyDescent="0.3">
      <c r="A172" t="str">
        <f>IF(COUNTIF(A19:A171,"#showrow")&gt;0,"#showrow","#hiderow")</f>
        <v>#showrow</v>
      </c>
      <c r="C172" s="19" t="s">
        <v>91</v>
      </c>
      <c r="D172" s="19"/>
      <c r="E172" s="19"/>
      <c r="F172" s="19"/>
      <c r="G172" s="19"/>
      <c r="H172" s="188"/>
      <c r="I172" s="188"/>
      <c r="J172" s="188"/>
      <c r="K172" s="188"/>
      <c r="L172" s="188" t="e">
        <f t="shared" ref="L172:X172" si="189">SUMPRODUCT($K$19:$K$171,L$19:L$171)</f>
        <v>#DIV/0!</v>
      </c>
      <c r="M172" s="188" t="e">
        <f t="shared" si="189"/>
        <v>#DIV/0!</v>
      </c>
      <c r="N172" s="188" t="e">
        <f t="shared" si="189"/>
        <v>#DIV/0!</v>
      </c>
      <c r="O172" s="188" t="e">
        <f t="shared" si="189"/>
        <v>#DIV/0!</v>
      </c>
      <c r="P172" s="188" t="e">
        <f t="shared" si="189"/>
        <v>#DIV/0!</v>
      </c>
      <c r="Q172" s="188" t="e">
        <f t="shared" si="189"/>
        <v>#DIV/0!</v>
      </c>
      <c r="R172" s="188" t="e">
        <f t="shared" si="189"/>
        <v>#DIV/0!</v>
      </c>
      <c r="S172" s="188" t="e">
        <f t="shared" si="189"/>
        <v>#DIV/0!</v>
      </c>
      <c r="T172" s="188" t="e">
        <f t="shared" si="189"/>
        <v>#DIV/0!</v>
      </c>
      <c r="U172" s="188" t="e">
        <f t="shared" si="189"/>
        <v>#DIV/0!</v>
      </c>
      <c r="V172" s="188" t="e">
        <f t="shared" si="189"/>
        <v>#DIV/0!</v>
      </c>
      <c r="W172" s="188" t="e">
        <f t="shared" si="189"/>
        <v>#DIV/0!</v>
      </c>
      <c r="X172" s="189" t="e">
        <f t="shared" si="189"/>
        <v>#DIV/0!</v>
      </c>
      <c r="Z172" s="188" t="e">
        <f t="shared" ref="Z172:AL172" si="190">SUMPRODUCT($K$19:$K$171,Z$19:Z$171)</f>
        <v>#DIV/0!</v>
      </c>
      <c r="AA172" s="188" t="e">
        <f t="shared" si="190"/>
        <v>#DIV/0!</v>
      </c>
      <c r="AB172" s="188" t="e">
        <f t="shared" si="190"/>
        <v>#DIV/0!</v>
      </c>
      <c r="AC172" s="188" t="e">
        <f t="shared" si="190"/>
        <v>#DIV/0!</v>
      </c>
      <c r="AD172" s="188" t="e">
        <f t="shared" si="190"/>
        <v>#DIV/0!</v>
      </c>
      <c r="AE172" s="188" t="e">
        <f t="shared" si="190"/>
        <v>#DIV/0!</v>
      </c>
      <c r="AF172" s="188" t="e">
        <f t="shared" si="190"/>
        <v>#DIV/0!</v>
      </c>
      <c r="AG172" s="188" t="e">
        <f t="shared" si="190"/>
        <v>#DIV/0!</v>
      </c>
      <c r="AH172" s="188" t="e">
        <f t="shared" si="190"/>
        <v>#DIV/0!</v>
      </c>
      <c r="AI172" s="188" t="e">
        <f t="shared" si="190"/>
        <v>#DIV/0!</v>
      </c>
      <c r="AJ172" s="188" t="e">
        <f t="shared" si="190"/>
        <v>#DIV/0!</v>
      </c>
      <c r="AK172" s="188" t="e">
        <f t="shared" si="190"/>
        <v>#DIV/0!</v>
      </c>
      <c r="AL172" s="189" t="e">
        <f t="shared" si="190"/>
        <v>#DIV/0!</v>
      </c>
      <c r="AN172" s="188" t="e">
        <f t="shared" ref="AN172:AZ172" si="191">SUMPRODUCT($K$19:$K$171,AN$19:AN$171)</f>
        <v>#DIV/0!</v>
      </c>
      <c r="AO172" s="188" t="e">
        <f t="shared" si="191"/>
        <v>#DIV/0!</v>
      </c>
      <c r="AP172" s="188" t="e">
        <f t="shared" si="191"/>
        <v>#DIV/0!</v>
      </c>
      <c r="AQ172" s="188" t="e">
        <f t="shared" si="191"/>
        <v>#DIV/0!</v>
      </c>
      <c r="AR172" s="188" t="e">
        <f t="shared" si="191"/>
        <v>#DIV/0!</v>
      </c>
      <c r="AS172" s="188" t="e">
        <f t="shared" si="191"/>
        <v>#DIV/0!</v>
      </c>
      <c r="AT172" s="188" t="e">
        <f t="shared" si="191"/>
        <v>#DIV/0!</v>
      </c>
      <c r="AU172" s="188" t="e">
        <f t="shared" si="191"/>
        <v>#DIV/0!</v>
      </c>
      <c r="AV172" s="188" t="e">
        <f t="shared" si="191"/>
        <v>#DIV/0!</v>
      </c>
      <c r="AW172" s="188" t="e">
        <f t="shared" si="191"/>
        <v>#DIV/0!</v>
      </c>
      <c r="AX172" s="188" t="e">
        <f t="shared" si="191"/>
        <v>#DIV/0!</v>
      </c>
      <c r="AY172" s="188" t="e">
        <f t="shared" si="191"/>
        <v>#DIV/0!</v>
      </c>
      <c r="AZ172" s="189" t="e">
        <f t="shared" si="191"/>
        <v>#DIV/0!</v>
      </c>
      <c r="BB172" s="188" t="e">
        <f t="shared" ref="BB172:BN172" si="192">SUMPRODUCT($K$19:$K$171,BB$19:BB$171)</f>
        <v>#DIV/0!</v>
      </c>
      <c r="BC172" s="188" t="e">
        <f t="shared" si="192"/>
        <v>#DIV/0!</v>
      </c>
      <c r="BD172" s="188" t="e">
        <f t="shared" si="192"/>
        <v>#DIV/0!</v>
      </c>
      <c r="BE172" s="188" t="e">
        <f t="shared" si="192"/>
        <v>#DIV/0!</v>
      </c>
      <c r="BF172" s="188" t="e">
        <f t="shared" si="192"/>
        <v>#DIV/0!</v>
      </c>
      <c r="BG172" s="188" t="e">
        <f t="shared" si="192"/>
        <v>#DIV/0!</v>
      </c>
      <c r="BH172" s="188" t="e">
        <f t="shared" si="192"/>
        <v>#DIV/0!</v>
      </c>
      <c r="BI172" s="188" t="e">
        <f t="shared" si="192"/>
        <v>#DIV/0!</v>
      </c>
      <c r="BJ172" s="188" t="e">
        <f t="shared" si="192"/>
        <v>#DIV/0!</v>
      </c>
      <c r="BK172" s="188" t="e">
        <f t="shared" si="192"/>
        <v>#DIV/0!</v>
      </c>
      <c r="BL172" s="188" t="e">
        <f t="shared" si="192"/>
        <v>#DIV/0!</v>
      </c>
      <c r="BM172" s="188" t="e">
        <f t="shared" si="192"/>
        <v>#DIV/0!</v>
      </c>
      <c r="BN172" s="189" t="e">
        <f t="shared" si="192"/>
        <v>#DIV/0!</v>
      </c>
      <c r="BP172" s="203" t="e">
        <f t="shared" ref="BP172:CB172" si="193">SUMPRODUCT($K$19:$K$171,BP$19:BP$171)</f>
        <v>#DIV/0!</v>
      </c>
      <c r="BQ172" s="203" t="e">
        <f t="shared" si="193"/>
        <v>#DIV/0!</v>
      </c>
      <c r="BR172" s="203" t="e">
        <f t="shared" si="193"/>
        <v>#DIV/0!</v>
      </c>
      <c r="BS172" s="203" t="e">
        <f t="shared" si="193"/>
        <v>#DIV/0!</v>
      </c>
      <c r="BT172" s="203" t="e">
        <f t="shared" si="193"/>
        <v>#DIV/0!</v>
      </c>
      <c r="BU172" s="203" t="e">
        <f t="shared" si="193"/>
        <v>#DIV/0!</v>
      </c>
      <c r="BV172" s="203" t="e">
        <f t="shared" si="193"/>
        <v>#DIV/0!</v>
      </c>
      <c r="BW172" s="203" t="e">
        <f t="shared" si="193"/>
        <v>#DIV/0!</v>
      </c>
      <c r="BX172" s="203" t="e">
        <f t="shared" si="193"/>
        <v>#DIV/0!</v>
      </c>
      <c r="BY172" s="203" t="e">
        <f t="shared" si="193"/>
        <v>#DIV/0!</v>
      </c>
      <c r="BZ172" s="203" t="e">
        <f t="shared" si="193"/>
        <v>#DIV/0!</v>
      </c>
      <c r="CA172" s="203" t="e">
        <f t="shared" si="193"/>
        <v>#DIV/0!</v>
      </c>
      <c r="CB172" s="204" t="e">
        <f t="shared" si="193"/>
        <v>#DIV/0!</v>
      </c>
    </row>
    <row r="173" spans="1:80" ht="11.95" x14ac:dyDescent="0.25">
      <c r="A173" t="str">
        <f>A172</f>
        <v>#showrow</v>
      </c>
      <c r="C173" s="19" t="s">
        <v>129</v>
      </c>
      <c r="D173" s="19"/>
      <c r="E173" s="19"/>
      <c r="F173" s="19"/>
      <c r="G173" s="19"/>
      <c r="H173" s="188"/>
      <c r="I173" s="188"/>
      <c r="J173" s="188"/>
      <c r="K173" s="188"/>
      <c r="L173" s="188" t="e">
        <f>L172</f>
        <v>#DIV/0!</v>
      </c>
      <c r="M173" s="188" t="e">
        <f>L173+M172</f>
        <v>#DIV/0!</v>
      </c>
      <c r="N173" s="188" t="e">
        <f t="shared" ref="N173:W173" si="194">M173+N172</f>
        <v>#DIV/0!</v>
      </c>
      <c r="O173" s="188" t="e">
        <f t="shared" si="194"/>
        <v>#DIV/0!</v>
      </c>
      <c r="P173" s="188" t="e">
        <f t="shared" si="194"/>
        <v>#DIV/0!</v>
      </c>
      <c r="Q173" s="188" t="e">
        <f t="shared" si="194"/>
        <v>#DIV/0!</v>
      </c>
      <c r="R173" s="188" t="e">
        <f t="shared" si="194"/>
        <v>#DIV/0!</v>
      </c>
      <c r="S173" s="188" t="e">
        <f t="shared" si="194"/>
        <v>#DIV/0!</v>
      </c>
      <c r="T173" s="188" t="e">
        <f t="shared" si="194"/>
        <v>#DIV/0!</v>
      </c>
      <c r="U173" s="188" t="e">
        <f t="shared" si="194"/>
        <v>#DIV/0!</v>
      </c>
      <c r="V173" s="188" t="e">
        <f t="shared" si="194"/>
        <v>#DIV/0!</v>
      </c>
      <c r="W173" s="188" t="e">
        <f t="shared" si="194"/>
        <v>#DIV/0!</v>
      </c>
      <c r="X173" s="189" t="e">
        <f>W173</f>
        <v>#DIV/0!</v>
      </c>
      <c r="Z173" s="188" t="e">
        <f>Z172</f>
        <v>#DIV/0!</v>
      </c>
      <c r="AA173" s="188" t="e">
        <f>Z173+AA172</f>
        <v>#DIV/0!</v>
      </c>
      <c r="AB173" s="188" t="e">
        <f t="shared" ref="AB173:AK173" si="195">AA173+AB172</f>
        <v>#DIV/0!</v>
      </c>
      <c r="AC173" s="188" t="e">
        <f t="shared" si="195"/>
        <v>#DIV/0!</v>
      </c>
      <c r="AD173" s="188" t="e">
        <f t="shared" si="195"/>
        <v>#DIV/0!</v>
      </c>
      <c r="AE173" s="188" t="e">
        <f t="shared" si="195"/>
        <v>#DIV/0!</v>
      </c>
      <c r="AF173" s="188" t="e">
        <f t="shared" si="195"/>
        <v>#DIV/0!</v>
      </c>
      <c r="AG173" s="188" t="e">
        <f t="shared" si="195"/>
        <v>#DIV/0!</v>
      </c>
      <c r="AH173" s="188" t="e">
        <f t="shared" si="195"/>
        <v>#DIV/0!</v>
      </c>
      <c r="AI173" s="188" t="e">
        <f t="shared" si="195"/>
        <v>#DIV/0!</v>
      </c>
      <c r="AJ173" s="188" t="e">
        <f t="shared" si="195"/>
        <v>#DIV/0!</v>
      </c>
      <c r="AK173" s="188" t="e">
        <f t="shared" si="195"/>
        <v>#DIV/0!</v>
      </c>
      <c r="AL173" s="189" t="e">
        <f>#REF!</f>
        <v>#REF!</v>
      </c>
      <c r="AN173" s="188" t="e">
        <f>AN172</f>
        <v>#DIV/0!</v>
      </c>
      <c r="AO173" s="188" t="e">
        <f>AN173+AO172</f>
        <v>#DIV/0!</v>
      </c>
      <c r="AP173" s="188" t="e">
        <f t="shared" ref="AP173:AY173" si="196">AO173+AP172</f>
        <v>#DIV/0!</v>
      </c>
      <c r="AQ173" s="188" t="e">
        <f t="shared" si="196"/>
        <v>#DIV/0!</v>
      </c>
      <c r="AR173" s="188" t="e">
        <f t="shared" si="196"/>
        <v>#DIV/0!</v>
      </c>
      <c r="AS173" s="188" t="e">
        <f t="shared" si="196"/>
        <v>#DIV/0!</v>
      </c>
      <c r="AT173" s="188" t="e">
        <f t="shared" si="196"/>
        <v>#DIV/0!</v>
      </c>
      <c r="AU173" s="188" t="e">
        <f t="shared" si="196"/>
        <v>#DIV/0!</v>
      </c>
      <c r="AV173" s="188" t="e">
        <f t="shared" si="196"/>
        <v>#DIV/0!</v>
      </c>
      <c r="AW173" s="188" t="e">
        <f t="shared" si="196"/>
        <v>#DIV/0!</v>
      </c>
      <c r="AX173" s="188" t="e">
        <f t="shared" si="196"/>
        <v>#DIV/0!</v>
      </c>
      <c r="AY173" s="188" t="e">
        <f t="shared" si="196"/>
        <v>#DIV/0!</v>
      </c>
      <c r="AZ173" s="189" t="e">
        <f>AY173</f>
        <v>#DIV/0!</v>
      </c>
      <c r="BB173" s="188" t="e">
        <f>BB172</f>
        <v>#DIV/0!</v>
      </c>
      <c r="BC173" s="188" t="e">
        <f>BB173+BC172</f>
        <v>#DIV/0!</v>
      </c>
      <c r="BD173" s="188" t="e">
        <f t="shared" ref="BD173:BM173" si="197">BC173+BD172</f>
        <v>#DIV/0!</v>
      </c>
      <c r="BE173" s="188" t="e">
        <f t="shared" si="197"/>
        <v>#DIV/0!</v>
      </c>
      <c r="BF173" s="188" t="e">
        <f t="shared" si="197"/>
        <v>#DIV/0!</v>
      </c>
      <c r="BG173" s="188" t="e">
        <f t="shared" si="197"/>
        <v>#DIV/0!</v>
      </c>
      <c r="BH173" s="188" t="e">
        <f t="shared" si="197"/>
        <v>#DIV/0!</v>
      </c>
      <c r="BI173" s="188" t="e">
        <f t="shared" si="197"/>
        <v>#DIV/0!</v>
      </c>
      <c r="BJ173" s="188" t="e">
        <f t="shared" si="197"/>
        <v>#DIV/0!</v>
      </c>
      <c r="BK173" s="188" t="e">
        <f t="shared" si="197"/>
        <v>#DIV/0!</v>
      </c>
      <c r="BL173" s="188" t="e">
        <f t="shared" si="197"/>
        <v>#DIV/0!</v>
      </c>
      <c r="BM173" s="188" t="e">
        <f t="shared" si="197"/>
        <v>#DIV/0!</v>
      </c>
      <c r="BN173" s="189" t="e">
        <f>BM173</f>
        <v>#DIV/0!</v>
      </c>
      <c r="BP173" s="203" t="e">
        <f>BP172</f>
        <v>#DIV/0!</v>
      </c>
      <c r="BQ173" s="203" t="e">
        <f>BP173+BQ172</f>
        <v>#DIV/0!</v>
      </c>
      <c r="BR173" s="203" t="e">
        <f t="shared" ref="BR173:CA173" si="198">BQ173+BR172</f>
        <v>#DIV/0!</v>
      </c>
      <c r="BS173" s="203" t="e">
        <f t="shared" si="198"/>
        <v>#DIV/0!</v>
      </c>
      <c r="BT173" s="203" t="e">
        <f t="shared" si="198"/>
        <v>#DIV/0!</v>
      </c>
      <c r="BU173" s="203" t="e">
        <f t="shared" si="198"/>
        <v>#DIV/0!</v>
      </c>
      <c r="BV173" s="203" t="e">
        <f t="shared" si="198"/>
        <v>#DIV/0!</v>
      </c>
      <c r="BW173" s="203" t="e">
        <f t="shared" si="198"/>
        <v>#DIV/0!</v>
      </c>
      <c r="BX173" s="203" t="e">
        <f t="shared" si="198"/>
        <v>#DIV/0!</v>
      </c>
      <c r="BY173" s="203" t="e">
        <f t="shared" si="198"/>
        <v>#DIV/0!</v>
      </c>
      <c r="BZ173" s="203" t="e">
        <f t="shared" si="198"/>
        <v>#DIV/0!</v>
      </c>
      <c r="CA173" s="203" t="e">
        <f t="shared" si="198"/>
        <v>#DIV/0!</v>
      </c>
      <c r="CB173" s="204" t="e">
        <f>CA173</f>
        <v>#DIV/0!</v>
      </c>
    </row>
    <row r="174" spans="1:80" x14ac:dyDescent="0.25">
      <c r="A174" t="str">
        <f>A172</f>
        <v>#showrow</v>
      </c>
    </row>
    <row r="175" spans="1:80" ht="23.35" thickBot="1" x14ac:dyDescent="0.5">
      <c r="A175" t="str">
        <f>IF(COUNTIF(A177:A179,"#showrow")&gt;0,"#showrow","#hiderow")</f>
        <v>#showrow</v>
      </c>
      <c r="C175" s="2" t="s">
        <v>16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P175" s="216"/>
      <c r="BQ175" s="216"/>
      <c r="BR175" s="216"/>
      <c r="BS175" s="216"/>
      <c r="BT175" s="216"/>
      <c r="BU175" s="216"/>
      <c r="BV175" s="216"/>
      <c r="BW175" s="216"/>
      <c r="BX175" s="216"/>
      <c r="BY175" s="216"/>
      <c r="BZ175" s="216"/>
      <c r="CA175" s="216"/>
      <c r="CB175" s="216"/>
    </row>
    <row r="176" spans="1:80" ht="12.45" thickTop="1" thickBot="1" x14ac:dyDescent="0.3">
      <c r="A176" t="str">
        <f>A175</f>
        <v>#showrow</v>
      </c>
    </row>
    <row r="177" spans="1:80" ht="11.95" thickBot="1" x14ac:dyDescent="0.3">
      <c r="A177" t="str">
        <f>IF(G177="Empty","#hiderow","#showrow")</f>
        <v>#showrow</v>
      </c>
      <c r="D177" s="3"/>
      <c r="E177" s="3"/>
      <c r="F177" s="3"/>
      <c r="G177" s="3" t="s">
        <v>32</v>
      </c>
      <c r="H177" s="21"/>
      <c r="I177" s="21"/>
      <c r="J177" s="18"/>
      <c r="K177" s="185"/>
      <c r="L177" s="196">
        <v>0</v>
      </c>
      <c r="M177" s="196">
        <v>0</v>
      </c>
      <c r="N177" s="196">
        <v>0</v>
      </c>
      <c r="O177" s="196">
        <v>0</v>
      </c>
      <c r="P177" s="196">
        <v>0</v>
      </c>
      <c r="Q177" s="196">
        <v>-107739.21</v>
      </c>
      <c r="R177" s="196">
        <v>-78789.72</v>
      </c>
      <c r="S177" s="196">
        <v>-109471.19</v>
      </c>
      <c r="T177" s="196">
        <v>-67119.12</v>
      </c>
      <c r="U177" s="196">
        <v>-93295.35</v>
      </c>
      <c r="V177" s="196">
        <v>-53786.92</v>
      </c>
      <c r="W177" s="196">
        <v>-105094.04</v>
      </c>
      <c r="X177" s="186">
        <f t="shared" ref="X177:X178" si="199">SUM(L177:W177)</f>
        <v>-615295.54999999993</v>
      </c>
      <c r="Z177" s="196">
        <v>-84749.62</v>
      </c>
      <c r="AA177" s="196">
        <v>-78394.942538461502</v>
      </c>
      <c r="AB177" s="196">
        <v>-84068.6781730769</v>
      </c>
      <c r="AC177" s="196">
        <v>-78394.942538461502</v>
      </c>
      <c r="AD177" s="196">
        <v>-78394.942538461502</v>
      </c>
      <c r="AE177" s="196">
        <v>-84068.6781730769</v>
      </c>
      <c r="AF177" s="196">
        <v>-78394.942538461502</v>
      </c>
      <c r="AG177" s="196">
        <v>-78394.942538461502</v>
      </c>
      <c r="AH177" s="196">
        <v>-84068.6781730769</v>
      </c>
      <c r="AI177" s="196">
        <v>-78394.942538461502</v>
      </c>
      <c r="AJ177" s="196">
        <v>-78394.942538461502</v>
      </c>
      <c r="AK177" s="196">
        <v>-84068.6781730769</v>
      </c>
      <c r="AL177" s="186">
        <f t="shared" ref="AL177:AL178" si="200">SUM(Z177:AK177)</f>
        <v>-969788.93046153826</v>
      </c>
      <c r="AN177" s="197">
        <v>-78394.942538461502</v>
      </c>
      <c r="AO177" s="197">
        <v>-78394.942538461502</v>
      </c>
      <c r="AP177" s="197">
        <v>-84068.6781730769</v>
      </c>
      <c r="AQ177" s="197">
        <v>-78394.942538461502</v>
      </c>
      <c r="AR177" s="197">
        <v>-78394.942538461502</v>
      </c>
      <c r="AS177" s="197">
        <v>-84068.6781730769</v>
      </c>
      <c r="AT177" s="197">
        <v>-78394.942538461502</v>
      </c>
      <c r="AU177" s="197">
        <v>-78394.942538461502</v>
      </c>
      <c r="AV177" s="197">
        <v>-84068.6781730769</v>
      </c>
      <c r="AW177" s="197">
        <v>-78394.942538461502</v>
      </c>
      <c r="AX177" s="197">
        <v>-78394.942538461502</v>
      </c>
      <c r="AY177" s="197">
        <v>-84068.6781730769</v>
      </c>
      <c r="AZ177" s="186">
        <f t="shared" ref="AZ177:AZ178" si="201">SUM(AN177:AY177)</f>
        <v>-963434.25299999979</v>
      </c>
      <c r="BB177" s="197">
        <v>-78394.942538461502</v>
      </c>
      <c r="BC177" s="197">
        <v>-78394.942538461502</v>
      </c>
      <c r="BD177" s="197">
        <v>-84068.6781730769</v>
      </c>
      <c r="BE177" s="197">
        <v>-78394.942538461502</v>
      </c>
      <c r="BF177" s="197">
        <v>-78394.942538461502</v>
      </c>
      <c r="BG177" s="197">
        <v>-84068.6781730769</v>
      </c>
      <c r="BH177" s="197">
        <v>-78394.942538461502</v>
      </c>
      <c r="BI177" s="197">
        <v>-78394.942538461502</v>
      </c>
      <c r="BJ177" s="197">
        <v>-84068.6781730769</v>
      </c>
      <c r="BK177" s="197">
        <v>-78394.942538461502</v>
      </c>
      <c r="BL177" s="197">
        <v>-78394.942538461502</v>
      </c>
      <c r="BM177" s="197">
        <v>-84068.6781730769</v>
      </c>
      <c r="BN177" s="186">
        <f t="shared" ref="BN177:BN178" si="202">SUM(BB177:BM177)</f>
        <v>-963434.25299999979</v>
      </c>
      <c r="BP177" s="202">
        <v>2309226.3009778298</v>
      </c>
      <c r="BQ177" s="202">
        <v>3430409.0092343302</v>
      </c>
      <c r="BR177" s="202">
        <v>5653473.1803832296</v>
      </c>
      <c r="BS177" s="202">
        <v>4094476.2528634798</v>
      </c>
      <c r="BT177" s="202">
        <v>3385420.0846106</v>
      </c>
      <c r="BU177" s="202">
        <v>4432412.4458046202</v>
      </c>
      <c r="BV177" s="202">
        <v>3071161.4487707801</v>
      </c>
      <c r="BW177" s="202">
        <v>3451897.9834962301</v>
      </c>
      <c r="BX177" s="202">
        <v>5528291.7456952399</v>
      </c>
      <c r="BY177" s="202">
        <v>4273858.5189533299</v>
      </c>
      <c r="BZ177" s="202">
        <v>3736412.5656069401</v>
      </c>
      <c r="CA177" s="202">
        <v>3634625.10622918</v>
      </c>
      <c r="CB177" s="201">
        <f t="shared" ref="CB177:CB178" si="203">SUM(BP177:CA177)</f>
        <v>47001664.642625786</v>
      </c>
    </row>
    <row r="178" spans="1:80" ht="11.95" thickBot="1" x14ac:dyDescent="0.3">
      <c r="A178" t="str">
        <f t="shared" ref="A178" si="204">IF(G178="Empty","#hiderow","#showrow")</f>
        <v>#showrow</v>
      </c>
      <c r="D178" s="3"/>
      <c r="E178" s="3"/>
      <c r="F178" s="3"/>
      <c r="G178" s="3" t="s">
        <v>31</v>
      </c>
      <c r="H178" s="21"/>
      <c r="I178" s="21"/>
      <c r="J178" s="18"/>
      <c r="K178" s="185"/>
      <c r="L178" s="196">
        <v>0</v>
      </c>
      <c r="M178" s="196">
        <v>0</v>
      </c>
      <c r="N178" s="196">
        <v>0</v>
      </c>
      <c r="O178" s="196">
        <v>0</v>
      </c>
      <c r="P178" s="196">
        <v>0</v>
      </c>
      <c r="Q178" s="196">
        <v>0</v>
      </c>
      <c r="R178" s="196">
        <v>-186528.93</v>
      </c>
      <c r="S178" s="196">
        <v>-109471.19</v>
      </c>
      <c r="T178" s="196">
        <v>-67119.12</v>
      </c>
      <c r="U178" s="196">
        <v>-93295.35</v>
      </c>
      <c r="V178" s="196">
        <v>-53786.92</v>
      </c>
      <c r="W178" s="196">
        <v>-105094.04</v>
      </c>
      <c r="X178" s="186">
        <f t="shared" si="199"/>
        <v>-615295.54999999993</v>
      </c>
      <c r="Z178" s="196">
        <v>-84749.62</v>
      </c>
      <c r="AA178" s="196">
        <v>-78394.942538461502</v>
      </c>
      <c r="AB178" s="196">
        <v>-84068.6781730769</v>
      </c>
      <c r="AC178" s="196">
        <v>-78394.942538461502</v>
      </c>
      <c r="AD178" s="196">
        <v>-78394.942538461502</v>
      </c>
      <c r="AE178" s="196">
        <v>-84068.6781730769</v>
      </c>
      <c r="AF178" s="196">
        <v>-78394.942538461502</v>
      </c>
      <c r="AG178" s="196">
        <v>-78394.942538461502</v>
      </c>
      <c r="AH178" s="196">
        <v>-84068.6781730769</v>
      </c>
      <c r="AI178" s="196">
        <v>-78394.942538461502</v>
      </c>
      <c r="AJ178" s="196">
        <v>-78394.942538461502</v>
      </c>
      <c r="AK178" s="196">
        <v>-84068.6781730769</v>
      </c>
      <c r="AL178" s="186">
        <f t="shared" si="200"/>
        <v>-969788.93046153826</v>
      </c>
      <c r="AN178" s="197">
        <v>-78394.942538461502</v>
      </c>
      <c r="AO178" s="197">
        <v>-78394.942538461502</v>
      </c>
      <c r="AP178" s="197">
        <v>-84068.6781730769</v>
      </c>
      <c r="AQ178" s="197">
        <v>-78394.942538461502</v>
      </c>
      <c r="AR178" s="197">
        <v>-78394.942538461502</v>
      </c>
      <c r="AS178" s="197">
        <v>-84068.6781730769</v>
      </c>
      <c r="AT178" s="197">
        <v>-78394.942538461502</v>
      </c>
      <c r="AU178" s="197">
        <v>-78394.942538461502</v>
      </c>
      <c r="AV178" s="197">
        <v>-84068.6781730769</v>
      </c>
      <c r="AW178" s="197">
        <v>-78394.942538461502</v>
      </c>
      <c r="AX178" s="197">
        <v>-78394.942538461502</v>
      </c>
      <c r="AY178" s="197">
        <v>-84068.6781730769</v>
      </c>
      <c r="AZ178" s="186">
        <f t="shared" si="201"/>
        <v>-963434.25299999979</v>
      </c>
      <c r="BB178" s="197">
        <v>-78394.942538461502</v>
      </c>
      <c r="BC178" s="197">
        <v>-78394.942538461502</v>
      </c>
      <c r="BD178" s="197">
        <v>-84068.6781730769</v>
      </c>
      <c r="BE178" s="197">
        <v>-78394.942538461502</v>
      </c>
      <c r="BF178" s="197">
        <v>-78394.942538461502</v>
      </c>
      <c r="BG178" s="197">
        <v>-84068.6781730769</v>
      </c>
      <c r="BH178" s="197">
        <v>-78394.942538461502</v>
      </c>
      <c r="BI178" s="197">
        <v>-78394.942538461502</v>
      </c>
      <c r="BJ178" s="197">
        <v>-84068.6781730769</v>
      </c>
      <c r="BK178" s="197">
        <v>-78394.942538461502</v>
      </c>
      <c r="BL178" s="197">
        <v>-78394.942538461502</v>
      </c>
      <c r="BM178" s="197">
        <v>-84068.6781730769</v>
      </c>
      <c r="BN178" s="186">
        <f t="shared" si="202"/>
        <v>-963434.25299999979</v>
      </c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1">
        <f t="shared" si="203"/>
        <v>0</v>
      </c>
    </row>
    <row r="181" spans="1:80" ht="12.45" thickBot="1" x14ac:dyDescent="0.3">
      <c r="D181" s="4"/>
      <c r="E181" s="4"/>
      <c r="F181" s="4"/>
      <c r="G181" s="4" t="s">
        <v>20</v>
      </c>
      <c r="H181" s="5"/>
      <c r="I181" s="5"/>
      <c r="J181" s="5"/>
      <c r="K181" s="5"/>
      <c r="L181" s="198">
        <v>0</v>
      </c>
      <c r="M181" s="198">
        <v>0</v>
      </c>
      <c r="N181" s="198">
        <v>0</v>
      </c>
      <c r="O181" s="198">
        <v>0</v>
      </c>
      <c r="P181" s="198">
        <v>0</v>
      </c>
      <c r="Q181" s="198">
        <v>-107739.21</v>
      </c>
      <c r="R181" s="198">
        <v>-78789.72</v>
      </c>
      <c r="S181" s="198">
        <v>-109471.19</v>
      </c>
      <c r="T181" s="198">
        <v>-67119.12</v>
      </c>
      <c r="U181" s="198">
        <v>-93295.35</v>
      </c>
      <c r="V181" s="198">
        <v>-53786.92</v>
      </c>
      <c r="W181" s="198">
        <v>-105094.04</v>
      </c>
      <c r="X181" s="199">
        <f>SUM(L181:W181)</f>
        <v>-615295.54999999993</v>
      </c>
      <c r="Z181" s="198">
        <v>-84749.62</v>
      </c>
      <c r="AA181" s="198">
        <v>-78394.942538461502</v>
      </c>
      <c r="AB181" s="198">
        <v>-84068.6781730769</v>
      </c>
      <c r="AC181" s="198">
        <v>-78394.942538461502</v>
      </c>
      <c r="AD181" s="198">
        <v>-78394.942538461502</v>
      </c>
      <c r="AE181" s="198">
        <v>-84068.6781730769</v>
      </c>
      <c r="AF181" s="198">
        <v>-78394.942538461502</v>
      </c>
      <c r="AG181" s="198">
        <v>-78394.942538461502</v>
      </c>
      <c r="AH181" s="198">
        <v>-84068.6781730769</v>
      </c>
      <c r="AI181" s="198">
        <v>-78394.942538461502</v>
      </c>
      <c r="AJ181" s="198">
        <v>-78394.942538461502</v>
      </c>
      <c r="AK181" s="198">
        <v>-84068.6781730769</v>
      </c>
      <c r="AL181" s="199">
        <f>SUM(Z181:AK181)</f>
        <v>-969788.93046153826</v>
      </c>
      <c r="AN181" s="198">
        <v>-78394.942538461502</v>
      </c>
      <c r="AO181" s="198">
        <v>-78394.942538461502</v>
      </c>
      <c r="AP181" s="198">
        <v>-84068.6781730769</v>
      </c>
      <c r="AQ181" s="198">
        <v>-78394.942538461502</v>
      </c>
      <c r="AR181" s="198">
        <v>-78394.942538461502</v>
      </c>
      <c r="AS181" s="198">
        <v>-84068.6781730769</v>
      </c>
      <c r="AT181" s="198">
        <v>-78394.942538461502</v>
      </c>
      <c r="AU181" s="198">
        <v>-78394.942538461502</v>
      </c>
      <c r="AV181" s="198">
        <v>-84068.6781730769</v>
      </c>
      <c r="AW181" s="198">
        <v>-78394.942538461502</v>
      </c>
      <c r="AX181" s="198">
        <v>-78394.942538461502</v>
      </c>
      <c r="AY181" s="198">
        <v>-84068.6781730769</v>
      </c>
      <c r="AZ181" s="199">
        <f>SUM(AN181:AY181)</f>
        <v>-963434.25299999979</v>
      </c>
      <c r="BB181" s="198">
        <v>-78394.942538461502</v>
      </c>
      <c r="BC181" s="198">
        <v>-78394.942538461502</v>
      </c>
      <c r="BD181" s="198">
        <v>-84068.6781730769</v>
      </c>
      <c r="BE181" s="198">
        <v>-78394.942538461502</v>
      </c>
      <c r="BF181" s="198">
        <v>-78394.942538461502</v>
      </c>
      <c r="BG181" s="198">
        <v>-84068.6781730769</v>
      </c>
      <c r="BH181" s="198">
        <v>-78394.942538461502</v>
      </c>
      <c r="BI181" s="198">
        <v>-78394.942538461502</v>
      </c>
      <c r="BJ181" s="198">
        <v>-84068.6781730769</v>
      </c>
      <c r="BK181" s="198">
        <v>-78394.942538461502</v>
      </c>
      <c r="BL181" s="198">
        <v>-78394.942538461502</v>
      </c>
      <c r="BM181" s="198">
        <v>-84068.6781730769</v>
      </c>
      <c r="BN181" s="199">
        <f>SUM(BB181:BM181)</f>
        <v>-963434.25299999979</v>
      </c>
      <c r="BP181" s="133">
        <v>2309226.3009778298</v>
      </c>
      <c r="BQ181" s="133">
        <v>3430409.0092343302</v>
      </c>
      <c r="BR181" s="133">
        <v>5653473.1803832296</v>
      </c>
      <c r="BS181" s="133">
        <v>4094476.2528634798</v>
      </c>
      <c r="BT181" s="133">
        <v>3385420.0846106</v>
      </c>
      <c r="BU181" s="133">
        <v>4432412.4458046202</v>
      </c>
      <c r="BV181" s="133">
        <v>3071161.4487707801</v>
      </c>
      <c r="BW181" s="133">
        <v>3451897.9834962301</v>
      </c>
      <c r="BX181" s="133">
        <v>5528291.7456952399</v>
      </c>
      <c r="BY181" s="133">
        <v>4273858.5189533299</v>
      </c>
      <c r="BZ181" s="133">
        <v>3736412.5656069401</v>
      </c>
      <c r="CA181" s="133">
        <v>3634625.10622918</v>
      </c>
      <c r="CB181" s="217">
        <f>SUM(BP181:CA181)</f>
        <v>47001664.642625786</v>
      </c>
    </row>
    <row r="182" spans="1:80" hidden="1" x14ac:dyDescent="0.25">
      <c r="A182" t="s">
        <v>1</v>
      </c>
      <c r="L182" s="22" t="e">
        <f t="shared" ref="L182:W182" si="205">_xlfn.IFNA(ROUND(L181-L172,0),0)</f>
        <v>#DIV/0!</v>
      </c>
      <c r="M182" s="22" t="e">
        <f t="shared" si="205"/>
        <v>#DIV/0!</v>
      </c>
      <c r="N182" s="22" t="e">
        <f t="shared" si="205"/>
        <v>#DIV/0!</v>
      </c>
      <c r="O182" s="22" t="e">
        <f t="shared" si="205"/>
        <v>#DIV/0!</v>
      </c>
      <c r="P182" s="22" t="e">
        <f t="shared" si="205"/>
        <v>#DIV/0!</v>
      </c>
      <c r="Q182" s="22" t="e">
        <f t="shared" si="205"/>
        <v>#DIV/0!</v>
      </c>
      <c r="R182" s="22" t="e">
        <f t="shared" si="205"/>
        <v>#DIV/0!</v>
      </c>
      <c r="S182" s="22" t="e">
        <f t="shared" si="205"/>
        <v>#DIV/0!</v>
      </c>
      <c r="T182" s="22" t="e">
        <f t="shared" si="205"/>
        <v>#DIV/0!</v>
      </c>
      <c r="U182" s="22" t="e">
        <f t="shared" si="205"/>
        <v>#DIV/0!</v>
      </c>
      <c r="V182" s="22" t="e">
        <f t="shared" si="205"/>
        <v>#DIV/0!</v>
      </c>
      <c r="W182" s="22" t="e">
        <f t="shared" si="205"/>
        <v>#DIV/0!</v>
      </c>
      <c r="X182" s="22"/>
      <c r="Z182" s="22" t="e">
        <f t="shared" ref="Z182:AK182" si="206">_xlfn.IFNA(ROUND(Z181-Z172,0),0)</f>
        <v>#DIV/0!</v>
      </c>
      <c r="AA182" s="22" t="e">
        <f t="shared" si="206"/>
        <v>#DIV/0!</v>
      </c>
      <c r="AB182" s="22" t="e">
        <f t="shared" si="206"/>
        <v>#DIV/0!</v>
      </c>
      <c r="AC182" s="22" t="e">
        <f t="shared" si="206"/>
        <v>#DIV/0!</v>
      </c>
      <c r="AD182" s="22" t="e">
        <f t="shared" si="206"/>
        <v>#DIV/0!</v>
      </c>
      <c r="AE182" s="22" t="e">
        <f t="shared" si="206"/>
        <v>#DIV/0!</v>
      </c>
      <c r="AF182" s="22" t="e">
        <f t="shared" si="206"/>
        <v>#DIV/0!</v>
      </c>
      <c r="AG182" s="22" t="e">
        <f t="shared" si="206"/>
        <v>#DIV/0!</v>
      </c>
      <c r="AH182" s="22" t="e">
        <f t="shared" si="206"/>
        <v>#DIV/0!</v>
      </c>
      <c r="AI182" s="22" t="e">
        <f t="shared" si="206"/>
        <v>#DIV/0!</v>
      </c>
      <c r="AJ182" s="22" t="e">
        <f t="shared" si="206"/>
        <v>#DIV/0!</v>
      </c>
      <c r="AK182" s="22" t="e">
        <f t="shared" si="206"/>
        <v>#DIV/0!</v>
      </c>
      <c r="AL182" s="22"/>
      <c r="AN182" s="22" t="e">
        <f t="shared" ref="AN182:AY182" si="207">_xlfn.IFNA(ROUND(AN181-AN172,0),0)</f>
        <v>#DIV/0!</v>
      </c>
      <c r="AO182" s="22" t="e">
        <f t="shared" si="207"/>
        <v>#DIV/0!</v>
      </c>
      <c r="AP182" s="22" t="e">
        <f t="shared" si="207"/>
        <v>#DIV/0!</v>
      </c>
      <c r="AQ182" s="22" t="e">
        <f t="shared" si="207"/>
        <v>#DIV/0!</v>
      </c>
      <c r="AR182" s="22" t="e">
        <f t="shared" si="207"/>
        <v>#DIV/0!</v>
      </c>
      <c r="AS182" s="22" t="e">
        <f t="shared" si="207"/>
        <v>#DIV/0!</v>
      </c>
      <c r="AT182" s="22" t="e">
        <f t="shared" si="207"/>
        <v>#DIV/0!</v>
      </c>
      <c r="AU182" s="22" t="e">
        <f t="shared" si="207"/>
        <v>#DIV/0!</v>
      </c>
      <c r="AV182" s="22" t="e">
        <f t="shared" si="207"/>
        <v>#DIV/0!</v>
      </c>
      <c r="AW182" s="22" t="e">
        <f t="shared" si="207"/>
        <v>#DIV/0!</v>
      </c>
      <c r="AX182" s="22" t="e">
        <f t="shared" si="207"/>
        <v>#DIV/0!</v>
      </c>
      <c r="AY182" s="22" t="e">
        <f t="shared" si="207"/>
        <v>#DIV/0!</v>
      </c>
      <c r="AZ182" s="22"/>
      <c r="BB182" s="22" t="e">
        <f t="shared" ref="BB182:BM182" si="208">_xlfn.IFNA(ROUND(BB181-BB172,0),0)</f>
        <v>#DIV/0!</v>
      </c>
      <c r="BC182" s="22" t="e">
        <f t="shared" si="208"/>
        <v>#DIV/0!</v>
      </c>
      <c r="BD182" s="22" t="e">
        <f t="shared" si="208"/>
        <v>#DIV/0!</v>
      </c>
      <c r="BE182" s="22" t="e">
        <f t="shared" si="208"/>
        <v>#DIV/0!</v>
      </c>
      <c r="BF182" s="22" t="e">
        <f t="shared" si="208"/>
        <v>#DIV/0!</v>
      </c>
      <c r="BG182" s="22" t="e">
        <f t="shared" si="208"/>
        <v>#DIV/0!</v>
      </c>
      <c r="BH182" s="22" t="e">
        <f t="shared" si="208"/>
        <v>#DIV/0!</v>
      </c>
      <c r="BI182" s="22" t="e">
        <f t="shared" si="208"/>
        <v>#DIV/0!</v>
      </c>
      <c r="BJ182" s="22" t="e">
        <f t="shared" si="208"/>
        <v>#DIV/0!</v>
      </c>
      <c r="BK182" s="22" t="e">
        <f t="shared" si="208"/>
        <v>#DIV/0!</v>
      </c>
      <c r="BL182" s="22" t="e">
        <f t="shared" si="208"/>
        <v>#DIV/0!</v>
      </c>
      <c r="BM182" s="22" t="e">
        <f t="shared" si="208"/>
        <v>#DIV/0!</v>
      </c>
      <c r="BN182" s="22"/>
      <c r="BP182" s="218" t="e">
        <f t="shared" ref="BP182:CA182" si="209">_xlfn.IFNA(ROUND(BP181-BP172,0),0)</f>
        <v>#DIV/0!</v>
      </c>
      <c r="BQ182" s="218" t="e">
        <f t="shared" si="209"/>
        <v>#DIV/0!</v>
      </c>
      <c r="BR182" s="218" t="e">
        <f t="shared" si="209"/>
        <v>#DIV/0!</v>
      </c>
      <c r="BS182" s="218" t="e">
        <f t="shared" si="209"/>
        <v>#DIV/0!</v>
      </c>
      <c r="BT182" s="218" t="e">
        <f t="shared" si="209"/>
        <v>#DIV/0!</v>
      </c>
      <c r="BU182" s="218" t="e">
        <f t="shared" si="209"/>
        <v>#DIV/0!</v>
      </c>
      <c r="BV182" s="218" t="e">
        <f t="shared" si="209"/>
        <v>#DIV/0!</v>
      </c>
      <c r="BW182" s="218" t="e">
        <f t="shared" si="209"/>
        <v>#DIV/0!</v>
      </c>
      <c r="BX182" s="218" t="e">
        <f t="shared" si="209"/>
        <v>#DIV/0!</v>
      </c>
      <c r="BY182" s="218" t="e">
        <f t="shared" si="209"/>
        <v>#DIV/0!</v>
      </c>
      <c r="BZ182" s="218" t="e">
        <f t="shared" si="209"/>
        <v>#DIV/0!</v>
      </c>
      <c r="CA182" s="218" t="e">
        <f t="shared" si="209"/>
        <v>#DIV/0!</v>
      </c>
      <c r="CB182" s="218"/>
    </row>
    <row r="184" spans="1:80" x14ac:dyDescent="0.25">
      <c r="AE184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7C8-18BB-4942-B587-D616CBA02F2A}">
  <sheetPr codeName="Sheet6"/>
  <dimension ref="A1"/>
  <sheetViews>
    <sheetView topLeftCell="H12" workbookViewId="0">
      <selection sqref="A1:XFD1048576"/>
    </sheetView>
  </sheetViews>
  <sheetFormatPr defaultRowHeight="11.4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venadatastore xmlns="http://venasolutions.com/VenaSPMAddin/VenaWorkbookProperties">{"LoadedSuccessfully":false,"ConnectionContext":null,"Replay":false,"OfflineGuid":"00000000-0000-0000-0000-000000000000","ServiceUrl":null,"WorkbookIsOffline":false,"DocPropertiesJson":null,"Filename":null,"WP":null,"Subdomain":null,"AddinType":"Desktop","AddinVersion":"1.2025.512.1146"}</venadatastore>
</file>

<file path=customXml/item2.xml><?xml version="1.0" encoding="utf-8"?>
<venadatastore xmlns="http://venasolutions.com/VenaSPMAddin/ServerSideBlobV1">{"Version":1,"Mappings":{"_vena_1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"},"_vena_1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1"},"_vena_1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10"},"_vena_1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11"},"_vena_1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12"},"_vena_1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13"},"_vena_1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2"},"_vena_1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3"},"_vena_1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4"},"_vena_1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5"},"_vena_1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6"},"_vena_1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7"},"_vena_1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8"},"_vena_1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134399665b374008851e5b8c04b5ee44","DimensionId":-1,"MemberId":-1,"Inc":"9"},"_vena_1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"},"_vena_1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1"},"_vena_1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10"},"_vena_1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11"},"_vena_1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12"},"_vena_1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13"},"_vena_1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2"},"_vena_1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3"},"_vena_1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4"},"_vena_1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5"},"_vena_1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6"},"_vena_1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7"},"_vena_1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8"},"_vena_1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7cc8369c0b744816a17486bee792b4d5","DimensionId":-1,"MemberId":-1,"Inc":"9"},"_vena_1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"},"_vena_1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1"},"_vena_1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10"},"_vena_1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11"},"_vena_1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12"},"_vena_1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13"},"_vena_1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2"},"_vena_1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3"},"_vena_1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4"},"_vena_1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5"},"_vena_1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6"},"_vena_1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7"},"_vena_1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8"},"_vena_1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2,"DimensionIdStr":"FV","MemberIdStr":"f4ddf33ff6224574ba096b1a5435ea67","DimensionId":-1,"MemberId":-1,"Inc":"9"},"_vena_1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1126333519640395796","DimensionId":1,"MemberId":1126333519640395796,"Inc":""},"_vena_1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1126333519686533120","DimensionId":1,"MemberId":1126333519686533120,"Inc":""},"_vena_1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1126333519715893262","DimensionId":1,"MemberId":1126333519715893262,"Inc":""},"_vena_1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1126333519736864780","DimensionId":1,"MemberId":1126333519736864780,"Inc":""},"_vena_1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1126333519762030608","DimensionId":1,"MemberId":1126333519762030608,"Inc":""},"_vena_1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1126333519778807820","DimensionId":1,"MemberId":1126333519778807820,"Inc":""},"_vena_1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1126333519787196446","DimensionId":1,"MemberId":1126333519787196446,"Inc":""},"_vena_1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1126333519808167948","DimensionId":1,"MemberId":1126333519808167948,"Inc":""},"_vena_1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1126333519854305298","DimensionId":1,"MemberId":1126333519854305298,"Inc":""},"_vena_1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1126333519871082529","DimensionId":1,"MemberId":1126333519871082529,"Inc":""},"_vena_1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1126333519883665426","DimensionId":1,"MemberId":1126333519883665426,"Inc":""},"_vena_1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1126333519900442631","DimensionId":1,"MemberId":1126333519900442631,"Inc":""},"_vena_1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1126333519925608473","DimensionId":1,"MemberId":1126333519925608473,"Inc":""},"_vena_1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1126333519963357190","DimensionId":1,"MemberId":1126333519963357190,"Inc":""},"_vena_1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1176989022519558144","DimensionId":1,"MemberId":1176989022519558144,"Inc":""},"_vena_1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1177034623004573696","DimensionId":1,"MemberId":1177034623004573696,"Inc":""},"_vena_1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1177042009963233280","DimensionId":1,"MemberId":1177042009963233280,"Inc":""},"_vena_1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1177042321444044802","DimensionId":1,"MemberId":1177042321444044802,"Inc":""},"_vena_1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1182443237873811456","DimensionId":1,"MemberId":1182443237873811456,"Inc":""},"_vena_1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1192625627677589504","DimensionId":1,"MemberId":1192625627677589504,"Inc":""},"_vena_1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1193288113649483886","DimensionId":1,"MemberId":1193288113649483886,"Inc":""},"_vena_1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1258522529073987584","DimensionId":1,"MemberId":1258522529073987584,"Inc":""},"_vena_1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1336800240017473538","DimensionId":1,"MemberId":1336800240017473538,"Inc":""},"_vena_1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1525326324040761344","DimensionId":1,"MemberId":1525326324040761344,"Inc":""},"_vena_1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1547710538947624960","DimensionId":1,"MemberId":1547710538947624960,"Inc":""},"_vena_1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1547710569653993893","DimensionId":1,"MemberId":1547710569653993893,"Inc":""},"_vena_1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651631427951788032","DimensionId":1,"MemberId":651631427951788032,"Inc":""},"_vena_1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651631428002119680","DimensionId":1,"MemberId":651631428002119680,"Inc":""},"_vena_1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651631428165697537","DimensionId":1,"MemberId":651631428165697537,"Inc":""},"_vena_1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691119840308494336","DimensionId":1,"MemberId":691119840308494336,"Inc":""},"_vena_1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691121205046280192","DimensionId":1,"MemberId":691121205046280192,"Inc":""},"_vena_1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691121629820878848","DimensionId":1,"MemberId":691121629820878848,"Inc":""},"_vena_1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1","MemberIdStr":"691172173569589248","DimensionId":1,"MemberId":691172173569589248,"Inc":""},"_vena_1_B1_R_FV_385b1d086d8a4b8abf43c04eedb00d88_1ec589b3.39b3f5d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1ec589b3.39b3f5d4"},"_vena_1_B1_R_FV_385b1d086d8a4b8abf43c04eedb00d88_25bff5c3.1876c04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25bff5c3.1876c04b"},"_vena_1_B1_R_FV_385b1d086d8a4b8abf43c04eedb00d88_2714494c.9abe388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2714494c.9abe388c"},"_vena_1_B1_R_FV_385b1d086d8a4b8abf43c04eedb00d88_3294a637.74007850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3294a637.74007850"},"_vena_1_B1_R_FV_385b1d086d8a4b8abf43c04eedb00d88_414f34aa.afa17a01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414f34aa.afa17a01"},"_vena_1_B1_R_FV_385b1d086d8a4b8abf43c04eedb00d88_4595eea8.9900bd4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4595eea8.9900bd4d"},"_vena_1_B1_R_FV_385b1d086d8a4b8abf43c04eedb00d88_493e9e24.a598def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493e9e24.a598def5"},"_vena_1_B1_R_FV_385b1d086d8a4b8abf43c04eedb00d88_56fa9cda.6d66a4a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56fa9cda.6d66a4a3"},"_vena_1_B1_R_FV_385b1d086d8a4b8abf43c04eedb00d88_5b8c3f25.e93e8c36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5b8c3f25.e93e8c36"},"_vena_1_B1_R_FV_385b1d086d8a4b8abf43c04eedb00d88_5f1ee2f1.147903e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5f1ee2f1.147903ec"},"_vena_1_B1_R_FV_385b1d086d8a4b8abf43c04eedb00d88_60148fd9.8a7f705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60148fd9.8a7f705"},"_vena_1_B1_R_FV_385b1d086d8a4b8abf43c04eedb00d88_6fd17684.a7c87e86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6fd17684.a7c87e86"},"_vena_1_B1_R_FV_385b1d086d8a4b8abf43c04eedb00d88_7b633d6.a3a1014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7b633d6.a3a1014e"},"_vena_1_B1_R_FV_385b1d086d8a4b8abf43c04eedb00d88_8b14c78f.f57fbe79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8b14c78f.f57fbe79"},"_vena_1_B1_R_FV_385b1d086d8a4b8abf43c04eedb00d88_8dc35574.a24692e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8dc35574.a24692ea"},"_vena_1_B1_R_FV_385b1d086d8a4b8abf43c04eedb00d88_96aca248.19035cf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96aca248.19035cff"},"_vena_1_B1_R_FV_385b1d086d8a4b8abf43c04eedb00d88_9c988328.350e0e2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9c988328.350e0e2d"},"_vena_1_B1_R_FV_385b1d086d8a4b8abf43c04eedb00d88_adfc71bf.7ae5b388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adfc71bf.7ae5b388"},"_vena_1_B1_R_FV_385b1d086d8a4b8abf43c04eedb00d88_b4be782f.ef55908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b4be782f.ef55908e"},"_vena_1_B1_R_FV_385b1d086d8a4b8abf43c04eedb00d88_b7003ed4.266d13f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b7003ed4.266d13f5"},"_vena_1_B1_R_FV_385b1d086d8a4b8abf43c04eedb00d88_ba21577b.fb49e1f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ba21577b.fb49e1f1"},"_vena_1_B1_R_FV_385b1d086d8a4b8abf43c04eedb00d88_bd85c5d7.69e98ab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bd85c5d7.69e98ab0"},"_vena_1_B1_R_FV_385b1d086d8a4b8abf43c04eedb00d88_c0fe04cd.c557d17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c0fe04cd.c557d17f"},"_vena_1_B1_R_FV_385b1d086d8a4b8abf43c04eedb00d88_c49c509c.fe7b5801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c49c509c.fe7b5801"},"_vena_1_B1_R_FV_385b1d086d8a4b8abf43c04eedb00d88_c4a3fd2d.fd06ec4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c4a3fd2d.fd06ec4c"},"_vena_1_B1_R_FV_385b1d086d8a4b8abf43c04eedb00d88_ca65fd1d.f2f20e5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B1","VenaRangeType":1,"DimensionIdStr":"FV","MemberIdStr":"385b1d086d8a4b8abf43c04eedb00d88","DimensionId":-1,"MemberId":-1,"Inc":"ca65fd1d.f2f20e5d"},"_vena_1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","VenaRangeType":0,"DimensionIdStr":"11","MemberIdStr":"651631431944765441","DimensionId":11,"MemberId":651631431944765441,"Inc":""},"_vena_1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","VenaRangeType":0,"DimensionIdStr":"12","MemberIdStr":"651631431982514177","DimensionId":12,"MemberId":651631431982514177,"Inc":""},"_vena_1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","VenaRangeType":0,"DimensionIdStr":"2","MemberIdStr":"651631429184913409","DimensionId":2,"MemberId":651631429184913409,"Inc":""},"_vena_1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","VenaRangeType":0,"DimensionIdStr":"4","MemberIdStr":"652241713652170752","DimensionId":4,"MemberId":652241713652170752,"Inc":""},"_vena_1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","VenaRangeType":0,"DimensionIdStr":"5","MemberIdStr":"652241713786388480","DimensionId":5,"MemberId":652241713786388480,"Inc":""},"_vena_1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","VenaRangeType":0,"DimensionIdStr":"6","MemberIdStr":"652241713908023296","DimensionId":6,"MemberId":652241713908023296,"Inc":""},"_vena_1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","VenaRangeType":0,"DimensionIdStr":"7","MemberIdStr":"652241714033852416","DimensionId":7,"MemberId":652241714033852416,"Inc":""},"_vena_1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","BlockName":"","VenaRangeType":0,"DimensionIdStr":"FV","MemberIdStr":"a2a46c4bae444ba2ab0e2971d74e2ddb","DimensionId":-1,"MemberId":-1,"Inc":""},"_vena_11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"},"_vena_11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"},"_vena_11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10"},"_vena_11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11"},"_vena_11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12"},"_vena_11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13"},"_vena_11_b1_C_FV_134399665b374008851e5b8c04b5ee44_14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14"},"_vena_11_b1_C_FV_134399665b374008851e5b8c04b5ee44_15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15"},"_vena_11_b1_C_FV_134399665b374008851e5b8c04b5ee44_16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16"},"_vena_11_b1_C_FV_134399665b374008851e5b8c04b5ee44_17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17"},"_vena_11_b1_C_FV_134399665b374008851e5b8c04b5ee44_18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18"},"_vena_11_b1_C_FV_134399665b374008851e5b8c04b5ee44_19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19"},"_vena_11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"},"_vena_11_b1_C_FV_134399665b374008851e5b8c04b5ee44_20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20"},"_vena_11_b1_C_FV_134399665b374008851e5b8c04b5ee44_21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21"},"_vena_11_b1_C_FV_134399665b374008851e5b8c04b5ee44_22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22"},"_vena_11_b1_C_FV_134399665b374008851e5b8c04b5ee44_23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23"},"_vena_11_b1_C_FV_134399665b374008851e5b8c04b5ee44_24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24"},"_vena_11_b1_C_FV_134399665b374008851e5b8c04b5ee44_25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25"},"_vena_11_b1_C_FV_134399665b374008851e5b8c04b5ee44_26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26"},"_vena_11_b1_C_FV_134399665b374008851e5b8c04b5ee44_27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27"},"_vena_11_b1_C_FV_134399665b374008851e5b8c04b5ee44_28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28"},"_vena_11_b1_C_FV_134399665b374008851e5b8c04b5ee44_29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29"},"_vena_11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"},"_vena_11_b1_C_FV_134399665b374008851e5b8c04b5ee44_30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30"},"_vena_11_b1_C_FV_134399665b374008851e5b8c04b5ee44_31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31"},"_vena_11_b1_C_FV_134399665b374008851e5b8c04b5ee44_32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32"},"_vena_11_b1_C_FV_134399665b374008851e5b8c04b5ee44_33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33"},"_vena_11_b1_C_FV_134399665b374008851e5b8c04b5ee44_34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34"},"_vena_11_b1_C_FV_134399665b374008851e5b8c04b5ee44_35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35"},"_vena_11_b1_C_FV_134399665b374008851e5b8c04b5ee44_36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36"},"_vena_11_b1_C_FV_134399665b374008851e5b8c04b5ee44_37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37"},"_vena_11_b1_C_FV_134399665b374008851e5b8c04b5ee44_38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38"},"_vena_11_b1_C_FV_134399665b374008851e5b8c04b5ee44_39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39"},"_vena_11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4"},"_vena_11_b1_C_FV_134399665b374008851e5b8c04b5ee44_40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40"},"_vena_11_b1_C_FV_134399665b374008851e5b8c04b5ee44_41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41"},"_vena_11_b1_C_FV_134399665b374008851e5b8c04b5ee44_42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42"},"_vena_11_b1_C_FV_134399665b374008851e5b8c04b5ee44_43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43"},"_vena_11_b1_C_FV_134399665b374008851e5b8c04b5ee44_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44"},"_vena_11_b1_C_FV_134399665b374008851e5b8c04b5ee44_45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45"},"_vena_11_b1_C_FV_134399665b374008851e5b8c04b5ee44_46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46"},"_vena_11_b1_C_FV_134399665b374008851e5b8c04b5ee44_47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47"},"_vena_11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5"},"_vena_11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6"},"_vena_11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7"},"_vena_11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8"},"_vena_11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134399665b374008851e5b8c04b5ee44","DimensionId":-1,"MemberId":-1,"Inc":"9"},"_vena_11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"},"_vena_11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"},"_vena_11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10"},"_vena_11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11"},"_vena_11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12"},"_vena_11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13"},"_vena_11_b1_C_FV_7cc8369c0b744816a17486bee792b4d5_14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14"},"_vena_11_b1_C_FV_7cc8369c0b744816a17486bee792b4d5_15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15"},"_vena_11_b1_C_FV_7cc8369c0b744816a17486bee792b4d5_16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16"},"_vena_11_b1_C_FV_7cc8369c0b744816a17486bee792b4d5_17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17"},"_vena_11_b1_C_FV_7cc8369c0b744816a17486bee792b4d5_18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18"},"_vena_11_b1_C_FV_7cc8369c0b744816a17486bee792b4d5_19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19"},"_vena_11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"},"_vena_11_b1_C_FV_7cc8369c0b744816a17486bee792b4d5_20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20"},"_vena_11_b1_C_FV_7cc8369c0b744816a17486bee792b4d5_21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21"},"_vena_11_b1_C_FV_7cc8369c0b744816a17486bee792b4d5_22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22"},"_vena_11_b1_C_FV_7cc8369c0b744816a17486bee792b4d5_23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23"},"_vena_11_b1_C_FV_7cc8369c0b744816a17486bee792b4d5_24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24"},"_vena_11_b1_C_FV_7cc8369c0b744816a17486bee792b4d5_25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25"},"_vena_11_b1_C_FV_7cc8369c0b744816a17486bee792b4d5_26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26"},"_vena_11_b1_C_FV_7cc8369c0b744816a17486bee792b4d5_27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27"},"_vena_11_b1_C_FV_7cc8369c0b744816a17486bee792b4d5_28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28"},"_vena_11_b1_C_FV_7cc8369c0b744816a17486bee792b4d5_29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29"},"_vena_11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"},"_vena_11_b1_C_FV_7cc8369c0b744816a17486bee792b4d5_30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30"},"_vena_11_b1_C_FV_7cc8369c0b744816a17486bee792b4d5_31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31"},"_vena_11_b1_C_FV_7cc8369c0b744816a17486bee792b4d5_32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32"},"_vena_11_b1_C_FV_7cc8369c0b744816a17486bee792b4d5_33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33"},"_vena_11_b1_C_FV_7cc8369c0b744816a17486bee792b4d5_34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34"},"_vena_11_b1_C_FV_7cc8369c0b744816a17486bee792b4d5_35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35"},"_vena_11_b1_C_FV_7cc8369c0b744816a17486bee792b4d5_36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36"},"_vena_11_b1_C_FV_7cc8369c0b744816a17486bee792b4d5_37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37"},"_vena_11_b1_C_FV_7cc8369c0b744816a17486bee792b4d5_38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38"},"_vena_11_b1_C_FV_7cc8369c0b744816a17486bee792b4d5_39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39"},"_vena_11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4"},"_vena_11_b1_C_FV_7cc8369c0b744816a17486bee792b4d5_40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40"},"_vena_11_b1_C_FV_7cc8369c0b744816a17486bee792b4d5_41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41"},"_vena_11_b1_C_FV_7cc8369c0b744816a17486bee792b4d5_42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42"},"_vena_11_b1_C_FV_7cc8369c0b744816a17486bee792b4d5_43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43"},"_vena_11_b1_C_FV_7cc8369c0b744816a17486bee792b4d5_44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44"},"_vena_11_b1_C_FV_7cc8369c0b744816a17486bee792b4d5_45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45"},"_vena_11_b1_C_FV_7cc8369c0b744816a17486bee792b4d5_46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46"},"_vena_11_b1_C_FV_7cc8369c0b744816a17486bee792b4d5_47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47"},"_vena_11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5"},"_vena_11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6"},"_vena_11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7"},"_vena_11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8"},"_vena_11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7cc8369c0b744816a17486bee792b4d5","DimensionId":-1,"MemberId":-1,"Inc":"9"},"_vena_11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"},"_vena_11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"},"_vena_11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10"},"_vena_11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11"},"_vena_11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12"},"_vena_11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13"},"_vena_11_b1_C_FV_f4ddf33ff6224574ba096b1a5435ea67_14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14"},"_vena_11_b1_C_FV_f4ddf33ff6224574ba096b1a5435ea67_15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15"},"_vena_11_b1_C_FV_f4ddf33ff6224574ba096b1a5435ea67_16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16"},"_vena_11_b1_C_FV_f4ddf33ff6224574ba096b1a5435ea67_17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17"},"_vena_11_b1_C_FV_f4ddf33ff6224574ba096b1a5435ea67_18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18"},"_vena_11_b1_C_FV_f4ddf33ff6224574ba096b1a5435ea67_19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19"},"_vena_11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"},"_vena_11_b1_C_FV_f4ddf33ff6224574ba096b1a5435ea67_20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20"},"_vena_11_b1_C_FV_f4ddf33ff6224574ba096b1a5435ea67_21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21"},"_vena_11_b1_C_FV_f4ddf33ff6224574ba096b1a5435ea67_22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22"},"_vena_11_b1_C_FV_f4ddf33ff6224574ba096b1a5435ea67_23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23"},"_vena_11_b1_C_FV_f4ddf33ff6224574ba096b1a5435ea67_24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24"},"_vena_11_b1_C_FV_f4ddf33ff6224574ba096b1a5435ea67_25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25"},"_vena_11_b1_C_FV_f4ddf33ff6224574ba096b1a5435ea67_26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26"},"_vena_11_b1_C_FV_f4ddf33ff6224574ba096b1a5435ea67_27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27"},"_vena_11_b1_C_FV_f4ddf33ff6224574ba096b1a5435ea67_28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28"},"_vena_11_b1_C_FV_f4ddf33ff6224574ba096b1a5435ea67_29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29"},"_vena_11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"},"_vena_11_b1_C_FV_f4ddf33ff6224574ba096b1a5435ea67_30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30"},"_vena_11_b1_C_FV_f4ddf33ff6224574ba096b1a5435ea67_31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31"},"_vena_11_b1_C_FV_f4ddf33ff6224574ba096b1a5435ea67_32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32"},"_vena_11_b1_C_FV_f4ddf33ff6224574ba096b1a5435ea67_33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33"},"_vena_11_b1_C_FV_f4ddf33ff6224574ba096b1a5435ea67_34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34"},"_vena_11_b1_C_FV_f4ddf33ff6224574ba096b1a5435ea67_35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35"},"_vena_11_b1_C_FV_f4ddf33ff6224574ba096b1a5435ea67_36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36"},"_vena_11_b1_C_FV_f4ddf33ff6224574ba096b1a5435ea67_37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37"},"_vena_11_b1_C_FV_f4ddf33ff6224574ba096b1a5435ea67_38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38"},"_vena_11_b1_C_FV_f4ddf33ff6224574ba096b1a5435ea67_39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39"},"_vena_11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4"},"_vena_11_b1_C_FV_f4ddf33ff6224574ba096b1a5435ea67_40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40"},"_vena_11_b1_C_FV_f4ddf33ff6224574ba096b1a5435ea67_41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41"},"_vena_11_b1_C_FV_f4ddf33ff6224574ba096b1a5435ea67_42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42"},"_vena_11_b1_C_FV_f4ddf33ff6224574ba096b1a5435ea67_43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43"},"_vena_11_b1_C_FV_f4ddf33ff6224574ba096b1a5435ea67_44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44"},"_vena_11_b1_C_FV_f4ddf33ff6224574ba096b1a5435ea67_45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45"},"_vena_11_b1_C_FV_f4ddf33ff6224574ba096b1a5435ea67_46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46"},"_vena_11_b1_C_FV_f4ddf33ff6224574ba096b1a5435ea67_47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47"},"_vena_11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5"},"_vena_11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6"},"_vena_11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7"},"_vena_11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8"},"_vena_11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2,"DimensionIdStr":"FV","MemberIdStr":"f4ddf33ff6224574ba096b1a5435ea67","DimensionId":-1,"MemberId":-1,"Inc":"9"},"_vena_11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1126333519640395796","DimensionId":1,"MemberId":1126333519640395796,"Inc":""},"_vena_11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1126333519686533120","DimensionId":1,"MemberId":1126333519686533120,"Inc":""},"_vena_11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1126333519715893262","DimensionId":1,"MemberId":1126333519715893262,"Inc":""},"_vena_11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1126333519736864780","DimensionId":1,"MemberId":1126333519736864780,"Inc":""},"_vena_11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1126333519762030608","DimensionId":1,"MemberId":1126333519762030608,"Inc":""},"_vena_11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1126333519778807820","DimensionId":1,"MemberId":1126333519778807820,"Inc":""},"_vena_11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1126333519787196446","DimensionId":1,"MemberId":1126333519787196446,"Inc":""},"_vena_11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1126333519808167948","DimensionId":1,"MemberId":1126333519808167948,"Inc":""},"_vena_11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1126333519854305298","DimensionId":1,"MemberId":1126333519854305298,"Inc":""},"_vena_11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1126333519871082529","DimensionId":1,"MemberId":1126333519871082529,"Inc":""},"_vena_11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1126333519883665426","DimensionId":1,"MemberId":1126333519883665426,"Inc":""},"_vena_11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1126333519900442631","DimensionId":1,"MemberId":1126333519900442631,"Inc":""},"_vena_11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1126333519925608473","DimensionId":1,"MemberId":1126333519925608473,"Inc":""},"_vena_11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1126333519963357190","DimensionId":1,"MemberId":1126333519963357190,"Inc":""},"_vena_11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1176989022519558144","DimensionId":1,"MemberId":1176989022519558144,"Inc":""},"_vena_11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1177034623004573696","DimensionId":1,"MemberId":1177034623004573696,"Inc":""},"_vena_11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1177042009963233280","DimensionId":1,"MemberId":1177042009963233280,"Inc":""},"_vena_11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1177042321444044802","DimensionId":1,"MemberId":1177042321444044802,"Inc":""},"_vena_11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1182443237873811456","DimensionId":1,"MemberId":1182443237873811456,"Inc":""},"_vena_11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1192625627677589504","DimensionId":1,"MemberId":1192625627677589504,"Inc":""},"_vena_11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1193288113649483886","DimensionId":1,"MemberId":1193288113649483886,"Inc":""},"_vena_11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1258522529073987584","DimensionId":1,"MemberId":1258522529073987584,"Inc":""},"_vena_11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1336800240017473538","DimensionId":1,"MemberId":1336800240017473538,"Inc":""},"_vena_11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1525326324040761344","DimensionId":1,"MemberId":1525326324040761344,"Inc":""},"_vena_11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1547710538947624960","DimensionId":1,"MemberId":1547710538947624960,"Inc":""},"_vena_11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1547710569653993893","DimensionId":1,"MemberId":1547710569653993893,"Inc":""},"_vena_11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651631427951788032","DimensionId":1,"MemberId":651631427951788032,"Inc":""},"_vena_11_b1_R_1_651631427989536768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651631427989536768","DimensionId":1,"MemberId":651631427989536768,"Inc":""},"_vena_11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651631428002119680","DimensionId":1,"MemberId":651631428002119680,"Inc":""},"_vena_11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651631428165697537","DimensionId":1,"MemberId":651631428165697537,"Inc":""},"_vena_11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691119840308494336","DimensionId":1,"MemberId":691119840308494336,"Inc":""},"_vena_11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691121205046280192","DimensionId":1,"MemberId":691121205046280192,"Inc":""},"_vena_11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691121629820878848","DimensionId":1,"MemberId":691121629820878848,"Inc":""},"_vena_11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1","MemberIdStr":"691172173569589248","DimensionId":1,"MemberId":691172173569589248,"Inc":""},"_vena_11_b1_R_FV_385b1d086d8a4b8abf43c04eedb00d88_19722a3e.5a2c7276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19722a3e.5a2c7276"},"_vena_11_b1_R_FV_385b1d086d8a4b8abf43c04eedb00d88_204abc65.973930a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204abc65.973930a8"},"_vena_11_b1_R_FV_385b1d086d8a4b8abf43c04eedb00d88_2a39341b.939b20d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2a39341b.939b20d9"},"_vena_11_b1_R_FV_385b1d086d8a4b8abf43c04eedb00d88_2c573e38.e7363a11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2c573e38.e7363a11"},"_vena_11_b1_R_FV_385b1d086d8a4b8abf43c04eedb00d88_2e0a8486.77161ab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2e0a8486.77161ab7"},"_vena_11_b1_R_FV_385b1d086d8a4b8abf43c04eedb00d88_2fb027f1.fe0d944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2fb027f1.fe0d944a"},"_vena_11_b1_R_FV_385b1d086d8a4b8abf43c04eedb00d88_31cf1ceb.b531da81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31cf1ceb.b531da81"},"_vena_11_b1_R_FV_385b1d086d8a4b8abf43c04eedb00d88_3241160a.fa9997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3241160a.fa9997f"},"_vena_11_b1_R_FV_385b1d086d8a4b8abf43c04eedb00d88_471624fe.45f1807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471624fe.45f1807a"},"_vena_11_b1_R_FV_385b1d086d8a4b8abf43c04eedb00d88_4dd26bb7.1df163b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4dd26bb7.1df163ba"},"_vena_11_b1_R_FV_385b1d086d8a4b8abf43c04eedb00d88_532e15d.5e56eb09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532e15d.5e56eb09"},"_vena_11_b1_R_FV_385b1d086d8a4b8abf43c04eedb00d88_5354126d.36a6f4d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5354126d.36a6f4df"},"_vena_11_b1_R_FV_385b1d086d8a4b8abf43c04eedb00d88_5cdb8ef7.9c678382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5cdb8ef7.9c678382"},"_vena_11_b1_R_FV_385b1d086d8a4b8abf43c04eedb00d88_5d93617e.92c61e0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5d93617e.92c61e0a"},"_vena_11_b1_R_FV_385b1d086d8a4b8abf43c04eedb00d88_710dea0a.63419ea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710dea0a.63419ea7"},"_vena_11_b1_R_FV_385b1d086d8a4b8abf43c04eedb00d88_7cf6ce40.2e923063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7cf6ce40.2e923063"},"_vena_11_b1_R_FV_385b1d086d8a4b8abf43c04eedb00d88_7df812d.25c8380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7df812d.25c8380a"},"_vena_11_b1_R_FV_385b1d086d8a4b8abf43c04eedb00d88_8182ed99.ef53c490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8182ed99.ef53c490"},"_vena_11_b1_R_FV_385b1d086d8a4b8abf43c04eedb00d88_8741a0cb.1850c30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8741a0cb.1850c30b"},"_vena_11_b1_R_FV_385b1d086d8a4b8abf43c04eedb00d88_92ef4942.f5ca3d1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92ef4942.f5ca3d1d"},"_vena_11_b1_R_FV_385b1d086d8a4b8abf43c04eedb00d88_95f43d9.998bbc5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95f43d9.998bbc5b"},"_vena_11_b1_R_FV_385b1d086d8a4b8abf43c04eedb00d88_980f6545.156ad241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980f6545.156ad241"},"_vena_11_b1_R_FV_385b1d086d8a4b8abf43c04eedb00d88_acbff197.df8379d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acbff197.df8379dc"},"_vena_11_b1_R_FV_385b1d086d8a4b8abf43c04eedb00d88_bdc065f1.cd3c5558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bdc065f1.cd3c5558"},"_vena_11_b1_R_FV_385b1d086d8a4b8abf43c04eedb00d88_f9ab52cd.f8334882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f9ab52cd.f8334882"},"_vena_11_b1_R_FV_385b1d086d8a4b8abf43c04eedb00d88_fb63e8d9.33d83ce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b1","VenaRangeType":1,"DimensionIdStr":"FV","MemberIdStr":"385b1d086d8a4b8abf43c04eedb00d88","DimensionId":-1,"MemberId":-1,"Inc":"fb63e8d9.33d83cee"},"_vena_11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","VenaRangeType":0,"DimensionIdStr":"11","MemberIdStr":"651631431944765441","DimensionId":11,"MemberId":651631431944765441,"Inc":""},"_vena_11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","VenaRangeType":0,"DimensionIdStr":"12","MemberIdStr":"651631431982514177","DimensionId":12,"MemberId":651631431982514177,"Inc":""},"_vena_11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","VenaRangeType":0,"DimensionIdStr":"2","MemberIdStr":"651631429184913409","DimensionId":2,"MemberId":651631429184913409,"Inc":""},"_vena_11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","VenaRangeType":0,"DimensionIdStr":"4","MemberIdStr":"652241713652170752","DimensionId":4,"MemberId":652241713652170752,"Inc":""},"_vena_11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","VenaRangeType":0,"DimensionIdStr":"5","MemberIdStr":"652241713786388480","DimensionId":5,"MemberId":652241713786388480,"Inc":""},"_vena_11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","VenaRangeType":0,"DimensionIdStr":"6","MemberIdStr":"652241713908023296","DimensionId":6,"MemberId":652241713908023296,"Inc":""},"_vena_11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","VenaRangeType":0,"DimensionIdStr":"7","MemberIdStr":"652241714033852416","DimensionId":7,"MemberId":652241714033852416,"Inc":""},"_vena_11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11","BlockName":"","VenaRangeType":0,"DimensionIdStr":"FV","MemberIdStr":"a2a46c4bae444ba2ab0e2971d74e2ddb","DimensionId":-1,"MemberId":-1,"Inc":""},"_vena_2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"},"_vena_2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"},"_vena_2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10"},"_vena_2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11"},"_vena_2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12"},"_vena_2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13"},"_vena_2_B1_C_FV_134399665b374008851e5b8c04b5ee44_14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14"},"_vena_2_B1_C_FV_134399665b374008851e5b8c04b5ee44_15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15"},"_vena_2_B1_C_FV_134399665b374008851e5b8c04b5ee44_16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16"},"_vena_2_B1_C_FV_134399665b374008851e5b8c04b5ee44_17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17"},"_vena_2_B1_C_FV_134399665b374008851e5b8c04b5ee44_18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18"},"_vena_2_B1_C_FV_134399665b374008851e5b8c04b5ee44_19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19"},"_vena_2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"},"_vena_2_B1_C_FV_134399665b374008851e5b8c04b5ee44_20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20"},"_vena_2_B1_C_FV_134399665b374008851e5b8c04b5ee44_21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21"},"_vena_2_B1_C_FV_134399665b374008851e5b8c04b5ee44_22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22"},"_vena_2_B1_C_FV_134399665b374008851e5b8c04b5ee44_23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23"},"_vena_2_B1_C_FV_134399665b374008851e5b8c04b5ee44_25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25"},"_vena_2_B1_C_FV_134399665b374008851e5b8c04b5ee44_26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26"},"_vena_2_B1_C_FV_134399665b374008851e5b8c04b5ee44_27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27"},"_vena_2_B1_C_FV_134399665b374008851e5b8c04b5ee44_28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28"},"_vena_2_B1_C_FV_134399665b374008851e5b8c04b5ee44_29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29"},"_vena_2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"},"_vena_2_B1_C_FV_134399665b374008851e5b8c04b5ee44_30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30"},"_vena_2_B1_C_FV_134399665b374008851e5b8c04b5ee44_31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31"},"_vena_2_B1_C_FV_134399665b374008851e5b8c04b5ee44_32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32"},"_vena_2_B1_C_FV_134399665b374008851e5b8c04b5ee44_33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33"},"_vena_2_B1_C_FV_134399665b374008851e5b8c04b5ee44_34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34"},"_vena_2_B1_C_FV_134399665b374008851e5b8c04b5ee44_35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35"},"_vena_2_B1_C_FV_134399665b374008851e5b8c04b5ee44_36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36"},"_vena_2_B1_C_FV_134399665b374008851e5b8c04b5ee44_38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38"},"_vena_2_B1_C_FV_134399665b374008851e5b8c04b5ee44_39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39"},"_vena_2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"},"_vena_2_B1_C_FV_134399665b374008851e5b8c04b5ee44_40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40"},"_vena_2_B1_C_FV_134399665b374008851e5b8c04b5ee44_41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41"},"_vena_2_B1_C_FV_134399665b374008851e5b8c04b5ee44_42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42"},"_vena_2_B1_C_FV_134399665b374008851e5b8c04b5ee44_43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43"},"_vena_2_B1_C_FV_134399665b374008851e5b8c04b5ee44_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44"},"_vena_2_B1_C_FV_134399665b374008851e5b8c04b5ee44_45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45"},"_vena_2_B1_C_FV_134399665b374008851e5b8c04b5ee44_46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46"},"_vena_2_B1_C_FV_134399665b374008851e5b8c04b5ee44_47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47"},"_vena_2_B1_C_FV_134399665b374008851e5b8c04b5ee44_48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48"},"_vena_2_B1_C_FV_134399665b374008851e5b8c04b5ee44_49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49"},"_vena_2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5"},"_vena_2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6"},"_vena_2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7"},"_vena_2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8"},"_vena_2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134399665b374008851e5b8c04b5ee44","DimensionId":-1,"MemberId":-1,"Inc":"9"},"_vena_2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"},"_vena_2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"},"_vena_2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10"},"_vena_2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11"},"_vena_2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12"},"_vena_2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13"},"_vena_2_B1_C_FV_7cc8369c0b744816a17486bee792b4d5_14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14"},"_vena_2_B1_C_FV_7cc8369c0b744816a17486bee792b4d5_15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15"},"_vena_2_B1_C_FV_7cc8369c0b744816a17486bee792b4d5_16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16"},"_vena_2_B1_C_FV_7cc8369c0b744816a17486bee792b4d5_17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17"},"_vena_2_B1_C_FV_7cc8369c0b744816a17486bee792b4d5_18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18"},"_vena_2_B1_C_FV_7cc8369c0b744816a17486bee792b4d5_19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19"},"_vena_2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"},"_vena_2_B1_C_FV_7cc8369c0b744816a17486bee792b4d5_20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20"},"_vena_2_B1_C_FV_7cc8369c0b744816a17486bee792b4d5_21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21"},"_vena_2_B1_C_FV_7cc8369c0b744816a17486bee792b4d5_22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22"},"_vena_2_B1_C_FV_7cc8369c0b744816a17486bee792b4d5_23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23"},"_vena_2_B1_C_FV_7cc8369c0b744816a17486bee792b4d5_25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25"},"_vena_2_B1_C_FV_7cc8369c0b744816a17486bee792b4d5_26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26"},"_vena_2_B1_C_FV_7cc8369c0b744816a17486bee792b4d5_27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27"},"_vena_2_B1_C_FV_7cc8369c0b744816a17486bee792b4d5_28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28"},"_vena_2_B1_C_FV_7cc8369c0b744816a17486bee792b4d5_29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29"},"_vena_2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"},"_vena_2_B1_C_FV_7cc8369c0b744816a17486bee792b4d5_30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30"},"_vena_2_B1_C_FV_7cc8369c0b744816a17486bee792b4d5_31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31"},"_vena_2_B1_C_FV_7cc8369c0b744816a17486bee792b4d5_32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32"},"_vena_2_B1_C_FV_7cc8369c0b744816a17486bee792b4d5_33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33"},"_vena_2_B1_C_FV_7cc8369c0b744816a17486bee792b4d5_34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34"},"_vena_2_B1_C_FV_7cc8369c0b744816a17486bee792b4d5_35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35"},"_vena_2_B1_C_FV_7cc8369c0b744816a17486bee792b4d5_36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36"},"_vena_2_B1_C_FV_7cc8369c0b744816a17486bee792b4d5_38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38"},"_vena_2_B1_C_FV_7cc8369c0b744816a17486bee792b4d5_39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39"},"_vena_2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"},"_vena_2_B1_C_FV_7cc8369c0b744816a17486bee792b4d5_40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40"},"_vena_2_B1_C_FV_7cc8369c0b744816a17486bee792b4d5_41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41"},"_vena_2_B1_C_FV_7cc8369c0b744816a17486bee792b4d5_42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42"},"_vena_2_B1_C_FV_7cc8369c0b744816a17486bee792b4d5_43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43"},"_vena_2_B1_C_FV_7cc8369c0b744816a17486bee792b4d5_44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44"},"_vena_2_B1_C_FV_7cc8369c0b744816a17486bee792b4d5_45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45"},"_vena_2_B1_C_FV_7cc8369c0b744816a17486bee792b4d5_46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46"},"_vena_2_B1_C_FV_7cc8369c0b744816a17486bee792b4d5_47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47"},"_vena_2_B1_C_FV_7cc8369c0b744816a17486bee792b4d5_48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48"},"_vena_2_B1_C_FV_7cc8369c0b744816a17486bee792b4d5_49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49"},"_vena_2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5"},"_vena_2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6"},"_vena_2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7"},"_vena_2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8"},"_vena_2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7cc8369c0b744816a17486bee792b4d5","DimensionId":-1,"MemberId":-1,"Inc":"9"},"_vena_2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"},"_vena_2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"},"_vena_2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10"},"_vena_2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11"},"_vena_2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12"},"_vena_2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13"},"_vena_2_B1_C_FV_f4ddf33ff6224574ba096b1a5435ea67_14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14"},"_vena_2_B1_C_FV_f4ddf33ff6224574ba096b1a5435ea67_15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15"},"_vena_2_B1_C_FV_f4ddf33ff6224574ba096b1a5435ea67_16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16"},"_vena_2_B1_C_FV_f4ddf33ff6224574ba096b1a5435ea67_17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17"},"_vena_2_B1_C_FV_f4ddf33ff6224574ba096b1a5435ea67_18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18"},"_vena_2_B1_C_FV_f4ddf33ff6224574ba096b1a5435ea67_19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19"},"_vena_2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"},"_vena_2_B1_C_FV_f4ddf33ff6224574ba096b1a5435ea67_20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20"},"_vena_2_B1_C_FV_f4ddf33ff6224574ba096b1a5435ea67_21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21"},"_vena_2_B1_C_FV_f4ddf33ff6224574ba096b1a5435ea67_22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22"},"_vena_2_B1_C_FV_f4ddf33ff6224574ba096b1a5435ea67_23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23"},"_vena_2_B1_C_FV_f4ddf33ff6224574ba096b1a5435ea67_24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24"},"_vena_2_B1_C_FV_f4ddf33ff6224574ba096b1a5435ea67_25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25"},"_vena_2_B1_C_FV_f4ddf33ff6224574ba096b1a5435ea67_26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26"},"_vena_2_B1_C_FV_f4ddf33ff6224574ba096b1a5435ea67_27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27"},"_vena_2_B1_C_FV_f4ddf33ff6224574ba096b1a5435ea67_28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28"},"_vena_2_B1_C_FV_f4ddf33ff6224574ba096b1a5435ea67_29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29"},"_vena_2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"},"_vena_2_B1_C_FV_f4ddf33ff6224574ba096b1a5435ea67_30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30"},"_vena_2_B1_C_FV_f4ddf33ff6224574ba096b1a5435ea67_31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31"},"_vena_2_B1_C_FV_f4ddf33ff6224574ba096b1a5435ea67_32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32"},"_vena_2_B1_C_FV_f4ddf33ff6224574ba096b1a5435ea67_33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33"},"_vena_2_B1_C_FV_f4ddf33ff6224574ba096b1a5435ea67_34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34"},"_vena_2_B1_C_FV_f4ddf33ff6224574ba096b1a5435ea67_35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35"},"_vena_2_B1_C_FV_f4ddf33ff6224574ba096b1a5435ea67_36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36"},"_vena_2_B1_C_FV_f4ddf33ff6224574ba096b1a5435ea67_37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37"},"_vena_2_B1_C_FV_f4ddf33ff6224574ba096b1a5435ea67_38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38"},"_vena_2_B1_C_FV_f4ddf33ff6224574ba096b1a5435ea67_39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39"},"_vena_2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4"},"_vena_2_B1_C_FV_f4ddf33ff6224574ba096b1a5435ea67_40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40"},"_vena_2_B1_C_FV_f4ddf33ff6224574ba096b1a5435ea67_41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41"},"_vena_2_B1_C_FV_f4ddf33ff6224574ba096b1a5435ea67_42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42"},"_vena_2_B1_C_FV_f4ddf33ff6224574ba096b1a5435ea67_43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43"},"_vena_2_B1_C_FV_f4ddf33ff6224574ba096b1a5435ea67_44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44"},"_vena_2_B1_C_FV_f4ddf33ff6224574ba096b1a5435ea67_45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45"},"_vena_2_B1_C_FV_f4ddf33ff6224574ba096b1a5435ea67_46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46"},"_vena_2_B1_C_FV_f4ddf33ff6224574ba096b1a5435ea67_47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47"},"_vena_2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5"},"_vena_2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6"},"_vena_2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7"},"_vena_2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8"},"_vena_2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2,"DimensionIdStr":"FV","MemberIdStr":"f4ddf33ff6224574ba096b1a5435ea67","DimensionId":-1,"MemberId":-1,"Inc":"9"},"_vena_2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1126333519640395796","DimensionId":1,"MemberId":1126333519640395796,"Inc":""},"_vena_2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1126333519686533120","DimensionId":1,"MemberId":1126333519686533120,"Inc":""},"_vena_2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1126333519715893262","DimensionId":1,"MemberId":1126333519715893262,"Inc":""},"_vena_2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1126333519736864780","DimensionId":1,"MemberId":1126333519736864780,"Inc":""},"_vena_2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1126333519762030608","DimensionId":1,"MemberId":1126333519762030608,"Inc":""},"_vena_2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1126333519778807820","DimensionId":1,"MemberId":1126333519778807820,"Inc":""},"_vena_2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1126333519787196446","DimensionId":1,"MemberId":1126333519787196446,"Inc":""},"_vena_2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1126333519808167948","DimensionId":1,"MemberId":1126333519808167948,"Inc":""},"_vena_2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1126333519854305298","DimensionId":1,"MemberId":1126333519854305298,"Inc":""},"_vena_2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1126333519871082529","DimensionId":1,"MemberId":1126333519871082529,"Inc":""},"_vena_2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1126333519883665426","DimensionId":1,"MemberId":1126333519883665426,"Inc":""},"_vena_2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1126333519900442631","DimensionId":1,"MemberId":1126333519900442631,"Inc":""},"_vena_2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1126333519925608473","DimensionId":1,"MemberId":1126333519925608473,"Inc":""},"_vena_2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1126333519963357190","DimensionId":1,"MemberId":1126333519963357190,"Inc":""},"_vena_2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1176989022519558144","DimensionId":1,"MemberId":1176989022519558144,"Inc":""},"_vena_2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1177034623004573696","DimensionId":1,"MemberId":1177034623004573696,"Inc":""},"_vena_2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1177042009963233280","DimensionId":1,"MemberId":1177042009963233280,"Inc":""},"_vena_2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1177042321444044802","DimensionId":1,"MemberId":1177042321444044802,"Inc":""},"_vena_2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1182443237873811456","DimensionId":1,"MemberId":1182443237873811456,"Inc":""},"_vena_2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1192625627677589504","DimensionId":1,"MemberId":1192625627677589504,"Inc":""},"_vena_2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1193288113649483886","DimensionId":1,"MemberId":1193288113649483886,"Inc":""},"_vena_2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1258522529073987584","DimensionId":1,"MemberId":1258522529073987584,"Inc":""},"_vena_2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1336800240017473538","DimensionId":1,"MemberId":1336800240017473538,"Inc":""},"_vena_2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1525326324040761344","DimensionId":1,"MemberId":1525326324040761344,"Inc":""},"_vena_2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1547710538947624960","DimensionId":1,"MemberId":1547710538947624960,"Inc":""},"_vena_2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1547710569653993893","DimensionId":1,"MemberId":1547710569653993893,"Inc":""},"_vena_2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651631427951788032","DimensionId":1,"MemberId":651631427951788032,"Inc":""},"_vena_2_B1_R_1_651631427989536768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651631427989536768","DimensionId":1,"MemberId":651631427989536768,"Inc":""},"_vena_2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651631428002119680","DimensionId":1,"MemberId":651631428002119680,"Inc":""},"_vena_2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651631428165697537","DimensionId":1,"MemberId":651631428165697537,"Inc":""},"_vena_2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691119840308494336","DimensionId":1,"MemberId":691119840308494336,"Inc":""},"_vena_2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691121205046280192","DimensionId":1,"MemberId":691121205046280192,"Inc":""},"_vena_2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691121629820878848","DimensionId":1,"MemberId":691121629820878848,"Inc":""},"_vena_2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1","MemberIdStr":"691172173569589248","DimensionId":1,"MemberId":691172173569589248,"Inc":""},"_vena_2_B1_R_FV_385b1d086d8a4b8abf43c04eedb00d88_1b93a96a.eccdd5f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1b93a96a.eccdd5fb"},"_vena_2_B1_R_FV_385b1d086d8a4b8abf43c04eedb00d88_2750cbec.832c998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2750cbec.832c998a"},"_vena_2_B1_R_FV_385b1d086d8a4b8abf43c04eedb00d88_3888619d.708c8f26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3888619d.708c8f26"},"_vena_2_B1_R_FV_385b1d086d8a4b8abf43c04eedb00d88_3fe6bec6.1d8da2d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3fe6bec6.1d8da2dc"},"_vena_2_B1_R_FV_385b1d086d8a4b8abf43c04eedb00d88_5bbabfa1.756627a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5bbabfa1.756627a5"},"_vena_2_B1_R_FV_385b1d086d8a4b8abf43c04eedb00d88_60337174.8324ddc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60337174.8324ddc4"},"_vena_2_B1_R_FV_385b1d086d8a4b8abf43c04eedb00d88_6fc33715.4cc84226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6fc33715.4cc84226"},"_vena_2_B1_R_FV_385b1d086d8a4b8abf43c04eedb00d88_7276a90a.a181d49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7276a90a.a181d49e"},"_vena_2_B1_R_FV_385b1d086d8a4b8abf43c04eedb00d88_823775d5.219c5c8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823775d5.219c5c8e"},"_vena_2_B1_R_FV_385b1d086d8a4b8abf43c04eedb00d88_894991cf.142ea2a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894991cf.142ea2a6"},"_vena_2_B1_R_FV_385b1d086d8a4b8abf43c04eedb00d88_8b02c9ed.14c6f598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8b02c9ed.14c6f598"},"_vena_2_B1_R_FV_385b1d086d8a4b8abf43c04eedb00d88_9c58fdae.bdeeef49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9c58fdae.bdeeef49"},"_vena_2_B1_R_FV_385b1d086d8a4b8abf43c04eedb00d88_b13bc8b.af6bfc97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b13bc8b.af6bfc97"},"_vena_2_B1_R_FV_385b1d086d8a4b8abf43c04eedb00d88_b7a7b58b.674db7d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b7a7b58b.674db7db"},"_vena_2_B1_R_FV_385b1d086d8a4b8abf43c04eedb00d88_bc4e5472.f16fe35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bc4e5472.f16fe35b"},"_vena_2_B1_R_FV_385b1d086d8a4b8abf43c04eedb00d88_c09a1d04.1e40570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c09a1d04.1e40570"},"_vena_2_B1_R_FV_385b1d086d8a4b8abf43c04eedb00d88_c8e90ce6.23b9a703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c8e90ce6.23b9a703"},"_vena_2_B1_R_FV_385b1d086d8a4b8abf43c04eedb00d88_c9ac1536.f8a484e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c9ac1536.f8a484e3"},"_vena_2_B1_R_FV_385b1d086d8a4b8abf43c04eedb00d88_d1350884.f34c97a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d1350884.f34c97a4"},"_vena_2_B1_R_FV_385b1d086d8a4b8abf43c04eedb00d88_d1906588.b9e362b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d1906588.b9e362b4"},"_vena_2_B1_R_FV_385b1d086d8a4b8abf43c04eedb00d88_dbacd17b.b36ca404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dbacd17b.b36ca404"},"_vena_2_B1_R_FV_385b1d086d8a4b8abf43c04eedb00d88_dbe69cf1.6780e2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dbe69cf1.6780e2a"},"_vena_2_B1_R_FV_385b1d086d8a4b8abf43c04eedb00d88_e5edff55.1c14688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e5edff55.1c14688c"},"_vena_2_B1_R_FV_385b1d086d8a4b8abf43c04eedb00d88_f0e35eab.2909e9c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f0e35eab.2909e9cf"},"_vena_2_B1_R_FV_385b1d086d8a4b8abf43c04eedb00d88_f994a178.f547d40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f994a178.f547d40f"},"_vena_2_B1_R_FV_385b1d086d8a4b8abf43c04eedb00d88_fddaefe4.932e7370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B1","VenaRangeType":1,"DimensionIdStr":"FV","MemberIdStr":"385b1d086d8a4b8abf43c04eedb00d88","DimensionId":-1,"MemberId":-1,"Inc":"fddaefe4.932e7370"},"_vena_2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","VenaRangeType":0,"DimensionIdStr":"11","MemberIdStr":"651631431944765441","DimensionId":11,"MemberId":651631431944765441,"Inc":""},"_vena_2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","VenaRangeType":0,"DimensionIdStr":"12","MemberIdStr":"651631431982514177","DimensionId":12,"MemberId":651631431982514177,"Inc":""},"_vena_2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","VenaRangeType":0,"DimensionIdStr":"2","MemberIdStr":"651631429184913409","DimensionId":2,"MemberId":651631429184913409,"Inc":""},"_vena_2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","VenaRangeType":0,"DimensionIdStr":"4","MemberIdStr":"652241713652170752","DimensionId":4,"MemberId":652241713652170752,"Inc":""},"_vena_2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","VenaRangeType":0,"DimensionIdStr":"5","MemberIdStr":"652241713786388480","DimensionId":5,"MemberId":652241713786388480,"Inc":""},"_vena_2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","VenaRangeType":0,"DimensionIdStr":"6","MemberIdStr":"652241713908023296","DimensionId":6,"MemberId":652241713908023296,"Inc":""},"_vena_2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","VenaRangeType":0,"DimensionIdStr":"7","MemberIdStr":"652241714033852416","DimensionId":7,"MemberId":652241714033852416,"Inc":""},"_vena_2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2","BlockName":"","VenaRangeType":0,"DimensionIdStr":"FV","MemberIdStr":"a2a46c4bae444ba2ab0e2971d74e2ddb","DimensionId":-1,"MemberId":-1,"Inc":""},"_vena_3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"},"_vena_3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1"},"_vena_3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10"},"_vena_3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11"},"_vena_3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12"},"_vena_3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13"},"_vena_3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2"},"_vena_3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3"},"_vena_3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4"},"_vena_3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5"},"_vena_3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6"},"_vena_3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7"},"_vena_3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8"},"_vena_3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134399665b374008851e5b8c04b5ee44","DimensionId":-1,"MemberId":-1,"Inc":"9"},"_vena_3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"},"_vena_3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1"},"_vena_3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10"},"_vena_3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11"},"_vena_3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12"},"_vena_3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13"},"_vena_3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2"},"_vena_3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3"},"_vena_3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4"},"_vena_3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5"},"_vena_3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6"},"_vena_3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7"},"_vena_3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8"},"_vena_3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7cc8369c0b744816a17486bee792b4d5","DimensionId":-1,"MemberId":-1,"Inc":"9"},"_vena_3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"},"_vena_3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1"},"_vena_3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10"},"_vena_3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11"},"_vena_3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12"},"_vena_3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13"},"_vena_3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2"},"_vena_3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3"},"_vena_3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4"},"_vena_3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5"},"_vena_3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6"},"_vena_3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7"},"_vena_3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8"},"_vena_3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2,"DimensionIdStr":"FV","MemberIdStr":"f4ddf33ff6224574ba096b1a5435ea67","DimensionId":-1,"MemberId":-1,"Inc":"9"},"_vena_3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1126333519640395796","DimensionId":1,"MemberId":1126333519640395796,"Inc":""},"_vena_3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1126333519686533120","DimensionId":1,"MemberId":1126333519686533120,"Inc":""},"_vena_3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1126333519715893262","DimensionId":1,"MemberId":1126333519715893262,"Inc":""},"_vena_3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1126333519736864780","DimensionId":1,"MemberId":1126333519736864780,"Inc":""},"_vena_3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1126333519762030608","DimensionId":1,"MemberId":1126333519762030608,"Inc":""},"_vena_3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1126333519778807820","DimensionId":1,"MemberId":1126333519778807820,"Inc":""},"_vena_3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1126333519787196446","DimensionId":1,"MemberId":1126333519787196446,"Inc":""},"_vena_3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1126333519808167948","DimensionId":1,"MemberId":1126333519808167948,"Inc":""},"_vena_3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1126333519854305298","DimensionId":1,"MemberId":1126333519854305298,"Inc":""},"_vena_3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1126333519871082529","DimensionId":1,"MemberId":1126333519871082529,"Inc":""},"_vena_3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1126333519883665426","DimensionId":1,"MemberId":1126333519883665426,"Inc":""},"_vena_3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1126333519900442631","DimensionId":1,"MemberId":1126333519900442631,"Inc":""},"_vena_3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1126333519925608473","DimensionId":1,"MemberId":1126333519925608473,"Inc":""},"_vena_3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1126333519963357190","DimensionId":1,"MemberId":1126333519963357190,"Inc":""},"_vena_3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1176989022519558144","DimensionId":1,"MemberId":1176989022519558144,"Inc":""},"_vena_3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1177034623004573696","DimensionId":1,"MemberId":1177034623004573696,"Inc":""},"_vena_3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1177042009963233280","DimensionId":1,"MemberId":1177042009963233280,"Inc":""},"_vena_3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1177042321444044802","DimensionId":1,"MemberId":1177042321444044802,"Inc":""},"_vena_3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1182443237873811456","DimensionId":1,"MemberId":1182443237873811456,"Inc":""},"_vena_3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1192625627677589504","DimensionId":1,"MemberId":1192625627677589504,"Inc":""},"_vena_3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1193288113649483886","DimensionId":1,"MemberId":1193288113649483886,"Inc":""},"_vena_3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1258522529073987584","DimensionId":1,"MemberId":1258522529073987584,"Inc":""},"_vena_3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1336800240017473538","DimensionId":1,"MemberId":1336800240017473538,"Inc":""},"_vena_3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1525326324040761344","DimensionId":1,"MemberId":1525326324040761344,"Inc":""},"_vena_3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1547710538947624960","DimensionId":1,"MemberId":1547710538947624960,"Inc":""},"_vena_3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1547710569653993893","DimensionId":1,"MemberId":1547710569653993893,"Inc":""},"_vena_3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651631427951788032","DimensionId":1,"MemberId":651631427951788032,"Inc":""},"_vena_3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651631428002119680","DimensionId":1,"MemberId":651631428002119680,"Inc":""},"_vena_3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651631428165697537","DimensionId":1,"MemberId":651631428165697537,"Inc":""},"_vena_3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691119840308494336","DimensionId":1,"MemberId":691119840308494336,"Inc":""},"_vena_3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691121205046280192","DimensionId":1,"MemberId":691121205046280192,"Inc":""},"_vena_3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691121629820878848","DimensionId":1,"MemberId":691121629820878848,"Inc":""},"_vena_3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1","MemberIdStr":"691172173569589248","DimensionId":1,"MemberId":691172173569589248,"Inc":""},"_vena_3_B1_R_FV_385b1d086d8a4b8abf43c04eedb00d88_1ca368a5.225773b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1ca368a5.225773b0"},"_vena_3_B1_R_FV_385b1d086d8a4b8abf43c04eedb00d88_1e7f81f1.c62b28b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1e7f81f1.c62b28be"},"_vena_3_B1_R_FV_385b1d086d8a4b8abf43c04eedb00d88_274e23f6.2ac1ec3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274e23f6.2ac1ec3f"},"_vena_3_B1_R_FV_385b1d086d8a4b8abf43c04eedb00d88_27f3cc6a.60765388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27f3cc6a.60765388"},"_vena_3_B1_R_FV_385b1d086d8a4b8abf43c04eedb00d88_2a916b00.4c0a4982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2a916b00.4c0a4982"},"_vena_3_B1_R_FV_385b1d086d8a4b8abf43c04eedb00d88_3d805b23.20baecc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3d805b23.20baecc2"},"_vena_3_B1_R_FV_385b1d086d8a4b8abf43c04eedb00d88_3eb3505b.2a0f6ed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3eb3505b.2a0f6ed7"},"_vena_3_B1_R_FV_385b1d086d8a4b8abf43c04eedb00d88_4443e830.5fce07b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4443e830.5fce07b2"},"_vena_3_B1_R_FV_385b1d086d8a4b8abf43c04eedb00d88_46d3e3d7.68953055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46d3e3d7.68953055"},"_vena_3_B1_R_FV_385b1d086d8a4b8abf43c04eedb00d88_495f7749.a1b28f8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495f7749.a1b28f8f"},"_vena_3_B1_R_FV_385b1d086d8a4b8abf43c04eedb00d88_4dc46ca8.4252f6b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4dc46ca8.4252f6b3"},"_vena_3_B1_R_FV_385b1d086d8a4b8abf43c04eedb00d88_5676f1b4.d3470de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5676f1b4.d3470de3"},"_vena_3_B1_R_FV_385b1d086d8a4b8abf43c04eedb00d88_5b5cdcb0.7ac4c49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5b5cdcb0.7ac4c49e"},"_vena_3_B1_R_FV_385b1d086d8a4b8abf43c04eedb00d88_61462c99.f18def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61462c99.f18defc"},"_vena_3_B1_R_FV_385b1d086d8a4b8abf43c04eedb00d88_8c4967db.f7dbec5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8c4967db.f7dbec5f"},"_vena_3_B1_R_FV_385b1d086d8a4b8abf43c04eedb00d88_930a243.a27b03d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930a243.a27b03dd"},"_vena_3_B1_R_FV_385b1d086d8a4b8abf43c04eedb00d88_9854f2da.52ccaac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9854f2da.52ccaac4"},"_vena_3_B1_R_FV_385b1d086d8a4b8abf43c04eedb00d88_a168a8aa.2b0a9667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a168a8aa.2b0a9667"},"_vena_3_B1_R_FV_385b1d086d8a4b8abf43c04eedb00d88_b3e56fa2.150077c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b3e56fa2.150077c7"},"_vena_3_B1_R_FV_385b1d086d8a4b8abf43c04eedb00d88_b721cb84.141a522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b721cb84.141a522a"},"_vena_3_B1_R_FV_385b1d086d8a4b8abf43c04eedb00d88_b8e1cf56.a973fc75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b8e1cf56.a973fc75"},"_vena_3_B1_R_FV_385b1d086d8a4b8abf43c04eedb00d88_bbb761df.6c1cb0a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bbb761df.6c1cb0a3"},"_vena_3_B1_R_FV_385b1d086d8a4b8abf43c04eedb00d88_d2eeae1e.ad0fce1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d2eeae1e.ad0fce1a"},"_vena_3_B1_R_FV_385b1d086d8a4b8abf43c04eedb00d88_dad96222.b8cc0072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dad96222.b8cc0072"},"_vena_3_B1_R_FV_385b1d086d8a4b8abf43c04eedb00d88_ed6bbfbf.9ec69454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ed6bbfbf.9ec69454"},"_vena_3_B1_R_FV_385b1d086d8a4b8abf43c04eedb00d88_f03b8892.5838aa62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B1","VenaRangeType":1,"DimensionIdStr":"FV","MemberIdStr":"385b1d086d8a4b8abf43c04eedb00d88","DimensionId":-1,"MemberId":-1,"Inc":"f03b8892.5838aa62"},"_vena_3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","VenaRangeType":0,"DimensionIdStr":"11","MemberIdStr":"651631431944765441","DimensionId":11,"MemberId":651631431944765441,"Inc":""},"_vena_3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","VenaRangeType":0,"DimensionIdStr":"12","MemberIdStr":"651631431982514177","DimensionId":12,"MemberId":651631431982514177,"Inc":""},"_vena_3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","VenaRangeType":0,"DimensionIdStr":"2","MemberIdStr":"651631429184913409","DimensionId":2,"MemberId":651631429184913409,"Inc":""},"_vena_3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","VenaRangeType":0,"DimensionIdStr":"4","MemberIdStr":"652241713652170752","DimensionId":4,"MemberId":652241713652170752,"Inc":""},"_vena_3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","VenaRangeType":0,"DimensionIdStr":"5","MemberIdStr":"652241713786388480","DimensionId":5,"MemberId":652241713786388480,"Inc":""},"_vena_3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","VenaRangeType":0,"DimensionIdStr":"6","MemberIdStr":"652241713908023296","DimensionId":6,"MemberId":652241713908023296,"Inc":""},"_vena_3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","VenaRangeType":0,"DimensionIdStr":"7","MemberIdStr":"652241714033852416","DimensionId":7,"MemberId":652241714033852416,"Inc":""},"_vena_3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3","BlockName":"","VenaRangeType":0,"DimensionIdStr":"FV","MemberIdStr":"a2a46c4bae444ba2ab0e2971d74e2ddb","DimensionId":-1,"MemberId":-1,"Inc":""},"_vena_4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"},"_vena_4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"},"_vena_4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10"},"_vena_4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11"},"_vena_4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12"},"_vena_4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13"},"_vena_4_b1_C_FV_134399665b374008851e5b8c04b5ee44_14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14"},"_vena_4_b1_C_FV_134399665b374008851e5b8c04b5ee44_15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15"},"_vena_4_b1_C_FV_134399665b374008851e5b8c04b5ee44_16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16"},"_vena_4_b1_C_FV_134399665b374008851e5b8c04b5ee44_17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17"},"_vena_4_b1_C_FV_134399665b374008851e5b8c04b5ee44_18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18"},"_vena_4_b1_C_FV_134399665b374008851e5b8c04b5ee44_19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19"},"_vena_4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"},"_vena_4_b1_C_FV_134399665b374008851e5b8c04b5ee44_20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20"},"_vena_4_b1_C_FV_134399665b374008851e5b8c04b5ee44_21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21"},"_vena_4_b1_C_FV_134399665b374008851e5b8c04b5ee44_22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22"},"_vena_4_b1_C_FV_134399665b374008851e5b8c04b5ee44_23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23"},"_vena_4_b1_C_FV_134399665b374008851e5b8c04b5ee44_24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24"},"_vena_4_b1_C_FV_134399665b374008851e5b8c04b5ee44_25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25"},"_vena_4_b1_C_FV_134399665b374008851e5b8c04b5ee44_26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26"},"_vena_4_b1_C_FV_134399665b374008851e5b8c04b5ee44_27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27"},"_vena_4_b1_C_FV_134399665b374008851e5b8c04b5ee44_28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28"},"_vena_4_b1_C_FV_134399665b374008851e5b8c04b5ee44_29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29"},"_vena_4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"},"_vena_4_b1_C_FV_134399665b374008851e5b8c04b5ee44_30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30"},"_vena_4_b1_C_FV_134399665b374008851e5b8c04b5ee44_31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31"},"_vena_4_b1_C_FV_134399665b374008851e5b8c04b5ee44_32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32"},"_vena_4_b1_C_FV_134399665b374008851e5b8c04b5ee44_33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33"},"_vena_4_b1_C_FV_134399665b374008851e5b8c04b5ee44_34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34"},"_vena_4_b1_C_FV_134399665b374008851e5b8c04b5ee44_35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35"},"_vena_4_b1_C_FV_134399665b374008851e5b8c04b5ee44_36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36"},"_vena_4_b1_C_FV_134399665b374008851e5b8c04b5ee44_37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37"},"_vena_4_b1_C_FV_134399665b374008851e5b8c04b5ee44_38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38"},"_vena_4_b1_C_FV_134399665b374008851e5b8c04b5ee44_39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39"},"_vena_4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4"},"_vena_4_b1_C_FV_134399665b374008851e5b8c04b5ee44_40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40"},"_vena_4_b1_C_FV_134399665b374008851e5b8c04b5ee44_41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41"},"_vena_4_b1_C_FV_134399665b374008851e5b8c04b5ee44_42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42"},"_vena_4_b1_C_FV_134399665b374008851e5b8c04b5ee44_43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43"},"_vena_4_b1_C_FV_134399665b374008851e5b8c04b5ee44_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44"},"_vena_4_b1_C_FV_134399665b374008851e5b8c04b5ee44_45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45"},"_vena_4_b1_C_FV_134399665b374008851e5b8c04b5ee44_46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46"},"_vena_4_b1_C_FV_134399665b374008851e5b8c04b5ee44_47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47"},"_vena_4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5"},"_vena_4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6"},"_vena_4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7"},"_vena_4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8"},"_vena_4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134399665b374008851e5b8c04b5ee44","DimensionId":-1,"MemberId":-1,"Inc":"9"},"_vena_4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"},"_vena_4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"},"_vena_4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10"},"_vena_4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11"},"_vena_4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12"},"_vena_4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13"},"_vena_4_b1_C_FV_7cc8369c0b744816a17486bee792b4d5_14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14"},"_vena_4_b1_C_FV_7cc8369c0b744816a17486bee792b4d5_15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15"},"_vena_4_b1_C_FV_7cc8369c0b744816a17486bee792b4d5_16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16"},"_vena_4_b1_C_FV_7cc8369c0b744816a17486bee792b4d5_17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17"},"_vena_4_b1_C_FV_7cc8369c0b744816a17486bee792b4d5_18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18"},"_vena_4_b1_C_FV_7cc8369c0b744816a17486bee792b4d5_19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19"},"_vena_4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"},"_vena_4_b1_C_FV_7cc8369c0b744816a17486bee792b4d5_20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20"},"_vena_4_b1_C_FV_7cc8369c0b744816a17486bee792b4d5_21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21"},"_vena_4_b1_C_FV_7cc8369c0b744816a17486bee792b4d5_22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22"},"_vena_4_b1_C_FV_7cc8369c0b744816a17486bee792b4d5_23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23"},"_vena_4_b1_C_FV_7cc8369c0b744816a17486bee792b4d5_24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24"},"_vena_4_b1_C_FV_7cc8369c0b744816a17486bee792b4d5_25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25"},"_vena_4_b1_C_FV_7cc8369c0b744816a17486bee792b4d5_26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26"},"_vena_4_b1_C_FV_7cc8369c0b744816a17486bee792b4d5_27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27"},"_vena_4_b1_C_FV_7cc8369c0b744816a17486bee792b4d5_28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28"},"_vena_4_b1_C_FV_7cc8369c0b744816a17486bee792b4d5_29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29"},"_vena_4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"},"_vena_4_b1_C_FV_7cc8369c0b744816a17486bee792b4d5_30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30"},"_vena_4_b1_C_FV_7cc8369c0b744816a17486bee792b4d5_31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31"},"_vena_4_b1_C_FV_7cc8369c0b744816a17486bee792b4d5_32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32"},"_vena_4_b1_C_FV_7cc8369c0b744816a17486bee792b4d5_33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33"},"_vena_4_b1_C_FV_7cc8369c0b744816a17486bee792b4d5_34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34"},"_vena_4_b1_C_FV_7cc8369c0b744816a17486bee792b4d5_35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35"},"_vena_4_b1_C_FV_7cc8369c0b744816a17486bee792b4d5_36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36"},"_vena_4_b1_C_FV_7cc8369c0b744816a17486bee792b4d5_37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37"},"_vena_4_b1_C_FV_7cc8369c0b744816a17486bee792b4d5_38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38"},"_vena_4_b1_C_FV_7cc8369c0b744816a17486bee792b4d5_39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39"},"_vena_4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4"},"_vena_4_b1_C_FV_7cc8369c0b744816a17486bee792b4d5_40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40"},"_vena_4_b1_C_FV_7cc8369c0b744816a17486bee792b4d5_41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41"},"_vena_4_b1_C_FV_7cc8369c0b744816a17486bee792b4d5_42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42"},"_vena_4_b1_C_FV_7cc8369c0b744816a17486bee792b4d5_43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43"},"_vena_4_b1_C_FV_7cc8369c0b744816a17486bee792b4d5_44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44"},"_vena_4_b1_C_FV_7cc8369c0b744816a17486bee792b4d5_45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45"},"_vena_4_b1_C_FV_7cc8369c0b744816a17486bee792b4d5_46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46"},"_vena_4_b1_C_FV_7cc8369c0b744816a17486bee792b4d5_47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47"},"_vena_4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5"},"_vena_4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6"},"_vena_4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7"},"_vena_4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8"},"_vena_4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7cc8369c0b744816a17486bee792b4d5","DimensionId":-1,"MemberId":-1,"Inc":"9"},"_vena_4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"},"_vena_4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"},"_vena_4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10"},"_vena_4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11"},"_vena_4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12"},"_vena_4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13"},"_vena_4_b1_C_FV_f4ddf33ff6224574ba096b1a5435ea67_14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14"},"_vena_4_b1_C_FV_f4ddf33ff6224574ba096b1a5435ea67_15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15"},"_vena_4_b1_C_FV_f4ddf33ff6224574ba096b1a5435ea67_16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16"},"_vena_4_b1_C_FV_f4ddf33ff6224574ba096b1a5435ea67_17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17"},"_vena_4_b1_C_FV_f4ddf33ff6224574ba096b1a5435ea67_18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18"},"_vena_4_b1_C_FV_f4ddf33ff6224574ba096b1a5435ea67_19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19"},"_vena_4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"},"_vena_4_b1_C_FV_f4ddf33ff6224574ba096b1a5435ea67_20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20"},"_vena_4_b1_C_FV_f4ddf33ff6224574ba096b1a5435ea67_21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21"},"_vena_4_b1_C_FV_f4ddf33ff6224574ba096b1a5435ea67_22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22"},"_vena_4_b1_C_FV_f4ddf33ff6224574ba096b1a5435ea67_23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23"},"_vena_4_b1_C_FV_f4ddf33ff6224574ba096b1a5435ea67_24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24"},"_vena_4_b1_C_FV_f4ddf33ff6224574ba096b1a5435ea67_25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25"},"_vena_4_b1_C_FV_f4ddf33ff6224574ba096b1a5435ea67_26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26"},"_vena_4_b1_C_FV_f4ddf33ff6224574ba096b1a5435ea67_27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27"},"_vena_4_b1_C_FV_f4ddf33ff6224574ba096b1a5435ea67_28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28"},"_vena_4_b1_C_FV_f4ddf33ff6224574ba096b1a5435ea67_29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29"},"_vena_4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"},"_vena_4_b1_C_FV_f4ddf33ff6224574ba096b1a5435ea67_30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30"},"_vena_4_b1_C_FV_f4ddf33ff6224574ba096b1a5435ea67_31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31"},"_vena_4_b1_C_FV_f4ddf33ff6224574ba096b1a5435ea67_32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32"},"_vena_4_b1_C_FV_f4ddf33ff6224574ba096b1a5435ea67_33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33"},"_vena_4_b1_C_FV_f4ddf33ff6224574ba096b1a5435ea67_34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34"},"_vena_4_b1_C_FV_f4ddf33ff6224574ba096b1a5435ea67_35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35"},"_vena_4_b1_C_FV_f4ddf33ff6224574ba096b1a5435ea67_36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36"},"_vena_4_b1_C_FV_f4ddf33ff6224574ba096b1a5435ea67_37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37"},"_vena_4_b1_C_FV_f4ddf33ff6224574ba096b1a5435ea67_38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38"},"_vena_4_b1_C_FV_f4ddf33ff6224574ba096b1a5435ea67_39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39"},"_vena_4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4"},"_vena_4_b1_C_FV_f4ddf33ff6224574ba096b1a5435ea67_40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40"},"_vena_4_b1_C_FV_f4ddf33ff6224574ba096b1a5435ea67_41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41"},"_vena_4_b1_C_FV_f4ddf33ff6224574ba096b1a5435ea67_42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42"},"_vena_4_b1_C_FV_f4ddf33ff6224574ba096b1a5435ea67_43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43"},"_vena_4_b1_C_FV_f4ddf33ff6224574ba096b1a5435ea67_44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44"},"_vena_4_b1_C_FV_f4ddf33ff6224574ba096b1a5435ea67_45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45"},"_vena_4_b1_C_FV_f4ddf33ff6224574ba096b1a5435ea67_46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46"},"_vena_4_b1_C_FV_f4ddf33ff6224574ba096b1a5435ea67_47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47"},"_vena_4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5"},"_vena_4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6"},"_vena_4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7"},"_vena_4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8"},"_vena_4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2,"DimensionIdStr":"FV","MemberIdStr":"f4ddf33ff6224574ba096b1a5435ea67","DimensionId":-1,"MemberId":-1,"Inc":"9"},"_vena_4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1126333519640395796","DimensionId":1,"MemberId":1126333519640395796,"Inc":""},"_vena_4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1126333519686533120","DimensionId":1,"MemberId":1126333519686533120,"Inc":""},"_vena_4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1126333519715893262","DimensionId":1,"MemberId":1126333519715893262,"Inc":""},"_vena_4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1126333519736864780","DimensionId":1,"MemberId":1126333519736864780,"Inc":""},"_vena_4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1126333519762030608","DimensionId":1,"MemberId":1126333519762030608,"Inc":""},"_vena_4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1126333519778807820","DimensionId":1,"MemberId":1126333519778807820,"Inc":""},"_vena_4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1126333519787196446","DimensionId":1,"MemberId":1126333519787196446,"Inc":""},"_vena_4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1126333519808167948","DimensionId":1,"MemberId":1126333519808167948,"Inc":""},"_vena_4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1126333519854305298","DimensionId":1,"MemberId":1126333519854305298,"Inc":""},"_vena_4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1126333519871082529","DimensionId":1,"MemberId":1126333519871082529,"Inc":""},"_vena_4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1126333519883665426","DimensionId":1,"MemberId":1126333519883665426,"Inc":""},"_vena_4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1126333519900442631","DimensionId":1,"MemberId":1126333519900442631,"Inc":""},"_vena_4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1126333519925608473","DimensionId":1,"MemberId":1126333519925608473,"Inc":""},"_vena_4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1126333519963357190","DimensionId":1,"MemberId":1126333519963357190,"Inc":""},"_vena_4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1176989022519558144","DimensionId":1,"MemberId":1176989022519558144,"Inc":""},"_vena_4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1177034623004573696","DimensionId":1,"MemberId":1177034623004573696,"Inc":""},"_vena_4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1177042009963233280","DimensionId":1,"MemberId":1177042009963233280,"Inc":""},"_vena_4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1177042321444044802","DimensionId":1,"MemberId":1177042321444044802,"Inc":""},"_vena_4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1182443237873811456","DimensionId":1,"MemberId":1182443237873811456,"Inc":""},"_vena_4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1192625627677589504","DimensionId":1,"MemberId":1192625627677589504,"Inc":""},"_vena_4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1193288113649483886","DimensionId":1,"MemberId":1193288113649483886,"Inc":""},"_vena_4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1258522529073987584","DimensionId":1,"MemberId":1258522529073987584,"Inc":""},"_vena_4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1336800240017473538","DimensionId":1,"MemberId":1336800240017473538,"Inc":""},"_vena_4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1525326324040761344","DimensionId":1,"MemberId":1525326324040761344,"Inc":""},"_vena_4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1547710538947624960","DimensionId":1,"MemberId":1547710538947624960,"Inc":""},"_vena_4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1547710569653993893","DimensionId":1,"MemberId":1547710569653993893,"Inc":""},"_vena_4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651631427951788032","DimensionId":1,"MemberId":651631427951788032,"Inc":""},"_vena_4_b1_R_1_651631427989536768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651631427989536768","DimensionId":1,"MemberId":651631427989536768,"Inc":""},"_vena_4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651631428002119680","DimensionId":1,"MemberId":651631428002119680,"Inc":""},"_vena_4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651631428165697537","DimensionId":1,"MemberId":651631428165697537,"Inc":""},"_vena_4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691119840308494336","DimensionId":1,"MemberId":691119840308494336,"Inc":""},"_vena_4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691121205046280192","DimensionId":1,"MemberId":691121205046280192,"Inc":""},"_vena_4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691121629820878848","DimensionId":1,"MemberId":691121629820878848,"Inc":""},"_vena_4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1","MemberIdStr":"691172173569589248","DimensionId":1,"MemberId":691172173569589248,"Inc":""},"_vena_4_b1_R_FV_385b1d086d8a4b8abf43c04eedb00d88_15495e12.c9987004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15495e12.c9987004"},"_vena_4_b1_R_FV_385b1d086d8a4b8abf43c04eedb00d88_18762335.6f9ef430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18762335.6f9ef430"},"_vena_4_b1_R_FV_385b1d086d8a4b8abf43c04eedb00d88_2617c592.fb7d261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2617c592.fb7d261f"},"_vena_4_b1_R_FV_385b1d086d8a4b8abf43c04eedb00d88_36a01a7.56807299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36a01a7.56807299"},"_vena_4_b1_R_FV_385b1d086d8a4b8abf43c04eedb00d88_42b3d2b.8f4c7936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42b3d2b.8f4c7936"},"_vena_4_b1_R_FV_385b1d086d8a4b8abf43c04eedb00d88_4cb361e4.fd906e84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4cb361e4.fd906e84"},"_vena_4_b1_R_FV_385b1d086d8a4b8abf43c04eedb00d88_4dab0ca4.776f168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4dab0ca4.776f168a"},"_vena_4_b1_R_FV_385b1d086d8a4b8abf43c04eedb00d88_5207a3f6.7d337ef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5207a3f6.7d337ef1"},"_vena_4_b1_R_FV_385b1d086d8a4b8abf43c04eedb00d88_585222a2.9efb07e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585222a2.9efb07e9"},"_vena_4_b1_R_FV_385b1d086d8a4b8abf43c04eedb00d88_5bac4fd8.6e330de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5bac4fd8.6e330de6"},"_vena_4_b1_R_FV_385b1d086d8a4b8abf43c04eedb00d88_820b0bb.75c68e52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820b0bb.75c68e52"},"_vena_4_b1_R_FV_385b1d086d8a4b8abf43c04eedb00d88_8934c402.e2f06f02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8934c402.e2f06f02"},"_vena_4_b1_R_FV_385b1d086d8a4b8abf43c04eedb00d88_94e41104.5a3275e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94e41104.5a3275e0"},"_vena_4_b1_R_FV_385b1d086d8a4b8abf43c04eedb00d88_98668e67.5c6d7c6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98668e67.5c6d7c6c"},"_vena_4_b1_R_FV_385b1d086d8a4b8abf43c04eedb00d88_a2efbfda.4105cc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a2efbfda.4105cc0"},"_vena_4_b1_R_FV_385b1d086d8a4b8abf43c04eedb00d88_a31340b6.2d180b3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a31340b6.2d180b3b"},"_vena_4_b1_R_FV_385b1d086d8a4b8abf43c04eedb00d88_a349f560.9bdf5481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a349f560.9bdf5481"},"_vena_4_b1_R_FV_385b1d086d8a4b8abf43c04eedb00d88_b9d368a8.1ba9f145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b9d368a8.1ba9f145"},"_vena_4_b1_R_FV_385b1d086d8a4b8abf43c04eedb00d88_c9af24d3.81dcb49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c9af24d3.81dcb49e"},"_vena_4_b1_R_FV_385b1d086d8a4b8abf43c04eedb00d88_cfbe6cc6.eb9f6b82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cfbe6cc6.eb9f6b82"},"_vena_4_b1_R_FV_385b1d086d8a4b8abf43c04eedb00d88_d65d7527.58ff3ff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d65d7527.58ff3ff9"},"_vena_4_b1_R_FV_385b1d086d8a4b8abf43c04eedb00d88_d9ca2398.d912413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d9ca2398.d912413d"},"_vena_4_b1_R_FV_385b1d086d8a4b8abf43c04eedb00d88_da156865.731b33a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da156865.731b33a5"},"_vena_4_b1_R_FV_385b1d086d8a4b8abf43c04eedb00d88_eaf4f3ea.1872fa4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eaf4f3ea.1872fa4a"},"_vena_4_b1_R_FV_385b1d086d8a4b8abf43c04eedb00d88_fc23d169.70c01d53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fc23d169.70c01d53"},"_vena_4_b1_R_FV_385b1d086d8a4b8abf43c04eedb00d88_fcb555cc.3d94e7e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b1","VenaRangeType":1,"DimensionIdStr":"FV","MemberIdStr":"385b1d086d8a4b8abf43c04eedb00d88","DimensionId":-1,"MemberId":-1,"Inc":"fcb555cc.3d94e7e4"},"_vena_4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","VenaRangeType":0,"DimensionIdStr":"11","MemberIdStr":"651631431944765441","DimensionId":11,"MemberId":651631431944765441,"Inc":""},"_vena_4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","VenaRangeType":0,"DimensionIdStr":"12","MemberIdStr":"651631431982514177","DimensionId":12,"MemberId":651631431982514177,"Inc":""},"_vena_4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","VenaRangeType":0,"DimensionIdStr":"2","MemberIdStr":"651631429184913409","DimensionId":2,"MemberId":651631429184913409,"Inc":""},"_vena_4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","VenaRangeType":0,"DimensionIdStr":"4","MemberIdStr":"652241713652170752","DimensionId":4,"MemberId":652241713652170752,"Inc":""},"_vena_4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","VenaRangeType":0,"DimensionIdStr":"5","MemberIdStr":"652241713786388480","DimensionId":5,"MemberId":652241713786388480,"Inc":""},"_vena_4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","VenaRangeType":0,"DimensionIdStr":"6","MemberIdStr":"652241713908023296","DimensionId":6,"MemberId":652241713908023296,"Inc":""},"_vena_4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","VenaRangeType":0,"DimensionIdStr":"7","MemberIdStr":"652241714033852416","DimensionId":7,"MemberId":652241714033852416,"Inc":""},"_vena_4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4","BlockName":"","VenaRangeType":0,"DimensionIdStr":"FV","MemberIdStr":"a2a46c4bae444ba2ab0e2971d74e2ddb","DimensionId":-1,"MemberId":-1,"Inc":""},"_vena_5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"},"_vena_5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1"},"_vena_5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10"},"_vena_5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11"},"_vena_5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12"},"_vena_5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13"},"_vena_5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2"},"_vena_5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3"},"_vena_5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4"},"_vena_5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5"},"_vena_5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6"},"_vena_5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7"},"_vena_5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8"},"_vena_5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134399665b374008851e5b8c04b5ee44","DimensionId":-1,"MemberId":-1,"Inc":"9"},"_vena_5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"},"_vena_5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1"},"_vena_5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10"},"_vena_5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11"},"_vena_5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12"},"_vena_5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13"},"_vena_5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2"},"_vena_5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3"},"_vena_5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4"},"_vena_5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5"},"_vena_5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6"},"_vena_5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7"},"_vena_5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8"},"_vena_5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7cc8369c0b744816a17486bee792b4d5","DimensionId":-1,"MemberId":-1,"Inc":"9"},"_vena_5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"},"_vena_5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1"},"_vena_5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10"},"_vena_5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11"},"_vena_5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12"},"_vena_5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13"},"_vena_5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2"},"_vena_5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3"},"_vena_5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4"},"_vena_5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5"},"_vena_5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6"},"_vena_5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7"},"_vena_5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8"},"_vena_5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2,"DimensionIdStr":"FV","MemberIdStr":"f4ddf33ff6224574ba096b1a5435ea67","DimensionId":-1,"MemberId":-1,"Inc":"9"},"_vena_5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1126333519640395796","DimensionId":1,"MemberId":1126333519640395796,"Inc":""},"_vena_5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1126333519686533120","DimensionId":1,"MemberId":1126333519686533120,"Inc":""},"_vena_5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1126333519715893262","DimensionId":1,"MemberId":1126333519715893262,"Inc":""},"_vena_5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1126333519736864780","DimensionId":1,"MemberId":1126333519736864780,"Inc":""},"_vena_5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1126333519762030608","DimensionId":1,"MemberId":1126333519762030608,"Inc":""},"_vena_5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1126333519778807820","DimensionId":1,"MemberId":1126333519778807820,"Inc":""},"_vena_5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1126333519787196446","DimensionId":1,"MemberId":1126333519787196446,"Inc":""},"_vena_5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1126333519808167948","DimensionId":1,"MemberId":1126333519808167948,"Inc":""},"_vena_5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1126333519854305298","DimensionId":1,"MemberId":1126333519854305298,"Inc":""},"_vena_5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1126333519871082529","DimensionId":1,"MemberId":1126333519871082529,"Inc":""},"_vena_5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1126333519883665426","DimensionId":1,"MemberId":1126333519883665426,"Inc":""},"_vena_5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1126333519900442631","DimensionId":1,"MemberId":1126333519900442631,"Inc":""},"_vena_5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1126333519925608473","DimensionId":1,"MemberId":1126333519925608473,"Inc":""},"_vena_5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1126333519963357190","DimensionId":1,"MemberId":1126333519963357190,"Inc":""},"_vena_5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1176989022519558144","DimensionId":1,"MemberId":1176989022519558144,"Inc":""},"_vena_5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1177034623004573696","DimensionId":1,"MemberId":1177034623004573696,"Inc":""},"_vena_5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1177042009963233280","DimensionId":1,"MemberId":1177042009963233280,"Inc":""},"_vena_5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1177042321444044802","DimensionId":1,"MemberId":1177042321444044802,"Inc":""},"_vena_5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1182443237873811456","DimensionId":1,"MemberId":1182443237873811456,"Inc":""},"_vena_5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1192625627677589504","DimensionId":1,"MemberId":1192625627677589504,"Inc":""},"_vena_5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1193288113649483886","DimensionId":1,"MemberId":1193288113649483886,"Inc":""},"_vena_5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1258522529073987584","DimensionId":1,"MemberId":1258522529073987584,"Inc":""},"_vena_5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1336800240017473538","DimensionId":1,"MemberId":1336800240017473538,"Inc":""},"_vena_5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1525326324040761344","DimensionId":1,"MemberId":1525326324040761344,"Inc":""},"_vena_5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1547710538947624960","DimensionId":1,"MemberId":1547710538947624960,"Inc":""},"_vena_5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1547710569653993893","DimensionId":1,"MemberId":1547710569653993893,"Inc":""},"_vena_5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651631427951788032","DimensionId":1,"MemberId":651631427951788032,"Inc":""},"_vena_5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651631428002119680","DimensionId":1,"MemberId":651631428002119680,"Inc":""},"_vena_5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651631428165697537","DimensionId":1,"MemberId":651631428165697537,"Inc":""},"_vena_5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691119840308494336","DimensionId":1,"MemberId":691119840308494336,"Inc":""},"_vena_5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691121205046280192","DimensionId":1,"MemberId":691121205046280192,"Inc":""},"_vena_5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691121629820878848","DimensionId":1,"MemberId":691121629820878848,"Inc":""},"_vena_5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1","MemberIdStr":"691172173569589248","DimensionId":1,"MemberId":691172173569589248,"Inc":""},"_vena_5_b1_R_FV_385b1d086d8a4b8abf43c04eedb00d88_1187f4d9.7c554b94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1187f4d9.7c554b94"},"_vena_5_b1_R_FV_385b1d086d8a4b8abf43c04eedb00d88_155ab79e.9053d8f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155ab79e.9053d8f3"},"_vena_5_b1_R_FV_385b1d086d8a4b8abf43c04eedb00d88_1b9356c0.b1a4afc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1b9356c0.b1a4afcc"},"_vena_5_b1_R_FV_385b1d086d8a4b8abf43c04eedb00d88_3735033.d86aba5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3735033.d86aba5c"},"_vena_5_b1_R_FV_385b1d086d8a4b8abf43c04eedb00d88_3a55bf2f.a306913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3a55bf2f.a306913a"},"_vena_5_b1_R_FV_385b1d086d8a4b8abf43c04eedb00d88_3c347c9f.58e3e81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3c347c9f.58e3e81f"},"_vena_5_b1_R_FV_385b1d086d8a4b8abf43c04eedb00d88_3dc6ac28.2e20b67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3dc6ac28.2e20b67f"},"_vena_5_b1_R_FV_385b1d086d8a4b8abf43c04eedb00d88_447da193.656f0498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447da193.656f0498"},"_vena_5_b1_R_FV_385b1d086d8a4b8abf43c04eedb00d88_54e7f65.f06d608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54e7f65.f06d608c"},"_vena_5_b1_R_FV_385b1d086d8a4b8abf43c04eedb00d88_695c0b7f.df102f4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695c0b7f.df102f4c"},"_vena_5_b1_R_FV_385b1d086d8a4b8abf43c04eedb00d88_6c4351a1.8d7a2911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6c4351a1.8d7a2911"},"_vena_5_b1_R_FV_385b1d086d8a4b8abf43c04eedb00d88_70407990.268fb20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70407990.268fb20f"},"_vena_5_b1_R_FV_385b1d086d8a4b8abf43c04eedb00d88_7f5a2474.222e1c5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7f5a2474.222e1c5b"},"_vena_5_b1_R_FV_385b1d086d8a4b8abf43c04eedb00d88_819c9a1c.c266b1a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819c9a1c.c266b1a1"},"_vena_5_b1_R_FV_385b1d086d8a4b8abf43c04eedb00d88_90df53cf.1422a135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90df53cf.1422a135"},"_vena_5_b1_R_FV_385b1d086d8a4b8abf43c04eedb00d88_9b9c5cbd.bbf3f67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9b9c5cbd.bbf3f67b"},"_vena_5_b1_R_FV_385b1d086d8a4b8abf43c04eedb00d88_a9a44c10.a6caa262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a9a44c10.a6caa262"},"_vena_5_b1_R_FV_385b1d086d8a4b8abf43c04eedb00d88_ac8e848a.e812e9b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ac8e848a.e812e9b7"},"_vena_5_b1_R_FV_385b1d086d8a4b8abf43c04eedb00d88_b7ba3bf3.64f64756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b7ba3bf3.64f64756"},"_vena_5_b1_R_FV_385b1d086d8a4b8abf43c04eedb00d88_bc94df4.69d89792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bc94df4.69d89792"},"_vena_5_b1_R_FV_385b1d086d8a4b8abf43c04eedb00d88_cf612f0b.544d92e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cf612f0b.544d92eb"},"_vena_5_b1_R_FV_385b1d086d8a4b8abf43c04eedb00d88_e60729d.38c7fa8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e60729d.38c7fa8f"},"_vena_5_b1_R_FV_385b1d086d8a4b8abf43c04eedb00d88_e80d901.74ded23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e80d901.74ded23b"},"_vena_5_b1_R_FV_385b1d086d8a4b8abf43c04eedb00d88_f5f484dc.c077bdd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f5f484dc.c077bddb"},"_vena_5_b1_R_FV_385b1d086d8a4b8abf43c04eedb00d88_f64dcead.27340529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f64dcead.27340529"},"_vena_5_b1_R_FV_385b1d086d8a4b8abf43c04eedb00d88_fb646e13.cc9587d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b1","VenaRangeType":1,"DimensionIdStr":"FV","MemberIdStr":"385b1d086d8a4b8abf43c04eedb00d88","DimensionId":-1,"MemberId":-1,"Inc":"fb646e13.cc9587df"},"_vena_5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","VenaRangeType":0,"DimensionIdStr":"11","MemberIdStr":"651631431944765441","DimensionId":11,"MemberId":651631431944765441,"Inc":""},"_vena_5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","VenaRangeType":0,"DimensionIdStr":"12","MemberIdStr":"651631431982514177","DimensionId":12,"MemberId":651631431982514177,"Inc":""},"_vena_5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","VenaRangeType":0,"DimensionIdStr":"2","MemberIdStr":"651631429184913409","DimensionId":2,"MemberId":651631429184913409,"Inc":""},"_vena_5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","VenaRangeType":0,"DimensionIdStr":"4","MemberIdStr":"652241713652170752","DimensionId":4,"MemberId":652241713652170752,"Inc":""},"_vena_5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","VenaRangeType":0,"DimensionIdStr":"5","MemberIdStr":"652241713786388480","DimensionId":5,"MemberId":652241713786388480,"Inc":""},"_vena_5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","VenaRangeType":0,"DimensionIdStr":"6","MemberIdStr":"652241713908023296","DimensionId":6,"MemberId":652241713908023296,"Inc":""},"_vena_5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","VenaRangeType":0,"DimensionIdStr":"7","MemberIdStr":"652241714033852416","DimensionId":7,"MemberId":652241714033852416,"Inc":""},"_vena_5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5","BlockName":"","VenaRangeType":0,"DimensionIdStr":"FV","MemberIdStr":"a2a46c4bae444ba2ab0e2971d74e2ddb","DimensionId":-1,"MemberId":-1,"Inc":""},"_vena_6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"},"_vena_6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"},"_vena_6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10"},"_vena_6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11"},"_vena_6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12"},"_vena_6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13"},"_vena_6_b1_C_FV_134399665b374008851e5b8c04b5ee44_14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14"},"_vena_6_b1_C_FV_134399665b374008851e5b8c04b5ee44_15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15"},"_vena_6_b1_C_FV_134399665b374008851e5b8c04b5ee44_16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16"},"_vena_6_b1_C_FV_134399665b374008851e5b8c04b5ee44_17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17"},"_vena_6_b1_C_FV_134399665b374008851e5b8c04b5ee44_18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18"},"_vena_6_b1_C_FV_134399665b374008851e5b8c04b5ee44_19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19"},"_vena_6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"},"_vena_6_b1_C_FV_134399665b374008851e5b8c04b5ee44_20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20"},"_vena_6_b1_C_FV_134399665b374008851e5b8c04b5ee44_21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21"},"_vena_6_b1_C_FV_134399665b374008851e5b8c04b5ee44_22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22"},"_vena_6_b1_C_FV_134399665b374008851e5b8c04b5ee44_23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23"},"_vena_6_b1_C_FV_134399665b374008851e5b8c04b5ee44_24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24"},"_vena_6_b1_C_FV_134399665b374008851e5b8c04b5ee44_25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25"},"_vena_6_b1_C_FV_134399665b374008851e5b8c04b5ee44_26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26"},"_vena_6_b1_C_FV_134399665b374008851e5b8c04b5ee44_27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27"},"_vena_6_b1_C_FV_134399665b374008851e5b8c04b5ee44_28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28"},"_vena_6_b1_C_FV_134399665b374008851e5b8c04b5ee44_29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29"},"_vena_6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"},"_vena_6_b1_C_FV_134399665b374008851e5b8c04b5ee44_30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30"},"_vena_6_b1_C_FV_134399665b374008851e5b8c04b5ee44_31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31"},"_vena_6_b1_C_FV_134399665b374008851e5b8c04b5ee44_32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32"},"_vena_6_b1_C_FV_134399665b374008851e5b8c04b5ee44_33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33"},"_vena_6_b1_C_FV_134399665b374008851e5b8c04b5ee44_34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34"},"_vena_6_b1_C_FV_134399665b374008851e5b8c04b5ee44_35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35"},"_vena_6_b1_C_FV_134399665b374008851e5b8c04b5ee44_36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36"},"_vena_6_b1_C_FV_134399665b374008851e5b8c04b5ee44_37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37"},"_vena_6_b1_C_FV_134399665b374008851e5b8c04b5ee44_38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38"},"_vena_6_b1_C_FV_134399665b374008851e5b8c04b5ee44_39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39"},"_vena_6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4"},"_vena_6_b1_C_FV_134399665b374008851e5b8c04b5ee44_40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40"},"_vena_6_b1_C_FV_134399665b374008851e5b8c04b5ee44_41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41"},"_vena_6_b1_C_FV_134399665b374008851e5b8c04b5ee44_42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42"},"_vena_6_b1_C_FV_134399665b374008851e5b8c04b5ee44_43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43"},"_vena_6_b1_C_FV_134399665b374008851e5b8c04b5ee44_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44"},"_vena_6_b1_C_FV_134399665b374008851e5b8c04b5ee44_45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45"},"_vena_6_b1_C_FV_134399665b374008851e5b8c04b5ee44_46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46"},"_vena_6_b1_C_FV_134399665b374008851e5b8c04b5ee44_47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47"},"_vena_6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5"},"_vena_6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6"},"_vena_6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7"},"_vena_6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8"},"_vena_6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134399665b374008851e5b8c04b5ee44","DimensionId":-1,"MemberId":-1,"Inc":"9"},"_vena_6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"},"_vena_6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"},"_vena_6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10"},"_vena_6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11"},"_vena_6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12"},"_vena_6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13"},"_vena_6_b1_C_FV_7cc8369c0b744816a17486bee792b4d5_14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14"},"_vena_6_b1_C_FV_7cc8369c0b744816a17486bee792b4d5_15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15"},"_vena_6_b1_C_FV_7cc8369c0b744816a17486bee792b4d5_16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16"},"_vena_6_b1_C_FV_7cc8369c0b744816a17486bee792b4d5_17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17"},"_vena_6_b1_C_FV_7cc8369c0b744816a17486bee792b4d5_18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18"},"_vena_6_b1_C_FV_7cc8369c0b744816a17486bee792b4d5_19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19"},"_vena_6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"},"_vena_6_b1_C_FV_7cc8369c0b744816a17486bee792b4d5_20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20"},"_vena_6_b1_C_FV_7cc8369c0b744816a17486bee792b4d5_21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21"},"_vena_6_b1_C_FV_7cc8369c0b744816a17486bee792b4d5_22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22"},"_vena_6_b1_C_FV_7cc8369c0b744816a17486bee792b4d5_23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23"},"_vena_6_b1_C_FV_7cc8369c0b744816a17486bee792b4d5_24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24"},"_vena_6_b1_C_FV_7cc8369c0b744816a17486bee792b4d5_25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25"},"_vena_6_b1_C_FV_7cc8369c0b744816a17486bee792b4d5_26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26"},"_vena_6_b1_C_FV_7cc8369c0b744816a17486bee792b4d5_27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27"},"_vena_6_b1_C_FV_7cc8369c0b744816a17486bee792b4d5_28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28"},"_vena_6_b1_C_FV_7cc8369c0b744816a17486bee792b4d5_29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29"},"_vena_6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"},"_vena_6_b1_C_FV_7cc8369c0b744816a17486bee792b4d5_30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30"},"_vena_6_b1_C_FV_7cc8369c0b744816a17486bee792b4d5_31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31"},"_vena_6_b1_C_FV_7cc8369c0b744816a17486bee792b4d5_32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32"},"_vena_6_b1_C_FV_7cc8369c0b744816a17486bee792b4d5_33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33"},"_vena_6_b1_C_FV_7cc8369c0b744816a17486bee792b4d5_34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34"},"_vena_6_b1_C_FV_7cc8369c0b744816a17486bee792b4d5_35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35"},"_vena_6_b1_C_FV_7cc8369c0b744816a17486bee792b4d5_36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36"},"_vena_6_b1_C_FV_7cc8369c0b744816a17486bee792b4d5_37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37"},"_vena_6_b1_C_FV_7cc8369c0b744816a17486bee792b4d5_38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38"},"_vena_6_b1_C_FV_7cc8369c0b744816a17486bee792b4d5_39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39"},"_vena_6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4"},"_vena_6_b1_C_FV_7cc8369c0b744816a17486bee792b4d5_40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40"},"_vena_6_b1_C_FV_7cc8369c0b744816a17486bee792b4d5_41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41"},"_vena_6_b1_C_FV_7cc8369c0b744816a17486bee792b4d5_42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42"},"_vena_6_b1_C_FV_7cc8369c0b744816a17486bee792b4d5_43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43"},"_vena_6_b1_C_FV_7cc8369c0b744816a17486bee792b4d5_44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44"},"_vena_6_b1_C_FV_7cc8369c0b744816a17486bee792b4d5_45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45"},"_vena_6_b1_C_FV_7cc8369c0b744816a17486bee792b4d5_46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46"},"_vena_6_b1_C_FV_7cc8369c0b744816a17486bee792b4d5_47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47"},"_vena_6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5"},"_vena_6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6"},"_vena_6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7"},"_vena_6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8"},"_vena_6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7cc8369c0b744816a17486bee792b4d5","DimensionId":-1,"MemberId":-1,"Inc":"9"},"_vena_6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"},"_vena_6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"},"_vena_6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10"},"_vena_6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11"},"_vena_6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12"},"_vena_6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13"},"_vena_6_b1_C_FV_f4ddf33ff6224574ba096b1a5435ea67_14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14"},"_vena_6_b1_C_FV_f4ddf33ff6224574ba096b1a5435ea67_15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15"},"_vena_6_b1_C_FV_f4ddf33ff6224574ba096b1a5435ea67_16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16"},"_vena_6_b1_C_FV_f4ddf33ff6224574ba096b1a5435ea67_17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17"},"_vena_6_b1_C_FV_f4ddf33ff6224574ba096b1a5435ea67_18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18"},"_vena_6_b1_C_FV_f4ddf33ff6224574ba096b1a5435ea67_19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19"},"_vena_6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"},"_vena_6_b1_C_FV_f4ddf33ff6224574ba096b1a5435ea67_20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20"},"_vena_6_b1_C_FV_f4ddf33ff6224574ba096b1a5435ea67_21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21"},"_vena_6_b1_C_FV_f4ddf33ff6224574ba096b1a5435ea67_22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22"},"_vena_6_b1_C_FV_f4ddf33ff6224574ba096b1a5435ea67_23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23"},"_vena_6_b1_C_FV_f4ddf33ff6224574ba096b1a5435ea67_24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24"},"_vena_6_b1_C_FV_f4ddf33ff6224574ba096b1a5435ea67_25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25"},"_vena_6_b1_C_FV_f4ddf33ff6224574ba096b1a5435ea67_26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26"},"_vena_6_b1_C_FV_f4ddf33ff6224574ba096b1a5435ea67_27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27"},"_vena_6_b1_C_FV_f4ddf33ff6224574ba096b1a5435ea67_28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28"},"_vena_6_b1_C_FV_f4ddf33ff6224574ba096b1a5435ea67_29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29"},"_vena_6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"},"_vena_6_b1_C_FV_f4ddf33ff6224574ba096b1a5435ea67_30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30"},"_vena_6_b1_C_FV_f4ddf33ff6224574ba096b1a5435ea67_31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31"},"_vena_6_b1_C_FV_f4ddf33ff6224574ba096b1a5435ea67_32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32"},"_vena_6_b1_C_FV_f4ddf33ff6224574ba096b1a5435ea67_33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33"},"_vena_6_b1_C_FV_f4ddf33ff6224574ba096b1a5435ea67_34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34"},"_vena_6_b1_C_FV_f4ddf33ff6224574ba096b1a5435ea67_35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35"},"_vena_6_b1_C_FV_f4ddf33ff6224574ba096b1a5435ea67_36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36"},"_vena_6_b1_C_FV_f4ddf33ff6224574ba096b1a5435ea67_37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37"},"_vena_6_b1_C_FV_f4ddf33ff6224574ba096b1a5435ea67_38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38"},"_vena_6_b1_C_FV_f4ddf33ff6224574ba096b1a5435ea67_39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39"},"_vena_6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4"},"_vena_6_b1_C_FV_f4ddf33ff6224574ba096b1a5435ea67_40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40"},"_vena_6_b1_C_FV_f4ddf33ff6224574ba096b1a5435ea67_41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41"},"_vena_6_b1_C_FV_f4ddf33ff6224574ba096b1a5435ea67_42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42"},"_vena_6_b1_C_FV_f4ddf33ff6224574ba096b1a5435ea67_43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43"},"_vena_6_b1_C_FV_f4ddf33ff6224574ba096b1a5435ea67_44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44"},"_vena_6_b1_C_FV_f4ddf33ff6224574ba096b1a5435ea67_45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45"},"_vena_6_b1_C_FV_f4ddf33ff6224574ba096b1a5435ea67_46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46"},"_vena_6_b1_C_FV_f4ddf33ff6224574ba096b1a5435ea67_47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47"},"_vena_6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5"},"_vena_6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6"},"_vena_6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7"},"_vena_6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8"},"_vena_6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2,"DimensionIdStr":"FV","MemberIdStr":"f4ddf33ff6224574ba096b1a5435ea67","DimensionId":-1,"MemberId":-1,"Inc":"9"},"_vena_6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1126333519640395796","DimensionId":1,"MemberId":1126333519640395796,"Inc":""},"_vena_6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1126333519686533120","DimensionId":1,"MemberId":1126333519686533120,"Inc":""},"_vena_6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1126333519715893262","DimensionId":1,"MemberId":1126333519715893262,"Inc":""},"_vena_6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1126333519736864780","DimensionId":1,"MemberId":1126333519736864780,"Inc":""},"_vena_6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1126333519762030608","DimensionId":1,"MemberId":1126333519762030608,"Inc":""},"_vena_6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1126333519778807820","DimensionId":1,"MemberId":1126333519778807820,"Inc":""},"_vena_6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1126333519787196446","DimensionId":1,"MemberId":1126333519787196446,"Inc":""},"_vena_6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1126333519808167948","DimensionId":1,"MemberId":1126333519808167948,"Inc":""},"_vena_6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1126333519854305298","DimensionId":1,"MemberId":1126333519854305298,"Inc":""},"_vena_6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1126333519871082529","DimensionId":1,"MemberId":1126333519871082529,"Inc":""},"_vena_6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1126333519883665426","DimensionId":1,"MemberId":1126333519883665426,"Inc":""},"_vena_6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1126333519900442631","DimensionId":1,"MemberId":1126333519900442631,"Inc":""},"_vena_6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1126333519925608473","DimensionId":1,"MemberId":1126333519925608473,"Inc":""},"_vena_6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1126333519963357190","DimensionId":1,"MemberId":1126333519963357190,"Inc":""},"_vena_6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1176989022519558144","DimensionId":1,"MemberId":1176989022519558144,"Inc":""},"_vena_6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1177034623004573696","DimensionId":1,"MemberId":1177034623004573696,"Inc":""},"_vena_6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1177042009963233280","DimensionId":1,"MemberId":1177042009963233280,"Inc":""},"_vena_6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1177042321444044802","DimensionId":1,"MemberId":1177042321444044802,"Inc":""},"_vena_6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1182443237873811456","DimensionId":1,"MemberId":1182443237873811456,"Inc":""},"_vena_6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1192625627677589504","DimensionId":1,"MemberId":1192625627677589504,"Inc":""},"_vena_6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1193288113649483886","DimensionId":1,"MemberId":1193288113649483886,"Inc":""},"_vena_6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1258522529073987584","DimensionId":1,"MemberId":1258522529073987584,"Inc":""},"_vena_6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1336800240017473538","DimensionId":1,"MemberId":1336800240017473538,"Inc":""},"_vena_6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1525326324040761344","DimensionId":1,"MemberId":1525326324040761344,"Inc":""},"_vena_6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1547710538947624960","DimensionId":1,"MemberId":1547710538947624960,"Inc":""},"_vena_6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1547710569653993893","DimensionId":1,"MemberId":1547710569653993893,"Inc":""},"_vena_6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651631427951788032","DimensionId":1,"MemberId":651631427951788032,"Inc":""},"_vena_6_b1_R_1_651631427989536768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651631427989536768","DimensionId":1,"MemberId":651631427989536768,"Inc":""},"_vena_6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651631428002119680","DimensionId":1,"MemberId":651631428002119680,"Inc":""},"_vena_6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651631428165697537","DimensionId":1,"MemberId":651631428165697537,"Inc":""},"_vena_6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691119840308494336","DimensionId":1,"MemberId":691119840308494336,"Inc":""},"_vena_6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691121205046280192","DimensionId":1,"MemberId":691121205046280192,"Inc":""},"_vena_6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691121629820878848","DimensionId":1,"MemberId":691121629820878848,"Inc":""},"_vena_6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1","MemberIdStr":"691172173569589248","DimensionId":1,"MemberId":691172173569589248,"Inc":""},"_vena_6_b1_R_FV_385b1d086d8a4b8abf43c04eedb00d88_156df6bf.ecba946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156df6bf.ecba946c"},"_vena_6_b1_R_FV_385b1d086d8a4b8abf43c04eedb00d88_19b8c2ee.5fb8213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19b8c2ee.5fb8213"},"_vena_6_b1_R_FV_385b1d086d8a4b8abf43c04eedb00d88_1c0d1915.aeeee52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1c0d1915.aeeee52c"},"_vena_6_b1_R_FV_385b1d086d8a4b8abf43c04eedb00d88_2923ceb6.fe96a94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2923ceb6.fe96a94"},"_vena_6_b1_R_FV_385b1d086d8a4b8abf43c04eedb00d88_2cf513c4.f69abac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2cf513c4.f69abac3"},"_vena_6_b1_R_FV_385b1d086d8a4b8abf43c04eedb00d88_307887a1.ff902668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307887a1.ff902668"},"_vena_6_b1_R_FV_385b1d086d8a4b8abf43c04eedb00d88_4f125e0d.6d736bc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4f125e0d.6d736bcd"},"_vena_6_b1_R_FV_385b1d086d8a4b8abf43c04eedb00d88_52ca7877.8890532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52ca7877.8890532e"},"_vena_6_b1_R_FV_385b1d086d8a4b8abf43c04eedb00d88_71c63e31.3727c2f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71c63e31.3727c2f2"},"_vena_6_b1_R_FV_385b1d086d8a4b8abf43c04eedb00d88_74405870.eeb28c15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74405870.eeb28c15"},"_vena_6_b1_R_FV_385b1d086d8a4b8abf43c04eedb00d88_81e0d8b7.dec71c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81e0d8b7.dec71cc"},"_vena_6_b1_R_FV_385b1d086d8a4b8abf43c04eedb00d88_8964ada4.82126d4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8964ada4.82126d4c"},"_vena_6_b1_R_FV_385b1d086d8a4b8abf43c04eedb00d88_8d74ad2.41ca4b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8d74ad2.41ca4b2"},"_vena_6_b1_R_FV_385b1d086d8a4b8abf43c04eedb00d88_8e9ac198.853ccc98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8e9ac198.853ccc98"},"_vena_6_b1_R_FV_385b1d086d8a4b8abf43c04eedb00d88_a15d8b8.28adb3c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a15d8b8.28adb3c2"},"_vena_6_b1_R_FV_385b1d086d8a4b8abf43c04eedb00d88_a204d652.6635ede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a204d652.6635eded"},"_vena_6_b1_R_FV_385b1d086d8a4b8abf43c04eedb00d88_a53d80dd.accd7902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a53d80dd.accd7902"},"_vena_6_b1_R_FV_385b1d086d8a4b8abf43c04eedb00d88_acb8f388.1f040aa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acb8f388.1f040aab"},"_vena_6_b1_R_FV_385b1d086d8a4b8abf43c04eedb00d88_b59cca20.6f39c3a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b59cca20.6f39c3a8"},"_vena_6_b1_R_FV_385b1d086d8a4b8abf43c04eedb00d88_b6432b2a.853ba0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b6432b2a.853ba0a"},"_vena_6_b1_R_FV_385b1d086d8a4b8abf43c04eedb00d88_bc3c453b.75078486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bc3c453b.75078486"},"_vena_6_b1_R_FV_385b1d086d8a4b8abf43c04eedb00d88_dc095f77.f735d8f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dc095f77.f735d8fd"},"_vena_6_b1_R_FV_385b1d086d8a4b8abf43c04eedb00d88_df0dbebb.7c7f4ff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df0dbebb.7c7f4ff2"},"_vena_6_b1_R_FV_385b1d086d8a4b8abf43c04eedb00d88_e03a8579.47e1485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e03a8579.47e1485"},"_vena_6_b1_R_FV_385b1d086d8a4b8abf43c04eedb00d88_f1e20d00.7acbc233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f1e20d00.7acbc233"},"_vena_6_b1_R_FV_385b1d086d8a4b8abf43c04eedb00d88_fe5bd80f.1b2c0ea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b1","VenaRangeType":1,"DimensionIdStr":"FV","MemberIdStr":"385b1d086d8a4b8abf43c04eedb00d88","DimensionId":-1,"MemberId":-1,"Inc":"fe5bd80f.1b2c0ea4"},"_vena_6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","VenaRangeType":0,"DimensionIdStr":"11","MemberIdStr":"651631431944765441","DimensionId":11,"MemberId":651631431944765441,"Inc":""},"_vena_6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","VenaRangeType":0,"DimensionIdStr":"12","MemberIdStr":"651631431982514177","DimensionId":12,"MemberId":651631431982514177,"Inc":""},"_vena_6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","VenaRangeType":0,"DimensionIdStr":"2","MemberIdStr":"651631429184913409","DimensionId":2,"MemberId":651631429184913409,"Inc":""},"_vena_6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","VenaRangeType":0,"DimensionIdStr":"4","MemberIdStr":"652241713652170752","DimensionId":4,"MemberId":652241713652170752,"Inc":""},"_vena_6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","VenaRangeType":0,"DimensionIdStr":"5","MemberIdStr":"652241713786388480","DimensionId":5,"MemberId":652241713786388480,"Inc":""},"_vena_6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","VenaRangeType":0,"DimensionIdStr":"6","MemberIdStr":"652241713908023296","DimensionId":6,"MemberId":652241713908023296,"Inc":""},"_vena_6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","VenaRangeType":0,"DimensionIdStr":"7","MemberIdStr":"652241714033852416","DimensionId":7,"MemberId":652241714033852416,"Inc":""},"_vena_6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6","BlockName":"","VenaRangeType":0,"DimensionIdStr":"FV","MemberIdStr":"a2a46c4bae444ba2ab0e2971d74e2ddb","DimensionId":-1,"MemberId":-1,"Inc":""},"_vena_7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"},"_vena_7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1"},"_vena_7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10"},"_vena_7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11"},"_vena_7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12"},"_vena_7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13"},"_vena_7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2"},"_vena_7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3"},"_vena_7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4"},"_vena_7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5"},"_vena_7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6"},"_vena_7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7"},"_vena_7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8"},"_vena_7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134399665b374008851e5b8c04b5ee44","DimensionId":-1,"MemberId":-1,"Inc":"9"},"_vena_7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"},"_vena_7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1"},"_vena_7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10"},"_vena_7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11"},"_vena_7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12"},"_vena_7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13"},"_vena_7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2"},"_vena_7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3"},"_vena_7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4"},"_vena_7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5"},"_vena_7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6"},"_vena_7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7"},"_vena_7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8"},"_vena_7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7cc8369c0b744816a17486bee792b4d5","DimensionId":-1,"MemberId":-1,"Inc":"9"},"_vena_7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"},"_vena_7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1"},"_vena_7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10"},"_vena_7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11"},"_vena_7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12"},"_vena_7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13"},"_vena_7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2"},"_vena_7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3"},"_vena_7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4"},"_vena_7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5"},"_vena_7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6"},"_vena_7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7"},"_vena_7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8"},"_vena_7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2,"DimensionIdStr":"FV","MemberIdStr":"f4ddf33ff6224574ba096b1a5435ea67","DimensionId":-1,"MemberId":-1,"Inc":"9"},"_vena_7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1126333519640395796","DimensionId":1,"MemberId":1126333519640395796,"Inc":""},"_vena_7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1126333519686533120","DimensionId":1,"MemberId":1126333519686533120,"Inc":""},"_vena_7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1126333519715893262","DimensionId":1,"MemberId":1126333519715893262,"Inc":""},"_vena_7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1126333519736864780","DimensionId":1,"MemberId":1126333519736864780,"Inc":""},"_vena_7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1126333519762030608","DimensionId":1,"MemberId":1126333519762030608,"Inc":""},"_vena_7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1126333519778807820","DimensionId":1,"MemberId":1126333519778807820,"Inc":""},"_vena_7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1126333519787196446","DimensionId":1,"MemberId":1126333519787196446,"Inc":""},"_vena_7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1126333519808167948","DimensionId":1,"MemberId":1126333519808167948,"Inc":""},"_vena_7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1126333519854305298","DimensionId":1,"MemberId":1126333519854305298,"Inc":""},"_vena_7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1126333519871082529","DimensionId":1,"MemberId":1126333519871082529,"Inc":""},"_vena_7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1126333519883665426","DimensionId":1,"MemberId":1126333519883665426,"Inc":""},"_vena_7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1126333519900442631","DimensionId":1,"MemberId":1126333519900442631,"Inc":""},"_vena_7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1126333519925608473","DimensionId":1,"MemberId":1126333519925608473,"Inc":""},"_vena_7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1126333519963357190","DimensionId":1,"MemberId":1126333519963357190,"Inc":""},"_vena_7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1176989022519558144","DimensionId":1,"MemberId":1176989022519558144,"Inc":""},"_vena_7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1177034623004573696","DimensionId":1,"MemberId":1177034623004573696,"Inc":""},"_vena_7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1177042009963233280","DimensionId":1,"MemberId":1177042009963233280,"Inc":""},"_vena_7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1177042321444044802","DimensionId":1,"MemberId":1177042321444044802,"Inc":""},"_vena_7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1182443237873811456","DimensionId":1,"MemberId":1182443237873811456,"Inc":""},"_vena_7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1192625627677589504","DimensionId":1,"MemberId":1192625627677589504,"Inc":""},"_vena_7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1193288113649483886","DimensionId":1,"MemberId":1193288113649483886,"Inc":""},"_vena_7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1258522529073987584","DimensionId":1,"MemberId":1258522529073987584,"Inc":""},"_vena_7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1336800240017473538","DimensionId":1,"MemberId":1336800240017473538,"Inc":""},"_vena_7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1525326324040761344","DimensionId":1,"MemberId":1525326324040761344,"Inc":""},"_vena_7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1547710538947624960","DimensionId":1,"MemberId":1547710538947624960,"Inc":""},"_vena_7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1547710569653993893","DimensionId":1,"MemberId":1547710569653993893,"Inc":""},"_vena_7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651631427951788032","DimensionId":1,"MemberId":651631427951788032,"Inc":""},"_vena_7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651631428002119680","DimensionId":1,"MemberId":651631428002119680,"Inc":""},"_vena_7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651631428165697537","DimensionId":1,"MemberId":651631428165697537,"Inc":""},"_vena_7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691119840308494336","DimensionId":1,"MemberId":691119840308494336,"Inc":""},"_vena_7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691121205046280192","DimensionId":1,"MemberId":691121205046280192,"Inc":""},"_vena_7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691121629820878848","DimensionId":1,"MemberId":691121629820878848,"Inc":""},"_vena_7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1","MemberIdStr":"691172173569589248","DimensionId":1,"MemberId":691172173569589248,"Inc":""},"_vena_7_b1_R_FV_385b1d086d8a4b8abf43c04eedb00d88_11bf0375.cab12030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11bf0375.cab12030"},"_vena_7_b1_R_FV_385b1d086d8a4b8abf43c04eedb00d88_1a818e3d.97e46d9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1a818e3d.97e46d9e"},"_vena_7_b1_R_FV_385b1d086d8a4b8abf43c04eedb00d88_22c123f6.19882e7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22c123f6.19882e7d"},"_vena_7_b1_R_FV_385b1d086d8a4b8abf43c04eedb00d88_297449d2.9e610ca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297449d2.9e610ca1"},"_vena_7_b1_R_FV_385b1d086d8a4b8abf43c04eedb00d88_31c7d286.c95ca373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31c7d286.c95ca373"},"_vena_7_b1_R_FV_385b1d086d8a4b8abf43c04eedb00d88_376b624d.30ef4d18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376b624d.30ef4d18"},"_vena_7_b1_R_FV_385b1d086d8a4b8abf43c04eedb00d88_3f0461f.7d36cc49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3f0461f.7d36cc49"},"_vena_7_b1_R_FV_385b1d086d8a4b8abf43c04eedb00d88_49d3db81.5ccf64d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49d3db81.5ccf64d1"},"_vena_7_b1_R_FV_385b1d086d8a4b8abf43c04eedb00d88_52b1e6cd.de2c5a8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52b1e6cd.de2c5a8f"},"_vena_7_b1_R_FV_385b1d086d8a4b8abf43c04eedb00d88_598d060a.d02cbcf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598d060a.d02cbcfb"},"_vena_7_b1_R_FV_385b1d086d8a4b8abf43c04eedb00d88_6b503653.3501809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6b503653.3501809a"},"_vena_7_b1_R_FV_385b1d086d8a4b8abf43c04eedb00d88_70ef63ad.b26e32c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70ef63ad.b26e32c4"},"_vena_7_b1_R_FV_385b1d086d8a4b8abf43c04eedb00d88_751d0254.7cd7db86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751d0254.7cd7db86"},"_vena_7_b1_R_FV_385b1d086d8a4b8abf43c04eedb00d88_8a3c430b.9b60cb6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8a3c430b.9b60cb6c"},"_vena_7_b1_R_FV_385b1d086d8a4b8abf43c04eedb00d88_a337db52.531cd53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a337db52.531cd53"},"_vena_7_b1_R_FV_385b1d086d8a4b8abf43c04eedb00d88_a378672f.a1a3237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a378672f.a1a3237a"},"_vena_7_b1_R_FV_385b1d086d8a4b8abf43c04eedb00d88_ac23b846.31a3c29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ac23b846.31a3c29b"},"_vena_7_b1_R_FV_385b1d086d8a4b8abf43c04eedb00d88_b7141aa4.f02e3678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b7141aa4.f02e3678"},"_vena_7_b1_R_FV_385b1d086d8a4b8abf43c04eedb00d88_c0282ccf.4cd75877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c0282ccf.4cd75877"},"_vena_7_b1_R_FV_385b1d086d8a4b8abf43c04eedb00d88_c639e143.9a94e7c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c639e143.9a94e7ce"},"_vena_7_b1_R_FV_385b1d086d8a4b8abf43c04eedb00d88_e1739d1e.9880e9a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e1739d1e.9880e9aa"},"_vena_7_b1_R_FV_385b1d086d8a4b8abf43c04eedb00d88_eeb6f87c.bbe92044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eeb6f87c.bbe92044"},"_vena_7_b1_R_FV_385b1d086d8a4b8abf43c04eedb00d88_efb0611f.59a5e80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efb0611f.59a5e80c"},"_vena_7_b1_R_FV_385b1d086d8a4b8abf43c04eedb00d88_f07f258b.25e0b281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f07f258b.25e0b281"},"_vena_7_b1_R_FV_385b1d086d8a4b8abf43c04eedb00d88_f5ec9035.18ffff14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f5ec9035.18ffff14"},"_vena_7_b1_R_FV_385b1d086d8a4b8abf43c04eedb00d88_fec63d9b.7afd1e2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b1","VenaRangeType":1,"DimensionIdStr":"FV","MemberIdStr":"385b1d086d8a4b8abf43c04eedb00d88","DimensionId":-1,"MemberId":-1,"Inc":"fec63d9b.7afd1e2b"},"_vena_7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","VenaRangeType":0,"DimensionIdStr":"11","MemberIdStr":"651631431944765441","DimensionId":11,"MemberId":651631431944765441,"Inc":""},"_vena_7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","VenaRangeType":0,"DimensionIdStr":"12","MemberIdStr":"651631431982514177","DimensionId":12,"MemberId":651631431982514177,"Inc":""},"_vena_7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","VenaRangeType":0,"DimensionIdStr":"2","MemberIdStr":"651631429184913409","DimensionId":2,"MemberId":651631429184913409,"Inc":""},"_vena_7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","VenaRangeType":0,"DimensionIdStr":"4","MemberIdStr":"652241713652170752","DimensionId":4,"MemberId":652241713652170752,"Inc":""},"_vena_7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","VenaRangeType":0,"DimensionIdStr":"5","MemberIdStr":"652241713786388480","DimensionId":5,"MemberId":652241713786388480,"Inc":""},"_vena_7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","VenaRangeType":0,"DimensionIdStr":"6","MemberIdStr":"652241713908023296","DimensionId":6,"MemberId":652241713908023296,"Inc":""},"_vena_7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","VenaRangeType":0,"DimensionIdStr":"7","MemberIdStr":"652241714033852416","DimensionId":7,"MemberId":652241714033852416,"Inc":""},"_vena_7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7","BlockName":"","VenaRangeType":0,"DimensionIdStr":"FV","MemberIdStr":"a2a46c4bae444ba2ab0e2971d74e2ddb","DimensionId":-1,"MemberId":-1,"Inc":""},"_vena_8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"},"_vena_8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"},"_vena_8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10"},"_vena_8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11"},"_vena_8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12"},"_vena_8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13"},"_vena_8_b1_C_FV_134399665b374008851e5b8c04b5ee44_14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14"},"_vena_8_b1_C_FV_134399665b374008851e5b8c04b5ee44_15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15"},"_vena_8_b1_C_FV_134399665b374008851e5b8c04b5ee44_16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16"},"_vena_8_b1_C_FV_134399665b374008851e5b8c04b5ee44_17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17"},"_vena_8_b1_C_FV_134399665b374008851e5b8c04b5ee44_18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18"},"_vena_8_b1_C_FV_134399665b374008851e5b8c04b5ee44_19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19"},"_vena_8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"},"_vena_8_b1_C_FV_134399665b374008851e5b8c04b5ee44_20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20"},"_vena_8_b1_C_FV_134399665b374008851e5b8c04b5ee44_21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21"},"_vena_8_b1_C_FV_134399665b374008851e5b8c04b5ee44_22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22"},"_vena_8_b1_C_FV_134399665b374008851e5b8c04b5ee44_23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23"},"_vena_8_b1_C_FV_134399665b374008851e5b8c04b5ee44_24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24"},"_vena_8_b1_C_FV_134399665b374008851e5b8c04b5ee44_25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25"},"_vena_8_b1_C_FV_134399665b374008851e5b8c04b5ee44_26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26"},"_vena_8_b1_C_FV_134399665b374008851e5b8c04b5ee44_27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27"},"_vena_8_b1_C_FV_134399665b374008851e5b8c04b5ee44_28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28"},"_vena_8_b1_C_FV_134399665b374008851e5b8c04b5ee44_29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29"},"_vena_8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"},"_vena_8_b1_C_FV_134399665b374008851e5b8c04b5ee44_30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30"},"_vena_8_b1_C_FV_134399665b374008851e5b8c04b5ee44_31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31"},"_vena_8_b1_C_FV_134399665b374008851e5b8c04b5ee44_32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32"},"_vena_8_b1_C_FV_134399665b374008851e5b8c04b5ee44_33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33"},"_vena_8_b1_C_FV_134399665b374008851e5b8c04b5ee44_34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34"},"_vena_8_b1_C_FV_134399665b374008851e5b8c04b5ee44_35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35"},"_vena_8_b1_C_FV_134399665b374008851e5b8c04b5ee44_36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36"},"_vena_8_b1_C_FV_134399665b374008851e5b8c04b5ee44_37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37"},"_vena_8_b1_C_FV_134399665b374008851e5b8c04b5ee44_38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38"},"_vena_8_b1_C_FV_134399665b374008851e5b8c04b5ee44_39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39"},"_vena_8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4"},"_vena_8_b1_C_FV_134399665b374008851e5b8c04b5ee44_40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40"},"_vena_8_b1_C_FV_134399665b374008851e5b8c04b5ee44_41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41"},"_vena_8_b1_C_FV_134399665b374008851e5b8c04b5ee44_42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42"},"_vena_8_b1_C_FV_134399665b374008851e5b8c04b5ee44_43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43"},"_vena_8_b1_C_FV_134399665b374008851e5b8c04b5ee44_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44"},"_vena_8_b1_C_FV_134399665b374008851e5b8c04b5ee44_45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45"},"_vena_8_b1_C_FV_134399665b374008851e5b8c04b5ee44_46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46"},"_vena_8_b1_C_FV_134399665b374008851e5b8c04b5ee44_47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47"},"_vena_8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5"},"_vena_8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6"},"_vena_8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7"},"_vena_8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8"},"_vena_8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134399665b374008851e5b8c04b5ee44","DimensionId":-1,"MemberId":-1,"Inc":"9"},"_vena_8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"},"_vena_8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"},"_vena_8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10"},"_vena_8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11"},"_vena_8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12"},"_vena_8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13"},"_vena_8_b1_C_FV_7cc8369c0b744816a17486bee792b4d5_14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14"},"_vena_8_b1_C_FV_7cc8369c0b744816a17486bee792b4d5_15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15"},"_vena_8_b1_C_FV_7cc8369c0b744816a17486bee792b4d5_16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16"},"_vena_8_b1_C_FV_7cc8369c0b744816a17486bee792b4d5_17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17"},"_vena_8_b1_C_FV_7cc8369c0b744816a17486bee792b4d5_18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18"},"_vena_8_b1_C_FV_7cc8369c0b744816a17486bee792b4d5_19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19"},"_vena_8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"},"_vena_8_b1_C_FV_7cc8369c0b744816a17486bee792b4d5_20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20"},"_vena_8_b1_C_FV_7cc8369c0b744816a17486bee792b4d5_21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21"},"_vena_8_b1_C_FV_7cc8369c0b744816a17486bee792b4d5_22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22"},"_vena_8_b1_C_FV_7cc8369c0b744816a17486bee792b4d5_23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23"},"_vena_8_b1_C_FV_7cc8369c0b744816a17486bee792b4d5_24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24"},"_vena_8_b1_C_FV_7cc8369c0b744816a17486bee792b4d5_25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25"},"_vena_8_b1_C_FV_7cc8369c0b744816a17486bee792b4d5_26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26"},"_vena_8_b1_C_FV_7cc8369c0b744816a17486bee792b4d5_27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27"},"_vena_8_b1_C_FV_7cc8369c0b744816a17486bee792b4d5_28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28"},"_vena_8_b1_C_FV_7cc8369c0b744816a17486bee792b4d5_29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29"},"_vena_8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"},"_vena_8_b1_C_FV_7cc8369c0b744816a17486bee792b4d5_30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30"},"_vena_8_b1_C_FV_7cc8369c0b744816a17486bee792b4d5_31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31"},"_vena_8_b1_C_FV_7cc8369c0b744816a17486bee792b4d5_32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32"},"_vena_8_b1_C_FV_7cc8369c0b744816a17486bee792b4d5_33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33"},"_vena_8_b1_C_FV_7cc8369c0b744816a17486bee792b4d5_34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34"},"_vena_8_b1_C_FV_7cc8369c0b744816a17486bee792b4d5_35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35"},"_vena_8_b1_C_FV_7cc8369c0b744816a17486bee792b4d5_36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36"},"_vena_8_b1_C_FV_7cc8369c0b744816a17486bee792b4d5_37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37"},"_vena_8_b1_C_FV_7cc8369c0b744816a17486bee792b4d5_38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38"},"_vena_8_b1_C_FV_7cc8369c0b744816a17486bee792b4d5_39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39"},"_vena_8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4"},"_vena_8_b1_C_FV_7cc8369c0b744816a17486bee792b4d5_40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40"},"_vena_8_b1_C_FV_7cc8369c0b744816a17486bee792b4d5_41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41"},"_vena_8_b1_C_FV_7cc8369c0b744816a17486bee792b4d5_42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42"},"_vena_8_b1_C_FV_7cc8369c0b744816a17486bee792b4d5_43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43"},"_vena_8_b1_C_FV_7cc8369c0b744816a17486bee792b4d5_44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44"},"_vena_8_b1_C_FV_7cc8369c0b744816a17486bee792b4d5_45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45"},"_vena_8_b1_C_FV_7cc8369c0b744816a17486bee792b4d5_46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46"},"_vena_8_b1_C_FV_7cc8369c0b744816a17486bee792b4d5_47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47"},"_vena_8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5"},"_vena_8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6"},"_vena_8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7"},"_vena_8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8"},"_vena_8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7cc8369c0b744816a17486bee792b4d5","DimensionId":-1,"MemberId":-1,"Inc":"9"},"_vena_8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"},"_vena_8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"},"_vena_8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10"},"_vena_8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11"},"_vena_8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12"},"_vena_8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13"},"_vena_8_b1_C_FV_f4ddf33ff6224574ba096b1a5435ea67_14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14"},"_vena_8_b1_C_FV_f4ddf33ff6224574ba096b1a5435ea67_15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15"},"_vena_8_b1_C_FV_f4ddf33ff6224574ba096b1a5435ea67_16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16"},"_vena_8_b1_C_FV_f4ddf33ff6224574ba096b1a5435ea67_17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17"},"_vena_8_b1_C_FV_f4ddf33ff6224574ba096b1a5435ea67_18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18"},"_vena_8_b1_C_FV_f4ddf33ff6224574ba096b1a5435ea67_19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19"},"_vena_8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"},"_vena_8_b1_C_FV_f4ddf33ff6224574ba096b1a5435ea67_20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20"},"_vena_8_b1_C_FV_f4ddf33ff6224574ba096b1a5435ea67_21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21"},"_vena_8_b1_C_FV_f4ddf33ff6224574ba096b1a5435ea67_22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22"},"_vena_8_b1_C_FV_f4ddf33ff6224574ba096b1a5435ea67_23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23"},"_vena_8_b1_C_FV_f4ddf33ff6224574ba096b1a5435ea67_24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24"},"_vena_8_b1_C_FV_f4ddf33ff6224574ba096b1a5435ea67_25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25"},"_vena_8_b1_C_FV_f4ddf33ff6224574ba096b1a5435ea67_26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26"},"_vena_8_b1_C_FV_f4ddf33ff6224574ba096b1a5435ea67_27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27"},"_vena_8_b1_C_FV_f4ddf33ff6224574ba096b1a5435ea67_28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28"},"_vena_8_b1_C_FV_f4ddf33ff6224574ba096b1a5435ea67_29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29"},"_vena_8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"},"_vena_8_b1_C_FV_f4ddf33ff6224574ba096b1a5435ea67_30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30"},"_vena_8_b1_C_FV_f4ddf33ff6224574ba096b1a5435ea67_31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31"},"_vena_8_b1_C_FV_f4ddf33ff6224574ba096b1a5435ea67_32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32"},"_vena_8_b1_C_FV_f4ddf33ff6224574ba096b1a5435ea67_33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33"},"_vena_8_b1_C_FV_f4ddf33ff6224574ba096b1a5435ea67_34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34"},"_vena_8_b1_C_FV_f4ddf33ff6224574ba096b1a5435ea67_35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35"},"_vena_8_b1_C_FV_f4ddf33ff6224574ba096b1a5435ea67_36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36"},"_vena_8_b1_C_FV_f4ddf33ff6224574ba096b1a5435ea67_37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37"},"_vena_8_b1_C_FV_f4ddf33ff6224574ba096b1a5435ea67_38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38"},"_vena_8_b1_C_FV_f4ddf33ff6224574ba096b1a5435ea67_39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39"},"_vena_8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4"},"_vena_8_b1_C_FV_f4ddf33ff6224574ba096b1a5435ea67_40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40"},"_vena_8_b1_C_FV_f4ddf33ff6224574ba096b1a5435ea67_41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41"},"_vena_8_b1_C_FV_f4ddf33ff6224574ba096b1a5435ea67_42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42"},"_vena_8_b1_C_FV_f4ddf33ff6224574ba096b1a5435ea67_43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43"},"_vena_8_b1_C_FV_f4ddf33ff6224574ba096b1a5435ea67_44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44"},"_vena_8_b1_C_FV_f4ddf33ff6224574ba096b1a5435ea67_45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45"},"_vena_8_b1_C_FV_f4ddf33ff6224574ba096b1a5435ea67_46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46"},"_vena_8_b1_C_FV_f4ddf33ff6224574ba096b1a5435ea67_47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47"},"_vena_8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5"},"_vena_8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6"},"_vena_8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7"},"_vena_8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8"},"_vena_8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2,"DimensionIdStr":"FV","MemberIdStr":"f4ddf33ff6224574ba096b1a5435ea67","DimensionId":-1,"MemberId":-1,"Inc":"9"},"_vena_8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1126333519640395796","DimensionId":1,"MemberId":1126333519640395796,"Inc":""},"_vena_8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1126333519686533120","DimensionId":1,"MemberId":1126333519686533120,"Inc":""},"_vena_8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1126333519715893262","DimensionId":1,"MemberId":1126333519715893262,"Inc":""},"_vena_8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1126333519736864780","DimensionId":1,"MemberId":1126333519736864780,"Inc":""},"_vena_8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1126333519762030608","DimensionId":1,"MemberId":1126333519762030608,"Inc":""},"_vena_8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1126333519778807820","DimensionId":1,"MemberId":1126333519778807820,"Inc":""},"_vena_8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1126333519787196446","DimensionId":1,"MemberId":1126333519787196446,"Inc":""},"_vena_8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1126333519808167948","DimensionId":1,"MemberId":1126333519808167948,"Inc":""},"_vena_8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1126333519854305298","DimensionId":1,"MemberId":1126333519854305298,"Inc":""},"_vena_8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1126333519871082529","DimensionId":1,"MemberId":1126333519871082529,"Inc":""},"_vena_8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1126333519883665426","DimensionId":1,"MemberId":1126333519883665426,"Inc":""},"_vena_8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1126333519900442631","DimensionId":1,"MemberId":1126333519900442631,"Inc":""},"_vena_8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1126333519925608473","DimensionId":1,"MemberId":1126333519925608473,"Inc":""},"_vena_8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1126333519963357190","DimensionId":1,"MemberId":1126333519963357190,"Inc":""},"_vena_8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1176989022519558144","DimensionId":1,"MemberId":1176989022519558144,"Inc":""},"_vena_8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1177034623004573696","DimensionId":1,"MemberId":1177034623004573696,"Inc":""},"_vena_8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1177042009963233280","DimensionId":1,"MemberId":1177042009963233280,"Inc":""},"_vena_8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1177042321444044802","DimensionId":1,"MemberId":1177042321444044802,"Inc":""},"_vena_8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1182443237873811456","DimensionId":1,"MemberId":1182443237873811456,"Inc":""},"_vena_8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1192625627677589504","DimensionId":1,"MemberId":1192625627677589504,"Inc":""},"_vena_8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1193288113649483886","DimensionId":1,"MemberId":1193288113649483886,"Inc":""},"_vena_8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1258522529073987584","DimensionId":1,"MemberId":1258522529073987584,"Inc":""},"_vena_8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1336800240017473538","DimensionId":1,"MemberId":1336800240017473538,"Inc":""},"_vena_8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1525326324040761344","DimensionId":1,"MemberId":1525326324040761344,"Inc":""},"_vena_8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1547710538947624960","DimensionId":1,"MemberId":1547710538947624960,"Inc":""},"_vena_8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1547710569653993893","DimensionId":1,"MemberId":1547710569653993893,"Inc":""},"_vena_8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651631427951788032","DimensionId":1,"MemberId":651631427951788032,"Inc":""},"_vena_8_b1_R_1_651631427989536768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651631427989536768","DimensionId":1,"MemberId":651631427989536768,"Inc":""},"_vena_8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651631428002119680","DimensionId":1,"MemberId":651631428002119680,"Inc":""},"_vena_8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651631428165697537","DimensionId":1,"MemberId":651631428165697537,"Inc":""},"_vena_8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691119840308494336","DimensionId":1,"MemberId":691119840308494336,"Inc":""},"_vena_8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691121205046280192","DimensionId":1,"MemberId":691121205046280192,"Inc":""},"_vena_8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691121629820878848","DimensionId":1,"MemberId":691121629820878848,"Inc":""},"_vena_8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1","MemberIdStr":"691172173569589248","DimensionId":1,"MemberId":691172173569589248,"Inc":""},"_vena_8_b1_R_FV_385b1d086d8a4b8abf43c04eedb00d88_119ae29b.48c7c3b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119ae29b.48c7c3bb"},"_vena_8_b1_R_FV_385b1d086d8a4b8abf43c04eedb00d88_3c6e9f82.d9103631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3c6e9f82.d9103631"},"_vena_8_b1_R_FV_385b1d086d8a4b8abf43c04eedb00d88_458fddd3.b22c52e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458fddd3.b22c52ed"},"_vena_8_b1_R_FV_385b1d086d8a4b8abf43c04eedb00d88_6a3d61a5.f522b89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6a3d61a5.f522b89b"},"_vena_8_b1_R_FV_385b1d086d8a4b8abf43c04eedb00d88_6ce5f675.eadb83b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6ce5f675.eadb83b4"},"_vena_8_b1_R_FV_385b1d086d8a4b8abf43c04eedb00d88_848936e8.7dbb28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848936e8.7dbb28a"},"_vena_8_b1_R_FV_385b1d086d8a4b8abf43c04eedb00d88_8b1950a0.8b915887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8b1950a0.8b915887"},"_vena_8_b1_R_FV_385b1d086d8a4b8abf43c04eedb00d88_8cf5d03c.a441066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8cf5d03c.a441066"},"_vena_8_b1_R_FV_385b1d086d8a4b8abf43c04eedb00d88_8dde94ca.3acc61b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8dde94ca.3acc61b8"},"_vena_8_b1_R_FV_385b1d086d8a4b8abf43c04eedb00d88_957e8b7a.c6522320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957e8b7a.c6522320"},"_vena_8_b1_R_FV_385b1d086d8a4b8abf43c04eedb00d88_a4a37a19.4ed5ef9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a4a37a19.4ed5ef9d"},"_vena_8_b1_R_FV_385b1d086d8a4b8abf43c04eedb00d88_a9787ce8.c46286d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a9787ce8.c46286d7"},"_vena_8_b1_R_FV_385b1d086d8a4b8abf43c04eedb00d88_af90a3bb.55f4a087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af90a3bb.55f4a087"},"_vena_8_b1_R_FV_385b1d086d8a4b8abf43c04eedb00d88_b2c17d1c.5bfb0c12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b2c17d1c.5bfb0c12"},"_vena_8_b1_R_FV_385b1d086d8a4b8abf43c04eedb00d88_ba7c6004.ea322f5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ba7c6004.ea322f5e"},"_vena_8_b1_R_FV_385b1d086d8a4b8abf43c04eedb00d88_bc0c8b94.61f7998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bc0c8b94.61f7998e"},"_vena_8_b1_R_FV_385b1d086d8a4b8abf43c04eedb00d88_bdaa9d84.77c519a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bdaa9d84.77c519ab"},"_vena_8_b1_R_FV_385b1d086d8a4b8abf43c04eedb00d88_c1eda3a.4259e527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c1eda3a.4259e527"},"_vena_8_b1_R_FV_385b1d086d8a4b8abf43c04eedb00d88_e974a4ba.1a2eb0a8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e974a4ba.1a2eb0a8"},"_vena_8_b1_R_FV_385b1d086d8a4b8abf43c04eedb00d88_ed191b8c.5dd35ca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ed191b8c.5dd35cad"},"_vena_8_b1_R_FV_385b1d086d8a4b8abf43c04eedb00d88_ed6b636e.b2f2f4d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ed6b636e.b2f2f4d6"},"_vena_8_b1_R_FV_385b1d086d8a4b8abf43c04eedb00d88_eef1a566.a1758847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eef1a566.a1758847"},"_vena_8_b1_R_FV_385b1d086d8a4b8abf43c04eedb00d88_ef26e781.40259fa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ef26e781.40259fac"},"_vena_8_b1_R_FV_385b1d086d8a4b8abf43c04eedb00d88_f218fd02.9bef376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f218fd02.9bef376e"},"_vena_8_b1_R_FV_385b1d086d8a4b8abf43c04eedb00d88_f2504b47.43a12522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f2504b47.43a12522"},"_vena_8_b1_R_FV_385b1d086d8a4b8abf43c04eedb00d88_f80ce2a.4eeca8e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b1","VenaRangeType":1,"DimensionIdStr":"FV","MemberIdStr":"385b1d086d8a4b8abf43c04eedb00d88","DimensionId":-1,"MemberId":-1,"Inc":"f80ce2a.4eeca8ee"},"_vena_8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","VenaRangeType":0,"DimensionIdStr":"11","MemberIdStr":"651631431944765441","DimensionId":11,"MemberId":651631431944765441,"Inc":""},"_vena_8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","VenaRangeType":0,"DimensionIdStr":"12","MemberIdStr":"651631431982514177","DimensionId":12,"MemberId":651631431982514177,"Inc":""},"_vena_8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","VenaRangeType":0,"DimensionIdStr":"2","MemberIdStr":"651631429184913409","DimensionId":2,"MemberId":651631429184913409,"Inc":""},"_vena_8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","VenaRangeType":0,"DimensionIdStr":"4","MemberIdStr":"652241713652170752","DimensionId":4,"MemberId":652241713652170752,"Inc":""},"_vena_8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","VenaRangeType":0,"DimensionIdStr":"5","MemberIdStr":"652241713786388480","DimensionId":5,"MemberId":652241713786388480,"Inc":""},"_vena_8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","VenaRangeType":0,"DimensionIdStr":"6","MemberIdStr":"652241713908023296","DimensionId":6,"MemberId":652241713908023296,"Inc":""},"_vena_8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","VenaRangeType":0,"DimensionIdStr":"7","MemberIdStr":"652241714033852416","DimensionId":7,"MemberId":652241714033852416,"Inc":""},"_vena_8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8","BlockName":"","VenaRangeType":0,"DimensionIdStr":"FV","MemberIdStr":"a2a46c4bae444ba2ab0e2971d74e2ddb","DimensionId":-1,"MemberId":-1,"Inc":""},"_vena_9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"},"_vena_9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1"},"_vena_9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10"},"_vena_9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11"},"_vena_9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12"},"_vena_9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13"},"_vena_9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2"},"_vena_9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3"},"_vena_9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4"},"_vena_9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5"},"_vena_9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6"},"_vena_9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7"},"_vena_9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8"},"_vena_9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134399665b374008851e5b8c04b5ee44","DimensionId":-1,"MemberId":-1,"Inc":"9"},"_vena_9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"},"_vena_9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1"},"_vena_9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10"},"_vena_9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11"},"_vena_9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12"},"_vena_9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13"},"_vena_9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2"},"_vena_9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3"},"_vena_9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4"},"_vena_9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5"},"_vena_9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6"},"_vena_9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7"},"_vena_9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8"},"_vena_9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7cc8369c0b744816a17486bee792b4d5","DimensionId":-1,"MemberId":-1,"Inc":"9"},"_vena_9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"},"_vena_9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1"},"_vena_9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10"},"_vena_9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11"},"_vena_9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12"},"_vena_9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13"},"_vena_9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2"},"_vena_9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3"},"_vena_9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4"},"_vena_9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5"},"_vena_9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6"},"_vena_9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7"},"_vena_9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8"},"_vena_9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2,"DimensionIdStr":"FV","MemberIdStr":"f4ddf33ff6224574ba096b1a5435ea67","DimensionId":-1,"MemberId":-1,"Inc":"9"},"_vena_9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1126333519640395796","DimensionId":1,"MemberId":1126333519640395796,"Inc":""},"_vena_9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1126333519686533120","DimensionId":1,"MemberId":1126333519686533120,"Inc":""},"_vena_9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1126333519715893262","DimensionId":1,"MemberId":1126333519715893262,"Inc":""},"_vena_9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1126333519736864780","DimensionId":1,"MemberId":1126333519736864780,"Inc":""},"_vena_9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1126333519762030608","DimensionId":1,"MemberId":1126333519762030608,"Inc":""},"_vena_9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1126333519778807820","DimensionId":1,"MemberId":1126333519778807820,"Inc":""},"_vena_9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1126333519787196446","DimensionId":1,"MemberId":1126333519787196446,"Inc":""},"_vena_9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1126333519808167948","DimensionId":1,"MemberId":1126333519808167948,"Inc":""},"_vena_9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1126333519854305298","DimensionId":1,"MemberId":1126333519854305298,"Inc":""},"_vena_9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1126333519871082529","DimensionId":1,"MemberId":1126333519871082529,"Inc":""},"_vena_9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1126333519883665426","DimensionId":1,"MemberId":1126333519883665426,"Inc":""},"_vena_9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1126333519900442631","DimensionId":1,"MemberId":1126333519900442631,"Inc":""},"_vena_9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1126333519925608473","DimensionId":1,"MemberId":1126333519925608473,"Inc":""},"_vena_9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1126333519963357190","DimensionId":1,"MemberId":1126333519963357190,"Inc":""},"_vena_9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1176989022519558144","DimensionId":1,"MemberId":1176989022519558144,"Inc":""},"_vena_9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1177034623004573696","DimensionId":1,"MemberId":1177034623004573696,"Inc":""},"_vena_9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1177042009963233280","DimensionId":1,"MemberId":1177042009963233280,"Inc":""},"_vena_9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1177042321444044802","DimensionId":1,"MemberId":1177042321444044802,"Inc":""},"_vena_9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1182443237873811456","DimensionId":1,"MemberId":1182443237873811456,"Inc":""},"_vena_9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1192625627677589504","DimensionId":1,"MemberId":1192625627677589504,"Inc":""},"_vena_9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1193288113649483886","DimensionId":1,"MemberId":1193288113649483886,"Inc":""},"_vena_9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1258522529073987584","DimensionId":1,"MemberId":1258522529073987584,"Inc":""},"_vena_9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1336800240017473538","DimensionId":1,"MemberId":1336800240017473538,"Inc":""},"_vena_9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1525326324040761344","DimensionId":1,"MemberId":1525326324040761344,"Inc":""},"_vena_9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1547710538947624960","DimensionId":1,"MemberId":1547710538947624960,"Inc":""},"_vena_9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1547710569653993893","DimensionId":1,"MemberId":1547710569653993893,"Inc":""},"_vena_9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651631427951788032","DimensionId":1,"MemberId":651631427951788032,"Inc":""},"_vena_9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651631428002119680","DimensionId":1,"MemberId":651631428002119680,"Inc":""},"_vena_9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651631428165697537","DimensionId":1,"MemberId":651631428165697537,"Inc":""},"_vena_9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691119840308494336","DimensionId":1,"MemberId":691119840308494336,"Inc":""},"_vena_9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691121205046280192","DimensionId":1,"MemberId":691121205046280192,"Inc":""},"_vena_9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691121629820878848","DimensionId":1,"MemberId":691121629820878848,"Inc":""},"_vena_9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1","MemberIdStr":"691172173569589248","DimensionId":1,"MemberId":691172173569589248,"Inc":""},"_vena_9_b1_R_FV_385b1d086d8a4b8abf43c04eedb00d88_353332c8.8b3aae24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353332c8.8b3aae24"},"_vena_9_b1_R_FV_385b1d086d8a4b8abf43c04eedb00d88_3b461360.5678769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3b461360.5678769f"},"_vena_9_b1_R_FV_385b1d086d8a4b8abf43c04eedb00d88_400b00ad.c7deb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400b00ad.c7debb"},"_vena_9_b1_R_FV_385b1d086d8a4b8abf43c04eedb00d88_40f6a53e.752fe0e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40f6a53e.752fe0ea"},"_vena_9_b1_R_FV_385b1d086d8a4b8abf43c04eedb00d88_6e2a55d4.f647f7c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6e2a55d4.f647f7c9"},"_vena_9_b1_R_FV_385b1d086d8a4b8abf43c04eedb00d88_6ef351e5.2399d28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6ef351e5.2399d28a"},"_vena_9_b1_R_FV_385b1d086d8a4b8abf43c04eedb00d88_6f991c.ec4bc672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6f991c.ec4bc672"},"_vena_9_b1_R_FV_385b1d086d8a4b8abf43c04eedb00d88_796ddcb2.c6f659a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796ddcb2.c6f659ad"},"_vena_9_b1_R_FV_385b1d086d8a4b8abf43c04eedb00d88_8aa271b1.b1067f7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8aa271b1.b1067f7c"},"_vena_9_b1_R_FV_385b1d086d8a4b8abf43c04eedb00d88_996971d7.bef1ce53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996971d7.bef1ce53"},"_vena_9_b1_R_FV_385b1d086d8a4b8abf43c04eedb00d88_9cf7c5f0.e8b80eb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9cf7c5f0.e8b80eb9"},"_vena_9_b1_R_FV_385b1d086d8a4b8abf43c04eedb00d88_a654cd47.9bb1f031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a654cd47.9bb1f031"},"_vena_9_b1_R_FV_385b1d086d8a4b8abf43c04eedb00d88_a831feef.4b744cb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a831feef.4b744cb4"},"_vena_9_b1_R_FV_385b1d086d8a4b8abf43c04eedb00d88_b4533dd3.f621e3b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b4533dd3.f621e3bb"},"_vena_9_b1_R_FV_385b1d086d8a4b8abf43c04eedb00d88_b7e0679d.d2d0892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b7e0679d.d2d0892a"},"_vena_9_b1_R_FV_385b1d086d8a4b8abf43c04eedb00d88_b9c3e00b.377291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b9c3e00b.377291a"},"_vena_9_b1_R_FV_385b1d086d8a4b8abf43c04eedb00d88_be7cd5aa.2286b8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be7cd5aa.2286b8b"},"_vena_9_b1_R_FV_385b1d086d8a4b8abf43c04eedb00d88_bfc792d1.d6f2faa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bfc792d1.d6f2faa4"},"_vena_9_b1_R_FV_385b1d086d8a4b8abf43c04eedb00d88_c782351a.2459603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c782351a.2459603b"},"_vena_9_b1_R_FV_385b1d086d8a4b8abf43c04eedb00d88_ca5e8fbe.79538224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ca5e8fbe.79538224"},"_vena_9_b1_R_FV_385b1d086d8a4b8abf43c04eedb00d88_d4a9bae4.820169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d4a9bae4.820169d"},"_vena_9_b1_R_FV_385b1d086d8a4b8abf43c04eedb00d88_d7d74246.249e02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d7d74246.249e02"},"_vena_9_b1_R_FV_385b1d086d8a4b8abf43c04eedb00d88_ee947509.d4ab246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ee947509.d4ab246a"},"_vena_9_b1_R_FV_385b1d086d8a4b8abf43c04eedb00d88_f109a092.a4a4a7d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f109a092.a4a4a7d4"},"_vena_9_b1_R_FV_385b1d086d8a4b8abf43c04eedb00d88_f8d4a74d.9576ad9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f8d4a74d.9576ad9f"},"_vena_9_b1_R_FV_385b1d086d8a4b8abf43c04eedb00d88_ffc4b79d.abf3e17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b1","VenaRangeType":1,"DimensionIdStr":"FV","MemberIdStr":"385b1d086d8a4b8abf43c04eedb00d88","DimensionId":-1,"MemberId":-1,"Inc":"ffc4b79d.abf3e17e"},"_vena_9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","VenaRangeType":0,"DimensionIdStr":"11","MemberIdStr":"651631431944765441","DimensionId":11,"MemberId":651631431944765441,"Inc":""},"_vena_9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","VenaRangeType":0,"DimensionIdStr":"12","MemberIdStr":"651631431982514177","DimensionId":12,"MemberId":651631431982514177,"Inc":""},"_vena_9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","VenaRangeType":0,"DimensionIdStr":"2","MemberIdStr":"651631429184913409","DimensionId":2,"MemberId":651631429184913409,"Inc":""},"_vena_9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","VenaRangeType":0,"DimensionIdStr":"4","MemberIdStr":"652241713652170752","DimensionId":4,"MemberId":652241713652170752,"Inc":""},"_vena_9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","VenaRangeType":0,"DimensionIdStr":"5","MemberIdStr":"652241713786388480","DimensionId":5,"MemberId":652241713786388480,"Inc":""},"_vena_9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","VenaRangeType":0,"DimensionIdStr":"6","MemberIdStr":"652241713908023296","DimensionId":6,"MemberId":652241713908023296,"Inc":""},"_vena_9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","VenaRangeType":0,"DimensionIdStr":"7","MemberIdStr":"652241714033852416","DimensionId":7,"MemberId":652241714033852416,"Inc":""},"_vena_9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9","BlockName":"","VenaRangeType":0,"DimensionIdStr":"FV","MemberIdStr":"a2a46c4bae444ba2ab0e2971d74e2ddb","DimensionId":-1,"MemberId":-1,"Inc":""},"_vena_cons1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"},"_vena_cons1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1"},"_vena_cons1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10"},"_vena_cons1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11"},"_vena_cons1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12"},"_vena_cons1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13"},"_vena_cons1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2"},"_vena_cons1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3"},"_vena_cons1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4"},"_vena_cons1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5"},"_vena_cons1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6"},"_vena_cons1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7"},"_vena_cons1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8"},"_vena_cons1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134399665b374008851e5b8c04b5ee44","DimensionId":-1,"MemberId":-1,"Inc":"9"},"_vena_cons1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"},"_vena_cons1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1"},"_vena_cons1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10"},"_vena_cons1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11"},"_vena_cons1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12"},"_vena_cons1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13"},"_vena_cons1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2"},"_vena_cons1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3"},"_vena_cons1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4"},"_vena_cons1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5"},"_vena_cons1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6"},"_vena_cons1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7"},"_vena_cons1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8"},"_vena_cons1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7cc8369c0b744816a17486bee792b4d5","DimensionId":-1,"MemberId":-1,"Inc":"9"},"_vena_cons1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"},"_vena_cons1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1"},"_vena_cons1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10"},"_vena_cons1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11"},"_vena_cons1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12"},"_vena_cons1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13"},"_vena_cons1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2"},"_vena_cons1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3"},"_vena_cons1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4"},"_vena_cons1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5"},"_vena_cons1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6"},"_vena_cons1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7"},"_vena_cons1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8"},"_vena_cons1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2,"DimensionIdStr":"FV","MemberIdStr":"f4ddf33ff6224574ba096b1a5435ea67","DimensionId":-1,"MemberId":-1,"Inc":"9"},"_vena_cons1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1126333519640395796","DimensionId":1,"MemberId":1126333519640395796,"Inc":""},"_vena_cons1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1126333519686533120","DimensionId":1,"MemberId":1126333519686533120,"Inc":""},"_vena_cons1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1126333519715893262","DimensionId":1,"MemberId":1126333519715893262,"Inc":""},"_vena_cons1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1126333519736864780","DimensionId":1,"MemberId":1126333519736864780,"Inc":""},"_vena_cons1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1126333519762030608","DimensionId":1,"MemberId":1126333519762030608,"Inc":""},"_vena_cons1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1126333519778807820","DimensionId":1,"MemberId":1126333519778807820,"Inc":""},"_vena_cons1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1126333519787196446","DimensionId":1,"MemberId":1126333519787196446,"Inc":""},"_vena_cons1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1126333519808167948","DimensionId":1,"MemberId":1126333519808167948,"Inc":""},"_vena_cons1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1126333519854305298","DimensionId":1,"MemberId":1126333519854305298,"Inc":""},"_vena_cons1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1126333519871082529","DimensionId":1,"MemberId":1126333519871082529,"Inc":""},"_vena_cons1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1126333519883665426","DimensionId":1,"MemberId":1126333519883665426,"Inc":""},"_vena_cons1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1126333519900442631","DimensionId":1,"MemberId":1126333519900442631,"Inc":""},"_vena_cons1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1126333519925608473","DimensionId":1,"MemberId":1126333519925608473,"Inc":""},"_vena_cons1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1126333519963357190","DimensionId":1,"MemberId":1126333519963357190,"Inc":""},"_vena_cons1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1176989022519558144","DimensionId":1,"MemberId":1176989022519558144,"Inc":""},"_vena_cons1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1177034623004573696","DimensionId":1,"MemberId":1177034623004573696,"Inc":""},"_vena_cons1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1177042009963233280","DimensionId":1,"MemberId":1177042009963233280,"Inc":""},"_vena_cons1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1177042321444044802","DimensionId":1,"MemberId":1177042321444044802,"Inc":""},"_vena_cons1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1182443237873811456","DimensionId":1,"MemberId":1182443237873811456,"Inc":""},"_vena_cons1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1192625627677589504","DimensionId":1,"MemberId":1192625627677589504,"Inc":""},"_vena_cons1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1193288113649483886","DimensionId":1,"MemberId":1193288113649483886,"Inc":""},"_vena_cons1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1258522529073987584","DimensionId":1,"MemberId":1258522529073987584,"Inc":""},"_vena_cons1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1336800240017473538","DimensionId":1,"MemberId":1336800240017473538,"Inc":""},"_vena_cons1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1525326324040761344","DimensionId":1,"MemberId":1525326324040761344,"Inc":""},"_vena_cons1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1547710538947624960","DimensionId":1,"MemberId":1547710538947624960,"Inc":""},"_vena_cons1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1547710569653993893","DimensionId":1,"MemberId":1547710569653993893,"Inc":""},"_vena_cons1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651631427951788032","DimensionId":1,"MemberId":651631427951788032,"Inc":""},"_vena_cons1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651631428002119680","DimensionId":1,"MemberId":651631428002119680,"Inc":""},"_vena_cons1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651631428165697537","DimensionId":1,"MemberId":651631428165697537,"Inc":""},"_vena_cons1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691119840308494336","DimensionId":1,"MemberId":691119840308494336,"Inc":""},"_vena_cons1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691121205046280192","DimensionId":1,"MemberId":691121205046280192,"Inc":""},"_vena_cons1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691121629820878848","DimensionId":1,"MemberId":691121629820878848,"Inc":""},"_vena_cons1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1","MemberIdStr":"691172173569589248","DimensionId":1,"MemberId":691172173569589248,"Inc":""},"_vena_cons1_b1_R_FV_385b1d086d8a4b8abf43c04eedb00d88_152e0fe9.c1eb63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152e0fe9.c1eb63c"},"_vena_cons1_b1_R_FV_385b1d086d8a4b8abf43c04eedb00d88_24baa24a.5521d30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24baa24a.5521d30"},"_vena_cons1_b1_R_FV_385b1d086d8a4b8abf43c04eedb00d88_4897a0f7.c3f975b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4897a0f7.c3f975bc"},"_vena_cons1_b1_R_FV_385b1d086d8a4b8abf43c04eedb00d88_5653141f.5fe3fba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5653141f.5fe3fba5"},"_vena_cons1_b1_R_FV_385b1d086d8a4b8abf43c04eedb00d88_6511f329.7536d767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6511f329.7536d767"},"_vena_cons1_b1_R_FV_385b1d086d8a4b8abf43c04eedb00d88_6fe90d10.52455f20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6fe90d10.52455f20"},"_vena_cons1_b1_R_FV_385b1d086d8a4b8abf43c04eedb00d88_70574978.a3cba05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70574978.a3cba05"},"_vena_cons1_b1_R_FV_385b1d086d8a4b8abf43c04eedb00d88_72482f67.a6be0e2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72482f67.a6be0e2e"},"_vena_cons1_b1_R_FV_385b1d086d8a4b8abf43c04eedb00d88_7474b927.4cf3ebf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7474b927.4cf3ebf6"},"_vena_cons1_b1_R_FV_385b1d086d8a4b8abf43c04eedb00d88_8b9b4b19.c47a0e42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8b9b4b19.c47a0e42"},"_vena_cons1_b1_R_FV_385b1d086d8a4b8abf43c04eedb00d88_93db5fc6.ae71cef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93db5fc6.ae71cef0"},"_vena_cons1_b1_R_FV_385b1d086d8a4b8abf43c04eedb00d88_9f3491e9.bb4575a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9f3491e9.bb4575a4"},"_vena_cons1_b1_R_FV_385b1d086d8a4b8abf43c04eedb00d88_a25cce90.742b7200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a25cce90.742b7200"},"_vena_cons1_b1_R_FV_385b1d086d8a4b8abf43c04eedb00d88_a66cc10b.11abce1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a66cc10b.11abce1b"},"_vena_cons1_b1_R_FV_385b1d086d8a4b8abf43c04eedb00d88_af0b3467.d1bc062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af0b3467.d1bc062"},"_vena_cons1_b1_R_FV_385b1d086d8a4b8abf43c04eedb00d88_b159e66f.e4e89c9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b159e66f.e4e89c9f"},"_vena_cons1_b1_R_FV_385b1d086d8a4b8abf43c04eedb00d88_b3f12393.f4a422a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b3f12393.f4a422af"},"_vena_cons1_b1_R_FV_385b1d086d8a4b8abf43c04eedb00d88_b621738.16f09a32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b621738.16f09a32"},"_vena_cons1_b1_R_FV_385b1d086d8a4b8abf43c04eedb00d88_b81757f.5f9c2f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b81757f.5f9c2f0"},"_vena_cons1_b1_R_FV_385b1d086d8a4b8abf43c04eedb00d88_cf037229.ce045e7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cf037229.ce045e7e"},"_vena_cons1_b1_R_FV_385b1d086d8a4b8abf43c04eedb00d88_d0e9f448.9809da1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d0e9f448.9809da1c"},"_vena_cons1_b1_R_FV_385b1d086d8a4b8abf43c04eedb00d88_d940a9c1.608e595a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d940a9c1.608e595a"},"_vena_cons1_b1_R_FV_385b1d086d8a4b8abf43c04eedb00d88_d9fcf8c2.949e0c96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d9fcf8c2.949e0c96"},"_vena_cons1_b1_R_FV_385b1d086d8a4b8abf43c04eedb00d88_e3d1c033.958967e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e3d1c033.958967e4"},"_vena_cons1_b1_R_FV_385b1d086d8a4b8abf43c04eedb00d88_f3b1b09.5d69376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f3b1b09.5d69376"},"_vena_cons1_b1_R_FV_385b1d086d8a4b8abf43c04eedb00d88_f4a5d13e.cbc8d129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b1","VenaRangeType":1,"DimensionIdStr":"FV","MemberIdStr":"385b1d086d8a4b8abf43c04eedb00d88","DimensionId":-1,"MemberId":-1,"Inc":"f4a5d13e.cbc8d129"},"_vena_cons1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","VenaRangeType":0,"DimensionIdStr":"11","MemberIdStr":"651631431944765441","DimensionId":11,"MemberId":651631431944765441,"Inc":""},"_vena_cons1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","VenaRangeType":0,"DimensionIdStr":"12","MemberIdStr":"651631431982514177","DimensionId":12,"MemberId":651631431982514177,"Inc":""},"_vena_cons1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","VenaRangeType":0,"DimensionIdStr":"2","MemberIdStr":"651631429184913409","DimensionId":2,"MemberId":651631429184913409,"Inc":""},"_vena_cons1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","VenaRangeType":0,"DimensionIdStr":"4","MemberIdStr":"652241713652170752","DimensionId":4,"MemberId":652241713652170752,"Inc":""},"_vena_cons1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","VenaRangeType":0,"DimensionIdStr":"5","MemberIdStr":"652241713786388480","DimensionId":5,"MemberId":652241713786388480,"Inc":""},"_vena_cons1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","VenaRangeType":0,"DimensionIdStr":"6","MemberIdStr":"652241713908023296","DimensionId":6,"MemberId":652241713908023296,"Inc":""},"_vena_cons1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","VenaRangeType":0,"DimensionIdStr":"7","MemberIdStr":"652241714033852416","DimensionId":7,"MemberId":652241714033852416,"Inc":""},"_vena_cons1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1","BlockName":"","VenaRangeType":0,"DimensionIdStr":"FV","MemberIdStr":"a2a46c4bae444ba2ab0e2971d74e2ddb","DimensionId":-1,"MemberId":-1,"Inc":""},"_vena_cons2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"},"_vena_cons2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"},"_vena_cons2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10"},"_vena_cons2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11"},"_vena_cons2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12"},"_vena_cons2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13"},"_vena_cons2_b1_C_FV_134399665b374008851e5b8c04b5ee44_14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14"},"_vena_cons2_b1_C_FV_134399665b374008851e5b8c04b5ee44_15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15"},"_vena_cons2_b1_C_FV_134399665b374008851e5b8c04b5ee44_16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16"},"_vena_cons2_b1_C_FV_134399665b374008851e5b8c04b5ee44_17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17"},"_vena_cons2_b1_C_FV_134399665b374008851e5b8c04b5ee44_18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18"},"_vena_cons2_b1_C_FV_134399665b374008851e5b8c04b5ee44_19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19"},"_vena_cons2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"},"_vena_cons2_b1_C_FV_134399665b374008851e5b8c04b5ee44_20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20"},"_vena_cons2_b1_C_FV_134399665b374008851e5b8c04b5ee44_21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21"},"_vena_cons2_b1_C_FV_134399665b374008851e5b8c04b5ee44_22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22"},"_vena_cons2_b1_C_FV_134399665b374008851e5b8c04b5ee44_23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23"},"_vena_cons2_b1_C_FV_134399665b374008851e5b8c04b5ee44_24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24"},"_vena_cons2_b1_C_FV_134399665b374008851e5b8c04b5ee44_25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25"},"_vena_cons2_b1_C_FV_134399665b374008851e5b8c04b5ee44_26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26"},"_vena_cons2_b1_C_FV_134399665b374008851e5b8c04b5ee44_27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27"},"_vena_cons2_b1_C_FV_134399665b374008851e5b8c04b5ee44_28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28"},"_vena_cons2_b1_C_FV_134399665b374008851e5b8c04b5ee44_29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29"},"_vena_cons2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"},"_vena_cons2_b1_C_FV_134399665b374008851e5b8c04b5ee44_30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30"},"_vena_cons2_b1_C_FV_134399665b374008851e5b8c04b5ee44_31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31"},"_vena_cons2_b1_C_FV_134399665b374008851e5b8c04b5ee44_32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32"},"_vena_cons2_b1_C_FV_134399665b374008851e5b8c04b5ee44_33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33"},"_vena_cons2_b1_C_FV_134399665b374008851e5b8c04b5ee44_34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34"},"_vena_cons2_b1_C_FV_134399665b374008851e5b8c04b5ee44_35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35"},"_vena_cons2_b1_C_FV_134399665b374008851e5b8c04b5ee44_36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36"},"_vena_cons2_b1_C_FV_134399665b374008851e5b8c04b5ee44_37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37"},"_vena_cons2_b1_C_FV_134399665b374008851e5b8c04b5ee44_38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38"},"_vena_cons2_b1_C_FV_134399665b374008851e5b8c04b5ee44_39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39"},"_vena_cons2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4"},"_vena_cons2_b1_C_FV_134399665b374008851e5b8c04b5ee44_40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40"},"_vena_cons2_b1_C_FV_134399665b374008851e5b8c04b5ee44_41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41"},"_vena_cons2_b1_C_FV_134399665b374008851e5b8c04b5ee44_42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42"},"_vena_cons2_b1_C_FV_134399665b374008851e5b8c04b5ee44_43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43"},"_vena_cons2_b1_C_FV_134399665b374008851e5b8c04b5ee44_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44"},"_vena_cons2_b1_C_FV_134399665b374008851e5b8c04b5ee44_45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45"},"_vena_cons2_b1_C_FV_134399665b374008851e5b8c04b5ee44_46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46"},"_vena_cons2_b1_C_FV_134399665b374008851e5b8c04b5ee44_47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47"},"_vena_cons2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5"},"_vena_cons2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6"},"_vena_cons2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7"},"_vena_cons2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8"},"_vena_cons2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134399665b374008851e5b8c04b5ee44","DimensionId":-1,"MemberId":-1,"Inc":"9"},"_vena_cons2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"},"_vena_cons2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"},"_vena_cons2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10"},"_vena_cons2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11"},"_vena_cons2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12"},"_vena_cons2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13"},"_vena_cons2_b1_C_FV_7cc8369c0b744816a17486bee792b4d5_14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14"},"_vena_cons2_b1_C_FV_7cc8369c0b744816a17486bee792b4d5_15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15"},"_vena_cons2_b1_C_FV_7cc8369c0b744816a17486bee792b4d5_16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16"},"_vena_cons2_b1_C_FV_7cc8369c0b744816a17486bee792b4d5_17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17"},"_vena_cons2_b1_C_FV_7cc8369c0b744816a17486bee792b4d5_18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18"},"_vena_cons2_b1_C_FV_7cc8369c0b744816a17486bee792b4d5_19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19"},"_vena_cons2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"},"_vena_cons2_b1_C_FV_7cc8369c0b744816a17486bee792b4d5_20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20"},"_vena_cons2_b1_C_FV_7cc8369c0b744816a17486bee792b4d5_21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21"},"_vena_cons2_b1_C_FV_7cc8369c0b744816a17486bee792b4d5_22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22"},"_vena_cons2_b1_C_FV_7cc8369c0b744816a17486bee792b4d5_23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23"},"_vena_cons2_b1_C_FV_7cc8369c0b744816a17486bee792b4d5_24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24"},"_vena_cons2_b1_C_FV_7cc8369c0b744816a17486bee792b4d5_25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25"},"_vena_cons2_b1_C_FV_7cc8369c0b744816a17486bee792b4d5_26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26"},"_vena_cons2_b1_C_FV_7cc8369c0b744816a17486bee792b4d5_27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27"},"_vena_cons2_b1_C_FV_7cc8369c0b744816a17486bee792b4d5_28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28"},"_vena_cons2_b1_C_FV_7cc8369c0b744816a17486bee792b4d5_29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29"},"_vena_cons2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"},"_vena_cons2_b1_C_FV_7cc8369c0b744816a17486bee792b4d5_30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30"},"_vena_cons2_b1_C_FV_7cc8369c0b744816a17486bee792b4d5_31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31"},"_vena_cons2_b1_C_FV_7cc8369c0b744816a17486bee792b4d5_32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32"},"_vena_cons2_b1_C_FV_7cc8369c0b744816a17486bee792b4d5_33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33"},"_vena_cons2_b1_C_FV_7cc8369c0b744816a17486bee792b4d5_34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34"},"_vena_cons2_b1_C_FV_7cc8369c0b744816a17486bee792b4d5_35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35"},"_vena_cons2_b1_C_FV_7cc8369c0b744816a17486bee792b4d5_36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36"},"_vena_cons2_b1_C_FV_7cc8369c0b744816a17486bee792b4d5_37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37"},"_vena_cons2_b1_C_FV_7cc8369c0b744816a17486bee792b4d5_38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38"},"_vena_cons2_b1_C_FV_7cc8369c0b744816a17486bee792b4d5_39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39"},"_vena_cons2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4"},"_vena_cons2_b1_C_FV_7cc8369c0b744816a17486bee792b4d5_40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40"},"_vena_cons2_b1_C_FV_7cc8369c0b744816a17486bee792b4d5_41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41"},"_vena_cons2_b1_C_FV_7cc8369c0b744816a17486bee792b4d5_42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42"},"_vena_cons2_b1_C_FV_7cc8369c0b744816a17486bee792b4d5_43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43"},"_vena_cons2_b1_C_FV_7cc8369c0b744816a17486bee792b4d5_44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44"},"_vena_cons2_b1_C_FV_7cc8369c0b744816a17486bee792b4d5_45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45"},"_vena_cons2_b1_C_FV_7cc8369c0b744816a17486bee792b4d5_46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46"},"_vena_cons2_b1_C_FV_7cc8369c0b744816a17486bee792b4d5_47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47"},"_vena_cons2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5"},"_vena_cons2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6"},"_vena_cons2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7"},"_vena_cons2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8"},"_vena_cons2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7cc8369c0b744816a17486bee792b4d5","DimensionId":-1,"MemberId":-1,"Inc":"9"},"_vena_cons2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"},"_vena_cons2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"},"_vena_cons2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10"},"_vena_cons2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11"},"_vena_cons2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12"},"_vena_cons2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13"},"_vena_cons2_b1_C_FV_f4ddf33ff6224574ba096b1a5435ea67_14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14"},"_vena_cons2_b1_C_FV_f4ddf33ff6224574ba096b1a5435ea67_15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15"},"_vena_cons2_b1_C_FV_f4ddf33ff6224574ba096b1a5435ea67_16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16"},"_vena_cons2_b1_C_FV_f4ddf33ff6224574ba096b1a5435ea67_17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17"},"_vena_cons2_b1_C_FV_f4ddf33ff6224574ba096b1a5435ea67_18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18"},"_vena_cons2_b1_C_FV_f4ddf33ff6224574ba096b1a5435ea67_19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19"},"_vena_cons2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"},"_vena_cons2_b1_C_FV_f4ddf33ff6224574ba096b1a5435ea67_20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20"},"_vena_cons2_b1_C_FV_f4ddf33ff6224574ba096b1a5435ea67_21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21"},"_vena_cons2_b1_C_FV_f4ddf33ff6224574ba096b1a5435ea67_22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22"},"_vena_cons2_b1_C_FV_f4ddf33ff6224574ba096b1a5435ea67_23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23"},"_vena_cons2_b1_C_FV_f4ddf33ff6224574ba096b1a5435ea67_24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24"},"_vena_cons2_b1_C_FV_f4ddf33ff6224574ba096b1a5435ea67_25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25"},"_vena_cons2_b1_C_FV_f4ddf33ff6224574ba096b1a5435ea67_26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26"},"_vena_cons2_b1_C_FV_f4ddf33ff6224574ba096b1a5435ea67_27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27"},"_vena_cons2_b1_C_FV_f4ddf33ff6224574ba096b1a5435ea67_28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28"},"_vena_cons2_b1_C_FV_f4ddf33ff6224574ba096b1a5435ea67_29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29"},"_vena_cons2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"},"_vena_cons2_b1_C_FV_f4ddf33ff6224574ba096b1a5435ea67_30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30"},"_vena_cons2_b1_C_FV_f4ddf33ff6224574ba096b1a5435ea67_31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31"},"_vena_cons2_b1_C_FV_f4ddf33ff6224574ba096b1a5435ea67_32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32"},"_vena_cons2_b1_C_FV_f4ddf33ff6224574ba096b1a5435ea67_33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33"},"_vena_cons2_b1_C_FV_f4ddf33ff6224574ba096b1a5435ea67_34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34"},"_vena_cons2_b1_C_FV_f4ddf33ff6224574ba096b1a5435ea67_35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35"},"_vena_cons2_b1_C_FV_f4ddf33ff6224574ba096b1a5435ea67_36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36"},"_vena_cons2_b1_C_FV_f4ddf33ff6224574ba096b1a5435ea67_37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37"},"_vena_cons2_b1_C_FV_f4ddf33ff6224574ba096b1a5435ea67_38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38"},"_vena_cons2_b1_C_FV_f4ddf33ff6224574ba096b1a5435ea67_39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39"},"_vena_cons2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4"},"_vena_cons2_b1_C_FV_f4ddf33ff6224574ba096b1a5435ea67_40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40"},"_vena_cons2_b1_C_FV_f4ddf33ff6224574ba096b1a5435ea67_41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41"},"_vena_cons2_b1_C_FV_f4ddf33ff6224574ba096b1a5435ea67_42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42"},"_vena_cons2_b1_C_FV_f4ddf33ff6224574ba096b1a5435ea67_43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43"},"_vena_cons2_b1_C_FV_f4ddf33ff6224574ba096b1a5435ea67_44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44"},"_vena_cons2_b1_C_FV_f4ddf33ff6224574ba096b1a5435ea67_45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45"},"_vena_cons2_b1_C_FV_f4ddf33ff6224574ba096b1a5435ea67_46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46"},"_vena_cons2_b1_C_FV_f4ddf33ff6224574ba096b1a5435ea67_47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47"},"_vena_cons2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5"},"_vena_cons2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6"},"_vena_cons2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7"},"_vena_cons2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8"},"_vena_cons2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2,"DimensionIdStr":"FV","MemberIdStr":"f4ddf33ff6224574ba096b1a5435ea67","DimensionId":-1,"MemberId":-1,"Inc":"9"},"_vena_cons2_b1_R_1_1126333519640395796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1126333519640395796","DimensionId":1,"MemberId":1126333519640395796,"Inc":""},"_vena_cons2_b1_R_1_1126333519686533120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1126333519686533120","DimensionId":1,"MemberId":1126333519686533120,"Inc":""},"_vena_cons2_b1_R_1_1126333519715893262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1126333519715893262","DimensionId":1,"MemberId":1126333519715893262,"Inc":""},"_vena_cons2_b1_R_1_1126333519736864780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1126333519736864780","DimensionId":1,"MemberId":1126333519736864780,"Inc":""},"_vena_cons2_b1_R_1_1126333519762030608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1126333519762030608","DimensionId":1,"MemberId":1126333519762030608,"Inc":""},"_vena_cons2_b1_R_1_1126333519778807820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1126333519778807820","DimensionId":1,"MemberId":1126333519778807820,"Inc":""},"_vena_cons2_b1_R_1_1126333519787196446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1126333519787196446","DimensionId":1,"MemberId":1126333519787196446,"Inc":""},"_vena_cons2_b1_R_1_1126333519808167948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1126333519808167948","DimensionId":1,"MemberId":1126333519808167948,"Inc":""},"_vena_cons2_b1_R_1_1126333519854305298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1126333519854305298","DimensionId":1,"MemberId":1126333519854305298,"Inc":""},"_vena_cons2_b1_R_1_1126333519871082529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1126333519871082529","DimensionId":1,"MemberId":1126333519871082529,"Inc":""},"_vena_cons2_b1_R_1_1126333519883665426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1126333519883665426","DimensionId":1,"MemberId":1126333519883665426,"Inc":""},"_vena_cons2_b1_R_1_1126333519900442631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1126333519900442631","DimensionId":1,"MemberId":1126333519900442631,"Inc":""},"_vena_cons2_b1_R_1_1126333519925608473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1126333519925608473","DimensionId":1,"MemberId":1126333519925608473,"Inc":""},"_vena_cons2_b1_R_1_1126333519963357190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1126333519963357190","DimensionId":1,"MemberId":1126333519963357190,"Inc":""},"_vena_cons2_b1_R_1_1176989022519558144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1176989022519558144","DimensionId":1,"MemberId":1176989022519558144,"Inc":""},"_vena_cons2_b1_R_1_1177034623004573696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1177034623004573696","DimensionId":1,"MemberId":1177034623004573696,"Inc":""},"_vena_cons2_b1_R_1_1177042009963233280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1177042009963233280","DimensionId":1,"MemberId":1177042009963233280,"Inc":""},"_vena_cons2_b1_R_1_1177042321444044802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1177042321444044802","DimensionId":1,"MemberId":1177042321444044802,"Inc":""},"_vena_cons2_b1_R_1_1182443237873811456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1182443237873811456","DimensionId":1,"MemberId":1182443237873811456,"Inc":""},"_vena_cons2_b1_R_1_1192625627677589504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1192625627677589504","DimensionId":1,"MemberId":1192625627677589504,"Inc":""},"_vena_cons2_b1_R_1_1193288113649483886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1193288113649483886","DimensionId":1,"MemberId":1193288113649483886,"Inc":""},"_vena_cons2_b1_R_1_1258522529073987584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1258522529073987584","DimensionId":1,"MemberId":1258522529073987584,"Inc":""},"_vena_cons2_b1_R_1_1336800240017473538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1336800240017473538","DimensionId":1,"MemberId":1336800240017473538,"Inc":""},"_vena_cons2_b1_R_1_1525326324040761344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1525326324040761344","DimensionId":1,"MemberId":1525326324040761344,"Inc":""},"_vena_cons2_b1_R_1_1547710538947624960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1547710538947624960","DimensionId":1,"MemberId":1547710538947624960,"Inc":""},"_vena_cons2_b1_R_1_1547710569653993893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1547710569653993893","DimensionId":1,"MemberId":1547710569653993893,"Inc":""},"_vena_cons2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651631427951788032","DimensionId":1,"MemberId":651631427951788032,"Inc":""},"_vena_cons2_b1_R_1_651631427989536768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651631427989536768","DimensionId":1,"MemberId":651631427989536768,"Inc":""},"_vena_cons2_b1_R_1_651631428002119680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651631428002119680","DimensionId":1,"MemberId":651631428002119680,"Inc":""},"_vena_cons2_b1_R_1_651631428165697537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651631428165697537","DimensionId":1,"MemberId":651631428165697537,"Inc":""},"_vena_cons2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691119840308494336","DimensionId":1,"MemberId":691119840308494336,"Inc":""},"_vena_cons2_b1_R_1_691121205046280192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691121205046280192","DimensionId":1,"MemberId":691121205046280192,"Inc":""},"_vena_cons2_b1_R_1_691121629820878848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691121629820878848","DimensionId":1,"MemberId":691121629820878848,"Inc":""},"_vena_cons2_b1_R_1_691172173569589248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1","MemberIdStr":"691172173569589248","DimensionId":1,"MemberId":691172173569589248,"Inc":""},"_vena_cons2_b1_R_FV_385b1d086d8a4b8abf43c04eedb00d88_16c4319.76ccd3b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16c4319.76ccd3bc"},"_vena_cons2_b1_R_FV_385b1d086d8a4b8abf43c04eedb00d88_187ee5f5.9f39dfb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187ee5f5.9f39dfbb"},"_vena_cons2_b1_R_FV_385b1d086d8a4b8abf43c04eedb00d88_1a04a965.c0b28ac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1a04a965.c0b28ac3"},"_vena_cons2_b1_R_FV_385b1d086d8a4b8abf43c04eedb00d88_1bd45b56.288b6ec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1bd45b56.288b6ecb"},"_vena_cons2_b1_R_FV_385b1d086d8a4b8abf43c04eedb00d88_1d427035.62b33990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1d427035.62b33990"},"_vena_cons2_b1_R_FV_385b1d086d8a4b8abf43c04eedb00d88_3e942bd0.d3facb5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3e942bd0.d3facb5c"},"_vena_cons2_b1_R_FV_385b1d086d8a4b8abf43c04eedb00d88_42ac221.645d81e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42ac221.645d81e7"},"_vena_cons2_b1_R_FV_385b1d086d8a4b8abf43c04eedb00d88_440e71cd.c09ae3c3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440e71cd.c09ae3c3"},"_vena_cons2_b1_R_FV_385b1d086d8a4b8abf43c04eedb00d88_451c03a4.d0d9f2c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451c03a4.d0d9f2cc"},"_vena_cons2_b1_R_FV_385b1d086d8a4b8abf43c04eedb00d88_4ca1d102.4658c33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4ca1d102.4658c33f"},"_vena_cons2_b1_R_FV_385b1d086d8a4b8abf43c04eedb00d88_4cb78f11.8fa62887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4cb78f11.8fa62887"},"_vena_cons2_b1_R_FV_385b1d086d8a4b8abf43c04eedb00d88_4f2353c0.c6aebe6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4f2353c0.c6aebe6c"},"_vena_cons2_b1_R_FV_385b1d086d8a4b8abf43c04eedb00d88_68284711.4fd3c2c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68284711.4fd3c2c4"},"_vena_cons2_b1_R_FV_385b1d086d8a4b8abf43c04eedb00d88_69a526f7.37bab7e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69a526f7.37bab7e0"},"_vena_cons2_b1_R_FV_385b1d086d8a4b8abf43c04eedb00d88_6edfa628.9edb2f80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6edfa628.9edb2f80"},"_vena_cons2_b1_R_FV_385b1d086d8a4b8abf43c04eedb00d88_80fcfed1.1fc4b66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80fcfed1.1fc4b66"},"_vena_cons2_b1_R_FV_385b1d086d8a4b8abf43c04eedb00d88_9fd7dcb3.1f24f13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9fd7dcb3.1f24f13d"},"_vena_cons2_b1_R_FV_385b1d086d8a4b8abf43c04eedb00d88_a9d1237c.a7acb7a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a9d1237c.a7acb7a7"},"_vena_cons2_b1_R_FV_385b1d086d8a4b8abf43c04eedb00d88_b36c8305.cd1f8c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b36c8305.cd1f8cf"},"_vena_cons2_b1_R_FV_385b1d086d8a4b8abf43c04eedb00d88_bd5499ea.4b11297b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bd5499ea.4b11297b"},"_vena_cons2_b1_R_FV_385b1d086d8a4b8abf43c04eedb00d88_c826a44e.f12c954c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c826a44e.f12c954c"},"_vena_cons2_b1_R_FV_385b1d086d8a4b8abf43c04eedb00d88_cf86b932.a75bbf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cf86b932.a75bbfe"},"_vena_cons2_b1_R_FV_385b1d086d8a4b8abf43c04eedb00d88_d064c968.f2d71237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d064c968.f2d71237"},"_vena_cons2_b1_R_FV_385b1d086d8a4b8abf43c04eedb00d88_d4ecd655.9d45526e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d4ecd655.9d45526e"},"_vena_cons2_b1_R_FV_385b1d086d8a4b8abf43c04eedb00d88_e240bc9c.933c587f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e240bc9c.933c587f"},"_vena_cons2_b1_R_FV_385b1d086d8a4b8abf43c04eedb00d88_e5a1fc0a.5ebeffd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b1","VenaRangeType":1,"DimensionIdStr":"FV","MemberIdStr":"385b1d086d8a4b8abf43c04eedb00d88","DimensionId":-1,"MemberId":-1,"Inc":"e5a1fc0a.5ebeffd5"},"_vena_cons2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","VenaRangeType":0,"DimensionIdStr":"11","MemberIdStr":"651631431944765441","DimensionId":11,"MemberId":651631431944765441,"Inc":""},"_vena_cons2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","VenaRangeType":0,"DimensionIdStr":"12","MemberIdStr":"651631431982514177","DimensionId":12,"MemberId":651631431982514177,"Inc":""},"_vena_cons2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","VenaRangeType":0,"DimensionIdStr":"2","MemberIdStr":"651631429184913409","DimensionId":2,"MemberId":651631429184913409,"Inc":""},"_vena_cons2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","VenaRangeType":0,"DimensionIdStr":"4","MemberIdStr":"652241713652170752","DimensionId":4,"MemberId":652241713652170752,"Inc":""},"_vena_cons2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","VenaRangeType":0,"DimensionIdStr":"5","MemberIdStr":"652241713786388480","DimensionId":5,"MemberId":652241713786388480,"Inc":""},"_vena_cons2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","VenaRangeType":0,"DimensionIdStr":"6","MemberIdStr":"652241713908023296","DimensionId":6,"MemberId":652241713908023296,"Inc":""},"_vena_cons2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","VenaRangeType":0,"DimensionIdStr":"7","MemberIdStr":"652241714033852416","DimensionId":7,"MemberId":652241714033852416,"Inc":""},"_vena_cons2_P_FV_a2a46c4bae444ba2ab0e2971d74e2ddb":{"SourceGlobalVariableId":-1,"SourceFormVariableId":"a2a46c4b-ae44-4ba2-ab0e-2971d74e2ddb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cons2","BlockName":"","VenaRangeType":0,"DimensionIdStr":"FV","MemberIdStr":"a2a46c4bae444ba2ab0e2971d74e2ddb","DimensionId":-1,"MemberId":-1,"Inc":""},"_vena_DYNP_SLatestScenario_99d9f105":{"SourceGlobalVariableId":-1,"SourceFormVariableId":"00000000-0000-0000-0000-000000000000","IsPageVariable":false,"IsLineItemDetailEnabled":false,"LineItemDetailOrder":0,"LineItemID":null,"PageVariableSectionReference":"","PageVariableDimensionName":null,"IsDynamicRange":true,"IsDynamicRangeEntry":false,"DynamicRangeID":"99d9f105","DynamicRangeEntryID":null,"IsMultiDynamicRange":false,"MultiDynamicRangeID":null,"MultiDynamicCollectionID":null,"SectionName":"LatestScenario","BlockName":"","VenaRangeType":7,"DimensionIdStr":"-1","MemberIdStr":"-1","DimensionId":-1,"MemberId":-1,"Inc":""},"_vena_DYNP_SLatestScenario_9b9b8f9a":{"SourceGlobalVariableId":-1,"SourceFormVariableId":"00000000-0000-0000-0000-000000000000","IsPageVariable":false,"IsLineItemDetailEnabled":false,"LineItemDetailOrder":0,"LineItemID":null,"PageVariableSectionReference":"","PageVariableDimensionName":null,"IsDynamicRange":true,"IsDynamicRangeEntry":false,"DynamicRangeID":"9b9b8f9a","DynamicRangeEntryID":null,"IsMultiDynamicRange":false,"MultiDynamicRangeID":null,"MultiDynamicCollectionID":null,"SectionName":"LatestScenario","BlockName":"","VenaRangeType":7,"DimensionIdStr":"-1","MemberIdStr":"-1","DimensionId":-1,"MemberId":-1,"Inc":""},"_vena_DYNP_SLatestScenario_d313879b":{"SourceGlobalVariableId":-1,"SourceFormVariableId":"00000000-0000-0000-0000-000000000000","IsPageVariable":false,"IsLineItemDetailEnabled":false,"LineItemDetailOrder":0,"LineItemID":null,"PageVariableSectionReference":"","PageVariableDimensionName":null,"IsDynamicRange":true,"IsDynamicRangeEntry":false,"DynamicRangeID":"d313879b","DynamicRangeEntryID":null,"IsMultiDynamicRange":false,"MultiDynamicRangeID":null,"MultiDynamicCollectionID":null,"SectionName":"LatestScenario","BlockName":"","VenaRangeType":7,"DimensionIdStr":"-1","MemberIdStr":"-1","DimensionId":-1,"MemberId":-1,"Inc":""},"_vena_LatestScenario_B1_C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B1","VenaRangeType":2,"DimensionIdStr":"1","MemberIdStr":"651631427951788032","DimensionId":1,"MemberId":651631427951788032,"Inc":""},"_vena_LatestScenario_B1_C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B1","VenaRangeType":2,"DimensionIdStr":"11","MemberIdStr":"651631431944765441","DimensionId":11,"MemberId":651631431944765441,"Inc":""},"_vena_LatestScenario_B1_C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B1","VenaRangeType":2,"DimensionIdStr":"2","MemberIdStr":"651631429184913409","DimensionId":2,"MemberId":651631429184913409,"Inc":""},"_vena_LatestScenario_B1_C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B1","VenaRangeType":2,"DimensionIdStr":"4","MemberIdStr":"652241713652170752","DimensionId":4,"MemberId":652241713652170752,"Inc":""},"_vena_LatestScenario_B1_C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B1","VenaRangeType":2,"DimensionIdStr":"5","MemberIdStr":"652241713786388480","DimensionId":5,"MemberId":652241713786388480,"Inc":""},"_vena_LatestScenario_B1_C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B1","VenaRangeType":2,"DimensionIdStr":"6","MemberIdStr":"652241713908023296","DimensionId":6,"MemberId":652241713908023296,"Inc":""},"_vena_LatestScenario_B1_C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B1","VenaRangeType":2,"DimensionIdStr":"7","MemberIdStr":"652241714033852416","DimensionId":7,"MemberId":652241714033852416,"Inc":""},"_vena_LatestScenario_B1_R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B1","VenaRangeType":1,"DimensionIdStr":"12","MemberIdStr":"651631431982514177","DimensionId":12,"MemberId":651631431982514177,"Inc":""},"_vena_LatestScenario_P_10_1154264745422618626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10","MemberIdStr":"1154264745422618626","DimensionId":10,"MemberId":1154264745422618626,"Inc":""},"_vena_LatestScenario_P_10_1259357353544646656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10","MemberIdStr":"1259357353544646656","DimensionId":10,"MemberId":1259357353544646656,"Inc":""},"_vena_LatestScenario_P_10_1294069620468613121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10","MemberIdStr":"1294069620468613121","DimensionId":10,"MemberId":1294069620468613121,"Inc":""},"_vena_LatestScenario_P_10_1331817056460996612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10","MemberIdStr":"1331817056460996612","DimensionId":10,"MemberId":1331817056460996612,"Inc":""},"_vena_LatestScenario_P_10_651631431898628097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10","MemberIdStr":"651631431898628097","DimensionId":10,"MemberId":651631431898628097,"Inc":""},"_vena_LatestScenario_P_8_1590187079714209792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8","MemberIdStr":"1590187079714209792","DimensionId":8,"MemberId":1590187079714209792,"Inc":""},"_vena_LatestScenario_P_8_941915545283592192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8","MemberIdStr":"941915545283592192","DimensionId":8,"MemberId":941915545283592192,"Inc":""},"_vena_LatestScenario_P_9_651631431697301504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9","MemberIdStr":"651631431697301504","DimensionId":9,"MemberId":651631431697301504,"Inc":""},"_vena_LatestScenario_P_9_651631431743438848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9","MemberIdStr":"651631431743438848","DimensionId":9,"MemberId":651631431743438848,"Inc":""},"_vena_LatestScenario_P_9_651631431751827456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9","MemberIdStr":"651631431751827456","DimensionId":9,"MemberId":651631431751827456,"Inc":""},"_vena_LatestScenario_P_9_659135040271286274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LatestScenario","BlockName":"","VenaRangeType":0,"DimensionIdStr":"9","MemberIdStr":"659135040271286274","DimensionId":9,"MemberId":659135040271286274,"Inc":""},"_vena_MDYNR_S1_BB1_1ec589b3_39b3f5d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39b3f5d4","MultiDynamicCollectionID":"1ec589b3","SectionName":"1","BlockName":"B1","VenaRangeType":8,"DimensionIdStr":"-1","MemberIdStr":"-1","DimensionId":-1,"MemberId":-1,"Inc":""},"_vena_MDYNR_S1_BB1_25bff5c3_1876c04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1876c04b","MultiDynamicCollectionID":"25bff5c3","SectionName":"1","BlockName":"B1","VenaRangeType":8,"DimensionIdStr":"-1","MemberIdStr":"-1","DimensionId":-1,"MemberId":-1,"Inc":""},"_vena_MDYNR_S1_BB1_2714494c_9abe388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abe388c","MultiDynamicCollectionID":"2714494c","SectionName":"1","BlockName":"B1","VenaRangeType":8,"DimensionIdStr":"-1","MemberIdStr":"-1","DimensionId":-1,"MemberId":-1,"Inc":""},"_vena_MDYNR_S1_BB1_3294a637_74007850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74007850","MultiDynamicCollectionID":"3294a637","SectionName":"1","BlockName":"B1","VenaRangeType":8,"DimensionIdStr":"-1","MemberIdStr":"-1","DimensionId":-1,"MemberId":-1,"Inc":""},"_vena_MDYNR_S1_BB1_414f34aa_afa17a01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fa17a01","MultiDynamicCollectionID":"414f34aa","SectionName":"1","BlockName":"B1","VenaRangeType":8,"DimensionIdStr":"-1","MemberIdStr":"-1","DimensionId":-1,"MemberId":-1,"Inc":""},"_vena_MDYNR_S1_BB1_4595eea8_9900bd4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9900bd4d","MultiDynamicCollectionID":"4595eea8","SectionName":"1","BlockName":"B1","VenaRangeType":8,"DimensionIdStr":"-1","MemberIdStr":"-1","DimensionId":-1,"MemberId":-1,"Inc":""},"_vena_MDYNR_S1_BB1_493e9e24_a598def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598def5","MultiDynamicCollectionID":"493e9e24","SectionName":"1","BlockName":"B1","VenaRangeType":8,"DimensionIdStr":"-1","MemberIdStr":"-1","DimensionId":-1,"MemberId":-1,"Inc":""},"_vena_MDYNR_S1_BB1_56fa9cda_6d66a4a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d66a4a3","MultiDynamicCollectionID":"56fa9cda","SectionName":"1","BlockName":"B1","VenaRangeType":8,"DimensionIdStr":"-1","MemberIdStr":"-1","DimensionId":-1,"MemberId":-1,"Inc":""},"_vena_MDYNR_S1_BB1_5b8c3f25_e93e8c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93e8c36","MultiDynamicCollectionID":"5b8c3f25","SectionName":"1","BlockName":"B1","VenaRangeType":8,"DimensionIdStr":"-1","MemberIdStr":"-1","DimensionId":-1,"MemberId":-1,"Inc":""},"_vena_MDYNR_S1_BB1_5f1ee2f1_147903e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147903ec","MultiDynamicCollectionID":"5f1ee2f1","SectionName":"1","BlockName":"B1","VenaRangeType":8,"DimensionIdStr":"-1","MemberIdStr":"-1","DimensionId":-1,"MemberId":-1,"Inc":""},"_vena_MDYNR_S1_BB1_60148fd9_8a7f705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a7f705","MultiDynamicCollectionID":"60148fd9","SectionName":"1","BlockName":"B1","VenaRangeType":8,"DimensionIdStr":"-1","MemberIdStr":"-1","DimensionId":-1,"MemberId":-1,"Inc":""},"_vena_MDYNR_S1_BB1_6fd17684_a7c87e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7c87e86","MultiDynamicCollectionID":"6fd17684","SectionName":"1","BlockName":"B1","VenaRangeType":8,"DimensionIdStr":"-1","MemberIdStr":"-1","DimensionId":-1,"MemberId":-1,"Inc":""},"_vena_MDYNR_S1_BB1_7b633d6_a3a1014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3a1014e","MultiDynamicCollectionID":"7b633d6","SectionName":"1","BlockName":"B1","VenaRangeType":8,"DimensionIdStr":"-1","MemberIdStr":"-1","DimensionId":-1,"MemberId":-1,"Inc":""},"_vena_MDYNR_S1_BB1_8b14c78f_f57fbe79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57fbe79","MultiDynamicCollectionID":"8b14c78f","SectionName":"1","BlockName":"B1","VenaRangeType":8,"DimensionIdStr":"-1","MemberIdStr":"-1","DimensionId":-1,"MemberId":-1,"Inc":""},"_vena_MDYNR_S1_BB1_8dc35574_a24692e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24692ea","MultiDynamicCollectionID":"8dc35574","SectionName":"1","BlockName":"B1","VenaRangeType":8,"DimensionIdStr":"-1","MemberIdStr":"-1","DimensionId":-1,"MemberId":-1,"Inc":""},"_vena_MDYNR_S1_BB1_96aca248_19035cf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19035cff","MultiDynamicCollectionID":"96aca248","SectionName":"1","BlockName":"B1","VenaRangeType":8,"DimensionIdStr":"-1","MemberIdStr":"-1","DimensionId":-1,"MemberId":-1,"Inc":""},"_vena_MDYNR_S1_BB1_9c988328_350e0e2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350e0e2d","MultiDynamicCollectionID":"9c988328","SectionName":"1","BlockName":"B1","VenaRangeType":8,"DimensionIdStr":"-1","MemberIdStr":"-1","DimensionId":-1,"MemberId":-1,"Inc":""},"_vena_MDYNR_S1_BB1_adfc71bf_7ae5b388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ae5b388","MultiDynamicCollectionID":"adfc71bf","SectionName":"1","BlockName":"B1","VenaRangeType":8,"DimensionIdStr":"-1","MemberIdStr":"-1","DimensionId":-1,"MemberId":-1,"Inc":""},"_vena_MDYNR_S1_BB1_b4be782f_ef55908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f55908e","MultiDynamicCollectionID":"b4be782f","SectionName":"1","BlockName":"B1","VenaRangeType":8,"DimensionIdStr":"-1","MemberIdStr":"-1","DimensionId":-1,"MemberId":-1,"Inc":""},"_vena_MDYNR_S1_BB1_b7003ed4_266d13f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266d13f5","MultiDynamicCollectionID":"b7003ed4","SectionName":"1","BlockName":"B1","VenaRangeType":8,"DimensionIdStr":"-1","MemberIdStr":"-1","DimensionId":-1,"MemberId":-1,"Inc":""},"_vena_MDYNR_S1_BB1_ba21577b_fb49e1f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b49e1f1","MultiDynamicCollectionID":"ba21577b","SectionName":"1","BlockName":"B1","VenaRangeType":8,"DimensionIdStr":"-1","MemberIdStr":"-1","DimensionId":-1,"MemberId":-1,"Inc":""},"_vena_MDYNR_S1_BB1_bd85c5d7_69e98ab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69e98ab0","MultiDynamicCollectionID":"bd85c5d7","SectionName":"1","BlockName":"B1","VenaRangeType":8,"DimensionIdStr":"-1","MemberIdStr":"-1","DimensionId":-1,"MemberId":-1,"Inc":""},"_vena_MDYNR_S1_BB1_c0fe04cd_c557d17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557d17f","MultiDynamicCollectionID":"c0fe04cd","SectionName":"1","BlockName":"B1","VenaRangeType":8,"DimensionIdStr":"-1","MemberIdStr":"-1","DimensionId":-1,"MemberId":-1,"Inc":""},"_vena_MDYNR_S1_BB1_c49c509c_fe7b5801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e7b5801","MultiDynamicCollectionID":"c49c509c","SectionName":"1","BlockName":"B1","VenaRangeType":8,"DimensionIdStr":"-1","MemberIdStr":"-1","DimensionId":-1,"MemberId":-1,"Inc":""},"_vena_MDYNR_S1_BB1_c4a3fd2d_fd06ec4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d06ec4c","MultiDynamicCollectionID":"c4a3fd2d","SectionName":"1","BlockName":"B1","VenaRangeType":8,"DimensionIdStr":"-1","MemberIdStr":"-1","DimensionId":-1,"MemberId":-1,"Inc":""},"_vena_MDYNR_S1_BB1_ca65fd1d_f2f20e5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2f20e5d","MultiDynamicCollectionID":"ca65fd1d","SectionName":"1","BlockName":"B1","VenaRangeType":8,"DimensionIdStr":"-1","MemberIdStr":"-1","DimensionId":-1,"MemberId":-1,"Inc":""},"_vena_MDYNR_S11_Bb1_19722a3e_5a2c7276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a2c7276","MultiDynamicCollectionID":"19722a3e","SectionName":"11","BlockName":"b1","VenaRangeType":8,"DimensionIdStr":"-1","MemberIdStr":"-1","DimensionId":-1,"MemberId":-1,"Inc":""},"_vena_MDYNR_S11_Bb1_204abc65_973930a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973930a8","MultiDynamicCollectionID":"204abc65","SectionName":"11","BlockName":"b1","VenaRangeType":8,"DimensionIdStr":"-1","MemberIdStr":"-1","DimensionId":-1,"MemberId":-1,"Inc":""},"_vena_MDYNR_S11_Bb1_2a39341b_939b20d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939b20d9","MultiDynamicCollectionID":"2a39341b","SectionName":"11","BlockName":"b1","VenaRangeType":8,"DimensionIdStr":"-1","MemberIdStr":"-1","DimensionId":-1,"MemberId":-1,"Inc":""},"_vena_MDYNR_S11_Bb1_2c573e38_e7363a11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7363a11","MultiDynamicCollectionID":"2c573e38","SectionName":"11","BlockName":"b1","VenaRangeType":8,"DimensionIdStr":"-1","MemberIdStr":"-1","DimensionId":-1,"MemberId":-1,"Inc":""},"_vena_MDYNR_S11_Bb1_2e0a8486_77161ab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77161ab7","MultiDynamicCollectionID":"2e0a8486","SectionName":"11","BlockName":"b1","VenaRangeType":8,"DimensionIdStr":"-1","MemberIdStr":"-1","DimensionId":-1,"MemberId":-1,"Inc":""},"_vena_MDYNR_S11_Bb1_2fb027f1_fe0d944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e0d944a","MultiDynamicCollectionID":"2fb027f1","SectionName":"11","BlockName":"b1","VenaRangeType":8,"DimensionIdStr":"-1","MemberIdStr":"-1","DimensionId":-1,"MemberId":-1,"Inc":""},"_vena_MDYNR_S11_Bb1_31cf1ceb_b531da81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531da81","MultiDynamicCollectionID":"31cf1ceb","SectionName":"11","BlockName":"b1","VenaRangeType":8,"DimensionIdStr":"-1","MemberIdStr":"-1","DimensionId":-1,"MemberId":-1,"Inc":""},"_vena_MDYNR_S11_Bb1_3241160a_fa9997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a9997f","MultiDynamicCollectionID":"3241160a","SectionName":"11","BlockName":"b1","VenaRangeType":8,"DimensionIdStr":"-1","MemberIdStr":"-1","DimensionId":-1,"MemberId":-1,"Inc":""},"_vena_MDYNR_S11_Bb1_471624fe_45f1807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45f1807a","MultiDynamicCollectionID":"471624fe","SectionName":"11","BlockName":"b1","VenaRangeType":8,"DimensionIdStr":"-1","MemberIdStr":"-1","DimensionId":-1,"MemberId":-1,"Inc":""},"_vena_MDYNR_S11_Bb1_4dd26bb7_1df163b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df163ba","MultiDynamicCollectionID":"4dd26bb7","SectionName":"11","BlockName":"b1","VenaRangeType":8,"DimensionIdStr":"-1","MemberIdStr":"-1","DimensionId":-1,"MemberId":-1,"Inc":""},"_vena_MDYNR_S11_Bb1_532e15d_5e56eb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e56eb09","MultiDynamicCollectionID":"532e15d","SectionName":"11","BlockName":"b1","VenaRangeType":8,"DimensionIdStr":"-1","MemberIdStr":"-1","DimensionId":-1,"MemberId":-1,"Inc":""},"_vena_MDYNR_S11_Bb1_5354126d_36a6f4d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36a6f4df","MultiDynamicCollectionID":"5354126d","SectionName":"11","BlockName":"b1","VenaRangeType":8,"DimensionIdStr":"-1","MemberIdStr":"-1","DimensionId":-1,"MemberId":-1,"Inc":""},"_vena_MDYNR_S11_Bb1_5cdb8ef7_9c678382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c678382","MultiDynamicCollectionID":"5cdb8ef7","SectionName":"11","BlockName":"b1","VenaRangeType":8,"DimensionIdStr":"-1","MemberIdStr":"-1","DimensionId":-1,"MemberId":-1,"Inc":""},"_vena_MDYNR_S11_Bb1_5d93617e_92c61e0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92c61e0a","MultiDynamicCollectionID":"5d93617e","SectionName":"11","BlockName":"b1","VenaRangeType":8,"DimensionIdStr":"-1","MemberIdStr":"-1","DimensionId":-1,"MemberId":-1,"Inc":""},"_vena_MDYNR_S11_Bb1_710dea0a_63419ea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63419ea7","MultiDynamicCollectionID":"710dea0a","SectionName":"11","BlockName":"b1","VenaRangeType":8,"DimensionIdStr":"-1","MemberIdStr":"-1","DimensionId":-1,"MemberId":-1,"Inc":""},"_vena_MDYNR_S11_Bb1_7cf6ce40_2e923063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e923063","MultiDynamicCollectionID":"7cf6ce40","SectionName":"11","BlockName":"b1","VenaRangeType":8,"DimensionIdStr":"-1","MemberIdStr":"-1","DimensionId":-1,"MemberId":-1,"Inc":""},"_vena_MDYNR_S11_Bb1_7df812d_25c8380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25c8380a","MultiDynamicCollectionID":"7df812d","SectionName":"11","BlockName":"b1","VenaRangeType":8,"DimensionIdStr":"-1","MemberIdStr":"-1","DimensionId":-1,"MemberId":-1,"Inc":""},"_vena_MDYNR_S11_Bb1_8182ed99_ef53c490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f53c490","MultiDynamicCollectionID":"8182ed99","SectionName":"11","BlockName":"b1","VenaRangeType":8,"DimensionIdStr":"-1","MemberIdStr":"-1","DimensionId":-1,"MemberId":-1,"Inc":""},"_vena_MDYNR_S11_Bb1_8741a0cb_1850c30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1850c30b","MultiDynamicCollectionID":"8741a0cb","SectionName":"11","BlockName":"b1","VenaRangeType":8,"DimensionIdStr":"-1","MemberIdStr":"-1","DimensionId":-1,"MemberId":-1,"Inc":""},"_vena_MDYNR_S11_Bb1_92ef4942_f5ca3d1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5ca3d1d","MultiDynamicCollectionID":"92ef4942","SectionName":"11","BlockName":"b1","VenaRangeType":8,"DimensionIdStr":"-1","MemberIdStr":"-1","DimensionId":-1,"MemberId":-1,"Inc":""},"_vena_MDYNR_S11_Bb1_95f43d9_998bbc5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998bbc5b","MultiDynamicCollectionID":"95f43d9","SectionName":"11","BlockName":"b1","VenaRangeType":8,"DimensionIdStr":"-1","MemberIdStr":"-1","DimensionId":-1,"MemberId":-1,"Inc":""},"_vena_MDYNR_S11_Bb1_980f6545_156ad241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156ad241","MultiDynamicCollectionID":"980f6545","SectionName":"11","BlockName":"b1","VenaRangeType":8,"DimensionIdStr":"-1","MemberIdStr":"-1","DimensionId":-1,"MemberId":-1,"Inc":""},"_vena_MDYNR_S11_Bb1_acbff197_df8379d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f8379dc","MultiDynamicCollectionID":"acbff197","SectionName":"11","BlockName":"b1","VenaRangeType":8,"DimensionIdStr":"-1","MemberIdStr":"-1","DimensionId":-1,"MemberId":-1,"Inc":""},"_vena_MDYNR_S11_Bb1_bdc065f1_cd3c5558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d3c5558","MultiDynamicCollectionID":"bdc065f1","SectionName":"11","BlockName":"b1","VenaRangeType":8,"DimensionIdStr":"-1","MemberIdStr":"-1","DimensionId":-1,"MemberId":-1,"Inc":""},"_vena_MDYNR_S11_Bb1_f9ab52cd_f8334882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8334882","MultiDynamicCollectionID":"f9ab52cd","SectionName":"11","BlockName":"b1","VenaRangeType":8,"DimensionIdStr":"-1","MemberIdStr":"-1","DimensionId":-1,"MemberId":-1,"Inc":""},"_vena_MDYNR_S11_Bb1_fb63e8d9_33d83ce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33d83cee","MultiDynamicCollectionID":"fb63e8d9","SectionName":"11","BlockName":"b1","VenaRangeType":8,"DimensionIdStr":"-1","MemberIdStr":"-1","DimensionId":-1,"MemberId":-1,"Inc":""},"_vena_MDYNR_S2_BB1_1b93a96a_eccdd5f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ccdd5fb","MultiDynamicCollectionID":"1b93a96a","SectionName":"2","BlockName":"B1","VenaRangeType":8,"DimensionIdStr":"-1","MemberIdStr":"-1","DimensionId":-1,"MemberId":-1,"Inc":""},"_vena_MDYNR_S2_BB1_2750cbec_832c998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832c998a","MultiDynamicCollectionID":"2750cbec","SectionName":"2","BlockName":"B1","VenaRangeType":8,"DimensionIdStr":"-1","MemberIdStr":"-1","DimensionId":-1,"MemberId":-1,"Inc":""},"_vena_MDYNR_S2_BB1_3888619d_708c8f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708c8f26","MultiDynamicCollectionID":"3888619d","SectionName":"2","BlockName":"B1","VenaRangeType":8,"DimensionIdStr":"-1","MemberIdStr":"-1","DimensionId":-1,"MemberId":-1,"Inc":""},"_vena_MDYNR_S2_BB1_3fe6bec6_1d8da2d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d8da2dc","MultiDynamicCollectionID":"3fe6bec6","SectionName":"2","BlockName":"B1","VenaRangeType":8,"DimensionIdStr":"-1","MemberIdStr":"-1","DimensionId":-1,"MemberId":-1,"Inc":""},"_vena_MDYNR_S2_BB1_5bbabfa1_756627a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756627a5","MultiDynamicCollectionID":"5bbabfa1","SectionName":"2","BlockName":"B1","VenaRangeType":8,"DimensionIdStr":"-1","MemberIdStr":"-1","DimensionId":-1,"MemberId":-1,"Inc":""},"_vena_MDYNR_S2_BB1_60337174_8324ddc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8324ddc4","MultiDynamicCollectionID":"60337174","SectionName":"2","BlockName":"B1","VenaRangeType":8,"DimensionIdStr":"-1","MemberIdStr":"-1","DimensionId":-1,"MemberId":-1,"Inc":""},"_vena_MDYNR_S2_BB1_6fc33715_4cc84226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cc84226","MultiDynamicCollectionID":"6fc33715","SectionName":"2","BlockName":"B1","VenaRangeType":8,"DimensionIdStr":"-1","MemberIdStr":"-1","DimensionId":-1,"MemberId":-1,"Inc":""},"_vena_MDYNR_S2_BB1_7276a90a_a181d49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181d49e","MultiDynamicCollectionID":"7276a90a","SectionName":"2","BlockName":"B1","VenaRangeType":8,"DimensionIdStr":"-1","MemberIdStr":"-1","DimensionId":-1,"MemberId":-1,"Inc":""},"_vena_MDYNR_S2_BB1_823775d5_219c5c8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219c5c8e","MultiDynamicCollectionID":"823775d5","SectionName":"2","BlockName":"B1","VenaRangeType":8,"DimensionIdStr":"-1","MemberIdStr":"-1","DimensionId":-1,"MemberId":-1,"Inc":""},"_vena_MDYNR_S2_BB1_894991cf_142ea2a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142ea2a6","MultiDynamicCollectionID":"894991cf","SectionName":"2","BlockName":"B1","VenaRangeType":8,"DimensionIdStr":"-1","MemberIdStr":"-1","DimensionId":-1,"MemberId":-1,"Inc":""},"_vena_MDYNR_S2_BB1_8b02c9ed_14c6f598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14c6f598","MultiDynamicCollectionID":"8b02c9ed","SectionName":"2","BlockName":"B1","VenaRangeType":8,"DimensionIdStr":"-1","MemberIdStr":"-1","DimensionId":-1,"MemberId":-1,"Inc":""},"_vena_MDYNR_S2_BB1_9c58fdae_bdeeef49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deeef49","MultiDynamicCollectionID":"9c58fdae","SectionName":"2","BlockName":"B1","VenaRangeType":8,"DimensionIdStr":"-1","MemberIdStr":"-1","DimensionId":-1,"MemberId":-1,"Inc":""},"_vena_MDYNR_S2_BB1_b13bc8b_af6bfc97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f6bfc97","MultiDynamicCollectionID":"b13bc8b","SectionName":"2","BlockName":"B1","VenaRangeType":8,"DimensionIdStr":"-1","MemberIdStr":"-1","DimensionId":-1,"MemberId":-1,"Inc":""},"_vena_MDYNR_S2_BB1_b7a7b58b_674db7d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674db7db","MultiDynamicCollectionID":"b7a7b58b","SectionName":"2","BlockName":"B1","VenaRangeType":8,"DimensionIdStr":"-1","MemberIdStr":"-1","DimensionId":-1,"MemberId":-1,"Inc":""},"_vena_MDYNR_S2_BB1_bc4e5472_f16fe35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16fe35b","MultiDynamicCollectionID":"bc4e5472","SectionName":"2","BlockName":"B1","VenaRangeType":8,"DimensionIdStr":"-1","MemberIdStr":"-1","DimensionId":-1,"MemberId":-1,"Inc":""},"_vena_MDYNR_S2_BB1_c09a1d04_1e40570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e40570","MultiDynamicCollectionID":"c09a1d04","SectionName":"2","BlockName":"B1","VenaRangeType":8,"DimensionIdStr":"-1","MemberIdStr":"-1","DimensionId":-1,"MemberId":-1,"Inc":""},"_vena_MDYNR_S2_BB1_c8e90ce6_23b9a703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23b9a703","MultiDynamicCollectionID":"c8e90ce6","SectionName":"2","BlockName":"B1","VenaRangeType":8,"DimensionIdStr":"-1","MemberIdStr":"-1","DimensionId":-1,"MemberId":-1,"Inc":""},"_vena_MDYNR_S2_BB1_c9ac1536_f8a484e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8a484e3","MultiDynamicCollectionID":"c9ac1536","SectionName":"2","BlockName":"B1","VenaRangeType":8,"DimensionIdStr":"-1","MemberIdStr":"-1","DimensionId":-1,"MemberId":-1,"Inc":""},"_vena_MDYNR_S2_BB1_d1350884_f34c97a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34c97a4","MultiDynamicCollectionID":"d1350884","SectionName":"2","BlockName":"B1","VenaRangeType":8,"DimensionIdStr":"-1","MemberIdStr":"-1","DimensionId":-1,"MemberId":-1,"Inc":""},"_vena_MDYNR_S2_BB1_d1906588_b9e362b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9e362b4","MultiDynamicCollectionID":"d1906588","SectionName":"2","BlockName":"B1","VenaRangeType":8,"DimensionIdStr":"-1","MemberIdStr":"-1","DimensionId":-1,"MemberId":-1,"Inc":""},"_vena_MDYNR_S2_BB1_dbacd17b_b36ca404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36ca404","MultiDynamicCollectionID":"dbacd17b","SectionName":"2","BlockName":"B1","VenaRangeType":8,"DimensionIdStr":"-1","MemberIdStr":"-1","DimensionId":-1,"MemberId":-1,"Inc":""},"_vena_MDYNR_S2_BB1_dbe69cf1_6780e2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6780e2a","MultiDynamicCollectionID":"dbe69cf1","SectionName":"2","BlockName":"B1","VenaRangeType":8,"DimensionIdStr":"-1","MemberIdStr":"-1","DimensionId":-1,"MemberId":-1,"Inc":""},"_vena_MDYNR_S2_BB1_e5edff55_1c14688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c14688c","MultiDynamicCollectionID":"e5edff55","SectionName":"2","BlockName":"B1","VenaRangeType":8,"DimensionIdStr":"-1","MemberIdStr":"-1","DimensionId":-1,"MemberId":-1,"Inc":""},"_vena_MDYNR_S2_BB1_f0e35eab_2909e9c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2909e9cf","MultiDynamicCollectionID":"f0e35eab","SectionName":"2","BlockName":"B1","VenaRangeType":8,"DimensionIdStr":"-1","MemberIdStr":"-1","DimensionId":-1,"MemberId":-1,"Inc":""},"_vena_MDYNR_S2_BB1_f994a178_f547d40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547d40f","MultiDynamicCollectionID":"f994a178","SectionName":"2","BlockName":"B1","VenaRangeType":8,"DimensionIdStr":"-1","MemberIdStr":"-1","DimensionId":-1,"MemberId":-1,"Inc":""},"_vena_MDYNR_S2_BB1_fddaefe4_932e7370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932e7370","MultiDynamicCollectionID":"fddaefe4","SectionName":"2","BlockName":"B1","VenaRangeType":8,"DimensionIdStr":"-1","MemberIdStr":"-1","DimensionId":-1,"MemberId":-1,"Inc":""},"_vena_MDYNR_S3_BB1_1ca368a5_225773b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225773b0","MultiDynamicCollectionID":"1ca368a5","SectionName":"3","BlockName":"B1","VenaRangeType":8,"DimensionIdStr":"-1","MemberIdStr":"-1","DimensionId":-1,"MemberId":-1,"Inc":""},"_vena_MDYNR_S3_BB1_1e7f81f1_c62b28b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62b28be","MultiDynamicCollectionID":"1e7f81f1","SectionName":"3","BlockName":"B1","VenaRangeType":8,"DimensionIdStr":"-1","MemberIdStr":"-1","DimensionId":-1,"MemberId":-1,"Inc":""},"_vena_MDYNR_S3_BB1_274e23f6_2ac1ec3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ac1ec3f","MultiDynamicCollectionID":"274e23f6","SectionName":"3","BlockName":"B1","VenaRangeType":8,"DimensionIdStr":"-1","MemberIdStr":"-1","DimensionId":-1,"MemberId":-1,"Inc":""},"_vena_MDYNR_S3_BB1_27f3cc6a_60765388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60765388","MultiDynamicCollectionID":"27f3cc6a","SectionName":"3","BlockName":"B1","VenaRangeType":8,"DimensionIdStr":"-1","MemberIdStr":"-1","DimensionId":-1,"MemberId":-1,"Inc":""},"_vena_MDYNR_S3_BB1_2a916b00_4c0a4982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c0a4982","MultiDynamicCollectionID":"2a916b00","SectionName":"3","BlockName":"B1","VenaRangeType":8,"DimensionIdStr":"-1","MemberIdStr":"-1","DimensionId":-1,"MemberId":-1,"Inc":""},"_vena_MDYNR_S3_BB1_3d805b23_20baecc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20baecc2","MultiDynamicCollectionID":"3d805b23","SectionName":"3","BlockName":"B1","VenaRangeType":8,"DimensionIdStr":"-1","MemberIdStr":"-1","DimensionId":-1,"MemberId":-1,"Inc":""},"_vena_MDYNR_S3_BB1_3eb3505b_2a0f6ed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a0f6ed7","MultiDynamicCollectionID":"3eb3505b","SectionName":"3","BlockName":"B1","VenaRangeType":8,"DimensionIdStr":"-1","MemberIdStr":"-1","DimensionId":-1,"MemberId":-1,"Inc":""},"_vena_MDYNR_S3_BB1_4443e830_5fce07b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fce07b2","MultiDynamicCollectionID":"4443e830","SectionName":"3","BlockName":"B1","VenaRangeType":8,"DimensionIdStr":"-1","MemberIdStr":"-1","DimensionId":-1,"MemberId":-1,"Inc":""},"_vena_MDYNR_S3_BB1_46d3e3d7_68953055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68953055","MultiDynamicCollectionID":"46d3e3d7","SectionName":"3","BlockName":"B1","VenaRangeType":8,"DimensionIdStr":"-1","MemberIdStr":"-1","DimensionId":-1,"MemberId":-1,"Inc":""},"_vena_MDYNR_S3_BB1_495f7749_a1b28f8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1b28f8f","MultiDynamicCollectionID":"495f7749","SectionName":"3","BlockName":"B1","VenaRangeType":8,"DimensionIdStr":"-1","MemberIdStr":"-1","DimensionId":-1,"MemberId":-1,"Inc":""},"_vena_MDYNR_S3_BB1_4dc46ca8_4252f6b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4252f6b3","MultiDynamicCollectionID":"4dc46ca8","SectionName":"3","BlockName":"B1","VenaRangeType":8,"DimensionIdStr":"-1","MemberIdStr":"-1","DimensionId":-1,"MemberId":-1,"Inc":""},"_vena_MDYNR_S3_BB1_5676f1b4_d3470de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3470de3","MultiDynamicCollectionID":"5676f1b4","SectionName":"3","BlockName":"B1","VenaRangeType":8,"DimensionIdStr":"-1","MemberIdStr":"-1","DimensionId":-1,"MemberId":-1,"Inc":""},"_vena_MDYNR_S3_BB1_5b5cdcb0_7ac4c49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ac4c49e","MultiDynamicCollectionID":"5b5cdcb0","SectionName":"3","BlockName":"B1","VenaRangeType":8,"DimensionIdStr":"-1","MemberIdStr":"-1","DimensionId":-1,"MemberId":-1,"Inc":""},"_vena_MDYNR_S3_BB1_61462c99_f18def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18defc","MultiDynamicCollectionID":"61462c99","SectionName":"3","BlockName":"B1","VenaRangeType":8,"DimensionIdStr":"-1","MemberIdStr":"-1","DimensionId":-1,"MemberId":-1,"Inc":""},"_vena_MDYNR_S3_BB1_8c4967db_f7dbec5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7dbec5f","MultiDynamicCollectionID":"8c4967db","SectionName":"3","BlockName":"B1","VenaRangeType":8,"DimensionIdStr":"-1","MemberIdStr":"-1","DimensionId":-1,"MemberId":-1,"Inc":""},"_vena_MDYNR_S3_BB1_930a243_a27b03d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27b03dd","MultiDynamicCollectionID":"930a243","SectionName":"3","BlockName":"B1","VenaRangeType":8,"DimensionIdStr":"-1","MemberIdStr":"-1","DimensionId":-1,"MemberId":-1,"Inc":""},"_vena_MDYNR_S3_BB1_9854f2da_52ccaac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52ccaac4","MultiDynamicCollectionID":"9854f2da","SectionName":"3","BlockName":"B1","VenaRangeType":8,"DimensionIdStr":"-1","MemberIdStr":"-1","DimensionId":-1,"MemberId":-1,"Inc":""},"_vena_MDYNR_S3_BB1_a168a8aa_2b0a9667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b0a9667","MultiDynamicCollectionID":"a168a8aa","SectionName":"3","BlockName":"B1","VenaRangeType":8,"DimensionIdStr":"-1","MemberIdStr":"-1","DimensionId":-1,"MemberId":-1,"Inc":""},"_vena_MDYNR_S3_BB1_b3e56fa2_150077c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150077c7","MultiDynamicCollectionID":"b3e56fa2","SectionName":"3","BlockName":"B1","VenaRangeType":8,"DimensionIdStr":"-1","MemberIdStr":"-1","DimensionId":-1,"MemberId":-1,"Inc":""},"_vena_MDYNR_S3_BB1_b721cb84_141a522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141a522a","MultiDynamicCollectionID":"b721cb84","SectionName":"3","BlockName":"B1","VenaRangeType":8,"DimensionIdStr":"-1","MemberIdStr":"-1","DimensionId":-1,"MemberId":-1,"Inc":""},"_vena_MDYNR_S3_BB1_b8e1cf56_a973fc75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973fc75","MultiDynamicCollectionID":"b8e1cf56","SectionName":"3","BlockName":"B1","VenaRangeType":8,"DimensionIdStr":"-1","MemberIdStr":"-1","DimensionId":-1,"MemberId":-1,"Inc":""},"_vena_MDYNR_S3_BB1_bbb761df_6c1cb0a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c1cb0a3","MultiDynamicCollectionID":"bbb761df","SectionName":"3","BlockName":"B1","VenaRangeType":8,"DimensionIdStr":"-1","MemberIdStr":"-1","DimensionId":-1,"MemberId":-1,"Inc":""},"_vena_MDYNR_S3_BB1_d2eeae1e_ad0fce1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d0fce1a","MultiDynamicCollectionID":"d2eeae1e","SectionName":"3","BlockName":"B1","VenaRangeType":8,"DimensionIdStr":"-1","MemberIdStr":"-1","DimensionId":-1,"MemberId":-1,"Inc":""},"_vena_MDYNR_S3_BB1_dad96222_b8cc0072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8cc0072","MultiDynamicCollectionID":"dad96222","SectionName":"3","BlockName":"B1","VenaRangeType":8,"DimensionIdStr":"-1","MemberIdStr":"-1","DimensionId":-1,"MemberId":-1,"Inc":""},"_vena_MDYNR_S3_BB1_ed6bbfbf_9ec69454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ec69454","MultiDynamicCollectionID":"ed6bbfbf","SectionName":"3","BlockName":"B1","VenaRangeType":8,"DimensionIdStr":"-1","MemberIdStr":"-1","DimensionId":-1,"MemberId":-1,"Inc":""},"_vena_MDYNR_S3_BB1_f03b8892_5838aa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5838aa62","MultiDynamicCollectionID":"f03b8892","SectionName":"3","BlockName":"B1","VenaRangeType":8,"DimensionIdStr":"-1","MemberIdStr":"-1","DimensionId":-1,"MemberId":-1,"Inc":""},"_vena_MDYNR_S4_Bb1_15495e12_c9987004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9987004","MultiDynamicCollectionID":"15495e12","SectionName":"4","BlockName":"b1","VenaRangeType":8,"DimensionIdStr":"-1","MemberIdStr":"-1","DimensionId":-1,"MemberId":-1,"Inc":""},"_vena_MDYNR_S4_Bb1_18762335_6f9ef430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f9ef430","MultiDynamicCollectionID":"18762335","SectionName":"4","BlockName":"b1","VenaRangeType":8,"DimensionIdStr":"-1","MemberIdStr":"-1","DimensionId":-1,"MemberId":-1,"Inc":""},"_vena_MDYNR_S4_Bb1_2617c592_fb7d261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b7d261f","MultiDynamicCollectionID":"2617c592","SectionName":"4","BlockName":"b1","VenaRangeType":8,"DimensionIdStr":"-1","MemberIdStr":"-1","DimensionId":-1,"MemberId":-1,"Inc":""},"_vena_MDYNR_S4_Bb1_36a01a7_56807299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56807299","MultiDynamicCollectionID":"36a01a7","SectionName":"4","BlockName":"b1","VenaRangeType":8,"DimensionIdStr":"-1","MemberIdStr":"-1","DimensionId":-1,"MemberId":-1,"Inc":""},"_vena_MDYNR_S4_Bb1_42b3d2b_8f4c7936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f4c7936","MultiDynamicCollectionID":"42b3d2b","SectionName":"4","BlockName":"b1","VenaRangeType":8,"DimensionIdStr":"-1","MemberIdStr":"-1","DimensionId":-1,"MemberId":-1,"Inc":""},"_vena_MDYNR_S4_Bb1_4cb361e4_fd906e84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d906e84","MultiDynamicCollectionID":"4cb361e4","SectionName":"4","BlockName":"b1","VenaRangeType":8,"DimensionIdStr":"-1","MemberIdStr":"-1","DimensionId":-1,"MemberId":-1,"Inc":""},"_vena_MDYNR_S4_Bb1_4dab0ca4_776f168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776f168a","MultiDynamicCollectionID":"4dab0ca4","SectionName":"4","BlockName":"b1","VenaRangeType":8,"DimensionIdStr":"-1","MemberIdStr":"-1","DimensionId":-1,"MemberId":-1,"Inc":""},"_vena_MDYNR_S4_Bb1_5207a3f6_7d337ef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d337ef1","MultiDynamicCollectionID":"5207a3f6","SectionName":"4","BlockName":"b1","VenaRangeType":8,"DimensionIdStr":"-1","MemberIdStr":"-1","DimensionId":-1,"MemberId":-1,"Inc":""},"_vena_MDYNR_S4_Bb1_585222a2_9efb07e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efb07e9","MultiDynamicCollectionID":"585222a2","SectionName":"4","BlockName":"b1","VenaRangeType":8,"DimensionIdStr":"-1","MemberIdStr":"-1","DimensionId":-1,"MemberId":-1,"Inc":""},"_vena_MDYNR_S4_Bb1_5bac4fd8_6e330de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e330de6","MultiDynamicCollectionID":"5bac4fd8","SectionName":"4","BlockName":"b1","VenaRangeType":8,"DimensionIdStr":"-1","MemberIdStr":"-1","DimensionId":-1,"MemberId":-1,"Inc":""},"_vena_MDYNR_S4_Bb1_820b0bb_75c68e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75c68e52","MultiDynamicCollectionID":"820b0bb","SectionName":"4","BlockName":"b1","VenaRangeType":8,"DimensionIdStr":"-1","MemberIdStr":"-1","DimensionId":-1,"MemberId":-1,"Inc":""},"_vena_MDYNR_S4_Bb1_8934c402_e2f06f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2f06f02","MultiDynamicCollectionID":"8934c402","SectionName":"4","BlockName":"b1","VenaRangeType":8,"DimensionIdStr":"-1","MemberIdStr":"-1","DimensionId":-1,"MemberId":-1,"Inc":""},"_vena_MDYNR_S4_Bb1_94e41104_5a3275e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a3275e0","MultiDynamicCollectionID":"94e41104","SectionName":"4","BlockName":"b1","VenaRangeType":8,"DimensionIdStr":"-1","MemberIdStr":"-1","DimensionId":-1,"MemberId":-1,"Inc":""},"_vena_MDYNR_S4_Bb1_98668e67_5c6d7c6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c6d7c6c","MultiDynamicCollectionID":"98668e67","SectionName":"4","BlockName":"b1","VenaRangeType":8,"DimensionIdStr":"-1","MemberIdStr":"-1","DimensionId":-1,"MemberId":-1,"Inc":""},"_vena_MDYNR_S4_Bb1_a2efbfda_4105cc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4105cc0","MultiDynamicCollectionID":"a2efbfda","SectionName":"4","BlockName":"b1","VenaRangeType":8,"DimensionIdStr":"-1","MemberIdStr":"-1","DimensionId":-1,"MemberId":-1,"Inc":""},"_vena_MDYNR_S4_Bb1_a31340b6_2d180b3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d180b3b","MultiDynamicCollectionID":"a31340b6","SectionName":"4","BlockName":"b1","VenaRangeType":8,"DimensionIdStr":"-1","MemberIdStr":"-1","DimensionId":-1,"MemberId":-1,"Inc":""},"_vena_MDYNR_S4_Bb1_a349f560_9bdf5481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bdf5481","MultiDynamicCollectionID":"a349f560","SectionName":"4","BlockName":"b1","VenaRangeType":8,"DimensionIdStr":"-1","MemberIdStr":"-1","DimensionId":-1,"MemberId":-1,"Inc":""},"_vena_MDYNR_S4_Bb1_b9d368a8_1ba9f145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ba9f145","MultiDynamicCollectionID":"b9d368a8","SectionName":"4","BlockName":"b1","VenaRangeType":8,"DimensionIdStr":"-1","MemberIdStr":"-1","DimensionId":-1,"MemberId":-1,"Inc":""},"_vena_MDYNR_S4_Bb1_c9af24d3_81dcb49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81dcb49e","MultiDynamicCollectionID":"c9af24d3","SectionName":"4","BlockName":"b1","VenaRangeType":8,"DimensionIdStr":"-1","MemberIdStr":"-1","DimensionId":-1,"MemberId":-1,"Inc":""},"_vena_MDYNR_S4_Bb1_cfbe6cc6_eb9f6b82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b9f6b82","MultiDynamicCollectionID":"cfbe6cc6","SectionName":"4","BlockName":"b1","VenaRangeType":8,"DimensionIdStr":"-1","MemberIdStr":"-1","DimensionId":-1,"MemberId":-1,"Inc":""},"_vena_MDYNR_S4_Bb1_d65d7527_58ff3ff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58ff3ff9","MultiDynamicCollectionID":"d65d7527","SectionName":"4","BlockName":"b1","VenaRangeType":8,"DimensionIdStr":"-1","MemberIdStr":"-1","DimensionId":-1,"MemberId":-1,"Inc":""},"_vena_MDYNR_S4_Bb1_d9ca2398_d912413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912413d","MultiDynamicCollectionID":"d9ca2398","SectionName":"4","BlockName":"b1","VenaRangeType":8,"DimensionIdStr":"-1","MemberIdStr":"-1","DimensionId":-1,"MemberId":-1,"Inc":""},"_vena_MDYNR_S4_Bb1_da156865_731b33a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731b33a5","MultiDynamicCollectionID":"da156865","SectionName":"4","BlockName":"b1","VenaRangeType":8,"DimensionIdStr":"-1","MemberIdStr":"-1","DimensionId":-1,"MemberId":-1,"Inc":""},"_vena_MDYNR_S4_Bb1_eaf4f3ea_1872fa4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1872fa4a","MultiDynamicCollectionID":"eaf4f3ea","SectionName":"4","BlockName":"b1","VenaRangeType":8,"DimensionIdStr":"-1","MemberIdStr":"-1","DimensionId":-1,"MemberId":-1,"Inc":""},"_vena_MDYNR_S4_Bb1_fc23d169_70c01d53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70c01d53","MultiDynamicCollectionID":"fc23d169","SectionName":"4","BlockName":"b1","VenaRangeType":8,"DimensionIdStr":"-1","MemberIdStr":"-1","DimensionId":-1,"MemberId":-1,"Inc":""},"_vena_MDYNR_S4_Bb1_fcb555cc_3d94e7e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d94e7e4","MultiDynamicCollectionID":"fcb555cc","SectionName":"4","BlockName":"b1","VenaRangeType":8,"DimensionIdStr":"-1","MemberIdStr":"-1","DimensionId":-1,"MemberId":-1,"Inc":""},"_vena_MDYNR_S5_Bb1_1187f4d9_7c554b94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c554b94","MultiDynamicCollectionID":"1187f4d9","SectionName":"5","BlockName":"b1","VenaRangeType":8,"DimensionIdStr":"-1","MemberIdStr":"-1","DimensionId":-1,"MemberId":-1,"Inc":""},"_vena_MDYNR_S5_Bb1_155ab79e_9053d8f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9053d8f3","MultiDynamicCollectionID":"155ab79e","SectionName":"5","BlockName":"b1","VenaRangeType":8,"DimensionIdStr":"-1","MemberIdStr":"-1","DimensionId":-1,"MemberId":-1,"Inc":""},"_vena_MDYNR_S5_Bb1_1b9356c0_b1a4afc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1a4afcc","MultiDynamicCollectionID":"1b9356c0","SectionName":"5","BlockName":"b1","VenaRangeType":8,"DimensionIdStr":"-1","MemberIdStr":"-1","DimensionId":-1,"MemberId":-1,"Inc":""},"_vena_MDYNR_S5_Bb1_3735033_d86aba5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86aba5c","MultiDynamicCollectionID":"3735033","SectionName":"5","BlockName":"b1","VenaRangeType":8,"DimensionIdStr":"-1","MemberIdStr":"-1","DimensionId":-1,"MemberId":-1,"Inc":""},"_vena_MDYNR_S5_Bb1_3a55bf2f_a306913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306913a","MultiDynamicCollectionID":"3a55bf2f","SectionName":"5","BlockName":"b1","VenaRangeType":8,"DimensionIdStr":"-1","MemberIdStr":"-1","DimensionId":-1,"MemberId":-1,"Inc":""},"_vena_MDYNR_S5_Bb1_3c347c9f_58e3e81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58e3e81f","MultiDynamicCollectionID":"3c347c9f","SectionName":"5","BlockName":"b1","VenaRangeType":8,"DimensionIdStr":"-1","MemberIdStr":"-1","DimensionId":-1,"MemberId":-1,"Inc":""},"_vena_MDYNR_S5_Bb1_3dc6ac28_2e20b67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e20b67f","MultiDynamicCollectionID":"3dc6ac28","SectionName":"5","BlockName":"b1","VenaRangeType":8,"DimensionIdStr":"-1","MemberIdStr":"-1","DimensionId":-1,"MemberId":-1,"Inc":""},"_vena_MDYNR_S5_Bb1_447da193_656f0498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656f0498","MultiDynamicCollectionID":"447da193","SectionName":"5","BlockName":"b1","VenaRangeType":8,"DimensionIdStr":"-1","MemberIdStr":"-1","DimensionId":-1,"MemberId":-1,"Inc":""},"_vena_MDYNR_S5_Bb1_54e7f65_f06d608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06d608c","MultiDynamicCollectionID":"54e7f65","SectionName":"5","BlockName":"b1","VenaRangeType":8,"DimensionIdStr":"-1","MemberIdStr":"-1","DimensionId":-1,"MemberId":-1,"Inc":""},"_vena_MDYNR_S5_Bb1_695c0b7f_df102f4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f102f4c","MultiDynamicCollectionID":"695c0b7f","SectionName":"5","BlockName":"b1","VenaRangeType":8,"DimensionIdStr":"-1","MemberIdStr":"-1","DimensionId":-1,"MemberId":-1,"Inc":""},"_vena_MDYNR_S5_Bb1_6c4351a1_8d7a2911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d7a2911","MultiDynamicCollectionID":"6c4351a1","SectionName":"5","BlockName":"b1","VenaRangeType":8,"DimensionIdStr":"-1","MemberIdStr":"-1","DimensionId":-1,"MemberId":-1,"Inc":""},"_vena_MDYNR_S5_Bb1_70407990_268fb20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268fb20f","MultiDynamicCollectionID":"70407990","SectionName":"5","BlockName":"b1","VenaRangeType":8,"DimensionIdStr":"-1","MemberIdStr":"-1","DimensionId":-1,"MemberId":-1,"Inc":""},"_vena_MDYNR_S5_Bb1_7f5a2474_222e1c5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222e1c5b","MultiDynamicCollectionID":"7f5a2474","SectionName":"5","BlockName":"b1","VenaRangeType":8,"DimensionIdStr":"-1","MemberIdStr":"-1","DimensionId":-1,"MemberId":-1,"Inc":""},"_vena_MDYNR_S5_Bb1_819c9a1c_c266b1a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266b1a1","MultiDynamicCollectionID":"819c9a1c","SectionName":"5","BlockName":"b1","VenaRangeType":8,"DimensionIdStr":"-1","MemberIdStr":"-1","DimensionId":-1,"MemberId":-1,"Inc":""},"_vena_MDYNR_S5_Bb1_90df53cf_1422a135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1422a135","MultiDynamicCollectionID":"90df53cf","SectionName":"5","BlockName":"b1","VenaRangeType":8,"DimensionIdStr":"-1","MemberIdStr":"-1","DimensionId":-1,"MemberId":-1,"Inc":""},"_vena_MDYNR_S5_Bb1_9b9c5cbd_bbf3f67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bf3f67b","MultiDynamicCollectionID":"9b9c5cbd","SectionName":"5","BlockName":"b1","VenaRangeType":8,"DimensionIdStr":"-1","MemberIdStr":"-1","DimensionId":-1,"MemberId":-1,"Inc":""},"_vena_MDYNR_S5_Bb1_a9a44c10_a6caa262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6caa262","MultiDynamicCollectionID":"a9a44c10","SectionName":"5","BlockName":"b1","VenaRangeType":8,"DimensionIdStr":"-1","MemberIdStr":"-1","DimensionId":-1,"MemberId":-1,"Inc":""},"_vena_MDYNR_S5_Bb1_ac8e848a_e812e9b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812e9b7","MultiDynamicCollectionID":"ac8e848a","SectionName":"5","BlockName":"b1","VenaRangeType":8,"DimensionIdStr":"-1","MemberIdStr":"-1","DimensionId":-1,"MemberId":-1,"Inc":""},"_vena_MDYNR_S5_Bb1_b7ba3bf3_64f64756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64f64756","MultiDynamicCollectionID":"b7ba3bf3","SectionName":"5","BlockName":"b1","VenaRangeType":8,"DimensionIdStr":"-1","MemberIdStr":"-1","DimensionId":-1,"MemberId":-1,"Inc":""},"_vena_MDYNR_S5_Bb1_bc94df4_69d89792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69d89792","MultiDynamicCollectionID":"bc94df4","SectionName":"5","BlockName":"b1","VenaRangeType":8,"DimensionIdStr":"-1","MemberIdStr":"-1","DimensionId":-1,"MemberId":-1,"Inc":""},"_vena_MDYNR_S5_Bb1_cf612f0b_544d92e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544d92eb","MultiDynamicCollectionID":"cf612f0b","SectionName":"5","BlockName":"b1","VenaRangeType":8,"DimensionIdStr":"-1","MemberIdStr":"-1","DimensionId":-1,"MemberId":-1,"Inc":""},"_vena_MDYNR_S5_Bb1_e60729d_38c7fa8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38c7fa8f","MultiDynamicCollectionID":"e60729d","SectionName":"5","BlockName":"b1","VenaRangeType":8,"DimensionIdStr":"-1","MemberIdStr":"-1","DimensionId":-1,"MemberId":-1,"Inc":""},"_vena_MDYNR_S5_Bb1_e80d901_74ded23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74ded23b","MultiDynamicCollectionID":"e80d901","SectionName":"5","BlockName":"b1","VenaRangeType":8,"DimensionIdStr":"-1","MemberIdStr":"-1","DimensionId":-1,"MemberId":-1,"Inc":""},"_vena_MDYNR_S5_Bb1_f5f484dc_c077bdd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077bddb","MultiDynamicCollectionID":"f5f484dc","SectionName":"5","BlockName":"b1","VenaRangeType":8,"DimensionIdStr":"-1","MemberIdStr":"-1","DimensionId":-1,"MemberId":-1,"Inc":""},"_vena_MDYNR_S5_Bb1_f64dcead_27340529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27340529","MultiDynamicCollectionID":"f64dcead","SectionName":"5","BlockName":"b1","VenaRangeType":8,"DimensionIdStr":"-1","MemberIdStr":"-1","DimensionId":-1,"MemberId":-1,"Inc":""},"_vena_MDYNR_S5_Bb1_fb646e13_cc9587d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c9587df","MultiDynamicCollectionID":"fb646e13","SectionName":"5","BlockName":"b1","VenaRangeType":8,"DimensionIdStr":"-1","MemberIdStr":"-1","DimensionId":-1,"MemberId":-1,"Inc":""},"_vena_MDYNR_S6_Bb1_156df6bf_ecba946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cba946c","MultiDynamicCollectionID":"156df6bf","SectionName":"6","BlockName":"b1","VenaRangeType":8,"DimensionIdStr":"-1","MemberIdStr":"-1","DimensionId":-1,"MemberId":-1,"Inc":""},"_vena_MDYNR_S6_Bb1_19b8c2ee_5fb8213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fb8213","MultiDynamicCollectionID":"19b8c2ee","SectionName":"6","BlockName":"b1","VenaRangeType":8,"DimensionIdStr":"-1","MemberIdStr":"-1","DimensionId":-1,"MemberId":-1,"Inc":""},"_vena_MDYNR_S6_Bb1_1c0d1915_aeeee52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eeee52c","MultiDynamicCollectionID":"1c0d1915","SectionName":"6","BlockName":"b1","VenaRangeType":8,"DimensionIdStr":"-1","MemberIdStr":"-1","DimensionId":-1,"MemberId":-1,"Inc":""},"_vena_MDYNR_S6_Bb1_2923ceb6_fe96a94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e96a94","MultiDynamicCollectionID":"2923ceb6","SectionName":"6","BlockName":"b1","VenaRangeType":8,"DimensionIdStr":"-1","MemberIdStr":"-1","DimensionId":-1,"MemberId":-1,"Inc":""},"_vena_MDYNR_S6_Bb1_2cf513c4_f69abac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69abac3","MultiDynamicCollectionID":"2cf513c4","SectionName":"6","BlockName":"b1","VenaRangeType":8,"DimensionIdStr":"-1","MemberIdStr":"-1","DimensionId":-1,"MemberId":-1,"Inc":""},"_vena_MDYNR_S6_Bb1_307887a1_ff902668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f902668","MultiDynamicCollectionID":"307887a1","SectionName":"6","BlockName":"b1","VenaRangeType":8,"DimensionIdStr":"-1","MemberIdStr":"-1","DimensionId":-1,"MemberId":-1,"Inc":""},"_vena_MDYNR_S6_Bb1_4f125e0d_6d736bc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d736bcd","MultiDynamicCollectionID":"4f125e0d","SectionName":"6","BlockName":"b1","VenaRangeType":8,"DimensionIdStr":"-1","MemberIdStr":"-1","DimensionId":-1,"MemberId":-1,"Inc":""},"_vena_MDYNR_S6_Bb1_52ca7877_8890532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8890532e","MultiDynamicCollectionID":"52ca7877","SectionName":"6","BlockName":"b1","VenaRangeType":8,"DimensionIdStr":"-1","MemberIdStr":"-1","DimensionId":-1,"MemberId":-1,"Inc":""},"_vena_MDYNR_S6_Bb1_71c63e31_3727c2f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3727c2f2","MultiDynamicCollectionID":"71c63e31","SectionName":"6","BlockName":"b1","VenaRangeType":8,"DimensionIdStr":"-1","MemberIdStr":"-1","DimensionId":-1,"MemberId":-1,"Inc":""},"_vena_MDYNR_S6_Bb1_74405870_eeb28c15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eb28c15","MultiDynamicCollectionID":"74405870","SectionName":"6","BlockName":"b1","VenaRangeType":8,"DimensionIdStr":"-1","MemberIdStr":"-1","DimensionId":-1,"MemberId":-1,"Inc":""},"_vena_MDYNR_S6_Bb1_81e0d8b7_dec71c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ec71cc","MultiDynamicCollectionID":"81e0d8b7","SectionName":"6","BlockName":"b1","VenaRangeType":8,"DimensionIdStr":"-1","MemberIdStr":"-1","DimensionId":-1,"MemberId":-1,"Inc":""},"_vena_MDYNR_S6_Bb1_8964ada4_82126d4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82126d4c","MultiDynamicCollectionID":"8964ada4","SectionName":"6","BlockName":"b1","VenaRangeType":8,"DimensionIdStr":"-1","MemberIdStr":"-1","DimensionId":-1,"MemberId":-1,"Inc":""},"_vena_MDYNR_S6_Bb1_8d74ad2_41ca4b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41ca4b2","MultiDynamicCollectionID":"8d74ad2","SectionName":"6","BlockName":"b1","VenaRangeType":8,"DimensionIdStr":"-1","MemberIdStr":"-1","DimensionId":-1,"MemberId":-1,"Inc":""},"_vena_MDYNR_S6_Bb1_8e9ac198_853ccc98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853ccc98","MultiDynamicCollectionID":"8e9ac198","SectionName":"6","BlockName":"b1","VenaRangeType":8,"DimensionIdStr":"-1","MemberIdStr":"-1","DimensionId":-1,"MemberId":-1,"Inc":""},"_vena_MDYNR_S6_Bb1_a15d8b8_28adb3c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28adb3c2","MultiDynamicCollectionID":"a15d8b8","SectionName":"6","BlockName":"b1","VenaRangeType":8,"DimensionIdStr":"-1","MemberIdStr":"-1","DimensionId":-1,"MemberId":-1,"Inc":""},"_vena_MDYNR_S6_Bb1_a204d652_6635ede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6635eded","MultiDynamicCollectionID":"a204d652","SectionName":"6","BlockName":"b1","VenaRangeType":8,"DimensionIdStr":"-1","MemberIdStr":"-1","DimensionId":-1,"MemberId":-1,"Inc":""},"_vena_MDYNR_S6_Bb1_a53d80dd_accd7902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ccd7902","MultiDynamicCollectionID":"a53d80dd","SectionName":"6","BlockName":"b1","VenaRangeType":8,"DimensionIdStr":"-1","MemberIdStr":"-1","DimensionId":-1,"MemberId":-1,"Inc":""},"_vena_MDYNR_S6_Bb1_acb8f388_1f040aa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f040aab","MultiDynamicCollectionID":"acb8f388","SectionName":"6","BlockName":"b1","VenaRangeType":8,"DimensionIdStr":"-1","MemberIdStr":"-1","DimensionId":-1,"MemberId":-1,"Inc":""},"_vena_MDYNR_S6_Bb1_b59cca20_6f39c3a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f39c3a8","MultiDynamicCollectionID":"b59cca20","SectionName":"6","BlockName":"b1","VenaRangeType":8,"DimensionIdStr":"-1","MemberIdStr":"-1","DimensionId":-1,"MemberId":-1,"Inc":""},"_vena_MDYNR_S6_Bb1_b6432b2a_853ba0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853ba0a","MultiDynamicCollectionID":"b6432b2a","SectionName":"6","BlockName":"b1","VenaRangeType":8,"DimensionIdStr":"-1","MemberIdStr":"-1","DimensionId":-1,"MemberId":-1,"Inc":""},"_vena_MDYNR_S6_Bb1_bc3c453b_75078486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75078486","MultiDynamicCollectionID":"bc3c453b","SectionName":"6","BlockName":"b1","VenaRangeType":8,"DimensionIdStr":"-1","MemberIdStr":"-1","DimensionId":-1,"MemberId":-1,"Inc":""},"_vena_MDYNR_S6_Bb1_dc095f77_f735d8f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735d8fd","MultiDynamicCollectionID":"dc095f77","SectionName":"6","BlockName":"b1","VenaRangeType":8,"DimensionIdStr":"-1","MemberIdStr":"-1","DimensionId":-1,"MemberId":-1,"Inc":""},"_vena_MDYNR_S6_Bb1_df0dbebb_7c7f4ff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c7f4ff2","MultiDynamicCollectionID":"df0dbebb","SectionName":"6","BlockName":"b1","VenaRangeType":8,"DimensionIdStr":"-1","MemberIdStr":"-1","DimensionId":-1,"MemberId":-1,"Inc":""},"_vena_MDYNR_S6_Bb1_e03a8579_47e1485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47e1485","MultiDynamicCollectionID":"e03a8579","SectionName":"6","BlockName":"b1","VenaRangeType":8,"DimensionIdStr":"-1","MemberIdStr":"-1","DimensionId":-1,"MemberId":-1,"Inc":""},"_vena_MDYNR_S6_Bb1_f1e20d00_7acbc233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acbc233","MultiDynamicCollectionID":"f1e20d00","SectionName":"6","BlockName":"b1","VenaRangeType":8,"DimensionIdStr":"-1","MemberIdStr":"-1","DimensionId":-1,"MemberId":-1,"Inc":""},"_vena_MDYNR_S6_Bb1_fe5bd80f_1b2c0ea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b2c0ea4","MultiDynamicCollectionID":"fe5bd80f","SectionName":"6","BlockName":"b1","VenaRangeType":8,"DimensionIdStr":"-1","MemberIdStr":"-1","DimensionId":-1,"MemberId":-1,"Inc":""},"_vena_MDYNR_S7_Bb1_11bf0375_cab12030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ab12030","MultiDynamicCollectionID":"11bf0375","SectionName":"7","BlockName":"b1","VenaRangeType":8,"DimensionIdStr":"-1","MemberIdStr":"-1","DimensionId":-1,"MemberId":-1,"Inc":""},"_vena_MDYNR_S7_Bb1_1a818e3d_97e46d9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97e46d9e","MultiDynamicCollectionID":"1a818e3d","SectionName":"7","BlockName":"b1","VenaRangeType":8,"DimensionIdStr":"-1","MemberIdStr":"-1","DimensionId":-1,"MemberId":-1,"Inc":""},"_vena_MDYNR_S7_Bb1_22c123f6_19882e7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19882e7d","MultiDynamicCollectionID":"22c123f6","SectionName":"7","BlockName":"b1","VenaRangeType":8,"DimensionIdStr":"-1","MemberIdStr":"-1","DimensionId":-1,"MemberId":-1,"Inc":""},"_vena_MDYNR_S7_Bb1_297449d2_9e610ca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e610ca1","MultiDynamicCollectionID":"297449d2","SectionName":"7","BlockName":"b1","VenaRangeType":8,"DimensionIdStr":"-1","MemberIdStr":"-1","DimensionId":-1,"MemberId":-1,"Inc":""},"_vena_MDYNR_S7_Bb1_31c7d286_c95ca373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95ca373","MultiDynamicCollectionID":"31c7d286","SectionName":"7","BlockName":"b1","VenaRangeType":8,"DimensionIdStr":"-1","MemberIdStr":"-1","DimensionId":-1,"MemberId":-1,"Inc":""},"_vena_MDYNR_S7_Bb1_376b624d_30ef4d18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30ef4d18","MultiDynamicCollectionID":"376b624d","SectionName":"7","BlockName":"b1","VenaRangeType":8,"DimensionIdStr":"-1","MemberIdStr":"-1","DimensionId":-1,"MemberId":-1,"Inc":""},"_vena_MDYNR_S7_Bb1_3f0461f_7d36cc49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d36cc49","MultiDynamicCollectionID":"3f0461f","SectionName":"7","BlockName":"b1","VenaRangeType":8,"DimensionIdStr":"-1","MemberIdStr":"-1","DimensionId":-1,"MemberId":-1,"Inc":""},"_vena_MDYNR_S7_Bb1_49d3db81_5ccf64d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ccf64d1","MultiDynamicCollectionID":"49d3db81","SectionName":"7","BlockName":"b1","VenaRangeType":8,"DimensionIdStr":"-1","MemberIdStr":"-1","DimensionId":-1,"MemberId":-1,"Inc":""},"_vena_MDYNR_S7_Bb1_52b1e6cd_de2c5a8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e2c5a8f","MultiDynamicCollectionID":"52b1e6cd","SectionName":"7","BlockName":"b1","VenaRangeType":8,"DimensionIdStr":"-1","MemberIdStr":"-1","DimensionId":-1,"MemberId":-1,"Inc":""},"_vena_MDYNR_S7_Bb1_598d060a_d02cbcf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02cbcfb","MultiDynamicCollectionID":"598d060a","SectionName":"7","BlockName":"b1","VenaRangeType":8,"DimensionIdStr":"-1","MemberIdStr":"-1","DimensionId":-1,"MemberId":-1,"Inc":""},"_vena_MDYNR_S7_Bb1_6b503653_3501809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3501809a","MultiDynamicCollectionID":"6b503653","SectionName":"7","BlockName":"b1","VenaRangeType":8,"DimensionIdStr":"-1","MemberIdStr":"-1","DimensionId":-1,"MemberId":-1,"Inc":""},"_vena_MDYNR_S7_Bb1_70ef63ad_b26e32c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26e32c4","MultiDynamicCollectionID":"70ef63ad","SectionName":"7","BlockName":"b1","VenaRangeType":8,"DimensionIdStr":"-1","MemberIdStr":"-1","DimensionId":-1,"MemberId":-1,"Inc":""},"_vena_MDYNR_S7_Bb1_751d0254_7cd7db86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cd7db86","MultiDynamicCollectionID":"751d0254","SectionName":"7","BlockName":"b1","VenaRangeType":8,"DimensionIdStr":"-1","MemberIdStr":"-1","DimensionId":-1,"MemberId":-1,"Inc":""},"_vena_MDYNR_S7_Bb1_8a3c430b_9b60cb6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b60cb6c","MultiDynamicCollectionID":"8a3c430b","SectionName":"7","BlockName":"b1","VenaRangeType":8,"DimensionIdStr":"-1","MemberIdStr":"-1","DimensionId":-1,"MemberId":-1,"Inc":""},"_vena_MDYNR_S7_Bb1_a337db52_531cd53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531cd53","MultiDynamicCollectionID":"a337db52","SectionName":"7","BlockName":"b1","VenaRangeType":8,"DimensionIdStr":"-1","MemberIdStr":"-1","DimensionId":-1,"MemberId":-1,"Inc":""},"_vena_MDYNR_S7_Bb1_a378672f_a1a3237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1a3237a","MultiDynamicCollectionID":"a378672f","SectionName":"7","BlockName":"b1","VenaRangeType":8,"DimensionIdStr":"-1","MemberIdStr":"-1","DimensionId":-1,"MemberId":-1,"Inc":""},"_vena_MDYNR_S7_Bb1_ac23b846_31a3c29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31a3c29b","MultiDynamicCollectionID":"ac23b846","SectionName":"7","BlockName":"b1","VenaRangeType":8,"DimensionIdStr":"-1","MemberIdStr":"-1","DimensionId":-1,"MemberId":-1,"Inc":""},"_vena_MDYNR_S7_Bb1_b7141aa4_f02e3678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02e3678","MultiDynamicCollectionID":"b7141aa4","SectionName":"7","BlockName":"b1","VenaRangeType":8,"DimensionIdStr":"-1","MemberIdStr":"-1","DimensionId":-1,"MemberId":-1,"Inc":""},"_vena_MDYNR_S7_Bb1_c0282ccf_4cd75877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cd75877","MultiDynamicCollectionID":"c0282ccf","SectionName":"7","BlockName":"b1","VenaRangeType":8,"DimensionIdStr":"-1","MemberIdStr":"-1","DimensionId":-1,"MemberId":-1,"Inc":""},"_vena_MDYNR_S7_Bb1_c639e143_9a94e7c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a94e7ce","MultiDynamicCollectionID":"c639e143","SectionName":"7","BlockName":"b1","VenaRangeType":8,"DimensionIdStr":"-1","MemberIdStr":"-1","DimensionId":-1,"MemberId":-1,"Inc":""},"_vena_MDYNR_S7_Bb1_e1739d1e_9880e9a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9880e9aa","MultiDynamicCollectionID":"e1739d1e","SectionName":"7","BlockName":"b1","VenaRangeType":8,"DimensionIdStr":"-1","MemberIdStr":"-1","DimensionId":-1,"MemberId":-1,"Inc":""},"_vena_MDYNR_S7_Bb1_eeb6f87c_bbe92044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be92044","MultiDynamicCollectionID":"eeb6f87c","SectionName":"7","BlockName":"b1","VenaRangeType":8,"DimensionIdStr":"-1","MemberIdStr":"-1","DimensionId":-1,"MemberId":-1,"Inc":""},"_vena_MDYNR_S7_Bb1_efb0611f_59a5e80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59a5e80c","MultiDynamicCollectionID":"efb0611f","SectionName":"7","BlockName":"b1","VenaRangeType":8,"DimensionIdStr":"-1","MemberIdStr":"-1","DimensionId":-1,"MemberId":-1,"Inc":""},"_vena_MDYNR_S7_Bb1_f07f258b_25e0b281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25e0b281","MultiDynamicCollectionID":"f07f258b","SectionName":"7","BlockName":"b1","VenaRangeType":8,"DimensionIdStr":"-1","MemberIdStr":"-1","DimensionId":-1,"MemberId":-1,"Inc":""},"_vena_MDYNR_S7_Bb1_f5ec9035_18ffff14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18ffff14","MultiDynamicCollectionID":"f5ec9035","SectionName":"7","BlockName":"b1","VenaRangeType":8,"DimensionIdStr":"-1","MemberIdStr":"-1","DimensionId":-1,"MemberId":-1,"Inc":""},"_vena_MDYNR_S7_Bb1_fec63d9b_7afd1e2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afd1e2b","MultiDynamicCollectionID":"fec63d9b","SectionName":"7","BlockName":"b1","VenaRangeType":8,"DimensionIdStr":"-1","MemberIdStr":"-1","DimensionId":-1,"MemberId":-1,"Inc":""},"_vena_MDYNR_S8_Bb1_119ae29b_48c7c3b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48c7c3bb","MultiDynamicCollectionID":"119ae29b","SectionName":"8","BlockName":"b1","VenaRangeType":8,"DimensionIdStr":"-1","MemberIdStr":"-1","DimensionId":-1,"MemberId":-1,"Inc":""},"_vena_MDYNR_S8_Bb1_3c6e9f82_d9103631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9103631","MultiDynamicCollectionID":"3c6e9f82","SectionName":"8","BlockName":"b1","VenaRangeType":8,"DimensionIdStr":"-1","MemberIdStr":"-1","DimensionId":-1,"MemberId":-1,"Inc":""},"_vena_MDYNR_S8_Bb1_458fddd3_b22c52e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22c52ed","MultiDynamicCollectionID":"458fddd3","SectionName":"8","BlockName":"b1","VenaRangeType":8,"DimensionIdStr":"-1","MemberIdStr":"-1","DimensionId":-1,"MemberId":-1,"Inc":""},"_vena_MDYNR_S8_Bb1_6a3d61a5_f522b89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522b89b","MultiDynamicCollectionID":"6a3d61a5","SectionName":"8","BlockName":"b1","VenaRangeType":8,"DimensionIdStr":"-1","MemberIdStr":"-1","DimensionId":-1,"MemberId":-1,"Inc":""},"_vena_MDYNR_S8_Bb1_6ce5f675_eadb83b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adb83b4","MultiDynamicCollectionID":"6ce5f675","SectionName":"8","BlockName":"b1","VenaRangeType":8,"DimensionIdStr":"-1","MemberIdStr":"-1","DimensionId":-1,"MemberId":-1,"Inc":""},"_vena_MDYNR_S8_Bb1_848936e8_7dbb28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dbb28a","MultiDynamicCollectionID":"848936e8","SectionName":"8","BlockName":"b1","VenaRangeType":8,"DimensionIdStr":"-1","MemberIdStr":"-1","DimensionId":-1,"MemberId":-1,"Inc":""},"_vena_MDYNR_S8_Bb1_8b1950a0_8b915887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b915887","MultiDynamicCollectionID":"8b1950a0","SectionName":"8","BlockName":"b1","VenaRangeType":8,"DimensionIdStr":"-1","MemberIdStr":"-1","DimensionId":-1,"MemberId":-1,"Inc":""},"_vena_MDYNR_S8_Bb1_8cf5d03c_a441066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441066","MultiDynamicCollectionID":"8cf5d03c","SectionName":"8","BlockName":"b1","VenaRangeType":8,"DimensionIdStr":"-1","MemberIdStr":"-1","DimensionId":-1,"MemberId":-1,"Inc":""},"_vena_MDYNR_S8_Bb1_8dde94ca_3acc61b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acc61b8","MultiDynamicCollectionID":"8dde94ca","SectionName":"8","BlockName":"b1","VenaRangeType":8,"DimensionIdStr":"-1","MemberIdStr":"-1","DimensionId":-1,"MemberId":-1,"Inc":""},"_vena_MDYNR_S8_Bb1_957e8b7a_c6522320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6522320","MultiDynamicCollectionID":"957e8b7a","SectionName":"8","BlockName":"b1","VenaRangeType":8,"DimensionIdStr":"-1","MemberIdStr":"-1","DimensionId":-1,"MemberId":-1,"Inc":""},"_vena_MDYNR_S8_Bb1_a4a37a19_4ed5ef9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ed5ef9d","MultiDynamicCollectionID":"a4a37a19","SectionName":"8","BlockName":"b1","VenaRangeType":8,"DimensionIdStr":"-1","MemberIdStr":"-1","DimensionId":-1,"MemberId":-1,"Inc":""},"_vena_MDYNR_S8_Bb1_a9787ce8_c46286d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46286d7","MultiDynamicCollectionID":"a9787ce8","SectionName":"8","BlockName":"b1","VenaRangeType":8,"DimensionIdStr":"-1","MemberIdStr":"-1","DimensionId":-1,"MemberId":-1,"Inc":""},"_vena_MDYNR_S8_Bb1_af90a3bb_55f4a087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55f4a087","MultiDynamicCollectionID":"af90a3bb","SectionName":"8","BlockName":"b1","VenaRangeType":8,"DimensionIdStr":"-1","MemberIdStr":"-1","DimensionId":-1,"MemberId":-1,"Inc":""},"_vena_MDYNR_S8_Bb1_b2c17d1c_5bfb0c12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bfb0c12","MultiDynamicCollectionID":"b2c17d1c","SectionName":"8","BlockName":"b1","VenaRangeType":8,"DimensionIdStr":"-1","MemberIdStr":"-1","DimensionId":-1,"MemberId":-1,"Inc":""},"_vena_MDYNR_S8_Bb1_ba7c6004_ea322f5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a322f5e","MultiDynamicCollectionID":"ba7c6004","SectionName":"8","BlockName":"b1","VenaRangeType":8,"DimensionIdStr":"-1","MemberIdStr":"-1","DimensionId":-1,"MemberId":-1,"Inc":""},"_vena_MDYNR_S8_Bb1_bc0c8b94_61f7998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61f7998e","MultiDynamicCollectionID":"bc0c8b94","SectionName":"8","BlockName":"b1","VenaRangeType":8,"DimensionIdStr":"-1","MemberIdStr":"-1","DimensionId":-1,"MemberId":-1,"Inc":""},"_vena_MDYNR_S8_Bb1_bdaa9d84_77c519a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77c519ab","MultiDynamicCollectionID":"bdaa9d84","SectionName":"8","BlockName":"b1","VenaRangeType":8,"DimensionIdStr":"-1","MemberIdStr":"-1","DimensionId":-1,"MemberId":-1,"Inc":""},"_vena_MDYNR_S8_Bb1_c1eda3a_4259e527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4259e527","MultiDynamicCollectionID":"c1eda3a","SectionName":"8","BlockName":"b1","VenaRangeType":8,"DimensionIdStr":"-1","MemberIdStr":"-1","DimensionId":-1,"MemberId":-1,"Inc":""},"_vena_MDYNR_S8_Bb1_e974a4ba_1a2eb0a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a2eb0a8","MultiDynamicCollectionID":"e974a4ba","SectionName":"8","BlockName":"b1","VenaRangeType":8,"DimensionIdStr":"-1","MemberIdStr":"-1","DimensionId":-1,"MemberId":-1,"Inc":""},"_vena_MDYNR_S8_Bb1_ed191b8c_5dd35ca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dd35cad","MultiDynamicCollectionID":"ed191b8c","SectionName":"8","BlockName":"b1","VenaRangeType":8,"DimensionIdStr":"-1","MemberIdStr":"-1","DimensionId":-1,"MemberId":-1,"Inc":""},"_vena_MDYNR_S8_Bb1_ed6b636e_b2f2f4d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2f2f4d6","MultiDynamicCollectionID":"ed6b636e","SectionName":"8","BlockName":"b1","VenaRangeType":8,"DimensionIdStr":"-1","MemberIdStr":"-1","DimensionId":-1,"MemberId":-1,"Inc":""},"_vena_MDYNR_S8_Bb1_eef1a566_a1758847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1758847","MultiDynamicCollectionID":"eef1a566","SectionName":"8","BlockName":"b1","VenaRangeType":8,"DimensionIdStr":"-1","MemberIdStr":"-1","DimensionId":-1,"MemberId":-1,"Inc":""},"_vena_MDYNR_S8_Bb1_ef26e781_40259fa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40259fac","MultiDynamicCollectionID":"ef26e781","SectionName":"8","BlockName":"b1","VenaRangeType":8,"DimensionIdStr":"-1","MemberIdStr":"-1","DimensionId":-1,"MemberId":-1,"Inc":""},"_vena_MDYNR_S8_Bb1_f218fd02_9bef376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bef376e","MultiDynamicCollectionID":"f218fd02","SectionName":"8","BlockName":"b1","VenaRangeType":8,"DimensionIdStr":"-1","MemberIdStr":"-1","DimensionId":-1,"MemberId":-1,"Inc":""},"_vena_MDYNR_S8_Bb1_f2504b47_43a12522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43a12522","MultiDynamicCollectionID":"f2504b47","SectionName":"8","BlockName":"b1","VenaRangeType":8,"DimensionIdStr":"-1","MemberIdStr":"-1","DimensionId":-1,"MemberId":-1,"Inc":""},"_vena_MDYNR_S8_Bb1_f80ce2a_4eeca8e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eeca8ee","MultiDynamicCollectionID":"f80ce2a","SectionName":"8","BlockName":"b1","VenaRangeType":8,"DimensionIdStr":"-1","MemberIdStr":"-1","DimensionId":-1,"MemberId":-1,"Inc":""},"_vena_MDYNR_S9_Bb1_353332c8_8b3aae24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b3aae24","MultiDynamicCollectionID":"353332c8","SectionName":"9","BlockName":"b1","VenaRangeType":8,"DimensionIdStr":"-1","MemberIdStr":"-1","DimensionId":-1,"MemberId":-1,"Inc":""},"_vena_MDYNR_S9_Bb1_3b461360_5678769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5678769f","MultiDynamicCollectionID":"3b461360","SectionName":"9","BlockName":"b1","VenaRangeType":8,"DimensionIdStr":"-1","MemberIdStr":"-1","DimensionId":-1,"MemberId":-1,"Inc":""},"_vena_MDYNR_S9_Bb1_400b00ad_c7deb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7debb","MultiDynamicCollectionID":"400b00ad","SectionName":"9","BlockName":"b1","VenaRangeType":8,"DimensionIdStr":"-1","MemberIdStr":"-1","DimensionId":-1,"MemberId":-1,"Inc":""},"_vena_MDYNR_S9_Bb1_40f6a53e_752fe0e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752fe0ea","MultiDynamicCollectionID":"40f6a53e","SectionName":"9","BlockName":"b1","VenaRangeType":8,"DimensionIdStr":"-1","MemberIdStr":"-1","DimensionId":-1,"MemberId":-1,"Inc":""},"_vena_MDYNR_S9_Bb1_6e2a55d4_f647f7c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647f7c9","MultiDynamicCollectionID":"6e2a55d4","SectionName":"9","BlockName":"b1","VenaRangeType":8,"DimensionIdStr":"-1","MemberIdStr":"-1","DimensionId":-1,"MemberId":-1,"Inc":""},"_vena_MDYNR_S9_Bb1_6ef351e5_2399d28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2399d28a","MultiDynamicCollectionID":"6ef351e5","SectionName":"9","BlockName":"b1","VenaRangeType":8,"DimensionIdStr":"-1","MemberIdStr":"-1","DimensionId":-1,"MemberId":-1,"Inc":""},"_vena_MDYNR_S9_Bb1_6f991c_ec4bc672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c4bc672","MultiDynamicCollectionID":"6f991c","SectionName":"9","BlockName":"b1","VenaRangeType":8,"DimensionIdStr":"-1","MemberIdStr":"-1","DimensionId":-1,"MemberId":-1,"Inc":""},"_vena_MDYNR_S9_Bb1_796ddcb2_c6f659a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6f659ad","MultiDynamicCollectionID":"796ddcb2","SectionName":"9","BlockName":"b1","VenaRangeType":8,"DimensionIdStr":"-1","MemberIdStr":"-1","DimensionId":-1,"MemberId":-1,"Inc":""},"_vena_MDYNR_S9_Bb1_8aa271b1_b1067f7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1067f7c","MultiDynamicCollectionID":"8aa271b1","SectionName":"9","BlockName":"b1","VenaRangeType":8,"DimensionIdStr":"-1","MemberIdStr":"-1","DimensionId":-1,"MemberId":-1,"Inc":""},"_vena_MDYNR_S9_Bb1_996971d7_bef1ce53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ef1ce53","MultiDynamicCollectionID":"996971d7","SectionName":"9","BlockName":"b1","VenaRangeType":8,"DimensionIdStr":"-1","MemberIdStr":"-1","DimensionId":-1,"MemberId":-1,"Inc":""},"_vena_MDYNR_S9_Bb1_9cf7c5f0_e8b80eb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8b80eb9","MultiDynamicCollectionID":"9cf7c5f0","SectionName":"9","BlockName":"b1","VenaRangeType":8,"DimensionIdStr":"-1","MemberIdStr":"-1","DimensionId":-1,"MemberId":-1,"Inc":""},"_vena_MDYNR_S9_Bb1_a654cd47_9bb1f031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bb1f031","MultiDynamicCollectionID":"a654cd47","SectionName":"9","BlockName":"b1","VenaRangeType":8,"DimensionIdStr":"-1","MemberIdStr":"-1","DimensionId":-1,"MemberId":-1,"Inc":""},"_vena_MDYNR_S9_Bb1_a831feef_4b744cb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b744cb4","MultiDynamicCollectionID":"a831feef","SectionName":"9","BlockName":"b1","VenaRangeType":8,"DimensionIdStr":"-1","MemberIdStr":"-1","DimensionId":-1,"MemberId":-1,"Inc":""},"_vena_MDYNR_S9_Bb1_b4533dd3_f621e3b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621e3bb","MultiDynamicCollectionID":"b4533dd3","SectionName":"9","BlockName":"b1","VenaRangeType":8,"DimensionIdStr":"-1","MemberIdStr":"-1","DimensionId":-1,"MemberId":-1,"Inc":""},"_vena_MDYNR_S9_Bb1_b7e0679d_d2d0892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2d0892a","MultiDynamicCollectionID":"b7e0679d","SectionName":"9","BlockName":"b1","VenaRangeType":8,"DimensionIdStr":"-1","MemberIdStr":"-1","DimensionId":-1,"MemberId":-1,"Inc":""},"_vena_MDYNR_S9_Bb1_b9c3e00b_377291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377291a","MultiDynamicCollectionID":"b9c3e00b","SectionName":"9","BlockName":"b1","VenaRangeType":8,"DimensionIdStr":"-1","MemberIdStr":"-1","DimensionId":-1,"MemberId":-1,"Inc":""},"_vena_MDYNR_S9_Bb1_be7cd5aa_2286b8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2286b8b","MultiDynamicCollectionID":"be7cd5aa","SectionName":"9","BlockName":"b1","VenaRangeType":8,"DimensionIdStr":"-1","MemberIdStr":"-1","DimensionId":-1,"MemberId":-1,"Inc":""},"_vena_MDYNR_S9_Bb1_bfc792d1_d6f2faa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6f2faa4","MultiDynamicCollectionID":"bfc792d1","SectionName":"9","BlockName":"b1","VenaRangeType":8,"DimensionIdStr":"-1","MemberIdStr":"-1","DimensionId":-1,"MemberId":-1,"Inc":""},"_vena_MDYNR_S9_Bb1_c782351a_2459603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2459603b","MultiDynamicCollectionID":"c782351a","SectionName":"9","BlockName":"b1","VenaRangeType":8,"DimensionIdStr":"-1","MemberIdStr":"-1","DimensionId":-1,"MemberId":-1,"Inc":""},"_vena_MDYNR_S9_Bb1_ca5e8fbe_79538224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79538224","MultiDynamicCollectionID":"ca5e8fbe","SectionName":"9","BlockName":"b1","VenaRangeType":8,"DimensionIdStr":"-1","MemberIdStr":"-1","DimensionId":-1,"MemberId":-1,"Inc":""},"_vena_MDYNR_S9_Bb1_d4a9bae4_820169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820169d","MultiDynamicCollectionID":"d4a9bae4","SectionName":"9","BlockName":"b1","VenaRangeType":8,"DimensionIdStr":"-1","MemberIdStr":"-1","DimensionId":-1,"MemberId":-1,"Inc":""},"_vena_MDYNR_S9_Bb1_d7d74246_249e02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249e02","MultiDynamicCollectionID":"d7d74246","SectionName":"9","BlockName":"b1","VenaRangeType":8,"DimensionIdStr":"-1","MemberIdStr":"-1","DimensionId":-1,"MemberId":-1,"Inc":""},"_vena_MDYNR_S9_Bb1_ee947509_d4ab246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4ab246a","MultiDynamicCollectionID":"ee947509","SectionName":"9","BlockName":"b1","VenaRangeType":8,"DimensionIdStr":"-1","MemberIdStr":"-1","DimensionId":-1,"MemberId":-1,"Inc":""},"_vena_MDYNR_S9_Bb1_f109a092_a4a4a7d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4a4a7d4","MultiDynamicCollectionID":"f109a092","SectionName":"9","BlockName":"b1","VenaRangeType":8,"DimensionIdStr":"-1","MemberIdStr":"-1","DimensionId":-1,"MemberId":-1,"Inc":""},"_vena_MDYNR_S9_Bb1_f8d4a74d_9576ad9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9576ad9f","MultiDynamicCollectionID":"f8d4a74d","SectionName":"9","BlockName":"b1","VenaRangeType":8,"DimensionIdStr":"-1","MemberIdStr":"-1","DimensionId":-1,"MemberId":-1,"Inc":""},"_vena_MDYNR_S9_Bb1_ffc4b79d_abf3e17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bf3e17e","MultiDynamicCollectionID":"ffc4b79d","SectionName":"9","BlockName":"b1","VenaRangeType":8,"DimensionIdStr":"-1","MemberIdStr":"-1","DimensionId":-1,"MemberId":-1,"Inc":""},"_vena_MDYNR_Scons1_Bb1_152e0fe9_c1eb63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1eb63c","MultiDynamicCollectionID":"152e0fe9","SectionName":"cons1","BlockName":"b1","VenaRangeType":8,"DimensionIdStr":"-1","MemberIdStr":"-1","DimensionId":-1,"MemberId":-1,"Inc":""},"_vena_MDYNR_Scons1_Bb1_24baa24a_5521d30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5521d30","MultiDynamicCollectionID":"24baa24a","SectionName":"cons1","BlockName":"b1","VenaRangeType":8,"DimensionIdStr":"-1","MemberIdStr":"-1","DimensionId":-1,"MemberId":-1,"Inc":""},"_vena_MDYNR_Scons1_Bb1_4897a0f7_c3f975b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3f975bc","MultiDynamicCollectionID":"4897a0f7","SectionName":"cons1","BlockName":"b1","VenaRangeType":8,"DimensionIdStr":"-1","MemberIdStr":"-1","DimensionId":-1,"MemberId":-1,"Inc":""},"_vena_MDYNR_Scons1_Bb1_5653141f_5fe3fba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fe3fba5","MultiDynamicCollectionID":"5653141f","SectionName":"cons1","BlockName":"b1","VenaRangeType":8,"DimensionIdStr":"-1","MemberIdStr":"-1","DimensionId":-1,"MemberId":-1,"Inc":""},"_vena_MDYNR_Scons1_Bb1_6511f329_7536d767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7536d767","MultiDynamicCollectionID":"6511f329","SectionName":"cons1","BlockName":"b1","VenaRangeType":8,"DimensionIdStr":"-1","MemberIdStr":"-1","DimensionId":-1,"MemberId":-1,"Inc":""},"_vena_MDYNR_Scons1_Bb1_6fe90d10_52455f20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52455f20","MultiDynamicCollectionID":"6fe90d10","SectionName":"cons1","BlockName":"b1","VenaRangeType":8,"DimensionIdStr":"-1","MemberIdStr":"-1","DimensionId":-1,"MemberId":-1,"Inc":""},"_vena_MDYNR_Scons1_Bb1_70574978_a3cba05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3cba05","MultiDynamicCollectionID":"70574978","SectionName":"cons1","BlockName":"b1","VenaRangeType":8,"DimensionIdStr":"-1","MemberIdStr":"-1","DimensionId":-1,"MemberId":-1,"Inc":""},"_vena_MDYNR_Scons1_Bb1_72482f67_a6be0e2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6be0e2e","MultiDynamicCollectionID":"72482f67","SectionName":"cons1","BlockName":"b1","VenaRangeType":8,"DimensionIdStr":"-1","MemberIdStr":"-1","DimensionId":-1,"MemberId":-1,"Inc":""},"_vena_MDYNR_Scons1_Bb1_7474b927_4cf3ebf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cf3ebf6","MultiDynamicCollectionID":"7474b927","SectionName":"cons1","BlockName":"b1","VenaRangeType":8,"DimensionIdStr":"-1","MemberIdStr":"-1","DimensionId":-1,"MemberId":-1,"Inc":""},"_vena_MDYNR_Scons1_Bb1_8b9b4b19_c47a0e42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47a0e42","MultiDynamicCollectionID":"8b9b4b19","SectionName":"cons1","BlockName":"b1","VenaRangeType":8,"DimensionIdStr":"-1","MemberIdStr":"-1","DimensionId":-1,"MemberId":-1,"Inc":""},"_vena_MDYNR_Scons1_Bb1_93db5fc6_ae71cef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e71cef0","MultiDynamicCollectionID":"93db5fc6","SectionName":"cons1","BlockName":"b1","VenaRangeType":8,"DimensionIdStr":"-1","MemberIdStr":"-1","DimensionId":-1,"MemberId":-1,"Inc":""},"_vena_MDYNR_Scons1_Bb1_9f3491e9_bb4575a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b4575a4","MultiDynamicCollectionID":"9f3491e9","SectionName":"cons1","BlockName":"b1","VenaRangeType":8,"DimensionIdStr":"-1","MemberIdStr":"-1","DimensionId":-1,"MemberId":-1,"Inc":""},"_vena_MDYNR_Scons1_Bb1_a25cce90_742b7200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742b7200","MultiDynamicCollectionID":"a25cce90","SectionName":"cons1","BlockName":"b1","VenaRangeType":8,"DimensionIdStr":"-1","MemberIdStr":"-1","DimensionId":-1,"MemberId":-1,"Inc":""},"_vena_MDYNR_Scons1_Bb1_a66cc10b_11abce1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11abce1b","MultiDynamicCollectionID":"a66cc10b","SectionName":"cons1","BlockName":"b1","VenaRangeType":8,"DimensionIdStr":"-1","MemberIdStr":"-1","DimensionId":-1,"MemberId":-1,"Inc":""},"_vena_MDYNR_Scons1_Bb1_af0b3467_d1bc062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1bc062","MultiDynamicCollectionID":"af0b3467","SectionName":"cons1","BlockName":"b1","VenaRangeType":8,"DimensionIdStr":"-1","MemberIdStr":"-1","DimensionId":-1,"MemberId":-1,"Inc":""},"_vena_MDYNR_Scons1_Bb1_b159e66f_e4e89c9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4e89c9f","MultiDynamicCollectionID":"b159e66f","SectionName":"cons1","BlockName":"b1","VenaRangeType":8,"DimensionIdStr":"-1","MemberIdStr":"-1","DimensionId":-1,"MemberId":-1,"Inc":""},"_vena_MDYNR_Scons1_Bb1_b3f12393_f4a422a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4a422af","MultiDynamicCollectionID":"b3f12393","SectionName":"cons1","BlockName":"b1","VenaRangeType":8,"DimensionIdStr":"-1","MemberIdStr":"-1","DimensionId":-1,"MemberId":-1,"Inc":""},"_vena_MDYNR_Scons1_Bb1_b621738_16f09a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16f09a32","MultiDynamicCollectionID":"b621738","SectionName":"cons1","BlockName":"b1","VenaRangeType":8,"DimensionIdStr":"-1","MemberIdStr":"-1","DimensionId":-1,"MemberId":-1,"Inc":""},"_vena_MDYNR_Scons1_Bb1_b81757f_5f9c2f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f9c2f0","MultiDynamicCollectionID":"b81757f","SectionName":"cons1","BlockName":"b1","VenaRangeType":8,"DimensionIdStr":"-1","MemberIdStr":"-1","DimensionId":-1,"MemberId":-1,"Inc":""},"_vena_MDYNR_Scons1_Bb1_cf037229_ce045e7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e045e7e","MultiDynamicCollectionID":"cf037229","SectionName":"cons1","BlockName":"b1","VenaRangeType":8,"DimensionIdStr":"-1","MemberIdStr":"-1","DimensionId":-1,"MemberId":-1,"Inc":""},"_vena_MDYNR_Scons1_Bb1_d0e9f448_9809da1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9809da1c","MultiDynamicCollectionID":"d0e9f448","SectionName":"cons1","BlockName":"b1","VenaRangeType":8,"DimensionIdStr":"-1","MemberIdStr":"-1","DimensionId":-1,"MemberId":-1,"Inc":""},"_vena_MDYNR_Scons1_Bb1_d940a9c1_608e595a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608e595a","MultiDynamicCollectionID":"d940a9c1","SectionName":"cons1","BlockName":"b1","VenaRangeType":8,"DimensionIdStr":"-1","MemberIdStr":"-1","DimensionId":-1,"MemberId":-1,"Inc":""},"_vena_MDYNR_Scons1_Bb1_d9fcf8c2_949e0c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949e0c96","MultiDynamicCollectionID":"d9fcf8c2","SectionName":"cons1","BlockName":"b1","VenaRangeType":8,"DimensionIdStr":"-1","MemberIdStr":"-1","DimensionId":-1,"MemberId":-1,"Inc":""},"_vena_MDYNR_Scons1_Bb1_e3d1c033_958967e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958967e4","MultiDynamicCollectionID":"e3d1c033","SectionName":"cons1","BlockName":"b1","VenaRangeType":8,"DimensionIdStr":"-1","MemberIdStr":"-1","DimensionId":-1,"MemberId":-1,"Inc":""},"_vena_MDYNR_Scons1_Bb1_f3b1b09_5d69376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d69376","MultiDynamicCollectionID":"f3b1b09","SectionName":"cons1","BlockName":"b1","VenaRangeType":8,"DimensionIdStr":"-1","MemberIdStr":"-1","DimensionId":-1,"MemberId":-1,"Inc":""},"_vena_MDYNR_Scons1_Bb1_f4a5d13e_cbc8d129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bc8d129","MultiDynamicCollectionID":"f4a5d13e","SectionName":"cons1","BlockName":"b1","VenaRangeType":8,"DimensionIdStr":"-1","MemberIdStr":"-1","DimensionId":-1,"MemberId":-1,"Inc":""},"_vena_MDYNR_Scons2_Bb1_16c4319_76ccd3b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76ccd3bc","MultiDynamicCollectionID":"16c4319","SectionName":"cons2","BlockName":"b1","VenaRangeType":8,"DimensionIdStr":"-1","MemberIdStr":"-1","DimensionId":-1,"MemberId":-1,"Inc":""},"_vena_MDYNR_Scons2_Bb1_187ee5f5_9f39dfb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f39dfbb","MultiDynamicCollectionID":"187ee5f5","SectionName":"cons2","BlockName":"b1","VenaRangeType":8,"DimensionIdStr":"-1","MemberIdStr":"-1","DimensionId":-1,"MemberId":-1,"Inc":""},"_vena_MDYNR_Scons2_Bb1_1a04a965_c0b28ac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0b28ac3","MultiDynamicCollectionID":"1a04a965","SectionName":"cons2","BlockName":"b1","VenaRangeType":8,"DimensionIdStr":"-1","MemberIdStr":"-1","DimensionId":-1,"MemberId":-1,"Inc":""},"_vena_MDYNR_Scons2_Bb1_1bd45b56_288b6ec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288b6ecb","MultiDynamicCollectionID":"1bd45b56","SectionName":"cons2","BlockName":"b1","VenaRangeType":8,"DimensionIdStr":"-1","MemberIdStr":"-1","DimensionId":-1,"MemberId":-1,"Inc":""},"_vena_MDYNR_Scons2_Bb1_1d427035_62b33990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62b33990","MultiDynamicCollectionID":"1d427035","SectionName":"cons2","BlockName":"b1","VenaRangeType":8,"DimensionIdStr":"-1","MemberIdStr":"-1","DimensionId":-1,"MemberId":-1,"Inc":""},"_vena_MDYNR_Scons2_Bb1_3e942bd0_d3facb5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3facb5c","MultiDynamicCollectionID":"3e942bd0","SectionName":"cons2","BlockName":"b1","VenaRangeType":8,"DimensionIdStr":"-1","MemberIdStr":"-1","DimensionId":-1,"MemberId":-1,"Inc":""},"_vena_MDYNR_Scons2_Bb1_42ac221_645d81e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645d81e7","MultiDynamicCollectionID":"42ac221","SectionName":"cons2","BlockName":"b1","VenaRangeType":8,"DimensionIdStr":"-1","MemberIdStr":"-1","DimensionId":-1,"MemberId":-1,"Inc":""},"_vena_MDYNR_Scons2_Bb1_440e71cd_c09ae3c3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09ae3c3","MultiDynamicCollectionID":"440e71cd","SectionName":"cons2","BlockName":"b1","VenaRangeType":8,"DimensionIdStr":"-1","MemberIdStr":"-1","DimensionId":-1,"MemberId":-1,"Inc":""},"_vena_MDYNR_Scons2_Bb1_451c03a4_d0d9f2c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0d9f2cc","MultiDynamicCollectionID":"451c03a4","SectionName":"cons2","BlockName":"b1","VenaRangeType":8,"DimensionIdStr":"-1","MemberIdStr":"-1","DimensionId":-1,"MemberId":-1,"Inc":""},"_vena_MDYNR_Scons2_Bb1_4ca1d102_4658c33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4658c33f","MultiDynamicCollectionID":"4ca1d102","SectionName":"cons2","BlockName":"b1","VenaRangeType":8,"DimensionIdStr":"-1","MemberIdStr":"-1","DimensionId":-1,"MemberId":-1,"Inc":""},"_vena_MDYNR_Scons2_Bb1_4cb78f11_8fa62887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fa62887","MultiDynamicCollectionID":"4cb78f11","SectionName":"cons2","BlockName":"b1","VenaRangeType":8,"DimensionIdStr":"-1","MemberIdStr":"-1","DimensionId":-1,"MemberId":-1,"Inc":""},"_vena_MDYNR_Scons2_Bb1_4f2353c0_c6aebe6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6aebe6c","MultiDynamicCollectionID":"4f2353c0","SectionName":"cons2","BlockName":"b1","VenaRangeType":8,"DimensionIdStr":"-1","MemberIdStr":"-1","DimensionId":-1,"MemberId":-1,"Inc":""},"_vena_MDYNR_Scons2_Bb1_68284711_4fd3c2c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fd3c2c4","MultiDynamicCollectionID":"68284711","SectionName":"cons2","BlockName":"b1","VenaRangeType":8,"DimensionIdStr":"-1","MemberIdStr":"-1","DimensionId":-1,"MemberId":-1,"Inc":""},"_vena_MDYNR_Scons2_Bb1_69a526f7_37bab7e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37bab7e0","MultiDynamicCollectionID":"69a526f7","SectionName":"cons2","BlockName":"b1","VenaRangeType":8,"DimensionIdStr":"-1","MemberIdStr":"-1","DimensionId":-1,"MemberId":-1,"Inc":""},"_vena_MDYNR_Scons2_Bb1_6edfa628_9edb2f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edb2f80","MultiDynamicCollectionID":"6edfa628","SectionName":"cons2","BlockName":"b1","VenaRangeType":8,"DimensionIdStr":"-1","MemberIdStr":"-1","DimensionId":-1,"MemberId":-1,"Inc":""},"_vena_MDYNR_Scons2_Bb1_80fcfed1_1fc4b66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fc4b66","MultiDynamicCollectionID":"80fcfed1","SectionName":"cons2","BlockName":"b1","VenaRangeType":8,"DimensionIdStr":"-1","MemberIdStr":"-1","DimensionId":-1,"MemberId":-1,"Inc":""},"_vena_MDYNR_Scons2_Bb1_9fd7dcb3_1f24f13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1f24f13d","MultiDynamicCollectionID":"9fd7dcb3","SectionName":"cons2","BlockName":"b1","VenaRangeType":8,"DimensionIdStr":"-1","MemberIdStr":"-1","DimensionId":-1,"MemberId":-1,"Inc":""},"_vena_MDYNR_Scons2_Bb1_a9d1237c_a7acb7a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7acb7a7","MultiDynamicCollectionID":"a9d1237c","SectionName":"cons2","BlockName":"b1","VenaRangeType":8,"DimensionIdStr":"-1","MemberIdStr":"-1","DimensionId":-1,"MemberId":-1,"Inc":""},"_vena_MDYNR_Scons2_Bb1_b36c8305_cd1f8c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d1f8cf","MultiDynamicCollectionID":"b36c8305","SectionName":"cons2","BlockName":"b1","VenaRangeType":8,"DimensionIdStr":"-1","MemberIdStr":"-1","DimensionId":-1,"MemberId":-1,"Inc":""},"_vena_MDYNR_Scons2_Bb1_bd5499ea_4b11297b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b11297b","MultiDynamicCollectionID":"bd5499ea","SectionName":"cons2","BlockName":"b1","VenaRangeType":8,"DimensionIdStr":"-1","MemberIdStr":"-1","DimensionId":-1,"MemberId":-1,"Inc":""},"_vena_MDYNR_Scons2_Bb1_c826a44e_f12c954c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12c954c","MultiDynamicCollectionID":"c826a44e","SectionName":"cons2","BlockName":"b1","VenaRangeType":8,"DimensionIdStr":"-1","MemberIdStr":"-1","DimensionId":-1,"MemberId":-1,"Inc":""},"_vena_MDYNR_Scons2_Bb1_cf86b932_a75bbf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75bbfe","MultiDynamicCollectionID":"cf86b932","SectionName":"cons2","BlockName":"b1","VenaRangeType":8,"DimensionIdStr":"-1","MemberIdStr":"-1","DimensionId":-1,"MemberId":-1,"Inc":""},"_vena_MDYNR_Scons2_Bb1_d064c968_f2d71237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f2d71237","MultiDynamicCollectionID":"d064c968","SectionName":"cons2","BlockName":"b1","VenaRangeType":8,"DimensionIdStr":"-1","MemberIdStr":"-1","DimensionId":-1,"MemberId":-1,"Inc":""},"_vena_MDYNR_Scons2_Bb1_d4ecd655_9d45526e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d45526e","MultiDynamicCollectionID":"d4ecd655","SectionName":"cons2","BlockName":"b1","VenaRangeType":8,"DimensionIdStr":"-1","MemberIdStr":"-1","DimensionId":-1,"MemberId":-1,"Inc":""},"_vena_MDYNR_Scons2_Bb1_e240bc9c_933c587f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933c587f","MultiDynamicCollectionID":"e240bc9c","SectionName":"cons2","BlockName":"b1","VenaRangeType":8,"DimensionIdStr":"-1","MemberIdStr":"-1","DimensionId":-1,"MemberId":-1,"Inc":""},"_vena_MDYNR_Scons2_Bb1_e5a1fc0a_5ebeffd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ebeffd5","MultiDynamicCollectionID":"e5a1fc0a","SectionName":"cons2","BlockName":"b1","VenaRangeType":8,"DimensionIdStr":"-1","MemberIdStr":"-1","DimensionId":-1,"MemberId":-1,"Inc":""},"_vena_MDYNR_Stest1_BB1_1b5d3d40_bf947731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bf947731","MultiDynamicCollectionID":"1b5d3d40","SectionName":"test1","BlockName":"B1","VenaRangeType":8,"DimensionIdStr":"-1","MemberIdStr":"-1","DimensionId":-1,"MemberId":-1,"Inc":""},"_vena_MDYNR_Stest1_BB1_368b3bbd_8a2e3629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8a2e3629","MultiDynamicCollectionID":"368b3bbd","SectionName":"test1","BlockName":"B1","VenaRangeType":8,"DimensionIdStr":"-1","MemberIdStr":"-1","DimensionId":-1,"MemberId":-1,"Inc":""},"_vena_MDYNR_Stest1_BB1_4156010c_a49ccb10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a49ccb10","MultiDynamicCollectionID":"4156010c","SectionName":"test1","BlockName":"B1","VenaRangeType":8,"DimensionIdStr":"-1","MemberIdStr":"-1","DimensionId":-1,"MemberId":-1,"Inc":""},"_vena_MDYNR_Stest1_BB1_4184969c_c93f5df4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c93f5df4","MultiDynamicCollectionID":"4184969c","SectionName":"test1","BlockName":"B1","VenaRangeType":8,"DimensionIdStr":"-1","MemberIdStr":"-1","DimensionId":-1,"MemberId":-1,"Inc":""},"_vena_MDYNR_Stest1_BB1_41ee03e0_4ff04570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4ff04570","MultiDynamicCollectionID":"41ee03e0","SectionName":"test1","BlockName":"B1","VenaRangeType":8,"DimensionIdStr":"-1","MemberIdStr":"-1","DimensionId":-1,"MemberId":-1,"Inc":""},"_vena_MDYNR_Stest1_BB1_616de4db_5295d267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5295d267","MultiDynamicCollectionID":"616de4db","SectionName":"test1","BlockName":"B1","VenaRangeType":8,"DimensionIdStr":"-1","MemberIdStr":"-1","DimensionId":-1,"MemberId":-1,"Inc":""},"_vena_MDYNR_Stest1_BB1_744c0f41_e5e31590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e5e31590","MultiDynamicCollectionID":"744c0f41","SectionName":"test1","BlockName":"B1","VenaRangeType":8,"DimensionIdStr":"-1","MemberIdStr":"-1","DimensionId":-1,"MemberId":-1,"Inc":""},"_vena_MDYNR_Stest1_BB1_8801e76d_dd2c63ad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dd2c63ad","MultiDynamicCollectionID":"8801e76d","SectionName":"test1","BlockName":"B1","VenaRangeType":8,"DimensionIdStr":"-1","MemberIdStr":"-1","DimensionId":-1,"MemberId":-1,"Inc":""},"_vena_MDYNR_Stest1_BB1_94cf46d0_5913b575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true,"MultiDynamicRangeID":"5913b575","MultiDynamicCollectionID":"94cf46d0","SectionName":"test1","BlockName":"B1","VenaRangeType":8,"DimensionIdStr":"-1","MemberIdStr":"-1","DimensionId":-1,"MemberId":-1,"Inc":""},"_vena_test1_B1_C_FV_134399665b374008851e5b8c04b5ee44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"},"_vena_test1_B1_C_FV_134399665b374008851e5b8c04b5ee44_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1"},"_vena_test1_B1_C_FV_134399665b374008851e5b8c04b5ee44_10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10"},"_vena_test1_B1_C_FV_134399665b374008851e5b8c04b5ee44_11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11"},"_vena_test1_B1_C_FV_134399665b374008851e5b8c04b5ee44_12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12"},"_vena_test1_B1_C_FV_134399665b374008851e5b8c04b5ee44_13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13"},"_vena_test1_B1_C_FV_134399665b374008851e5b8c04b5ee44_2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2"},"_vena_test1_B1_C_FV_134399665b374008851e5b8c04b5ee44_3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3"},"_vena_test1_B1_C_FV_134399665b374008851e5b8c04b5ee44_4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4"},"_vena_test1_B1_C_FV_134399665b374008851e5b8c04b5ee44_5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5"},"_vena_test1_B1_C_FV_134399665b374008851e5b8c04b5ee44_6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6"},"_vena_test1_B1_C_FV_134399665b374008851e5b8c04b5ee44_7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7"},"_vena_test1_B1_C_FV_134399665b374008851e5b8c04b5ee44_8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8"},"_vena_test1_B1_C_FV_134399665b374008851e5b8c04b5ee44_9":{"SourceGlobalVariableId":-1,"SourceFormVariableId":"13439966-5b37-4008-851e-5b8c04b5ee44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134399665b374008851e5b8c04b5ee44","DimensionId":-1,"MemberId":-1,"Inc":"9"},"_vena_test1_B1_C_FV_7cc8369c0b744816a17486bee792b4d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"},"_vena_test1_B1_C_FV_7cc8369c0b744816a17486bee792b4d5_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1"},"_vena_test1_B1_C_FV_7cc8369c0b744816a17486bee792b4d5_10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10"},"_vena_test1_B1_C_FV_7cc8369c0b744816a17486bee792b4d5_11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11"},"_vena_test1_B1_C_FV_7cc8369c0b744816a17486bee792b4d5_12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12"},"_vena_test1_B1_C_FV_7cc8369c0b744816a17486bee792b4d5_13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13"},"_vena_test1_B1_C_FV_7cc8369c0b744816a17486bee792b4d5_2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2"},"_vena_test1_B1_C_FV_7cc8369c0b744816a17486bee792b4d5_3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3"},"_vena_test1_B1_C_FV_7cc8369c0b744816a17486bee792b4d5_4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4"},"_vena_test1_B1_C_FV_7cc8369c0b744816a17486bee792b4d5_5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5"},"_vena_test1_B1_C_FV_7cc8369c0b744816a17486bee792b4d5_6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6"},"_vena_test1_B1_C_FV_7cc8369c0b744816a17486bee792b4d5_7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7"},"_vena_test1_B1_C_FV_7cc8369c0b744816a17486bee792b4d5_8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8"},"_vena_test1_B1_C_FV_7cc8369c0b744816a17486bee792b4d5_9":{"SourceGlobalVariableId":-1,"SourceFormVariableId":"7cc8369c-0b74-4816-a174-86bee792b4d5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7cc8369c0b744816a17486bee792b4d5","DimensionId":-1,"MemberId":-1,"Inc":"9"},"_vena_test1_B1_C_FV_f4ddf33ff6224574ba096b1a5435ea67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"},"_vena_test1_B1_C_FV_f4ddf33ff6224574ba096b1a5435ea67_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1"},"_vena_test1_B1_C_FV_f4ddf33ff6224574ba096b1a5435ea67_10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10"},"_vena_test1_B1_C_FV_f4ddf33ff6224574ba096b1a5435ea67_11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11"},"_vena_test1_B1_C_FV_f4ddf33ff6224574ba096b1a5435ea67_12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12"},"_vena_test1_B1_C_FV_f4ddf33ff6224574ba096b1a5435ea67_13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13"},"_vena_test1_B1_C_FV_f4ddf33ff6224574ba096b1a5435ea67_2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2"},"_vena_test1_B1_C_FV_f4ddf33ff6224574ba096b1a5435ea67_3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3"},"_vena_test1_B1_C_FV_f4ddf33ff6224574ba096b1a5435ea67_4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4"},"_vena_test1_B1_C_FV_f4ddf33ff6224574ba096b1a5435ea67_5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5"},"_vena_test1_B1_C_FV_f4ddf33ff6224574ba096b1a5435ea67_6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6"},"_vena_test1_B1_C_FV_f4ddf33ff6224574ba096b1a5435ea67_7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7"},"_vena_test1_B1_C_FV_f4ddf33ff6224574ba096b1a5435ea67_8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8"},"_vena_test1_B1_C_FV_f4ddf33ff6224574ba096b1a5435ea67_9":{"SourceGlobalVariableId":-1,"SourceFormVariableId":"f4ddf33f-f622-4574-ba09-6b1a5435ea67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2,"DimensionIdStr":"FV","MemberIdStr":"f4ddf33ff6224574ba096b1a5435ea67","DimensionId":-1,"MemberId":-1,"Inc":"9"},"_vena_test1_B1_R_1_651631427951788032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1","MemberIdStr":"651631427951788032","DimensionId":1,"MemberId":651631427951788032,"Inc":""},"_vena_test1_B1_R_1_691119840308494336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1","MemberIdStr":"691119840308494336","DimensionId":1,"MemberId":691119840308494336,"Inc":""},"_vena_test1_B1_R_FV_385b1d086d8a4b8abf43c04eedb00d88_1b5d3d40.bf947731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FV","MemberIdStr":"385b1d086d8a4b8abf43c04eedb00d88","DimensionId":-1,"MemberId":-1,"Inc":"1b5d3d40.bf947731"},"_vena_test1_B1_R_FV_385b1d086d8a4b8abf43c04eedb00d88_368b3bbd.8a2e3629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FV","MemberIdStr":"385b1d086d8a4b8abf43c04eedb00d88","DimensionId":-1,"MemberId":-1,"Inc":"368b3bbd.8a2e3629"},"_vena_test1_B1_R_FV_385b1d086d8a4b8abf43c04eedb00d88_4156010c.a49ccb10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FV","MemberIdStr":"385b1d086d8a4b8abf43c04eedb00d88","DimensionId":-1,"MemberId":-1,"Inc":"4156010c.a49ccb10"},"_vena_test1_B1_R_FV_385b1d086d8a4b8abf43c04eedb00d88_4184969c.c93f5df4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FV","MemberIdStr":"385b1d086d8a4b8abf43c04eedb00d88","DimensionId":-1,"MemberId":-1,"Inc":"4184969c.c93f5df4"},"_vena_test1_B1_R_FV_385b1d086d8a4b8abf43c04eedb00d88_41ee03e0.4ff04570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FV","MemberIdStr":"385b1d086d8a4b8abf43c04eedb00d88","DimensionId":-1,"MemberId":-1,"Inc":"41ee03e0.4ff04570"},"_vena_test1_B1_R_FV_385b1d086d8a4b8abf43c04eedb00d88_616de4db.5295d267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FV","MemberIdStr":"385b1d086d8a4b8abf43c04eedb00d88","DimensionId":-1,"MemberId":-1,"Inc":"616de4db.5295d267"},"_vena_test1_B1_R_FV_385b1d086d8a4b8abf43c04eedb00d88_744c0f41.e5e31590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FV","MemberIdStr":"385b1d086d8a4b8abf43c04eedb00d88","DimensionId":-1,"MemberId":-1,"Inc":"744c0f41.e5e31590"},"_vena_test1_B1_R_FV_385b1d086d8a4b8abf43c04eedb00d88_8801e76d.dd2c63ad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FV","MemberIdStr":"385b1d086d8a4b8abf43c04eedb00d88","DimensionId":-1,"MemberId":-1,"Inc":"8801e76d.dd2c63ad"},"_vena_test1_B1_R_FV_385b1d086d8a4b8abf43c04eedb00d88_94cf46d0.5913b575":{"SourceGlobalVariableId":-1,"SourceFormVariableId":"385b1d08-6d8a-4b8a-bf43-c04eedb00d88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B1","VenaRangeType":1,"DimensionIdStr":"FV","MemberIdStr":"385b1d086d8a4b8abf43c04eedb00d88","DimensionId":-1,"MemberId":-1,"Inc":"94cf46d0.5913b575"},"_vena_test1_P_11_651631431944765441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","VenaRangeType":0,"DimensionIdStr":"11","MemberIdStr":"651631431944765441","DimensionId":11,"MemberId":651631431944765441,"Inc":""},"_vena_test1_P_12_651631431982514177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","VenaRangeType":0,"DimensionIdStr":"12","MemberIdStr":"651631431982514177","DimensionId":12,"MemberId":651631431982514177,"Inc":""},"_vena_test1_P_2_651631429184913409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","VenaRangeType":0,"DimensionIdStr":"2","MemberIdStr":"651631429184913409","DimensionId":2,"MemberId":651631429184913409,"Inc":""},"_vena_test1_P_3_1117226713781239808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","VenaRangeType":0,"DimensionIdStr":"3","MemberIdStr":"1117226713781239808","DimensionId":3,"MemberId":1117226713781239808,"Inc":""},"_vena_test1_P_4_652241713652170752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","VenaRangeType":0,"DimensionIdStr":"4","MemberIdStr":"652241713652170752","DimensionId":4,"MemberId":652241713652170752,"Inc":""},"_vena_test1_P_5_652241713786388480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","VenaRangeType":0,"DimensionIdStr":"5","MemberIdStr":"652241713786388480","DimensionId":5,"MemberId":652241713786388480,"Inc":""},"_vena_test1_P_6_652241713908023296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","VenaRangeType":0,"DimensionIdStr":"6","MemberIdStr":"652241713908023296","DimensionId":6,"MemberId":652241713908023296,"Inc":""},"_vena_test1_P_7_652241714033852416":{"SourceGlobalVariableId":-1,"SourceFormVariableId":"00000000-0000-0000-0000-000000000000","IsPageVariable":false,"IsLineItemDetailEnabled":false,"LineItemDetailOrder":0,"LineItemID":null,"PageVariableSectionReference":"","PageVariableDimensionName":null,"IsDynamicRange":false,"IsDynamicRangeEntry":false,"DynamicRangeID":null,"DynamicRangeEntryID":null,"IsMultiDynamicRange":false,"MultiDynamicRangeID":null,"MultiDynamicCollectionID":null,"SectionName":"test1","BlockName":"","VenaRangeType":0,"DimensionIdStr":"7","MemberIdStr":"652241714033852416","DimensionId":7,"MemberId":652241714033852416,"Inc":""}},"DynamicRangeStoreData":{"d313879b":{"guid":"d313879b","dimension":10,"member":651631431898628097,"filter":4,"referenceGlobalVariable":false,"globalVaribleId":"00000000-0000-0000-0000-000000000000","globalVaribleSnowflake":-1,"referenceFormVariable":false,"formVaribleId":"00000000-0000-0000-0000-000000000000","sorted":false,"dynamicExpression":null,"DynamicExpressionObject":null,"staticPageMembers":[]},"9b9b8f9a":{"guid":"9b9b8f9a","dimension":8,"member":651631431634386945,"filter":4,"referenceGlobalVariable":false,"globalVaribleId":"00000000-0000-0000-0000-000000000000","globalVaribleSnowflake":-1,"referenceFormVariable":false,"formVaribleId":"00000000-0000-0000-0000-000000000000","sorted":false,"dynamicExpression":null,"DynamicExpressionObject":null,"staticPageMembers":[]},"99d9f105":{"guid":"99d9f105","dimension":9,"member":969493301329526786,"filter":4,"referenceGlobalVariable":false,"globalVaribleId":"00000000-0000-0000-0000-000000000000","globalVaribleSnowflake":-1,"referenceFormVariable":false,"formVaribleId":"00000000-0000-0000-0000-000000000000","sorted":false,"dynamicExpression":null,"DynamicExpressionObject":null,"staticPageMembers":[]},"134e92ab":{"guid":"134e92ab","dimension":3,"member":651631430329958401,"filter":7,"referenceGlobalVariable":false,"globalVaribleId":"00000000-0000-0000-0000-000000000000","globalVaribleSnowflake":-1,"referenceFormVariable":false,"formVaribleId":"00000000-0000-0000-0000-000000000000","sorted":false,"dynamicExpression":"H4sIAAAAAAAEAK1RsW7CMBD9FXRTK6WSnZA0zUaBAQkIaiOWqsNBDtWSYyPbaYtQ/r12G9QMTFW3e3fv/N47n0HpmiwUL2dYUbMjs6ihuOMRzMihkFBkKc/iPOfpmOVpFvP7zM9EE2hJBBPnjNi1ji5r5ZEMOm2g4IyxXzwxwp2+mxFMSconOpAhtac1NgQFQNTrB/xMaPZv1enoJ56/9hbD+325Qb/oFqqmz6DZRUPrfBx8cp6k/CEbJyxJsn/IMkR9ktD6a5D4ShDWvUYg0boByWrjyJcHlJa8VSOknOkP9SNgL6n996lWygFhSfhOV+aiIWWFVn3iGTpceTkZ8LXjbFG2IdRjWVXlajnfzpc33jU2ulVutDFCOTuaamW1FDV6r7fQfQHQn1rYUwIAAA==","DynamicExpressionObject":{"nodes":[{"MemberId":-1,"Detail":651628815408562176,"DimId":3,"AttributeId":-1,"Operator":1000,"OperatorArity":100,"CellReferenceName":"","MemberNameSearchType":0,"NodeId":0,"NodeParentIndex":-1},{"MemberId":1440851135196430336,"Detail":651628815408562176,"DimId":3,"AttributeId":-1,"Operator":-1,"OperatorArity":-1,"CellReferenceName":"","MemberNameSearchType":0,"NodeId":2,"NodeParentIndex":0}],"lastNodeId":2,"sorted":false,"DrillDownMembersMemberIds":null,"DrillDownLeavesMemberIds":null,"DimensionId":3,"DataModelId":651628815408562176,"Value":"BOTTOMLEVEL(Paramount Prints Consolidated)"},"staticPageMembers":null}},"FormVariables":{"GroupMembers":{},"Groups":{"385b1d08-6d8a-4b8a-bf43-c04eedb00d88":{"Name":"*fvAccount","DynamicMemberType":6,"DynamicMatchField":3,"DynamicMemberDimensionId":1,"DynamicMemberDimensionMemberId":656671774469783552,"DataModelId":651628815408562176,"Id":"385b1d08-6d8a-4b8a-bf43-c04eedb00d88"},"ff3e7323-6b12-4ab8-99c3-d97aa9a04313":{"Name":"*fvEntity","DynamicMemberType":6,"DynamicMatchField":3,"DynamicMemberDimensionId":2,"DynamicMemberDimensionMemberId":651631429121998849,"DataModelId":651628815408562176,"Id":"ff3e7323-6b12-4ab8-99c3-d97aa9a04313"},"a2a46c4b-ae44-4ba2-ab0e-2971d74e2ddb":{"Name":"*fvDepartment","DynamicMemberType":6,"DynamicMatchField":3,"DynamicMemberDimensionId":3,"DynamicMemberDimensionMemberId":651631429189107713,"DataModelId":651628815408562176,"Id":"a2a46c4b-ae44-4ba2-ab0e-2971d74e2ddb"},"bf7ccd31-d004-4fee-8f2c-52dd60110e24":{"Name":"*fvPlaceholder 1","DynamicMemberType":6,"DynamicMatchField":3,"DynamicMemberDimensionId":4,"DynamicMemberDimensionMemberId":652241713652170752,"DataModelId":651628815408562176,"Id":"bf7ccd31-d004-4fee-8f2c-52dd60110e24"},"89375efd-535c-49ac-ba5e-3242a8b3f325":{"Name":"*fvPlaceholder 2","DynamicMemberType":6,"DynamicMatchField":3,"DynamicMemberDimensionId":5,"DynamicMemberDimensionMemberId":652241713786388480,"DataModelId":651628815408562176,"Id":"89375efd-535c-49ac-ba5e-3242a8b3f325"},"0fc5a681-6e5b-48f5-bb25-e02cfb58bdcb":{"Name":"*fvPlaceholder 3","DynamicMemberType":6,"DynamicMatchField":3,"DynamicMemberDimensionId":6,"DynamicMemberDimensionMemberId":652241713908023296,"DataModelId":651628815408562176,"Id":"0fc5a681-6e5b-48f5-bb25-e02cfb58bdcb"},"463de427-5c94-4804-88f3-f38fe0008fd8":{"Name":"*fvPlaceholder 4","DynamicMemberType":6,"DynamicMatchField":3,"DynamicMemberDimensionId":7,"DynamicMemberDimensionMemberId":652241714033852416,"DataModelId":651628815408562176,"Id":"463de427-5c94-4804-88f3-f38fe0008fd8"},"7cc8369c-0b74-4816-a174-86bee792b4d5":{"Name":"*fvYear","DynamicMemberType":6,"DynamicMatchField":3,"DynamicMemberDimensionId":8,"DynamicMemberDimensionMemberId":651631431634386945,"DataModelId":651628815408562176,"Id":"7cc8369c-0b74-4816-a174-86bee792b4d5"},"f4ddf33f-f622-4574-ba09-6b1a5435ea67":{"Name":"*fvPeriod","DynamicMemberType":6,"DynamicMatchField":3,"DynamicMemberDimensionId":9,"DynamicMemberDimensionMemberId":651631431676329985,"DataModelId":651628815408562176,"Id":"f4ddf33f-f622-4574-ba09-6b1a5435ea67"},"13439966-5b37-4008-851e-5b8c04b5ee44":{"Name":"*fvScenario","DynamicMemberType":6,"DynamicMatchField":3,"DynamicMemberDimensionId":10,"DynamicMemberDimensionMemberId":651631431898628097,"DataModelId":651628815408562176,"Id":"13439966-5b37-4008-851e-5b8c04b5ee44"},"fcf1808e-9797-41e9-ba5b-1af35fd84a35":{"Name":"*fvCurrency","DynamicMemberType":6,"DynamicMatchField":3,"DynamicMemberDimensionId":11,"DynamicMemberDimensionMemberId":651631431940571137,"DataModelId":651628815408562176,"Id":"fcf1808e-9797-41e9-ba5b-1af35fd84a35"},"e581b6cc-5e7d-41b9-92f0-22c7ca215312":{"Name":"*fvMeasure","DynamicMemberType":6,"DynamicMatchField":3,"DynamicMemberDimensionId":12,"DynamicMemberDimensionMemberId":651631431986708481,"DataModelId":651628815408562176,"Id":"e581b6cc-5e7d-41b9-92f0-22c7ca215312"}}},"LoadedDataModels":[651628815408562176],"DefaultDataModel":651628815408562176,"DynamicBindingStoreDataList":{"BindList":[]},"LineItemEnabledSectionBlockPairs":[],"LineItemDetailsRowMap":{},"VenaWorkbookSettings":{"PerBlockRefreshNodes":{},"FullRefreshAfterPerBlockList":false,"LoadedSuccessfully":true,"FastChooseEnabled":false,"FastFormulaScanEnabled":false,"CheckProtectedOverride":false,"RibbonButtonMap":{"WorkOffline":{"TagId":"WorkOffline","ManagerHidden":true,"ContributorHidden":true},"Cascade":{"TagId":"Cascade","ManagerHidden":false,"ContributorHidden":false},"InsertLID":{"TagId":"InsertLID","ManagerHidden":true,"ContributorHidden":true},"RemoveLID":{"TagId":"RemoveLID","ManagerHidden":true,"ContributorHidden":true},"MultiInsertLID":{"TagId":"MultiInsertLID","ManagerHidden":true,"ContributorHidden":true},"SelectLID":{"TagId":"SelectLID","ManagerHidden":true,"ContributorHidden":true},"MoveLID":{"TagId":"MoveLID","ManagerHidden":true,"ContributorHidden":true},"DrillMenu":{"TagId":"DrillMenu","ManagerHidden":false,"ContributorHidden":false},"AuditTrail":{"TagId":"AuditTrail","ManagerHidden":false,"ContributorHidden":false},"Comments":{"TagId":"Comments","ManagerHidden":false,"ContributorHidden":false},"IntersectionFiles":{"TagId":"IntersectionFiles","ManagerHidden":false,"ContributorHidden":false},"MyFunctions":{"TagId":"MyFunctions","ManagerHidden":true,"ContributorHidden":true},"KeyInfo":{"TagId":"KeyInfo","ManagerHidden":false,"ContributorHidden":false},"ZoomOut":{"TagId":"ZoomOut","ManagerHidden":false,"ContributorHidden":false},"ZoomIn":{"TagId":"ZoomIn","ManagerHidden":false,"ContributorHidden":false}},"RibbonButtons":[{"TagId":"WorkOffline","ManagerHidden":true,"ContributorHidden":true},{"TagId":"Cascade","ManagerHidden":false,"ContributorHidden":false},{"TagId":"InsertLID","ManagerHidden":true,"ContributorHidden":true},{"TagId":"RemoveLID","ManagerHidden":true,"ContributorHidden":true},{"TagId":"MultiInsertLID","ManagerHidden":true,"ContributorHidden":true},{"TagId":"SelectLID","ManagerHidden":true,"ContributorHidden":true},{"TagId":"MoveLID","ManagerHidden":true,"ContributorHidden":true},{"TagId":"DrillMenu","ManagerHidden":false,"ContributorHidden":false},{"TagId":"AuditTrail","ManagerHidden":false,"ContributorHidden":false},{"TagId":"Comments","ManagerHidden":false,"ContributorHidden":false},{"TagId":"IntersectionFiles","ManagerHidden":false,"ContributorHidden":false},{"TagId":"MyFunctions","ManagerHidden":true,"ContributorHidden":true},{"TagId":"KeyInfo","ManagerHidden":false,"ContributorHidden":false},{"TagId":"ZoomOut","ManagerHidden":false,"ContributorHidden":false},{"TagId":"ZoomIn","ManagerHidden":false,"ContributorHidden":false}],"DisableClearingBrokenFVIntersections":false,"HideDynamicsOnSaveTemplate":true,"MaximumColumnsBeforeWarning":1000,"MaximumRowsBeforeWarning":10000,"PreventBrokenFVDoubleRefresh":true,"ExternalDataSourceURL":null,"UpdateStaticMappings":true,"UseTextFormatForDrillTransaction":false,"AllowMultiChoose":false,"PreventCellReferenceUpdatesOnCascade":false,"MDRRowInsertSectionName":"Select combination for data entry","CollapseChooseBoxMembers":false,"UISettings":{"ManagerMappingScreenSize":"1000,600","ManagerMappingBlock":null,"ManagerMappingSection":null},"SaveDataETLJobID":null,"DisableTemplateSaveAuditTrail":false,"EnableMemberSearchButton":false},"VenaSqlQueries":null}</venadatastore>
</file>

<file path=customXml/item3.xml><?xml version="1.0" encoding="utf-8"?>
<venadatastore xmlns="http://venasolutions.com/VenaSPMAddin/ExcelCustomMultiDynamicCollectionStore_V1">[{"Section":"Summary","Block":"B1","ID":"16c22b84","DataModelID":651628815408562176,"Ranges":{"e366beae":{"Section":"Summary","Block":"B1","CollectionID":"16c22b84","ID":"e366beae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57deb589":{"Section":"Summary","Block":"B1","CollectionID":"16c22b84","ID":"57deb589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d057ee5d":{"Section":"Summary","Block":"B1","CollectionID":"16c22b84","ID":"d057ee5d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1a2f2b04":{"Section":"Summary","Block":"B1","CollectionID":"16c22b84","ID":"1a2f2b04","DataModelID":651628815408562176,"Dimension":1,"DynamicExpression":"H4sIAAAAAAAEAK2RwUvDMBTG/5d3UqjQzjUrvc21yKCdMsXLEHlb3zCQJiVJ1TH6v5vYDnvowYO3vLzv5ft9L2eQqiID6e4MJdV70usK0psogIwscgEpiyM2S5IonodJzGbRgrker73MqZbWar5vLV3GHhrSaJWGdB7Ofsul5vbkJsIwgBUJsaUjaZIH2mBNkAIEg72vnwj14f351LiO028coX+e9cdHdIN2LSv68pZd8O/k42oA91dT3Pdatc3tX+gXE/Ssew1AoLEjkVHakjseURhywJoLkalP2RuYS1T3ZbIVYiQoCD9oos9rkoYrOeTO0GLp7MTPSidW9IKi9dHKvLzLt2+rvCiu+pjX0H0DPnzQMzACAAA=","EnableZoom":true,"HierarchyIndenting":true,"ParentsOnBottom":false,"SortingOption":0,"Sorting":"","Order":3,"ZoomInParentMemberIds":[651631428165697537,1126333519854305298,1126333519883665426,1126333519736864780,1126333519778807820,1126333519762030608,1126333519808167948,1126333519787196446,1177034623004573696,1126333519871082529,1126333519900442631,1126333519829139457],"ZoomInBottomLevelParentMemberIds":[1336800240017473538]}},"SuppressBlankRows":true,"SuppressZeroes":true,"EnableDataInput":false},{"Section":"Summary","Block":"B1","ID":"fca14fb5","DataModelID":651628815408562176,"Ranges":{"643fd236":{"Section":"Summary","Block":"B1","CollectionID":"fca14fb5","ID":"643fd236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49b40df1":{"Section":"Summary","Block":"B1","CollectionID":"fca14fb5","ID":"49b40df1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8d16f83f":{"Section":"Summary","Block":"B1","CollectionID":"fca14fb5","ID":"8d16f83f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85bf67b9":{"Section":"Summary","Block":"B1","CollectionID":"fca14fb5","ID":"85bf67b9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3,"ZoomInParentMemberIds":[1176989022519558144,1177042321444044802,1177042009963233280],"ZoomInBottomLevelParentMemberIds":[]}},"SuppressBlankRows":true,"SuppressZeroes":true,"EnableDataInput":false},{"Section":"Summary","Block":"B1","ID":"570dc92f","DataModelID":651628815408562176,"Ranges":{"2c4c9a6d":{"Section":"Summary","Block":"B1","CollectionID":"570dc92f","ID":"2c4c9a6d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aaca44dd":{"Section":"Summary","Block":"B1","CollectionID":"570dc92f","ID":"aaca44dd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62fe5713":{"Section":"Summary","Block":"B1","CollectionID":"570dc92f","ID":"62fe5713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55d3263":{"Section":"Summary","Block":"B1","CollectionID":"570dc92f","ID":"55d3263","DataModelID":651628815408562176,"Dimension":1,"DynamicExpression":"H4sIAAAAAAAEALWSQWuEMBCF/0tOu2DBiFrxtlVpBbXFll6WUrLrLA3ERGJsuyz+905Yl3rw0MP2NpN5L++bkBORqoGexNsTKaHdgc4bEt9Qh6RgGBckDgMaelFEA9+NgtCjtyHOeGtlqNoYo/luMHCxPXagmVEaja772240N0d02LMEhKjhABrkHirWAokJcaZ42z8D0/uPl2OHE9RXSGivn8onhkaTywa+beToXJ3cd73rktMFcvcfwOfdxG2PlrDvtRo67y/w/gI8Hd8cIlhvZqJeaQNYHpjoAYE1FyJVX/Ic0F9Wxb8mByFmggLYJyzMeQuy50pOe6fMsBLjhO2XnuiVicGuljzkRVpn1arMyrusfk+yolid912vyfgDAtBsyfMCAAA=","EnableZoom":true,"HierarchyIndenting":true,"ParentsOnBottom":false,"SortingOption":0,"Sorting":"","Order":3,"ZoomInParentMemberIds":[1126333519640395796,1126333519686533120,1126333519715893262],"ZoomInBottomLevelParentMemberIds":[]}},"SuppressBlankRows":true,"SuppressZeroes":true,"EnableDataInput":false},{"Section":"Summary","Block":"B1","ID":"6186d06a","DataModelID":651628815408562176,"Ranges":{"d394a971":{"Section":"Summary","Block":"B1","CollectionID":"6186d06a","ID":"d394a971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fdb6844c":{"Section":"Summary","Block":"B1","CollectionID":"6186d06a","ID":"fdb6844c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a093841e":{"Section":"Summary","Block":"B1","CollectionID":"6186d06a","ID":"a093841e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e3fd38a0":{"Section":"Summary","Block":"B1","CollectionID":"6186d06a","ID":"e3fd38a0","DataModelID":651628815408562176,"Dimension":1,"DynamicExpression":"H4sIAAAAAAAEALWSQU+EMBCF/0tPuwkmlAASbisQJQE0aLwYY7rLbGxSWlKKutnw3526bOTAwcN6m+m86fte0yORqoGexC9HUkK7BZ03JL6iDknBMC5IHAY09KKIBr4bBaFHr0Oc8dbKULUxRvPtYOC8dt+BZkZpXHTd33ajuTnghj1LQIga9qBB7qBiLZCYEGeyt/0jML17fzp0OEF9hYT2+ql8YLhoctnAl7UcnYuT+653WXK6QO7+A/i8m7jt0RL2rVZD5/8FPlyAp+OrQwTrzUzUK20Ayz0TPSCw5kKk6lOeDPpzVPxrchBiJiiAfcDCnLcge67klDtlhpVoJ378Fp7omYnBRkvu8iKts2pVZuVNVr8lWVGsTnnXazJ+A9eiNoXzAgAA","EnableZoom":true,"HierarchyIndenting":true,"ParentsOnBottom":false,"SortingOption":0,"Sorting":"","Order":3,"ZoomInParentMemberIds":[1126333519963357190],"ZoomInBottomLevelParentMemberIds":[]}},"SuppressBlankRows":true,"SuppressZeroes":true,"EnableDataInput":false},{"Section":"Summary","Block":"B1","ID":"fabd416e","DataModelID":651628815408562176,"Ranges":{"fa0f09e6":{"Section":"Summary","Block":"B1","CollectionID":"fabd416e","ID":"fa0f09e6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be904136":{"Section":"Summary","Block":"B1","CollectionID":"fabd416e","ID":"be904136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231e487a":{"Section":"Summary","Block":"B1","CollectionID":"fabd416e","ID":"231e487a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be3a56df":{"Section":"Summary","Block":"B1","CollectionID":"fabd416e","ID":"be3a56df","DataModelID":651628815408562176,"Dimension":1,"DynamicExpression":"H4sIAAAAAAAEALWST2vCMBjGv8t7UuggLbaW3tSWIbR2OPEyxoj2lQXSpCTpNpF+9yWzsh562MHd3j9P8vyekAsIWaGG5OUCBdYHVOsKkgffgxQNZRySKPSjII79cEbiMAr8eWR3rHYyq1oYo9ihNXg7VjaoqJHKbgkhv/1CMXP+GXqwQs63eEKF4ogbWiMkAF7v7/pnpOr4vjs3dmP1G4vo7u/LJ2oPmrWo8Mt5dt7d0WckuC+5P0JO/gF82PXcbjSG/ahk24R/gZ+PwPvdqwecajMQaakM2vJEuUYLrBjnqfwUVwN9i2o/m2g5HwhypB84smc1Cs2k6HOn1NDC2nHXjz3RnvLWRVuWu11Z5Nk+yydFViyz7dsqy/PJNfJ0Ct03w8MgUfcCAAA=","EnableZoom":false,"HierarchyIndenting":false,"ParentsOnBottom":false,"SortingOption":0,"Sorting":"","Order":3,"ZoomInParentMemberIds":[],"ZoomInBottomLevelParentMemberIds":[]}},"SuppressBlankRows":true,"SuppressZeroes":true,"EnableDataInput":false},{"Section":"Summary","Block":"B1","ID":"aa6bd83a","DataModelID":651628815408562176,"Ranges":{"dae9abdc":{"Section":"Summary","Block":"B1","CollectionID":"aa6bd83a","ID":"dae9abdc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90b832c4":{"Section":"Summary","Block":"B1","CollectionID":"aa6bd83a","ID":"90b832c4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d064438b":{"Section":"Summary","Block":"B1","CollectionID":"aa6bd83a","ID":"d064438b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d6fa272f":{"Section":"Summary","Block":"B1","CollectionID":"aa6bd83a","ID":"d6fa272f","DataModelID":651628815408562176,"Dimension":1,"DynamicExpression":"H4sIAAAAAAAEALWST2vCMBjGv8t7UuggLbYrvaktQ2jtcOJlyIj2lQXSpCTpNpF+9yWzsh562MHd3j9P8vyekAsIWaGG5PUCBdYHVKsKkgffgxQNZRySKPSjII79cEbiMAr8x8juWO1kVjU3RrFDa/B2rGxQUSOV3RJCfvu5Yub8M/RgiZxv8IQKxRHXtEZIALze3/UvSNXxfXtu7Mbq1xbR3d+Xz9QeNCtR4Zfz7Ly7o89IcF9yf4Sc/AP4sOu53WgM+0nJton+Ah+PwPvd3gNOtRmItFQGbXmiXKMFVozzVH6Kq4G+RbWfTbScDwQ50g8c2bMahWZS9LlTamhh7bjrx55oR3nroi3K7bYs8myX5ZMiKxbZ5m2Z5fnkGnk6he4bBjqZU/cCAAA=","EnableZoom":false,"HierarchyIndenting":false,"ParentsOnBottom":false,"SortingOption":0,"Sorting":"","Order":3,"ZoomInParentMemberIds":[],"ZoomInBottomLevelParentMemberIds":[]}},"SuppressBlankRows":true,"SuppressZeroes":true,"EnableDataInput":false},{"Section":"Summary","Block":"B1","ID":"7447f1cf","DataModelID":651628815408562176,"Ranges":{"3e83a5e4":{"Section":"Summary","Block":"B1","CollectionID":"7447f1cf","ID":"3e83a5e4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1063135":{"Section":"Summary","Block":"B1","CollectionID":"7447f1cf","ID":"1063135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f51f9859":{"Section":"Summary","Block":"B1","CollectionID":"7447f1cf","ID":"f51f9859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27d33cc1":{"Section":"Summary","Block":"B1","CollectionID":"7447f1cf","ID":"27d33cc1","DataModelID":651628815408562176,"Dimension":1,"DynamicExpression":"H4sIAAAAAAAEALWST2uDMBjGv0tOLThIpFrn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0h/9CvcCAAA=","EnableZoom":false,"HierarchyIndenting":false,"ParentsOnBottom":false,"SortingOption":0,"Sorting":"","Order":3,"ZoomInParentMemberIds":[],"ZoomInBottomLevelParentMemberIds":[]}},"SuppressBlankRows":true,"SuppressZeroes":true,"EnableDataInput":false},{"Section":"Summary","Block":"B1","ID":"c13d5741","DataModelID":651628815408562176,"Ranges":{"49c6fd39":{"Section":"Summary","Block":"B1","CollectionID":"c13d5741","ID":"49c6fd39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58a7931a":{"Section":"Summary","Block":"B1","CollectionID":"c13d5741","ID":"58a7931a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bdc059da":{"Section":"Summary","Block":"B1","CollectionID":"c13d5741","ID":"bdc059da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7da7bd8":{"Section":"Summary","Block":"B1","CollectionID":"c13d5741","ID":"7da7bd8","DataModelID":651628815408562176,"Dimension":1,"DynamicExpression":"H4sIAAAAAAAEALWSz2uDMBTH/5d3asFBlOrEW1tlFLSOrvQyykjrKwvERJK4rRT/9yWrZR487NDd3o/vy/fzHrmAkBVqSF4vUGB9QLWqIHnwPUjRUMYhiUI/CuLYD2ckDqPAf4xsj9VOZlVzYxQ7tAZvY2WDihqpbJcQ8pvPFTPnn6IHS+R8gydUKI64pjVCAuD1/i5/QaqO79tzYztWv7aI7v0+fKZ20KxEhV/Os/Pujj4jwX3J/RFy8g/gw6zndqUx7Ccl2yb+E/zY3f1u7wGn2gxVWiqDNj5RrtEiK8Z5Kj/F1ULflrXfTbScDwQ50g8c6bMahWZS9Jun1NDC+nGXjx1pR3nrlluU221Z5NkuyydFViyyzdsyy/PJdenpFLpvpcrxdfkCAAA=","EnableZoom":false,"HierarchyIndenting":false,"ParentsOnBottom":false,"SortingOption":0,"Sorting":"","Order":3,"ZoomInParentMemberIds":[],"ZoomInBottomLevelParentMemberIds":[]}},"SuppressBlankRows":true,"SuppressZeroes":true,"EnableDataInput":false},{"Section":"Summary","Block":"B1","ID":"89d12547","DataModelID":651628815408562176,"Ranges":{"6f8f88b":{"Section":"Summary","Block":"B1","CollectionID":"89d12547","ID":"6f8f88b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a91354f1":{"Section":"Summary","Block":"B1","CollectionID":"89d12547","ID":"a91354f1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591ded18":{"Section":"Summary","Block":"B1","CollectionID":"89d12547","ID":"591ded18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b2b17850":{"Section":"Summary","Block":"B1","CollectionID":"89d12547","ID":"b2b17850","DataModelID":651628815408562176,"Dimension":1,"DynamicExpression":"H4sIAAAAAAAEALWST2uDMBjGv8t7asFBItU5b22VUdA6utLLGCOtb1kgRknitlL87ktWyzx42KG7vX+e5Pk9IWeQdYka4pcz5FjtUa1KiO+oBwkaxgXEYUBDP4poMCNREPr0PrQ7XjmZVc2NUXzfGrweKxpUzNTKbgkhv/1ccXP6GXqwRCE2eESF8oBrViHEAF7v7/pnZOrwvj01dmP1a4vo7u/LJ2YPmpUs8ct5dt7N0WfEvy05HSEn/wA+7HpuNxrDflR12zz8CX6MnnavHgimzVCla2XQ1kcmNFpkxYVI6k95sdDXsPa7yVaIgSBD9oEje16h1LyWffKEGZZbP+H6sUfaMdG6cItiuy3yLN2l2SRP80W6eVumWTa5hJ5OofsGL1+HkPkCAAA=","EnableZoom":false,"HierarchyIndenting":false,"ParentsOnBottom":false,"SortingOption":0,"Sorting":"","Order":3,"ZoomInParentMemberIds":[],"ZoomInBottomLevelParentMemberIds":[]}},"SuppressBlankRows":true,"SuppressZeroes":true,"EnableDataInput":false},{"Section":"Summary","Block":"B1","ID":"952f868d","DataModelID":651628815408562176,"Ranges":{"c03d15db":{"Section":"Summary","Block":"B1","CollectionID":"952f868d","ID":"c03d15db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5c53507e":{"Section":"Summary","Block":"B1","CollectionID":"952f868d","ID":"5c53507e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203703b7":{"Section":"Summary","Block":"B1","CollectionID":"952f868d","ID":"203703b7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6a22ffc4":{"Section":"Summary","Block":"B1","CollectionID":"952f868d","ID":"6a22ffc4","DataModelID":651628815408562176,"Dimension":1,"DynamicExpression":"H4sIAAAAAAAEALWST2uDMBjGv8t7asFBItWJt7bKKGgdnfQyxkjrWxaIUZK4rRS/+5LNMg8eduhu758neX5PyAVkU6GG+PkCOdYHVJsK4jvqQYKGcQFxGNDQjyIaLEgUhD69D+2O105mVUtjFD90Bq/HihYVM42yW0LIb79U3Jy/hx6sUYgdnlChPOKW1QgxgDf4u/4JmTq+lefWbqx+axHd/UP5yOxBs5EVfjrP3rs5+oL4tyWnE+TkH8DH3cDtRlPYD6rpWkr+RO9P4NP+xQPBtBmrdKMM2vrEhEbLrLgQSfMhfyz0Na39b7ITYiTIkL3jxJ7XKDVv5BA9YYbl1k+4fuqV9kx0Lt2qKMsiz9J9ms3yNF+lu9d1mmWzIfV8Dv0XnhTB2fsCAAA=","EnableZoom":false,"HierarchyIndenting":false,"ParentsOnBottom":false,"SortingOption":0,"Sorting":"","Order":3,"ZoomInParentMemberIds":[],"ZoomInBottomLevelParentMemberIds":[]}},"SuppressBlankRows":true,"SuppressZeroes":true,"EnableDataInput":false},{"Section":"IS","Block":"B1","ID":"114edf74","DataModelID":651628815408562176,"Ranges":{"b2d8c15f":{"Section":"IS","Block":"B1","CollectionID":"114edf74","ID":"b2d8c15f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f8baf44c":{"Section":"IS","Block":"B1","CollectionID":"114edf74","ID":"f8baf44c","DataModelID":651628815408562176,"Dimension":3,"DynamicExpression":"H4sIAAAAAAAEAK2RMU/DMBCF/8tNIBkpCU2IvJUmQ6WkoBaxoKpyk6uwdHEi2wGqKv8dm7YiQwYGNp/vnd/3zidQbY0G+NsJSmz2qJc18LuQQYZWSAKexGESpWkYz4I0TqLwIXE92XjZPYO5tVrue4vXsacOtbCtBj4Lot9yrqU9Ag+DgMECidZ4QI2qwpVoEDgAu9j7eoNCV+8vx851nH7lCP3z8fn4LNygXaoav7zlwP6dfFxdwP3VFPcGCSsrW7XLsBPaNg7tL1mSiSzxsGVAwtiRyLTaojseBBl0+FoSZe2nOhuYa3D3gaonGgkKFB840ZeO0DjeyxYyYUXp7OjHb2Jhr4J6H7TMy8d8vVvkRXEzFfoWhm8Rz7djTAIAAA==","EnableZoom":false,"HierarchyIndenting":false,"ParentsOnBottom":false,"SortingOption":0,"Sorting":"","Order":1,"ZoomInParentMemberIds":[],"ZoomInBottomLevelParentMemberIds":[]},"98c400df":{"Section":"IS","Block":"B1","CollectionID":"114edf74","ID":"98c400df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38de5219":{"Section":"IS","Block":"B1","CollectionID":"114edf74","ID":"38de5219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3,"ZoomInParentMemberIds":[1176989022519558144,1177042321444044802],"ZoomInBottomLevelParentMemberIds":[]}},"SuppressBlankRows":true,"SuppressZeroes":true,"EnableDataInput":false},{"Section":"IS","Block":"B1","ID":"2b5eda0a","DataModelID":651628815408562176,"Ranges":{"7bf48660":{"Section":"IS","Block":"B1","CollectionID":"2b5eda0a","ID":"7bf48660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f029ced":{"Section":"IS","Block":"B1","CollectionID":"2b5eda0a","ID":"7f029ced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true,"HierarchyIndenting":true,"ParentsOnBottom":false,"SortingOption":0,"Sorting":"","Order":1,"ZoomInParentMemberIds":[1130982266127122432,1130982453109587968,651631429189107713,1248113405681205248,1152436007738146816,1117226713667993600,1229939930293338112],"ZoomInBottomLevelParentMemberIds":[1164319493118099456]},"7dbe9181":{"Section":"IS","Block":"B1","CollectionID":"2b5eda0a","ID":"7dbe9181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d9c0cd48":{"Section":"IS","Block":"B1","CollectionID":"2b5eda0a","ID":"d9c0cd48","DataModelID":651628815408562176,"Dimension":1,"DynamicExpression":"H4sIAAAAAAAEALWSQWuEMBCF/0tOu2DBiFrxtlVpBbXFll6WUrLrLA3ERGJsuyz+905Yl3rw0MP2NpN5L++bkBORqoGexNsTKaHdgc4bEt9Qh6RgGBckDgMaelFEA9+NgtCjtyHOeGtlqNoYo/luMHCxPXagmVEaja772240N0d02LMEhKjhABrkHirWAokJcaZ42z8D0/uPl2OHE9RXSGivn8onhkaTywa+beToXJ3cd73rktMFcvcfwOfdxG2PlrDvtRo67y/w/gI8Hd8cIlhvZqJeaQNYHpjoAYE1FyJVX/Ic0F9Wxb8mByFmggLYJyzMeQuy50pOe6fMsBLjhO2XnuiVicGuljzkRVpn1arMyrusfk+yolid912vyfgDAtBsyfMCAAA=","EnableZoom":true,"HierarchyIndenting":true,"ParentsOnBottom":false,"SortingOption":0,"Sorting":"","Order":3,"ZoomInParentMemberIds":[1126333519640395796,1126333519686533120,1126333519715893262],"ZoomInBottomLevelParentMemberIds":[]}},"SuppressBlankRows":true,"SuppressZeroes":true,"EnableDataInput":false},{"Section":"IS","Block":"B1","ID":"fa3b4e4c","DataModelID":651628815408562176,"Ranges":{"39b62da0":{"Section":"IS","Block":"B1","CollectionID":"fa3b4e4c","ID":"39b62da0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22f47ea7":{"Section":"IS","Block":"B1","CollectionID":"fa3b4e4c","ID":"22f47ea7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true,"HierarchyIndenting":true,"ParentsOnBottom":false,"SortingOption":0,"Sorting":"","Order":1,"ZoomInParentMemberIds":[1130982266127122432,1192586010509180929,1224926233064767488,1224926772237959244,1130982453109587968,1152435199705481224,651631429189107713,1229939930293338112,1117226713667993600],"ZoomInBottomLevelParentMemberIds":[1164319493118099456,1164760809657204738]},"c9f27961":{"Section":"IS","Block":"B1","CollectionID":"fa3b4e4c","ID":"c9f27961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ab3d92d":{"Section":"IS","Block":"B1","CollectionID":"fa3b4e4c","ID":"aab3d92d","DataModelID":651628815408562176,"Dimension":1,"DynamicExpression":"H4sIAAAAAAAEAK1RwUrEMBT8l3dSqNDWbY29rdsiC+0qq3gRkbfbtxhIk5Kk6rL0301oF3vowYO3N5l5mZnkBFLVZCB7PUFFzY70uobsKgogJ4tcQJYmURozFiWLkCVpHN2kjuONlznV0lrNd52l89pDSxqt0pAtwvgXLjW3R7cRhgGsSIgtHUiT3NMGG4IMIBjtPX4i1PuP52PrGKffuIT+ejaMj+gW7VrW9O0t++Dfk0/RGNwfzeW+16prr/+S/nYmPevfAhBo7ERklLbkxgMKQy6w5kLk6ksOBuZc1X2Z7ISYCErCT5rheUPScCXH3jlarJyd8HjuiV5QdL5aVVR3xfZ9VZTlxVDzEvofk+OKUDACAAA=","EnableZoom":true,"HierarchyIndenting":true,"ParentsOnBottom":false,"SortingOption":0,"Sorting":"","Order":3,"ZoomInParentMemberIds":[651631428165697537,1126333519854305298,1126333519900442631,1126333519883665426,1126333519736864780,1126333519778807820,1126333519762030608,1126333519808167948,1126333519829139457,1126333519787196446,1177034623004573696,1126333519871082529],"ZoomInBottomLevelParentMemberIds":[1336800240017473538]}},"SuppressBlankRows":true,"SuppressZeroes":true,"EnableDataInput":false},{"Section":"IS","Block":"B1","ID":"4eb473c3","DataModelID":651628815408562176,"Ranges":{"e4583cd9":{"Section":"IS","Block":"B1","CollectionID":"4eb473c3","ID":"e4583cd9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19193295":{"Section":"IS","Block":"B1","CollectionID":"4eb473c3","ID":"19193295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true,"HierarchyIndenting":true,"ParentsOnBottom":false,"SortingOption":0,"Sorting":"","Order":1,"ZoomInParentMemberIds":[1130982453109587968],"ZoomInBottomLevelParentMemberIds":[]},"2d54e8e4":{"Section":"IS","Block":"B1","CollectionID":"4eb473c3","ID":"2d54e8e4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6daaed7f":{"Section":"IS","Block":"B1","CollectionID":"4eb473c3","ID":"6daaed7f","DataModelID":651628815408562176,"Dimension":1,"DynamicExpression":"H4sIAAAAAAAEALWSQWuEMBCF/0tOu2DBiFrxtlVpBbXFll6WUrLrLA3EKElsuyz+905Yl3rw0MP2NpN5L++bkBORXQOaxNsTKaHdgcobEt9Qh6RgGBckDgMaelFEA9+NgtCjtyHOeGtlqNoYo/huMHCxPfagmOkUGl33t90obo7osGcJCFHDARTIPVSsBRIT4kzxtn8GpvYfL8ceJ6ivkNBeP5VPDI0mlw1828jRuTq573rXJacL5O4/gM+7idseLWHfq27o/b/ABwvwdHxziGDazES6UwawPDChAYEVFyLtvuQ5QF9Wxb8mByFmggLYJyzMeQtS805Oe6fMsBLjhO2XnuiVicGuljzkRVpn1arMyrusfk+yolid912vyfgD9/pzWPMCAAA=","EnableZoom":true,"HierarchyIndenting":true,"ParentsOnBottom":false,"SortingOption":0,"Sorting":"","Order":3,"ZoomInParentMemberIds":[1126333519963357190],"ZoomInBottomLevelParentMemberIds":[]}},"SuppressBlankRows":true,"SuppressZeroes":true,"EnableDataInput":false},{"Section":"IS","Block":"B1","ID":"bf990dcd","DataModelID":651628815408562176,"Ranges":{"369d3a7f":{"Section":"IS","Block":"B1","CollectionID":"bf990dcd","ID":"369d3a7f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9d019df4":{"Section":"IS","Block":"B1","CollectionID":"bf990dcd","ID":"9d019df4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true,"HierarchyIndenting":true,"ParentsOnBottom":false,"SortingOption":0,"Sorting":"","Order":1,"ZoomInParentMemberIds":[],"ZoomInBottomLevelParentMemberIds":[]},"90afe37c":{"Section":"IS","Block":"B1","CollectionID":"bf990dcd","ID":"90afe37c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86886b6e":{"Section":"IS","Block":"B1","CollectionID":"bf990dcd","ID":"86886b6e","DataModelID":651628815408562176,"Dimension":1,"DynamicExpression":"H4sIAAAAAAAEALWSwWuDMBTG/5ecWnBgpDrx1qlsgrrhxi5ljLS+skBMJInbSun/vhdqmQcPO3S39/K+L9/vhRyJVC0YkmyOpIJuC7poSXJDPZKBZVyQJAppFMQxDVd+HEYBvY1wxjsnQ9XaWs23g4WL7bEHzazSaPT933atuT2gw52lIEQDe9Agd1CzDkhCiDfGu/4ZmN59vBx6nKC+RkJ3/Vg+MTTaQrbw7SJP3tXJV35wXXI6Q+7/A/i0G7nd0Rz2vVZDH/4FPpyBp6c3jwhm7ERklLaA5Z4JAwisuRCZ+pLnAHNZFf+aHISYCEpgnzAz5x1Iw5Uc986YZRXGCdfPPdErE4NbLX0oyqzJ60WVV3d5857mZbk477tcktMPhH9bSvMCAAA=","EnableZoom":true,"HierarchyIndenting":true,"ParentsOnBottom":false,"SortingOption":0,"Sorting":"","Order":3,"ZoomInParentMemberIds":[],"ZoomInBottomLevelParentMemberIds":[]}},"SuppressBlankRows":true,"SuppressZeroes":true,"EnableDataInput":false},{"Section":"IS","Block":"B1","ID":"533737d8","DataModelID":651628815408562176,"Ranges":{"c88b8344":{"Section":"IS","Block":"B1","CollectionID":"533737d8","ID":"c88b8344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b51e54c8":{"Section":"IS","Block":"B1","CollectionID":"533737d8","ID":"b51e54c8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true,"HierarchyIndenting":true,"ParentsOnBottom":false,"SortingOption":0,"Sorting":"","Order":1,"ZoomInParentMemberIds":[1130982453109587968],"ZoomInBottomLevelParentMemberIds":[]},"3c6c0b0c":{"Section":"IS","Block":"B1","CollectionID":"533737d8","ID":"3c6c0b0c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6225e3a6":{"Section":"IS","Block":"B1","CollectionID":"533737d8","ID":"6225e3a6","DataModelID":651628815408562176,"Dimension":1,"DynamicExpression":"H4sIAAAAAAAEALWSwWuDMBTG/5ecWnBgpDrx1qlsgrrhxi5ljLS+skBMJInbSun/vhdqmQcPO3S39/K+L9/vhRyJVC0YkmyOpIJuC7poSXJDPZKBZVyQJAppFMQxDVd+HEYBvY1wxjsnQ9XaWs23g4WL7bEHzazSaPT933atuT2gw52lIEQDe9Agd1CzDkhCiDfGu/4ZmN59vBx6nKC+RkJ3/Vg+MTTaQrbw7SJP3tXJV35wXXI6Q+7/A/i0G7nd0Rz2vVZDH/0FPpyBp6c3jwhm7ERklLaA5Z4JAwisuRCZ+pLnAHNZFf+aHISYCEpgnzAz5x1Iw5Uc986YZRXGCdfPPdErE4NbLX0oyqzJ60WVV3d5857mZbk477tcktMPEfAifPMCAAA=","EnableZoom":true,"HierarchyIndenting":true,"ParentsOnBottom":false,"SortingOption":0,"Sorting":"","Order":3,"ZoomInParentMemberIds":[],"ZoomInBottomLevelParentMemberIds":[]}},"SuppressBlankRows":true,"SuppressZeroes":true,"EnableDataInput":false},{"Section":"IS","Block":"B1","ID":"a75a9f31","DataModelID":651628815408562176,"Ranges":{"72f0ba9f":{"Section":"IS","Block":"B1","CollectionID":"a75a9f31","ID":"72f0ba9f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e6854791":{"Section":"IS","Block":"B1","CollectionID":"a75a9f31","ID":"e6854791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true,"HierarchyIndenting":true,"ParentsOnBottom":false,"SortingOption":0,"Sorting":"","Order":1,"ZoomInParentMemberIds":[],"ZoomInBottomLevelParentMemberIds":[]},"b5cf055b":{"Section":"IS","Block":"B1","CollectionID":"a75a9f31","ID":"b5cf055b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b3024300":{"Section":"IS","Block":"B1","CollectionID":"a75a9f31","ID":"b3024300","DataModelID":651628815408562176,"Dimension":1,"DynamicExpression":"H4sIAAAAAAAEALWSwWuDMBTG/5ecWnBgSrXirVPZBHXDjV3GGGl9ZYGYSBK3leL/vhdqmQcPO3S39/K+L9/vhZyIVA0YEr+eSAntDnTekPiGeiQFy7ggcRjQcBVFNFj7URCu6CbEGW+dDFVbazXf9RYutocONLNKo9H3f9ut5vaIDneWgBA1HECD3EPFWiAxId4Y7/onYHr/8XzscIL6Cgnd9WP5yNBoc9nAt4scvKuTr/3VdcnpDLn/D+DTbuR2R3PYd1r13eYv8MEMPB3ePCKYsRORUdoClgcmDCCw5kKk6kueA8xlVfxrshdiIiiAfcLMnLcgDVdy3DtllpUYJ1w/90QvTPRuteQ+L9I6qxZlVt5m9XuSFcXivO9ySYYfYnUKbvMCAAA=","EnableZoom":true,"HierarchyIndenting":true,"ParentsOnBottom":false,"SortingOption":0,"Sorting":"","Order":3,"ZoomInParentMemberIds":[],"ZoomInBottomLevelParentMemberIds":[]}},"SuppressBlankRows":true,"SuppressZeroes":true,"EnableDataInput":false},{"Section":"IS","Block":"B1","ID":"e25e2f0e","DataModelID":651628815408562176,"Ranges":{"a1847cab":{"Section":"IS","Block":"B1","CollectionID":"e25e2f0e","ID":"a1847cab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cf63d58e":{"Section":"IS","Block":"B1","CollectionID":"e25e2f0e","ID":"cf63d58e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true,"HierarchyIndenting":true,"ParentsOnBottom":false,"SortingOption":0,"Sorting":"","Order":1,"ZoomInParentMemberIds":[],"ZoomInBottomLevelParentMemberIds":[]},"f7605199":{"Section":"IS","Block":"B1","CollectionID":"e25e2f0e","ID":"f7605199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69a6ce7a":{"Section":"IS","Block":"B1","CollectionID":"e25e2f0e","ID":"69a6ce7a","DataModelID":651628815408562176,"Dimension":1,"DynamicExpression":"H4sIAAAAAAAEALWSwWuDMBTG/5ecWnBgpDrx1qlsgrrhxi5ljLS+skBMJInbSun/vhdqmQcPO3S39/K+L9/vhRyJVC0YkmyOpIJuC7poSXJDPZKBZVyQJAppFMQxDVd+HEYBvY1wxjsnQ9XaWs23g4WL7bEHzazSaPT933atuT2gw52lIEQDe9Agd1CzDkhCiDfGu/4ZmN59vBx6nKC+RkJ3/Vg+MTTaQrbw7SJP3tXJV35wXXI6Q+7/A/i0G7nd0Rz2vVZDH/8FPpyBp6c3jwhm7ERklLaA5Z4JAwisuRCZ+pLnAHNZFf+aHISYCEpgnzAz5x1Iw5Uc986YZRXGCdfPPdErE4NbLX0oyqzJ60WVV3d5857mZbk477tcktMPo8SVgfMCAAA=","EnableZoom":true,"HierarchyIndenting":true,"ParentsOnBottom":false,"SortingOption":0,"Sorting":"","Order":3,"ZoomInParentMemberIds":[],"ZoomInBottomLevelParentMemberIds":[]}},"SuppressBlankRows":true,"SuppressZeroes":true,"EnableDataInput":false},{"Section":"SF2","Block":"B1","ID":"c70a4a29","DataModelID":651628815408562176,"Ranges":{"2c0f17e":{"Section":"SF2","Block":"B1","CollectionID":"c70a4a29","ID":"2c0f17e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},"SuppressBlankRows":true,"SuppressZeroes":true,"EnableDataInput":false},{"Section":"SF2","Block":"B1","ID":"f22f2525","DataModelID":651628815408562176,"Ranges":{"72802313":{"Section":"SF2","Block":"B1","CollectionID":"f22f2525","ID":"72802313","DataModelID":651628815408562176,"Dimension":3,"DynamicExpression":"H4sIAAAAAAAEAN2UTW+CMBjHv8rSkyZdQnmHGxMOJAqLoJdlh6qPWZMCptRtxvjd107N3MZpw8N26/PW/+/fJ7BHdbOCFoUPezSBagEiXaHwlmAUg6SMo9B1iGv6PnFsw3dck3iuqrFKt1kYRVIKtthKOI/lGxBUNgKFpmF8hJFgcqcmdG4EnE9hDQLqJWS0AhQihE/yOi6AiuVTuduoiurPFKG+3jaP53uqJmVar+BVax5w7+hW7+h2B7ptXgE96EAnv0J3u9Dtz+ga1yK2GRA/IIbnEasHK5fRyYlO/diI12XEvcIO1Hv3vQT/vywh6DLi/z0jDun+oh8x4rSVl21tIySo85ryFhStYJzHzUt91GjPvtVPuN5yftEwBvoMHXVWQd2yptYCCimmkk6UHtfxsWVO+VY7mWVpng3SrEymRTIq34M4KUZJFkdZWQwizm9i2FAh1ZWyHeK7vCzzyTiZJ+NvxSH+mkGHN1n5R55ABgAA","EnableZoom":true,"HierarchyIndenting":true,"ParentsOnBottom":false,"SortingOption":0,"Sorting":"","Order":0,"ZoomInParentMemberIds":[],"ZoomInBottomLevelParentMemberIds":[]},"ed369a72":{"Section":"SF2","Block":"B1","CollectionID":"f22f2525","ID":"ed369a72","DataModelID":651628815408562176,"Dimension":1,"DynamicExpression":"H4sIAAAAAAAEAG1QTWvCQBD9KzKHnlLIJm4ac5MGQai21NJL6WE0Y12YbGR201bE/97dmoIFb/Pmzcd77wi2a8hB9XaEBbVrknkDlVJZkee5VpNSj/NUZ5MygZo8Goaq0KrIylLpcVrqIlN3ReBM+7uXwNR7MeveU8S3ofG4J0HfyX80FeMP59Y9MT/TloTshpbYElQAyaAm4hWhbHYvh31g0gSWQXA8PpRPGBb93Db0He+d3hNgdP5iynXiKZRbZEdBqxjmuvuy5w/uz3YIwfbMFwMPhJ90hTctWWc6O1iu0eMivOOIr6XzitxHVytkFENudDOaibEfIffTD6CVNI2BAQAA","EnableZoom":true,"HierarchyIndenting":true,"ParentsOnBottom":false,"SortingOption":0,"Sorting":"","Order":1,"ZoomInParentMemberIds":[],"ZoomInBottomLevelParentMemberIds":[]}},"SuppressBlankRows":true,"SuppressZeroes":true,"EnableDataInput":false},{"Section":"SF2","Block":"B1","ID":"52910a19","DataModelID":651628815408562176,"Ranges":{"694cb7a3":{"Section":"SF2","Block":"B1","CollectionID":"52910a19","ID":"694cb7a3","DataModelID":651628815408562176,"Dimension":3,"DynamicExpression":"H4sIAAAAAAAEAG1QTUvDQBD9KzLnCNm0+WhuobkUbBUVL+Jh2kxxYbIJuxO1lP53Z4lCBW/z9r03782ewQ0dBahfz7Clfk9+00Fd5KZYmGW2MtXKpGVpFgm0JGh55rKqMvkyrfIiM2WhnO2jTVWNiLf7SSjiW5PA/UgeZfB/UeOtnOanNTE/0pE8uQPtsCeoAZKfMhE/EfrD+/NpVCZNYKd94/I8m+cHVKdsXEdfceHlLQHGINeyMHghnY/IgbStt8zt8OnmjPB7t/6Cm5ivBHeEH/QPb3tywQ4uBmilFgW3mscRz5IX5Cle0jDftDSiF7VIgMs3HWgdunEBAAA=","EnableZoom":true,"HierarchyIndenting":true,"ParentsOnBottom":false,"SortingOption":0,"Sorting":"","Order":0,"ZoomInParentMemberIds":[],"ZoomInBottomLevelParentMemberIds":[]},"a9979816":{"Section":"SF2","Block":"B1","CollectionID":"52910a19","ID":"a9979816","DataModelID":651628815408562176,"Dimension":1,"DynamicExpression":"H4sIAAAAAAAEAG1QwU7DMAz9l5yL1JS1lN4mepnEBhqIC+LgrW8ikptMSTqYpv07jtpJA3Hz87P9nt9JWdchqOb9pJboN/CLTjVVqatbPSvqPC+0vq/qPFMtIhkeuaKudTnL67Iq9F0lnOnTms7UPEZvNkNEwjfSeNrDU3T+N5p7E49j6wHMa+zgYbdYUQ/VKJVNZhJ+Afnt5+txL4z4WInfSSyVzySLcWE7fKd7549MMYV4NRWcj5ByRxwgXr1hbt2XHRXC5WvJwA7MVwOPoAP+4U0PG4yz0/2WIi1Fji/J/U3njXhIX61xgJXq/APhdsFpdQEAAA==","EnableZoom":true,"HierarchyIndenting":true,"ParentsOnBottom":false,"SortingOption":0,"Sorting":"","Order":1,"ZoomInParentMemberIds":[],"ZoomInBottomLevelParentMemberIds":[]}},"SuppressBlankRows":true,"SuppressZeroes":true,"EnableDataInput":false},{"Section":"PFConsolidated","Block":"b1","ID":"858a39cb","DataModelID":651628815408562176,"Ranges":{"c9b10842":{"Section":"PFConsolidated","Block":"b1","CollectionID":"858a39cb","ID":"c9b10842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8eb1a3fb":{"Section":"PFConsolidated","Block":"b1","CollectionID":"858a39cb","ID":"8eb1a3fb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1c431d87":{"Section":"PFConsolidated","Block":"b1","CollectionID":"858a39cb","ID":"1c431d87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9d8b9e24":{"Section":"PFConsolidated","Block":"b1","CollectionID":"858a39cb","ID":"9d8b9e24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3,"ZoomInParentMemberIds":[],"ZoomInBottomLevelParentMemberIds":[1176989022519558144]}},"SuppressBlankRows":true,"SuppressZeroes":true,"EnableDataInput":false},{"Section":"PFConsolidated","Block":"b1","ID":"8985a18","DataModelID":651628815408562176,"Ranges":{"6c95cae6":{"Section":"PFConsolidated","Block":"b1","CollectionID":"8985a18","ID":"6c95cae6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f3a0b48c":{"Section":"PFConsolidated","Block":"b1","CollectionID":"8985a18","ID":"f3a0b48c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cf37fd47":{"Section":"PFConsolidated","Block":"b1","CollectionID":"8985a18","ID":"cf37fd47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86d2ec0b":{"Section":"PFConsolidated","Block":"b1","CollectionID":"8985a18","ID":"86d2ec0b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3,"ZoomInParentMemberIds":[],"ZoomInBottomLevelParentMemberIds":[1126333519640395796,1126333519686533120,1126333519715893262]}},"SuppressBlankRows":true,"SuppressZeroes":true,"EnableDataInput":false},{"Section":"PFConsolidated","Block":"b1","ID":"815e2023","DataModelID":651628815408562176,"Ranges":{"e2675742":{"Section":"PFConsolidated","Block":"b1","CollectionID":"815e2023","ID":"e2675742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a72d4ac1":{"Section":"PFConsolidated","Block":"b1","CollectionID":"815e2023","ID":"a72d4ac1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1c79797e":{"Section":"PFConsolidated","Block":"b1","CollectionID":"815e2023","ID":"1c79797e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55396297":{"Section":"PFConsolidated","Block":"b1","CollectionID":"815e2023","ID":"55396297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3,"ZoomInParentMemberIds":[],"ZoomInBottomLevelParentMemberIds":[]}},"SuppressBlankRows":true,"SuppressZeroes":true,"EnableDataInput":false},{"Section":"PFConsolidated","Block":"b1","ID":"9dec66e9","DataModelID":651628815408562176,"Ranges":{"325fa712":{"Section":"PFConsolidated","Block":"b1","CollectionID":"9dec66e9","ID":"325fa712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7729437e":{"Section":"PFConsolidated","Block":"b1","CollectionID":"9dec66e9","ID":"7729437e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d26377d2":{"Section":"PFConsolidated","Block":"b1","CollectionID":"9dec66e9","ID":"d26377d2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464fad3e":{"Section":"PFConsolidated","Block":"b1","CollectionID":"9dec66e9","ID":"464fad3e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3,"ZoomInParentMemberIds":[],"ZoomInBottomLevelParentMemberIds":[]}},"SuppressBlankRows":true,"SuppressZeroes":true,"EnableDataInput":false},{"Section":"PFConsolidated","Block":"b1","ID":"8a5138b5","DataModelID":651628815408562176,"Ranges":{"339244f2":{"Section":"PFConsolidated","Block":"b1","CollectionID":"8a5138b5","ID":"339244f2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da227aa0":{"Section":"PFConsolidated","Block":"b1","CollectionID":"8a5138b5","ID":"da227aa0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98fe802b":{"Section":"PFConsolidated","Block":"b1","CollectionID":"8a5138b5","ID":"98fe802b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1528529e":{"Section":"PFConsolidated","Block":"b1","CollectionID":"8a5138b5","ID":"1528529e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3,"ZoomInParentMemberIds":[],"ZoomInBottomLevelParentMemberIds":[]}},"SuppressBlankRows":true,"SuppressZeroes":true,"EnableDataInput":false},{"Section":"PFConsolidated","Block":"b1","ID":"9d162303","DataModelID":651628815408562176,"Ranges":{"84a4ce1a":{"Section":"PFConsolidated","Block":"b1","CollectionID":"9d162303","ID":"84a4ce1a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74642639":{"Section":"PFConsolidated","Block":"b1","CollectionID":"9d162303","ID":"74642639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abccba35":{"Section":"PFConsolidated","Block":"b1","CollectionID":"9d162303","ID":"abccba35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ee351d6":{"Section":"PFConsolidated","Block":"b1","CollectionID":"9d162303","ID":"ee351d6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3,"ZoomInParentMemberIds":[],"ZoomInBottomLevelParentMemberIds":[]}},"SuppressBlankRows":true,"SuppressZeroes":true,"EnableDataInput":false},{"Section":"PFConsolidated","Block":"b1","ID":"bacdc538","DataModelID":651628815408562176,"Ranges":{"8551e18d":{"Section":"PFConsolidated","Block":"b1","CollectionID":"bacdc538","ID":"8551e18d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81ebd916":{"Section":"PFConsolidated","Block":"b1","CollectionID":"bacdc538","ID":"81ebd916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70f9ac37":{"Section":"PFConsolidated","Block":"b1","CollectionID":"bacdc538","ID":"70f9ac37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d3614e23":{"Section":"PFConsolidated","Block":"b1","CollectionID":"bacdc538","ID":"d3614e23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3,"ZoomInParentMemberIds":[],"ZoomInBottomLevelParentMemberIds":[]}},"SuppressBlankRows":true,"SuppressZeroes":true,"EnableDataInput":false},{"Section":"PFConsolidated","Block":"b1","ID":"4f1992b6","DataModelID":651628815408562176,"Ranges":{"de3a686d":{"Section":"PFConsolidated","Block":"b1","CollectionID":"4f1992b6","ID":"de3a686d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a62dc97a":{"Section":"PFConsolidated","Block":"b1","CollectionID":"4f1992b6","ID":"a62dc97a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24e23a4f":{"Section":"PFConsolidated","Block":"b1","CollectionID":"4f1992b6","ID":"24e23a4f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78d9710":{"Section":"PFConsolidated","Block":"b1","CollectionID":"4f1992b6","ID":"a78d9710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3,"ZoomInParentMemberIds":[],"ZoomInBottomLevelParentMemberIds":[]}},"SuppressBlankRows":true,"SuppressZeroes":true,"EnableDataInput":false},{"Section":"PFConsolidated","Block":"b1","ID":"b05aa3d9","DataModelID":651628815408562176,"Ranges":{"987cf458":{"Section":"PFConsolidated","Block":"b1","CollectionID":"b05aa3d9","ID":"987cf458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e93b2a39":{"Section":"PFConsolidated","Block":"b1","CollectionID":"b05aa3d9","ID":"e93b2a39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d81b125a":{"Section":"PFConsolidated","Block":"b1","CollectionID":"b05aa3d9","ID":"d81b125a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56281d97":{"Section":"PFConsolidated","Block":"b1","CollectionID":"b05aa3d9","ID":"56281d97","DataModelID":651628815408562176,"Dimension":1,"DynamicExpression":"H4sIAAAAAAAEALWST2uDMBjGv0tOLThIXHXOW1tlFLSOTnoZY6T1LQvERJK4rRS/+5LVUg8eduhu758neX5PyAkJWYFG8esJ5VDvQK0qFN8RDyVgKOMoDgMS+lFEghmOgtAnD6HdsdrJrGpujGK71sDlWNGAokYqu8UYX/u5Yub4O/TQEjjfwAEUiD2saQ0oRsjr/V3/AlTtP8pjYzdWv7aI7v6+fKb2oFmJCr6dZ+fdHH2G/duSkxFy/A/gw67ndqMx7Ccl2+bxL/D3I/Cke/MQp9oMRFoqA7Y8UK7BAivGeSK/xNlAX6LazyZazgeCDOgnjOxZDUIzKfrcCTU0t3bc9WNPtKW8ddEWRVkWeZZu02ySp/ki3bwv0yybnCNPp6j7AZ+Tlfj3AgAA","EnableZoom":false,"HierarchyIndenting":false,"ParentsOnBottom":false,"SortingOption":0,"Sorting":"","Order":3,"ZoomInParentMemberIds":[],"ZoomInBottomLevelParentMemberIds":[]}},"SuppressBlankRows":true,"SuppressZeroes":true,"EnableDataInput":false},{"Section":"PFConsolidated","Block":"b1","ID":"93fc6710","DataModelID":651628815408562176,"Ranges":{"fee2e51e":{"Section":"PFConsolidated","Block":"b1","CollectionID":"93fc6710","ID":"fee2e51e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c347cb03":{"Section":"PFConsolidated","Block":"b1","CollectionID":"93fc6710","ID":"c347cb03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45d12fc8":{"Section":"PFConsolidated","Block":"b1","CollectionID":"93fc6710","ID":"45d12fc8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1732332":{"Section":"PFConsolidated","Block":"b1","CollectionID":"93fc6710","ID":"a1732332","DataModelID":651628815408562176,"Dimension":1,"DynamicExpression":"H4sIAAAAAAAEALWST2uDMBjGv8t7asFB4qoTb22VUdA6utJLGSOtb1kgRknitlL87ks2yzx42KG7vX+e5Pk9IReQdYka4v0FcqwOqFYlxHfUgwQN4wLiMKChH0U0mJEoCH36ENodr5zMqubGKH5oDV6PFQ0qZmplt4SQ336uuDl/Dz1YohAbPKFCecQ1qxBiAK/3d/0zMnV8254bu7H6tUV09/flE7MHzUqW+Ok8O+/m6DPi35acjpCTfwAfdj23G41hP6q6bSj5C/39CD3tXjwQTJuBSNfKoC1PTGi0xIoLkdQf8sdAX7Pa3yZbIQaCDNk7jux5hVLzWvbBE2ZYbu2E68feaMdE67Itiu22yLN0l2aTPM0X6eZ1mWbZpM88nUL3BYE1CIL5AgAA","EnableZoom":false,"HierarchyIndenting":false,"ParentsOnBottom":false,"SortingOption":0,"Sorting":"","Order":3,"ZoomInParentMemberIds":[],"ZoomInBottomLevelParentMemberIds":[]}},"SuppressBlankRows":true,"SuppressZeroes":true,"EnableDataInput":false},{"Section":"451","Block":"b1","ID":"7da388ce","DataModelID":651628815408562176,"Ranges":{"a9ab0ef3":{"Section":"451","Block":"b1","CollectionID":"7da388ce","ID":"a9ab0ef3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[1176989022519558144]}},"SuppressBlankRows":true,"SuppressZeroes":true,"EnableDataInput":false},{"Section":"451","Block":"b1","ID":"89d97037","DataModelID":651628815408562176,"Ranges":{"11381019":{"Section":"451","Block":"b1","CollectionID":"89d97037","ID":"11381019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[1126333519640395796,1126333519686533120,1126333519715893262]}},"SuppressBlankRows":true,"SuppressZeroes":true,"EnableDataInput":false},{"Section":"451","Block":"b1","ID":"e843282c","DataModelID":651628815408562176,"Ranges":{"56aa6af6":{"Section":"451","Block":"b1","CollectionID":"e843282c","ID":"56aa6af6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451","Block":"b1","ID":"180e842d","DataModelID":651628815408562176,"Ranges":{"be0f0607":{"Section":"451","Block":"b1","CollectionID":"180e842d","ID":"be0f0607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451","Block":"b1","ID":"6bf8eec2","DataModelID":651628815408562176,"Ranges":{"84a5104d":{"Section":"451","Block":"b1","CollectionID":"6bf8eec2","ID":"84a5104d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451","Block":"b1","ID":"5302cb32","DataModelID":651628815408562176,"Ranges":{"70d47300":{"Section":"451","Block":"b1","CollectionID":"5302cb32","ID":"70d47300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451","Block":"b1","ID":"76857852","DataModelID":651628815408562176,"Ranges":{"cf1fd9ec":{"Section":"451","Block":"b1","CollectionID":"76857852","ID":"cf1fd9ec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451","Block":"b1","ID":"c1be8f79","DataModelID":651628815408562176,"Ranges":{"4959b9ec":{"Section":"451","Block":"b1","CollectionID":"c1be8f79","ID":"4959b9ec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410","Block":"b1","ID":"470beb56","DataModelID":651628815408562176,"Ranges":{"623f9a2d":{"Section":"410","Block":"b1","CollectionID":"470beb56","ID":"623f9a2d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410","Block":"b1","ID":"6e909d44","DataModelID":651628815408562176,"Ranges":{"ae96f6be":{"Section":"410","Block":"b1","CollectionID":"6e909d44","ID":"ae96f6be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410","Block":"b1","ID":"b506b006","DataModelID":651628815408562176,"Ranges":{"44dec80f":{"Section":"410","Block":"b1","CollectionID":"b506b006","ID":"44dec80f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410","Block":"b1","ID":"b641c521","DataModelID":651628815408562176,"Ranges":{"1b47ea72":{"Section":"410","Block":"b1","CollectionID":"b641c521","ID":"1b47ea72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410","Block":"b1","ID":"de39d0ed","DataModelID":651628815408562176,"Ranges":{"8cf88466":{"Section":"410","Block":"b1","CollectionID":"de39d0ed","ID":"8cf88466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410","Block":"b1","ID":"2f778db5","DataModelID":651628815408562176,"Ranges":{"2a519bf3":{"Section":"410","Block":"b1","CollectionID":"2f778db5","ID":"2a519bf3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410","Block":"b1","ID":"51668acd","DataModelID":651628815408562176,"Ranges":{"cdff6bc5":{"Section":"410","Block":"b1","CollectionID":"51668acd","ID":"cdff6bc5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410","Block":"b1","ID":"303983cb","DataModelID":651628815408562176,"Ranges":{"41a1ef0":{"Section":"410","Block":"b1","CollectionID":"303983cb","ID":"41a1ef0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420","Block":"B1","ID":"1d4bcf3a","DataModelID":651628815408562176,"Ranges":{"54a01d36":{"Section":"420","Block":"B1","CollectionID":"1d4bcf3a","ID":"54a01d36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[1176989022519558144]}},"SuppressBlankRows":true,"SuppressZeroes":true,"EnableDataInput":false},{"Section":"420","Block":"B1","ID":"2b7dbd2b","DataModelID":651628815408562176,"Ranges":{"a6774d2d":{"Section":"420","Block":"B1","CollectionID":"2b7dbd2b","ID":"a6774d2d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420","Block":"B1","ID":"7d6e9e92","DataModelID":651628815408562176,"Ranges":{"840bf61":{"Section":"420","Block":"B1","CollectionID":"7d6e9e92","ID":"840bf61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420","Block":"B1","ID":"bfc6a3c5","DataModelID":651628815408562176,"Ranges":{"f24f1fd9":{"Section":"420","Block":"B1","CollectionID":"bfc6a3c5","ID":"f24f1fd9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420","Block":"B1","ID":"440ed4a5","DataModelID":651628815408562176,"Ranges":{"8eccfae2":{"Section":"420","Block":"B1","CollectionID":"440ed4a5","ID":"8eccfae2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420","Block":"B1","ID":"93bd83b2","DataModelID":651628815408562176,"Ranges":{"b85ba867":{"Section":"420","Block":"B1","CollectionID":"93bd83b2","ID":"b85ba867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420","Block":"B1","ID":"cdc25a1a","DataModelID":651628815408562176,"Ranges":{"410b8290":{"Section":"420","Block":"B1","CollectionID":"cdc25a1a","ID":"410b8290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420","Block":"B1","ID":"7bdbcdd7","DataModelID":651628815408562176,"Ranges":{"1808c4ea":{"Section":"420","Block":"B1","CollectionID":"7bdbcdd7","ID":"1808c4ea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440","Block":"B1","ID":"4c464452","DataModelID":651628815408562176,"Ranges":{"a9fa9c89":{"Section":"440","Block":"B1","CollectionID":"4c464452","ID":"a9fa9c89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[1176989022519558144]}},"SuppressBlankRows":true,"SuppressZeroes":true,"EnableDataInput":false},{"Section":"440","Block":"B1","ID":"33943d23","DataModelID":651628815408562176,"Ranges":{"265321c3":{"Section":"440","Block":"B1","CollectionID":"33943d23","ID":"265321c3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[1126333519640395796,1126333519686533120]}},"SuppressBlankRows":true,"SuppressZeroes":true,"EnableDataInput":false},{"Section":"440","Block":"B1","ID":"74625056","DataModelID":651628815408562176,"Ranges":{"7ecc8012":{"Section":"440","Block":"B1","CollectionID":"74625056","ID":"7ecc8012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440","Block":"B1","ID":"8a8031bb","DataModelID":651628815408562176,"Ranges":{"25bdafb3":{"Section":"440","Block":"B1","CollectionID":"8a8031bb","ID":"25bdafb3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440","Block":"B1","ID":"3eceb3c6","DataModelID":651628815408562176,"Ranges":{"923bf892":{"Section":"440","Block":"B1","CollectionID":"3eceb3c6","ID":"923bf892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440","Block":"B1","ID":"6b440f6d","DataModelID":651628815408562176,"Ranges":{"9944deba":{"Section":"440","Block":"B1","CollectionID":"6b440f6d","ID":"9944deba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440","Block":"B1","ID":"1753ba2","DataModelID":651628815408562176,"Ranges":{"a29dcacb":{"Section":"440","Block":"B1","CollectionID":"1753ba2","ID":"a29dcacb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440","Block":"B1","ID":"2ef6473c","DataModelID":651628815408562176,"Ranges":{"4a5a363a":{"Section":"440","Block":"B1","CollectionID":"2ef6473c","ID":"4a5a363a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670","Block":"B1","ID":"a3b5e1c3","DataModelID":651628815408562176,"Ranges":{"4ea02a49":{"Section":"670","Block":"B1","CollectionID":"a3b5e1c3","ID":"4ea02a49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[1176989022519558144]}},"SuppressBlankRows":true,"SuppressZeroes":true,"EnableDataInput":false},{"Section":"670","Block":"B1","ID":"956bd11f","DataModelID":651628815408562176,"Ranges":{"1cd2090d":{"Section":"670","Block":"B1","CollectionID":"956bd11f","ID":"1cd2090d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670","Block":"B1","ID":"a105764","DataModelID":651628815408562176,"Ranges":{"16255cd0":{"Section":"670","Block":"B1","CollectionID":"a105764","ID":"16255cd0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670","Block":"B1","ID":"4acef5b2","DataModelID":651628815408562176,"Ranges":{"17fd1e49":{"Section":"670","Block":"B1","CollectionID":"4acef5b2","ID":"17fd1e49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670","Block":"B1","ID":"8236973c","DataModelID":651628815408562176,"Ranges":{"f14a8cf4":{"Section":"670","Block":"B1","CollectionID":"8236973c","ID":"f14a8cf4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670","Block":"B1","ID":"91249bc3","DataModelID":651628815408562176,"Ranges":{"813b1fe9":{"Section":"670","Block":"B1","CollectionID":"91249bc3","ID":"813b1fe9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670","Block":"B1","ID":"445f0e65","DataModelID":651628815408562176,"Ranges":{"a17d7c38":{"Section":"670","Block":"B1","CollectionID":"445f0e65","ID":"a17d7c38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670","Block":"B1","ID":"f4c63842","DataModelID":651628815408562176,"Ranges":{"b83d408f":{"Section":"670","Block":"B1","CollectionID":"f4c63842","ID":"b83d408f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695","Block":"B1","ID":"e942844c","DataModelID":651628815408562176,"Ranges":{"9d39571c":{"Section":"695","Block":"B1","CollectionID":"e942844c","ID":"9d39571c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695","Block":"B1","ID":"50e1802c","DataModelID":651628815408562176,"Ranges":{"eb721828":{"Section":"695","Block":"B1","CollectionID":"50e1802c","ID":"eb721828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695","Block":"B1","ID":"5c1ba9de","DataModelID":651628815408562176,"Ranges":{"ebc2fa83":{"Section":"695","Block":"B1","CollectionID":"5c1ba9de","ID":"ebc2fa83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695","Block":"B1","ID":"3645d9c9","DataModelID":651628815408562176,"Ranges":{"ecc2c4e4":{"Section":"695","Block":"B1","CollectionID":"3645d9c9","ID":"ecc2c4e4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695","Block":"B1","ID":"4d2fb9f3","DataModelID":651628815408562176,"Ranges":{"6414d626":{"Section":"695","Block":"B1","CollectionID":"4d2fb9f3","ID":"6414d626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695","Block":"B1","ID":"24d92785","DataModelID":651628815408562176,"Ranges":{"80818690":{"Section":"695","Block":"B1","CollectionID":"24d92785","ID":"80818690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695","Block":"B1","ID":"8d557c37","DataModelID":651628815408562176,"Ranges":{"50338799":{"Section":"695","Block":"B1","CollectionID":"8d557c37","ID":"50338799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695","Block":"B1","ID":"293aab11","DataModelID":651628815408562176,"Ranges":{"ee06dd16":{"Section":"695","Block":"B1","CollectionID":"293aab11","ID":"ee06dd16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955","Block":"B1","ID":"7ccfda0a","DataModelID":651628815408562176,"Ranges":{"897f406e":{"Section":"955","Block":"B1","CollectionID":"7ccfda0a","ID":"897f406e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955","Block":"B1","ID":"c40e92fa","DataModelID":651628815408562176,"Ranges":{"ee85fd5":{"Section":"955","Block":"B1","CollectionID":"c40e92fa","ID":"ee85fd5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955","Block":"B1","ID":"8e5a1d0e","DataModelID":651628815408562176,"Ranges":{"dff9abf0":{"Section":"955","Block":"B1","CollectionID":"8e5a1d0e","ID":"dff9abf0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955","Block":"B1","ID":"72577c3e","DataModelID":651628815408562176,"Ranges":{"e9bdc13c":{"Section":"955","Block":"B1","CollectionID":"72577c3e","ID":"e9bdc13c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955","Block":"B1","ID":"7c1df800","DataModelID":651628815408562176,"Ranges":{"1320b7bc":{"Section":"955","Block":"B1","CollectionID":"7c1df800","ID":"1320b7bc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955","Block":"B1","ID":"3f5bdf65","DataModelID":651628815408562176,"Ranges":{"3465ad77":{"Section":"955","Block":"B1","CollectionID":"3f5bdf65","ID":"3465ad77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955","Block":"B1","ID":"294d31b2","DataModelID":651628815408562176,"Ranges":{"b7bb62b2":{"Section":"955","Block":"B1","CollectionID":"294d31b2","ID":"b7bb62b2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955","Block":"B1","ID":"47a15a74","DataModelID":651628815408562176,"Ranges":{"541f539c":{"Section":"955","Block":"B1","CollectionID":"47a15a74","ID":"541f539c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704","Block":"B1","ID":"d9027e48","DataModelID":651628815408562176,"Ranges":{"c630765":{"Section":"704","Block":"B1","CollectionID":"d9027e48","ID":"c630765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704","Block":"B1","ID":"2ad7c9da","DataModelID":651628815408562176,"Ranges":{"bd5f6340":{"Section":"704","Block":"B1","CollectionID":"2ad7c9da","ID":"bd5f6340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704","Block":"B1","ID":"44fb4b6f","DataModelID":651628815408562176,"Ranges":{"99847464":{"Section":"704","Block":"B1","CollectionID":"44fb4b6f","ID":"99847464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704","Block":"B1","ID":"e32dae3e","DataModelID":651628815408562176,"Ranges":{"691de6e8":{"Section":"704","Block":"B1","CollectionID":"e32dae3e","ID":"691de6e8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704","Block":"B1","ID":"c0e825b0","DataModelID":651628815408562176,"Ranges":{"b2d56f62":{"Section":"704","Block":"B1","CollectionID":"c0e825b0","ID":"b2d56f62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704","Block":"B1","ID":"c35a2f25","DataModelID":651628815408562176,"Ranges":{"38787f14":{"Section":"704","Block":"B1","CollectionID":"c35a2f25","ID":"38787f14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704","Block":"B1","ID":"b8e2760b","DataModelID":651628815408562176,"Ranges":{"8b984084":{"Section":"704","Block":"B1","CollectionID":"b8e2760b","ID":"8b984084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704","Block":"B1","ID":"948ffc1a","DataModelID":651628815408562176,"Ranges":{"8cf3d5fa":{"Section":"704","Block":"B1","CollectionID":"948ffc1a","ID":"8cf3d5fa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705","Block":"B1","ID":"9f1f7b8c","DataModelID":651628815408562176,"Ranges":{"cc3c11c7":{"Section":"705","Block":"B1","CollectionID":"9f1f7b8c","ID":"cc3c11c7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705","Block":"B1","ID":"6da8cc82","DataModelID":651628815408562176,"Ranges":{"102cdd4e":{"Section":"705","Block":"B1","CollectionID":"6da8cc82","ID":"102cdd4e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705","Block":"B1","ID":"ebba3a3f","DataModelID":651628815408562176,"Ranges":{"1fb383ef":{"Section":"705","Block":"B1","CollectionID":"ebba3a3f","ID":"1fb383ef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705","Block":"B1","ID":"556d0cfc","DataModelID":651628815408562176,"Ranges":{"87e07e28":{"Section":"705","Block":"B1","CollectionID":"556d0cfc","ID":"87e07e28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705","Block":"B1","ID":"76fe0a3","DataModelID":651628815408562176,"Ranges":{"7adeed7f":{"Section":"705","Block":"B1","CollectionID":"76fe0a3","ID":"7adeed7f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705","Block":"B1","ID":"a1bf9c83","DataModelID":651628815408562176,"Ranges":{"51a8b7f4":{"Section":"705","Block":"B1","CollectionID":"a1bf9c83","ID":"51a8b7f4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705","Block":"B1","ID":"3221a31e","DataModelID":651628815408562176,"Ranges":{"9ab0ca83":{"Section":"705","Block":"B1","CollectionID":"3221a31e","ID":"9ab0ca83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705","Block":"B1","ID":"758036b1","DataModelID":651628815408562176,"Ranges":{"6dfd1301":{"Section":"705","Block":"B1","CollectionID":"758036b1","ID":"6dfd1301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709","Block":"B1","ID":"d5a8950f","DataModelID":651628815408562176,"Ranges":{"66655aad":{"Section":"709","Block":"B1","CollectionID":"d5a8950f","ID":"66655aad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709","Block":"B1","ID":"7b6a1eb5","DataModelID":651628815408562176,"Ranges":{"20a3b37":{"Section":"709","Block":"B1","CollectionID":"7b6a1eb5","ID":"20a3b37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[1126333519640395796]}},"SuppressBlankRows":true,"SuppressZeroes":true,"EnableDataInput":false},{"Section":"709","Block":"B1","ID":"9034d8e","DataModelID":651628815408562176,"Ranges":{"7b57f8c8":{"Section":"709","Block":"B1","CollectionID":"9034d8e","ID":"7b57f8c8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709","Block":"B1","ID":"54b5f624","DataModelID":651628815408562176,"Ranges":{"975f378b":{"Section":"709","Block":"B1","CollectionID":"54b5f624","ID":"975f378b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709","Block":"B1","ID":"1c1f26a2","DataModelID":651628815408562176,"Ranges":{"d712c8a3":{"Section":"709","Block":"B1","CollectionID":"1c1f26a2","ID":"d712c8a3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709","Block":"B1","ID":"79c2b4c7","DataModelID":651628815408562176,"Ranges":{"c5d4fb0c":{"Section":"709","Block":"B1","CollectionID":"79c2b4c7","ID":"c5d4fb0c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709","Block":"B1","ID":"1764fd25","DataModelID":651628815408562176,"Ranges":{"cc55689f":{"Section":"709","Block":"B1","CollectionID":"1764fd25","ID":"cc55689f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709","Block":"B1","ID":"5bb359d4","DataModelID":651628815408562176,"Ranges":{"db14cd41":{"Section":"709","Block":"B1","CollectionID":"5bb359d4","ID":"db14cd41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Finance","Block":"B1","ID":"1f341075","DataModelID":651628815408562176,"Ranges":{"269eda1c":{"Section":"Finance","Block":"B1","CollectionID":"1f341075","ID":"269eda1c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a3da0772":{"Section":"Finance","Block":"B1","CollectionID":"1f341075","ID":"a3da0772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5b049a29":{"Section":"Finance","Block":"B1","CollectionID":"1f341075","ID":"5b049a29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b5fd026":{"Section":"Finance","Block":"B1","CollectionID":"1f341075","ID":"ab5fd026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3,"ZoomInParentMemberIds":[],"ZoomInBottomLevelParentMemberIds":[]}},"SuppressBlankRows":true,"SuppressZeroes":true,"EnableDataInput":false},{"Section":"Finance","Block":"B1","ID":"4c90561b","DataModelID":651628815408562176,"Ranges":{"63f8f703":{"Section":"Finance","Block":"B1","CollectionID":"4c90561b","ID":"63f8f703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bfa8953":{"Section":"Finance","Block":"B1","CollectionID":"4c90561b","ID":"7bfa8953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1c02e7cc":{"Section":"Finance","Block":"B1","CollectionID":"4c90561b","ID":"1c02e7cc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2579017":{"Section":"Finance","Block":"B1","CollectionID":"4c90561b","ID":"a2579017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3,"ZoomInParentMemberIds":[],"ZoomInBottomLevelParentMemberIds":[]}},"SuppressBlankRows":true,"SuppressZeroes":true,"EnableDataInput":false},{"Section":"Finance","Block":"B1","ID":"7ce20aac","DataModelID":651628815408562176,"Ranges":{"60ef5f0":{"Section":"Finance","Block":"B1","CollectionID":"7ce20aac","ID":"60ef5f0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b5bda490":{"Section":"Finance","Block":"B1","CollectionID":"7ce20aac","ID":"b5bda490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2db9d958":{"Section":"Finance","Block":"B1","CollectionID":"7ce20aac","ID":"2db9d958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4dec340":{"Section":"Finance","Block":"B1","CollectionID":"7ce20aac","ID":"a4dec340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3,"ZoomInParentMemberIds":[],"ZoomInBottomLevelParentMemberIds":[]}},"SuppressBlankRows":true,"SuppressZeroes":true,"EnableDataInput":false},{"Section":"Finance","Block":"B1","ID":"4e401bd4","DataModelID":651628815408562176,"Ranges":{"3c6f3578":{"Section":"Finance","Block":"B1","CollectionID":"4e401bd4","ID":"3c6f3578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d3f1ea9e":{"Section":"Finance","Block":"B1","CollectionID":"4e401bd4","ID":"d3f1ea9e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977e73d5":{"Section":"Finance","Block":"B1","CollectionID":"4e401bd4","ID":"977e73d5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9a830eb9":{"Section":"Finance","Block":"B1","CollectionID":"4e401bd4","ID":"9a830eb9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3,"ZoomInParentMemberIds":[],"ZoomInBottomLevelParentMemberIds":[]}},"SuppressBlankRows":true,"SuppressZeroes":true,"EnableDataInput":false},{"Section":"Finance","Block":"B1","ID":"f31c697b","DataModelID":651628815408562176,"Ranges":{"13fb6ece":{"Section":"Finance","Block":"B1","CollectionID":"f31c697b","ID":"13fb6ece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364ca735":{"Section":"Finance","Block":"B1","CollectionID":"f31c697b","ID":"364ca735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8a8489b8":{"Section":"Finance","Block":"B1","CollectionID":"f31c697b","ID":"8a8489b8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2ce34ebb":{"Section":"Finance","Block":"B1","CollectionID":"f31c697b","ID":"2ce34ebb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3,"ZoomInParentMemberIds":[],"ZoomInBottomLevelParentMemberIds":[]}},"SuppressBlankRows":true,"SuppressZeroes":true,"EnableDataInput":false},{"Section":"Finance","Block":"B1","ID":"9f7cdae5","DataModelID":651628815408562176,"Ranges":{"929dc9ab":{"Section":"Finance","Block":"B1","CollectionID":"9f7cdae5","ID":"929dc9ab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56ad0b81":{"Section":"Finance","Block":"B1","CollectionID":"9f7cdae5","ID":"56ad0b81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a29de592":{"Section":"Finance","Block":"B1","CollectionID":"9f7cdae5","ID":"a29de592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1f651e11":{"Section":"Finance","Block":"B1","CollectionID":"9f7cdae5","ID":"1f651e11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3,"ZoomInParentMemberIds":[],"ZoomInBottomLevelParentMemberIds":[]}},"SuppressBlankRows":true,"SuppressZeroes":true,"EnableDataInput":false},{"Section":"Finance","Block":"B1","ID":"4dafa02c","DataModelID":651628815408562176,"Ranges":{"d3aef473":{"Section":"Finance","Block":"B1","CollectionID":"4dafa02c","ID":"d3aef473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78db3ead":{"Section":"Finance","Block":"B1","CollectionID":"4dafa02c","ID":"78db3ead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bf890b7":{"Section":"Finance","Block":"B1","CollectionID":"4dafa02c","ID":"bf890b7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fc00e977":{"Section":"Finance","Block":"B1","CollectionID":"4dafa02c","ID":"fc00e977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3,"ZoomInParentMemberIds":[],"ZoomInBottomLevelParentMemberIds":[]}},"SuppressBlankRows":true,"SuppressZeroes":true,"EnableDataInput":false},{"Section":"Finance","Block":"B1","ID":"7dfa23a8","DataModelID":651628815408562176,"Ranges":{"8bd68a2":{"Section":"Finance","Block":"B1","CollectionID":"7dfa23a8","ID":"8bd68a2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232066ad":{"Section":"Finance","Block":"B1","CollectionID":"7dfa23a8","ID":"232066ad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fef0463":{"Section":"Finance","Block":"B1","CollectionID":"7dfa23a8","ID":"fef0463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8623cf2d":{"Section":"Finance","Block":"B1","CollectionID":"7dfa23a8","ID":"8623cf2d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3,"ZoomInParentMemberIds":[],"ZoomInBottomLevelParentMemberIds":[]}},"SuppressBlankRows":true,"SuppressZeroes":true,"EnableDataInput":false},{"Section":"Finance","Block":"B1","ID":"313434a8","DataModelID":651628815408562176,"Ranges":{"3f67dcf8":{"Section":"Finance","Block":"B1","CollectionID":"313434a8","ID":"3f67dcf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dd88e7a0":{"Section":"Finance","Block":"B1","CollectionID":"313434a8","ID":"dd88e7a0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9e886530":{"Section":"Finance","Block":"B1","CollectionID":"313434a8","ID":"9e886530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300d32e4":{"Section":"Finance","Block":"B1","CollectionID":"313434a8","ID":"300d32e4","DataModelID":651628815408562176,"Dimension":1,"DynamicExpression":"H4sIAAAAAAAEALWST2uDMBjGv0tOLThIXHXOW1tlFLSOTnoZY6T1LQvERJK4rRS/+5LVUg8eduhu758neX5PyAkJWYFG8esJ5VDvQK0qFN8RDyVgKOMoDgMS+lFEghmOgtAnD6HdsdrJrGpujGK71sDlWNGAokYqu8UYX/u5Yub4O/TQEjjfwAEUiD2saQ0oRsjr/V3/AlTtP8pjYzdWv7aI7v6+fKb2oFmJCr6dZ+fdHH2G/duSkxFy/A/gw67ndqMx7Ccl2+bxL/D3I/Cke/MQp9oMRFoqA7Y8UK7BAivGeSK/xNlAX6LazyZazgeCDOgnjOxZDUIzKfrcCTU0t3bc9WNPtKW8ddEWRVkWeZZu02ySp/ki3bwv0yybnCNPp6j7AZ+Tlfj3AgAA","EnableZoom":false,"HierarchyIndenting":false,"ParentsOnBottom":false,"SortingOption":0,"Sorting":"","Order":3,"ZoomInParentMemberIds":[],"ZoomInBottomLevelParentMemberIds":[]}},"SuppressBlankRows":true,"SuppressZeroes":true,"EnableDataInput":false},{"Section":"Finance","Block":"B1","ID":"b5c85f93","DataModelID":651628815408562176,"Ranges":{"906f8dfc":{"Section":"Finance","Block":"B1","CollectionID":"b5c85f93","ID":"906f8dfc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252b971c":{"Section":"Finance","Block":"B1","CollectionID":"b5c85f93","ID":"252b971c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5019b98f":{"Section":"Finance","Block":"B1","CollectionID":"b5c85f93","ID":"5019b98f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2f17a20b":{"Section":"Finance","Block":"B1","CollectionID":"b5c85f93","ID":"2f17a20b","DataModelID":651628815408562176,"Dimension":1,"DynamicExpression":"H4sIAAAAAAAEALWST2uDMBjGv8t7asFB4qoTb22VUdA6utJLGSOtb1kgRknitlL87ks2yzx42KG7vX+e5Pk9IReQdYka4v0FcqwOqFYlxHfUgwQN4wLiMKChH0U0mJEoCH36ENodr5zMqubGKH5oDV6PFQ0qZmplt4SQ336uuDl/Dz1YohAbPKFCecQ1qxBiAK/3d/0zMnV8254bu7H6tUV09/flE7MHzUqW+Ok8O+/m6DPi35acjpCTfwAfdj23G41hP6q6bSj5C/39CD3tXjwQTJuBSNfKoC1PTGi0xIoLkdQf8sdAX7Pa3yZbIQaCDNk7jux5hVLzWvbBE2ZYbu2E68feaMdE67Itiu22yLN0l2aTPM0X6eZ1mWbZpM88nUL3BYE1CIL5AgAA","EnableZoom":false,"HierarchyIndenting":false,"ParentsOnBottom":false,"SortingOption":0,"Sorting":"","Order":3,"ZoomInParentMemberIds":[],"ZoomInBottomLevelParentMemberIds":[]}},"SuppressBlankRows":true,"SuppressZeroes":true,"EnableDataInput":false},{"Section":"912","Block":"B1","ID":"55769eb0","DataModelID":651628815408562176,"Ranges":{"e631a8f2":{"Section":"912","Block":"B1","CollectionID":"55769eb0","ID":"e631a8f2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912","Block":"B1","ID":"8c2364fd","DataModelID":651628815408562176,"Ranges":{"6a7b0a0":{"Section":"912","Block":"B1","CollectionID":"8c2364fd","ID":"6a7b0a0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912","Block":"B1","ID":"586e12d9","DataModelID":651628815408562176,"Ranges":{"1c2685ea":{"Section":"912","Block":"B1","CollectionID":"586e12d9","ID":"1c2685ea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912","Block":"B1","ID":"32780655","DataModelID":651628815408562176,"Ranges":{"d2b55f75":{"Section":"912","Block":"B1","CollectionID":"32780655","ID":"d2b55f75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912","Block":"B1","ID":"ea421eba","DataModelID":651628815408562176,"Ranges":{"ff8eda37":{"Section":"912","Block":"B1","CollectionID":"ea421eba","ID":"ff8eda37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912","Block":"B1","ID":"f84ca32d","DataModelID":651628815408562176,"Ranges":{"f50ae838":{"Section":"912","Block":"B1","CollectionID":"f84ca32d","ID":"f50ae838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912","Block":"B1","ID":"dc3e552","DataModelID":651628815408562176,"Ranges":{"510c1d0e":{"Section":"912","Block":"B1","CollectionID":"dc3e552","ID":"510c1d0e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912","Block":"B1","ID":"828e4583","DataModelID":651628815408562176,"Ranges":{"355fbda3":{"Section":"912","Block":"B1","CollectionID":"828e4583","ID":"355fbda3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Technology","Block":"b1","ID":"2a4d48fe","DataModelID":651628815408562176,"Ranges":{"5a40e37b":{"Section":"Technology","Block":"b1","CollectionID":"2a4d48fe","ID":"5a40e37b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9d6c875":{"Section":"Technology","Block":"b1","CollectionID":"2a4d48fe","ID":"9d6c875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18532d65":{"Section":"Technology","Block":"b1","CollectionID":"2a4d48fe","ID":"18532d65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4c20a0b4":{"Section":"Technology","Block":"b1","CollectionID":"2a4d48fe","ID":"4c20a0b4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3,"ZoomInParentMemberIds":[],"ZoomInBottomLevelParentMemberIds":[]}},"SuppressBlankRows":true,"SuppressZeroes":true,"EnableDataInput":false},{"Section":"Technology","Block":"b1","ID":"bf144528","DataModelID":651628815408562176,"Ranges":{"c08cc734":{"Section":"Technology","Block":"b1","CollectionID":"bf144528","ID":"c08cc734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78b880ae":{"Section":"Technology","Block":"b1","CollectionID":"bf144528","ID":"78b880ae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1e61d62b":{"Section":"Technology","Block":"b1","CollectionID":"bf144528","ID":"1e61d62b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b2cb856d":{"Section":"Technology","Block":"b1","CollectionID":"bf144528","ID":"b2cb856d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3,"ZoomInParentMemberIds":[],"ZoomInBottomLevelParentMemberIds":[]}},"SuppressBlankRows":true,"SuppressZeroes":true,"EnableDataInput":false},{"Section":"Technology","Block":"b1","ID":"2af9dbfc","DataModelID":651628815408562176,"Ranges":{"25923545":{"Section":"Technology","Block":"b1","CollectionID":"2af9dbfc","ID":"25923545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39367b31":{"Section":"Technology","Block":"b1","CollectionID":"2af9dbfc","ID":"39367b31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1f216660":{"Section":"Technology","Block":"b1","CollectionID":"2af9dbfc","ID":"1f216660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d5d768":{"Section":"Technology","Block":"b1","CollectionID":"2af9dbfc","ID":"d5d768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3,"ZoomInParentMemberIds":[],"ZoomInBottomLevelParentMemberIds":[]}},"SuppressBlankRows":true,"SuppressZeroes":true,"EnableDataInput":false},{"Section":"Technology","Block":"b1","ID":"cf727c6d","DataModelID":651628815408562176,"Ranges":{"7a551b23":{"Section":"Technology","Block":"b1","CollectionID":"cf727c6d","ID":"7a551b23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43eff868":{"Section":"Technology","Block":"b1","CollectionID":"cf727c6d","ID":"43eff868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4505f120":{"Section":"Technology","Block":"b1","CollectionID":"cf727c6d","ID":"4505f120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dc47fc0":{"Section":"Technology","Block":"b1","CollectionID":"cf727c6d","ID":"adc47fc0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3,"ZoomInParentMemberIds":[],"ZoomInBottomLevelParentMemberIds":[]}},"SuppressBlankRows":true,"SuppressZeroes":true,"EnableDataInput":false},{"Section":"Technology","Block":"b1","ID":"7732b3f2","DataModelID":651628815408562176,"Ranges":{"7081692e":{"Section":"Technology","Block":"b1","CollectionID":"7732b3f2","ID":"7081692e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685a7067":{"Section":"Technology","Block":"b1","CollectionID":"7732b3f2","ID":"685a7067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c566e78d":{"Section":"Technology","Block":"b1","CollectionID":"7732b3f2","ID":"c566e78d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f67a64e":{"Section":"Technology","Block":"b1","CollectionID":"7732b3f2","ID":"8f67a64e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3,"ZoomInParentMemberIds":[],"ZoomInBottomLevelParentMemberIds":[]}},"SuppressBlankRows":true,"SuppressZeroes":true,"EnableDataInput":false},{"Section":"Technology","Block":"b1","ID":"b3ddc0fc","DataModelID":651628815408562176,"Ranges":{"28cb592c":{"Section":"Technology","Block":"b1","CollectionID":"b3ddc0fc","ID":"28cb592c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a5a6b1f4":{"Section":"Technology","Block":"b1","CollectionID":"b3ddc0fc","ID":"a5a6b1f4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8660aabe":{"Section":"Technology","Block":"b1","CollectionID":"b3ddc0fc","ID":"8660aabe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dcd578d2":{"Section":"Technology","Block":"b1","CollectionID":"b3ddc0fc","ID":"dcd578d2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3,"ZoomInParentMemberIds":[],"ZoomInBottomLevelParentMemberIds":[]}},"SuppressBlankRows":true,"SuppressZeroes":true,"EnableDataInput":false},{"Section":"Technology","Block":"b1","ID":"c93ccbcd","DataModelID":651628815408562176,"Ranges":{"943c7c6a":{"Section":"Technology","Block":"b1","CollectionID":"c93ccbcd","ID":"943c7c6a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dd5fe5f9":{"Section":"Technology","Block":"b1","CollectionID":"c93ccbcd","ID":"dd5fe5f9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e422db7c":{"Section":"Technology","Block":"b1","CollectionID":"c93ccbcd","ID":"e422db7c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617565c9":{"Section":"Technology","Block":"b1","CollectionID":"c93ccbcd","ID":"617565c9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3,"ZoomInParentMemberIds":[],"ZoomInBottomLevelParentMemberIds":[]}},"SuppressBlankRows":true,"SuppressZeroes":true,"EnableDataInput":false},{"Section":"Technology","Block":"b1","ID":"1ccc808","DataModelID":651628815408562176,"Ranges":{"57d6e669":{"Section":"Technology","Block":"b1","CollectionID":"1ccc808","ID":"57d6e669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c3a8d06b":{"Section":"Technology","Block":"b1","CollectionID":"1ccc808","ID":"c3a8d06b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e1670825":{"Section":"Technology","Block":"b1","CollectionID":"1ccc808","ID":"e1670825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f7f37790":{"Section":"Technology","Block":"b1","CollectionID":"1ccc808","ID":"f7f37790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3,"ZoomInParentMemberIds":[],"ZoomInBottomLevelParentMemberIds":[]}},"SuppressBlankRows":true,"SuppressZeroes":true,"EnableDataInput":false},{"Section":"Technology","Block":"b1","ID":"8813e176","DataModelID":651628815408562176,"Ranges":{"da48d221":{"Section":"Technology","Block":"b1","CollectionID":"8813e176","ID":"da48d221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2ce7077d":{"Section":"Technology","Block":"b1","CollectionID":"8813e176","ID":"2ce7077d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19bcefb4":{"Section":"Technology","Block":"b1","CollectionID":"8813e176","ID":"19bcefb4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77d4999e":{"Section":"Technology","Block":"b1","CollectionID":"8813e176","ID":"77d4999e","DataModelID":651628815408562176,"Dimension":1,"DynamicExpression":"H4sIAAAAAAAEALWST2uDMBjGv0tOLThIXHXOW1tlFLSOTnoZY6T1LQvERJK4rRS/+5LVUg8eduhu758neX5PyAkJWYFG8esJ5VDvQK0qFN8RDyVgKOMoDgMS+lFEghmOgtAnD6HdsdrJrGpujGK71sDlWNGAokYqu8UYX/u5Yub4O/TQEjjfwAEUiD2saQ0oRsjr/V3/AlTtP8pjYzdWv7aI7v6+fKb2oFmJCr6dZ+fdHH2G/duSkxFy/A/gw67ndqMx7Ccl2+bxL/D3I/Cke/MQp9oMRFoqA7Y8UK7BAivGeSK/xNlAX6LazyZazgeCDOgnjOxZDUIzKfrcCTU0t3bc9WNPtKW8ddEWRVkWeZZu02ySp/ki3bwv0yybnCNPp6j7AZ+Tlfj3AgAA","EnableZoom":false,"HierarchyIndenting":false,"ParentsOnBottom":false,"SortingOption":0,"Sorting":"","Order":3,"ZoomInParentMemberIds":[],"ZoomInBottomLevelParentMemberIds":[]}},"SuppressBlankRows":true,"SuppressZeroes":true,"EnableDataInput":false},{"Section":"Technology","Block":"b1","ID":"e443cff4","DataModelID":651628815408562176,"Ranges":{"2d82c654":{"Section":"Technology","Block":"b1","CollectionID":"e443cff4","ID":"2d82c654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77efec2f":{"Section":"Technology","Block":"b1","CollectionID":"e443cff4","ID":"77efec2f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20ef1086":{"Section":"Technology","Block":"b1","CollectionID":"e443cff4","ID":"20ef1086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12270c97":{"Section":"Technology","Block":"b1","CollectionID":"e443cff4","ID":"12270c97","DataModelID":651628815408562176,"Dimension":1,"DynamicExpression":"H4sIAAAAAAAEALWST2uDMBjGv8t7asFB4qoTb22VUdA6utJLGSOtb1kgRknitlL87ks2yzx42KG7vX+e5Pk9IReQdYka4v0FcqwOqFYlxHfUgwQN4wLiMKChH0U0mJEoCH36ENodr5zMqubGKH5oDV6PFQ0qZmplt4SQ336uuDl/Dz1YohAbPKFCecQ1qxBiAK/3d/0zMnV8254bu7H6tUV09/flE7MHzUqW+Ok8O+/m6DPi35acjpCTfwAfdj23G41hP6q6bSj5C/39CD3tXjwQTJuBSNfKoC1PTGi0xIoLkdQf8sdAX7Pa3yZbIQaCDNk7jux5hVLzWvbBE2ZYbu2E68feaMdE67Itiu22yLN0l2aTPM0X6eZ1mWbZpM88nUL3BYE1CIL5AgAA","EnableZoom":false,"HierarchyIndenting":false,"ParentsOnBottom":false,"SortingOption":0,"Sorting":"","Order":3,"ZoomInParentMemberIds":[],"ZoomInBottomLevelParentMemberIds":[]}},"SuppressBlankRows":true,"SuppressZeroes":true,"EnableDataInput":false},{"Section":"930","Block":"b1","ID":"90ef4138","DataModelID":651628815408562176,"Ranges":{"8e0fe9":{"Section":"930","Block":"b1","CollectionID":"90ef4138","ID":"8e0fe9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930","Block":"b1","ID":"2dbc7b76","DataModelID":651628815408562176,"Ranges":{"db7390be":{"Section":"930","Block":"b1","CollectionID":"2dbc7b76","ID":"db7390be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930","Block":"b1","ID":"abb3ea0d","DataModelID":651628815408562176,"Ranges":{"191bc4df":{"Section":"930","Block":"b1","CollectionID":"abb3ea0d","ID":"191bc4df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930","Block":"b1","ID":"a93a5f9c","DataModelID":651628815408562176,"Ranges":{"774a421f":{"Section":"930","Block":"b1","CollectionID":"a93a5f9c","ID":"774a421f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930","Block":"b1","ID":"adf318fe","DataModelID":651628815408562176,"Ranges":{"ad527da5":{"Section":"930","Block":"b1","CollectionID":"adf318fe","ID":"ad527da5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930","Block":"b1","ID":"ddb797a4","DataModelID":651628815408562176,"Ranges":{"76148b77":{"Section":"930","Block":"b1","CollectionID":"ddb797a4","ID":"76148b77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930","Block":"b1","ID":"c3655276","DataModelID":651628815408562176,"Ranges":{"42bd24fb":{"Section":"930","Block":"b1","CollectionID":"c3655276","ID":"42bd24fb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930","Block":"b1","ID":"e21537aa","DataModelID":651628815408562176,"Ranges":{"d6760641":{"Section":"930","Block":"b1","CollectionID":"e21537aa","ID":"d6760641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933","Block":"b1","ID":"b22196bf","DataModelID":651628815408562176,"Ranges":{"3bece2d5":{"Section":"933","Block":"b1","CollectionID":"b22196bf","ID":"3bece2d5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933","Block":"b1","ID":"bf6efd5b","DataModelID":651628815408562176,"Ranges":{"f66dadc5":{"Section":"933","Block":"b1","CollectionID":"bf6efd5b","ID":"f66dadc5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933","Block":"b1","ID":"51e1b619","DataModelID":651628815408562176,"Ranges":{"2ca695db":{"Section":"933","Block":"b1","CollectionID":"51e1b619","ID":"2ca695db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933","Block":"b1","ID":"aea06750","DataModelID":651628815408562176,"Ranges":{"9d8aa523":{"Section":"933","Block":"b1","CollectionID":"aea06750","ID":"9d8aa523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933","Block":"b1","ID":"fec45a06","DataModelID":651628815408562176,"Ranges":{"ede3bb9":{"Section":"933","Block":"b1","CollectionID":"fec45a06","ID":"ede3bb9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933","Block":"b1","ID":"b46c4b8e","DataModelID":651628815408562176,"Ranges":{"f6f5f614":{"Section":"933","Block":"b1","CollectionID":"b46c4b8e","ID":"f6f5f614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933","Block":"b1","ID":"23cb6418","DataModelID":651628815408562176,"Ranges":{"4f9424a8":{"Section":"933","Block":"b1","CollectionID":"23cb6418","ID":"4f9424a8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933","Block":"b1","ID":"d900d691","DataModelID":651628815408562176,"Ranges":{"5736378c":{"Section":"933","Block":"b1","CollectionID":"d900d691","ID":"5736378c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Po","Block":"b1","ID":"2707ab24","DataModelID":651628815408562176,"Ranges":{"b6d4fca4":{"Section":"Po","Block":"b1","CollectionID":"2707ab24","ID":"b6d4fca4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a05554bd":{"Section":"Po","Block":"b1","CollectionID":"2707ab24","ID":"a05554bd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c1e151ff":{"Section":"Po","Block":"b1","CollectionID":"2707ab24","ID":"c1e151ff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80f48f3c":{"Section":"Po","Block":"b1","CollectionID":"2707ab24","ID":"80f48f3c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3,"ZoomInParentMemberIds":[],"ZoomInBottomLevelParentMemberIds":[]}},"SuppressBlankRows":true,"SuppressZeroes":true,"EnableDataInput":false},{"Section":"Po","Block":"b1","ID":"af255f6b","DataModelID":651628815408562176,"Ranges":{"8a4ef2a3":{"Section":"Po","Block":"b1","CollectionID":"af255f6b","ID":"8a4ef2a3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729f8699":{"Section":"Po","Block":"b1","CollectionID":"af255f6b","ID":"729f8699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392a5bf1":{"Section":"Po","Block":"b1","CollectionID":"af255f6b","ID":"392a5bf1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93a27f0d":{"Section":"Po","Block":"b1","CollectionID":"af255f6b","ID":"93a27f0d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3,"ZoomInParentMemberIds":[],"ZoomInBottomLevelParentMemberIds":[]}},"SuppressBlankRows":true,"SuppressZeroes":true,"EnableDataInput":false},{"Section":"Po","Block":"b1","ID":"a07af837","DataModelID":651628815408562176,"Ranges":{"256a1cf0":{"Section":"Po","Block":"b1","CollectionID":"a07af837","ID":"256a1cf0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683de95e":{"Section":"Po","Block":"b1","CollectionID":"a07af837","ID":"683de95e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90b02576":{"Section":"Po","Block":"b1","CollectionID":"a07af837","ID":"90b02576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132474a3":{"Section":"Po","Block":"b1","CollectionID":"a07af837","ID":"132474a3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3,"ZoomInParentMemberIds":[],"ZoomInBottomLevelParentMemberIds":[]}},"SuppressBlankRows":true,"SuppressZeroes":true,"EnableDataInput":false},{"Section":"Po","Block":"b1","ID":"1352058a","DataModelID":651628815408562176,"Ranges":{"2855f8d3":{"Section":"Po","Block":"b1","CollectionID":"1352058a","ID":"2855f8d3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dffa2ccc":{"Section":"Po","Block":"b1","CollectionID":"1352058a","ID":"dffa2ccc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4309eae0":{"Section":"Po","Block":"b1","CollectionID":"1352058a","ID":"4309eae0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ee00b525":{"Section":"Po","Block":"b1","CollectionID":"1352058a","ID":"ee00b525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3,"ZoomInParentMemberIds":[],"ZoomInBottomLevelParentMemberIds":[]}},"SuppressBlankRows":true,"SuppressZeroes":true,"EnableDataInput":false},{"Section":"Po","Block":"b1","ID":"89cc4086","DataModelID":651628815408562176,"Ranges":{"318d1be8":{"Section":"Po","Block":"b1","CollectionID":"89cc4086","ID":"318d1be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d5f22f9b":{"Section":"Po","Block":"b1","CollectionID":"89cc4086","ID":"d5f22f9b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ee02e1da":{"Section":"Po","Block":"b1","CollectionID":"89cc4086","ID":"ee02e1da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897490ce":{"Section":"Po","Block":"b1","CollectionID":"89cc4086","ID":"897490ce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3,"ZoomInParentMemberIds":[],"ZoomInBottomLevelParentMemberIds":[]}},"SuppressBlankRows":true,"SuppressZeroes":true,"EnableDataInput":false},{"Section":"Po","Block":"b1","ID":"dd5cb181","DataModelID":651628815408562176,"Ranges":{"dbcc567e":{"Section":"Po","Block":"b1","CollectionID":"dd5cb181","ID":"dbcc567e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9fec7c4c":{"Section":"Po","Block":"b1","CollectionID":"dd5cb181","ID":"9fec7c4c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836aaa0d":{"Section":"Po","Block":"b1","CollectionID":"dd5cb181","ID":"836aaa0d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ca819bb":{"Section":"Po","Block":"b1","CollectionID":"dd5cb181","ID":"8ca819bb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3,"ZoomInParentMemberIds":[],"ZoomInBottomLevelParentMemberIds":[]}},"SuppressBlankRows":true,"SuppressZeroes":true,"EnableDataInput":false},{"Section":"Po","Block":"b1","ID":"85a1e669","DataModelID":651628815408562176,"Ranges":{"a8713117":{"Section":"Po","Block":"b1","CollectionID":"85a1e669","ID":"a8713117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a9efcd1a":{"Section":"Po","Block":"b1","CollectionID":"85a1e669","ID":"a9efcd1a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d33e17e3":{"Section":"Po","Block":"b1","CollectionID":"85a1e669","ID":"d33e17e3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1c292956":{"Section":"Po","Block":"b1","CollectionID":"85a1e669","ID":"1c292956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3,"ZoomInParentMemberIds":[],"ZoomInBottomLevelParentMemberIds":[]}},"SuppressBlankRows":true,"SuppressZeroes":true,"EnableDataInput":false},{"Section":"Po","Block":"b1","ID":"88a300c6","DataModelID":651628815408562176,"Ranges":{"2e19e36":{"Section":"Po","Block":"b1","CollectionID":"88a300c6","ID":"2e19e36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3840ab9d":{"Section":"Po","Block":"b1","CollectionID":"88a300c6","ID":"3840ab9d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bb5e611d":{"Section":"Po","Block":"b1","CollectionID":"88a300c6","ID":"bb5e611d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d5d472f1":{"Section":"Po","Block":"b1","CollectionID":"88a300c6","ID":"d5d472f1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3,"ZoomInParentMemberIds":[],"ZoomInBottomLevelParentMemberIds":[]}},"SuppressBlankRows":true,"SuppressZeroes":true,"EnableDataInput":false},{"Section":"Po","Block":"b1","ID":"1317a90e","DataModelID":651628815408562176,"Ranges":{"11e384dc":{"Section":"Po","Block":"b1","CollectionID":"1317a90e","ID":"11e384dc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597cfda5":{"Section":"Po","Block":"b1","CollectionID":"1317a90e","ID":"597cfda5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3f015898":{"Section":"Po","Block":"b1","CollectionID":"1317a90e","ID":"3f015898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b6855893":{"Section":"Po","Block":"b1","CollectionID":"1317a90e","ID":"b6855893","DataModelID":651628815408562176,"Dimension":1,"DynamicExpression":"H4sIAAAAAAAEALWST2uDMBjGv0tOLThIXHXOW1tlFLSOTnoZY6T1LQvERJK4rRS/+5LVUg8eduhu758neX5PyAkJWYFG8esJ5VDvQK0qFN8RDyVgKOMoDgMS+lFEghmOgtAnD6HdsdrJrGpujGK71sDlWNGAokYqu8UYX/u5Yub4O/TQEjjfwAEUiD2saQ0oRsjr/V3/AlTtP8pjYzdWv7aI7v6+fKb2oFmJCr6dZ+fdHH2G/duSkxFy/A/gw67ndqMx7Ccl2+bxL/D3I/Cke/MQp9oMRFoqA7Y8UK7BAivGeSK/xNlAX6LazyZazgeCDOgnjOxZDUIzKfrcCTU0t3bc9WNPtKW8ddEWRVkWeZZu02ySp/ki3bwv0yybnCNPp6j7AZ+Tlfj3AgAA","EnableZoom":false,"HierarchyIndenting":false,"ParentsOnBottom":false,"SortingOption":0,"Sorting":"","Order":3,"ZoomInParentMemberIds":[],"ZoomInBottomLevelParentMemberIds":[]}},"SuppressBlankRows":true,"SuppressZeroes":true,"EnableDataInput":false},{"Section":"Po","Block":"b1","ID":"bbf53906","DataModelID":651628815408562176,"Ranges":{"bd434dd5":{"Section":"Po","Block":"b1","CollectionID":"bbf53906","ID":"bd434dd5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79d62885":{"Section":"Po","Block":"b1","CollectionID":"bbf53906","ID":"79d62885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673d7ce0":{"Section":"Po","Block":"b1","CollectionID":"bbf53906","ID":"673d7ce0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2e5434f":{"Section":"Po","Block":"b1","CollectionID":"bbf53906","ID":"a2e5434f","DataModelID":651628815408562176,"Dimension":1,"DynamicExpression":"H4sIAAAAAAAEALWST2uDMBjGv8t7asFB4qoTb22VUdA6utJLGSOtb1kgRknitlL87ks2yzx42KG7vX+e5Pk9IReQdYka4v0FcqwOqFYlxHfUgwQN4wLiMKChH0U0mJEoCH36ENodr5zMqubGKH5oDV6PFQ0qZmplt4SQ336uuDl/Dz1YohAbPKFCecQ1qxBiAK/3d/0zMnV8254bu7H6tUV09/flE7MHzUqW+Ok8O+/m6DPi35acjpCTfwAfdj23G41hP6q6bSj5C/39CD3tXjwQTJuBSNfKoC1PTGi0xIoLkdQf8sdAX7Pa3yZbIQaCDNk7jux5hVLzWvbBE2ZYbu2E68feaMdE67Itiu22yLN0l2aTPM0X6eZ1mWbZpM88nUL3BYE1CIL5AgAA","EnableZoom":false,"HierarchyIndenting":false,"ParentsOnBottom":false,"SortingOption":0,"Sorting":"","Order":3,"ZoomInParentMemberIds":[],"ZoomInBottomLevelParentMemberIds":[]}},"SuppressBlankRows":true,"SuppressZeroes":true,"EnableDataInput":false},{"Section":"920","Block":"B1","ID":"d8572b59","DataModelID":651628815408562176,"Ranges":{"34f8cd56":{"Section":"920","Block":"B1","CollectionID":"d8572b59","ID":"34f8cd56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920","Block":"B1","ID":"7ce454af","DataModelID":651628815408562176,"Ranges":{"e3cb3612":{"Section":"920","Block":"B1","CollectionID":"7ce454af","ID":"e3cb3612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920","Block":"B1","ID":"b3eb6873","DataModelID":651628815408562176,"Ranges":{"61914976":{"Section":"920","Block":"B1","CollectionID":"b3eb6873","ID":"61914976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920","Block":"B1","ID":"253f95aa","DataModelID":651628815408562176,"Ranges":{"1d6cb066":{"Section":"920","Block":"B1","CollectionID":"253f95aa","ID":"1d6cb066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920","Block":"B1","ID":"d90c1289","DataModelID":651628815408562176,"Ranges":{"f885e57":{"Section":"920","Block":"B1","CollectionID":"d90c1289","ID":"f885e57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920","Block":"B1","ID":"12ad551a","DataModelID":651628815408562176,"Ranges":{"ec82e591":{"Section":"920","Block":"B1","CollectionID":"12ad551a","ID":"ec82e591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920","Block":"B1","ID":"80f7097","DataModelID":651628815408562176,"Ranges":{"62bf4476":{"Section":"920","Block":"B1","CollectionID":"80f7097","ID":"62bf4476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920","Block":"B1","ID":"133695f9","DataModelID":651628815408562176,"Ranges":{"5f2f4c56":{"Section":"920","Block":"B1","CollectionID":"133695f9","ID":"5f2f4c56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LEGAL","Block":"B1","ID":"48b1893f","DataModelID":651628815408562176,"Ranges":{"a9854259":{"Section":"LEGAL","Block":"B1","CollectionID":"48b1893f","ID":"a9854259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1726dacf":{"Section":"LEGAL","Block":"B1","CollectionID":"48b1893f","ID":"1726dacf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6d968226":{"Section":"LEGAL","Block":"B1","CollectionID":"48b1893f","ID":"6d968226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8200e3b1":{"Section":"LEGAL","Block":"B1","CollectionID":"48b1893f","ID":"8200e3b1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3,"ZoomInParentMemberIds":[],"ZoomInBottomLevelParentMemberIds":[]}},"SuppressBlankRows":true,"SuppressZeroes":true,"EnableDataInput":false},{"Section":"LEGAL","Block":"B1","ID":"8f3ca44e","DataModelID":651628815408562176,"Ranges":{"b3b83770":{"Section":"LEGAL","Block":"B1","CollectionID":"8f3ca44e","ID":"b3b83770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e04f4956":{"Section":"LEGAL","Block":"B1","CollectionID":"8f3ca44e","ID":"e04f4956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2706a864":{"Section":"LEGAL","Block":"B1","CollectionID":"8f3ca44e","ID":"2706a864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73b25329":{"Section":"LEGAL","Block":"B1","CollectionID":"8f3ca44e","ID":"73b25329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3,"ZoomInParentMemberIds":[],"ZoomInBottomLevelParentMemberIds":[]}},"SuppressBlankRows":true,"SuppressZeroes":true,"EnableDataInput":false},{"Section":"LEGAL","Block":"B1","ID":"6167bc4b","DataModelID":651628815408562176,"Ranges":{"99666b76":{"Section":"LEGAL","Block":"B1","CollectionID":"6167bc4b","ID":"99666b76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b4437446":{"Section":"LEGAL","Block":"B1","CollectionID":"6167bc4b","ID":"b4437446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ba95fdc6":{"Section":"LEGAL","Block":"B1","CollectionID":"6167bc4b","ID":"ba95fdc6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71b5b151":{"Section":"LEGAL","Block":"B1","CollectionID":"6167bc4b","ID":"71b5b151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3,"ZoomInParentMemberIds":[],"ZoomInBottomLevelParentMemberIds":[]}},"SuppressBlankRows":true,"SuppressZeroes":true,"EnableDataInput":false},{"Section":"LEGAL","Block":"B1","ID":"b97f7482","DataModelID":651628815408562176,"Ranges":{"3d18ab62":{"Section":"LEGAL","Block":"B1","CollectionID":"b97f7482","ID":"3d18ab62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22eb8f65":{"Section":"LEGAL","Block":"B1","CollectionID":"b97f7482","ID":"22eb8f65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990881c":{"Section":"LEGAL","Block":"B1","CollectionID":"b97f7482","ID":"990881c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6010a745":{"Section":"LEGAL","Block":"B1","CollectionID":"b97f7482","ID":"6010a745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3,"ZoomInParentMemberIds":[],"ZoomInBottomLevelParentMemberIds":[]}},"SuppressBlankRows":true,"SuppressZeroes":true,"EnableDataInput":false},{"Section":"LEGAL","Block":"B1","ID":"fa920032","DataModelID":651628815408562176,"Ranges":{"bcdbf7da":{"Section":"LEGAL","Block":"B1","CollectionID":"fa920032","ID":"bcdbf7da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746a9613":{"Section":"LEGAL","Block":"B1","CollectionID":"fa920032","ID":"746a9613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efa1767b":{"Section":"LEGAL","Block":"B1","CollectionID":"fa920032","ID":"efa1767b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b5b7c091":{"Section":"LEGAL","Block":"B1","CollectionID":"fa920032","ID":"b5b7c091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3,"ZoomInParentMemberIds":[],"ZoomInBottomLevelParentMemberIds":[]}},"SuppressBlankRows":true,"SuppressZeroes":true,"EnableDataInput":false},{"Section":"LEGAL","Block":"B1","ID":"30263e25","DataModelID":651628815408562176,"Ranges":{"e4a00592":{"Section":"LEGAL","Block":"B1","CollectionID":"30263e25","ID":"e4a00592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5815fed7":{"Section":"LEGAL","Block":"B1","CollectionID":"30263e25","ID":"5815fed7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e6e32c5":{"Section":"LEGAL","Block":"B1","CollectionID":"30263e25","ID":"e6e32c5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2b42c784":{"Section":"LEGAL","Block":"B1","CollectionID":"30263e25","ID":"2b42c784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3,"ZoomInParentMemberIds":[],"ZoomInBottomLevelParentMemberIds":[]}},"SuppressBlankRows":true,"SuppressZeroes":true,"EnableDataInput":false},{"Section":"LEGAL","Block":"B1","ID":"9d52a5ca","DataModelID":651628815408562176,"Ranges":{"7cb8f0a8":{"Section":"LEGAL","Block":"B1","CollectionID":"9d52a5ca","ID":"7cb8f0a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e2b9aa1":{"Section":"LEGAL","Block":"B1","CollectionID":"9d52a5ca","ID":"e2b9aa1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4e1bfcd9":{"Section":"LEGAL","Block":"B1","CollectionID":"9d52a5ca","ID":"4e1bfcd9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d0e2f13":{"Section":"LEGAL","Block":"B1","CollectionID":"9d52a5ca","ID":"ad0e2f13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3,"ZoomInParentMemberIds":[],"ZoomInBottomLevelParentMemberIds":[]}},"SuppressBlankRows":true,"SuppressZeroes":true,"EnableDataInput":false},{"Section":"LEGAL","Block":"B1","ID":"f38128af","DataModelID":651628815408562176,"Ranges":{"2863e967":{"Section":"LEGAL","Block":"B1","CollectionID":"f38128af","ID":"2863e967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d681af56":{"Section":"LEGAL","Block":"B1","CollectionID":"f38128af","ID":"d681af56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ed2cba8":{"Section":"LEGAL","Block":"B1","CollectionID":"f38128af","ID":"ed2cba8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21aebba":{"Section":"LEGAL","Block":"B1","CollectionID":"f38128af","ID":"a21aebba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3,"ZoomInParentMemberIds":[],"ZoomInBottomLevelParentMemberIds":[]}},"SuppressBlankRows":true,"SuppressZeroes":true,"EnableDataInput":false},{"Section":"LEGAL","Block":"B1","ID":"b9ab90e","DataModelID":651628815408562176,"Ranges":{"de99b3b5":{"Section":"LEGAL","Block":"B1","CollectionID":"b9ab90e","ID":"de99b3b5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8c21e457":{"Section":"LEGAL","Block":"B1","CollectionID":"b9ab90e","ID":"8c21e457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69f8c1e6":{"Section":"LEGAL","Block":"B1","CollectionID":"b9ab90e","ID":"69f8c1e6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278bec52":{"Section":"LEGAL","Block":"B1","CollectionID":"b9ab90e","ID":"278bec52","DataModelID":651628815408562176,"Dimension":1,"DynamicExpression":"H4sIAAAAAAAEALWST2uDMBjGv0tOLThIXHXOW1tlFLSOTnoZY6T1LQvERJK4rRS/+5LVUg8eduhu758neX5PyAkJWYFG8esJ5VDvQK0qFN8RDyVgKOMoDgMS+lFEghmOgtAnD6HdsdrJrGpujGK71sDlWNGAokYqu8UYX/u5Yub4O/TQEjjfwAEUiD2saQ0oRsjr/V3/AlTtP8pjYzdWv7aI7v6+fKb2oFmJCr6dZ+fdHH2G/duSkxFy/A/gw67ndqMx7Ccl2+bxL/D3I/Cke/MQp9oMRFoqA7Y8UK7BAivGeSK/xNlAX6LazyZazgeCDOgnjOxZDUIzKfrcCTU0t3bc9WNPtKW8ddEWRVkWeZZu02ySp/ki3bwv0yybnCNPp6j7AZ+Tlfj3AgAA","EnableZoom":false,"HierarchyIndenting":false,"ParentsOnBottom":false,"SortingOption":0,"Sorting":"","Order":3,"ZoomInParentMemberIds":[],"ZoomInBottomLevelParentMemberIds":[]}},"SuppressBlankRows":true,"SuppressZeroes":true,"EnableDataInput":false},{"Section":"LEGAL","Block":"B1","ID":"41ef0bcd","DataModelID":651628815408562176,"Ranges":{"aec87dd":{"Section":"LEGAL","Block":"B1","CollectionID":"41ef0bcd","ID":"aec87dd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28019857":{"Section":"LEGAL","Block":"B1","CollectionID":"41ef0bcd","ID":"28019857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8f10570d":{"Section":"LEGAL","Block":"B1","CollectionID":"41ef0bcd","ID":"8f10570d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15b07844":{"Section":"LEGAL","Block":"B1","CollectionID":"41ef0bcd","ID":"15b07844","DataModelID":651628815408562176,"Dimension":1,"DynamicExpression":"H4sIAAAAAAAEALWST2uDMBjGv8t7asFB4qoTb22VUdA6utJLGSOtb1kgRknitlL87ks2yzx42KG7vX+e5Pk9IReQdYka4v0FcqwOqFYlxHfUgwQN4wLiMKChH0U0mJEoCH36ENodr5zMqubGKH5oDV6PFQ0qZmplt4SQ336uuDl/Dz1YohAbPKFCecQ1qxBiAK/3d/0zMnV8254bu7H6tUV09/flE7MHzUqW+Ok8O+/m6DPi35acjpCTfwAfdj23G41hP6q6bSj5C/39CD3tXjwQTJuBSNfKoC1PTGi0xIoLkdQf8sdAX7Pa3yZbIQaCDNk7jux5hVLzWvbBE2ZYbu2E68feaMdE67Itiu22yLN0l2aTPM0X6eZ1mWbZpM88nUL3BYE1CIL5AgAA","EnableZoom":false,"HierarchyIndenting":false,"ParentsOnBottom":false,"SortingOption":0,"Sorting":"","Order":3,"ZoomInParentMemberIds":[],"ZoomInBottomLevelParentMemberIds":[]}},"SuppressBlankRows":true,"SuppressZeroes":true,"EnableDataInput":false},{"Section":"925","Block":"B1","ID":"c8d44918","DataModelID":651628815408562176,"Ranges":{"146eafbd":{"Section":"925","Block":"B1","CollectionID":"c8d44918","ID":"146eafbd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925","Block":"B1","ID":"6735eaf3","DataModelID":651628815408562176,"Ranges":{"bf621224":{"Section":"925","Block":"B1","CollectionID":"6735eaf3","ID":"bf621224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925","Block":"B1","ID":"b2238cf7","DataModelID":651628815408562176,"Ranges":{"72d8aa5e":{"Section":"925","Block":"B1","CollectionID":"b2238cf7","ID":"72d8aa5e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925","Block":"B1","ID":"c5011a36","DataModelID":651628815408562176,"Ranges":{"12eba2f3":{"Section":"925","Block":"B1","CollectionID":"c5011a36","ID":"12eba2f3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925","Block":"B1","ID":"2bfa7e32","DataModelID":651628815408562176,"Ranges":{"eab46d19":{"Section":"925","Block":"B1","CollectionID":"2bfa7e32","ID":"eab46d19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925","Block":"B1","ID":"71c10086","DataModelID":651628815408562176,"Ranges":{"5d2a36cd":{"Section":"925","Block":"B1","CollectionID":"71c10086","ID":"5d2a36cd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925","Block":"B1","ID":"1149b024","DataModelID":651628815408562176,"Ranges":{"8bcae915":{"Section":"925","Block":"B1","CollectionID":"1149b024","ID":"8bcae915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925","Block":"B1","ID":"66a893c1","DataModelID":651628815408562176,"Ranges":{"c4d6da3d":{"Section":"925","Block":"B1","CollectionID":"66a893c1","ID":"c4d6da3d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5bfe2cab","DataModelID":651628815408562176,"Ranges":{"ea8be398":{"Section":"CORPORATEADMIN","Block":"B1","CollectionID":"5bfe2cab","ID":"ea8be398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63b6c475":{"Section":"CORPORATEADMIN","Block":"B1","CollectionID":"5bfe2cab","ID":"63b6c475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d87110cc":{"Section":"CORPORATEADMIN","Block":"B1","CollectionID":"5bfe2cab","ID":"d87110cc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230e1b41":{"Section":"CORPORATEADMIN","Block":"B1","CollectionID":"5bfe2cab","ID":"230e1b41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3,"ZoomInParentMemberIds":[],"ZoomInBottomLevelParentMemberIds":[]}},"SuppressBlankRows":true,"SuppressZeroes":true,"EnableDataInput":false},{"Section":"CORPORATEADMIN","Block":"B1","ID":"90f832c5","DataModelID":651628815408562176,"Ranges":{"e5c3bef1":{"Section":"CORPORATEADMIN","Block":"B1","CollectionID":"90f832c5","ID":"e5c3bef1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21638b9":{"Section":"CORPORATEADMIN","Block":"B1","CollectionID":"90f832c5","ID":"21638b9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907cff8e":{"Section":"CORPORATEADMIN","Block":"B1","CollectionID":"90f832c5","ID":"907cff8e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b73f0726":{"Section":"CORPORATEADMIN","Block":"B1","CollectionID":"90f832c5","ID":"b73f0726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3,"ZoomInParentMemberIds":[],"ZoomInBottomLevelParentMemberIds":[]}},"SuppressBlankRows":true,"SuppressZeroes":true,"EnableDataInput":false},{"Section":"CORPORATEADMIN","Block":"B1","ID":"1c2b7637","DataModelID":651628815408562176,"Ranges":{"b98d4cd5":{"Section":"CORPORATEADMIN","Block":"B1","CollectionID":"1c2b7637","ID":"b98d4cd5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b4807d8e":{"Section":"CORPORATEADMIN","Block":"B1","CollectionID":"1c2b7637","ID":"b4807d8e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a09079d4":{"Section":"CORPORATEADMIN","Block":"B1","CollectionID":"1c2b7637","ID":"a09079d4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7e71f274":{"Section":"CORPORATEADMIN","Block":"B1","CollectionID":"1c2b7637","ID":"7e71f274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3,"ZoomInParentMemberIds":[],"ZoomInBottomLevelParentMemberIds":[]}},"SuppressBlankRows":true,"SuppressZeroes":true,"EnableDataInput":false},{"Section":"CORPORATEADMIN","Block":"B1","ID":"19109a78","DataModelID":651628815408562176,"Ranges":{"6c1cf31c":{"Section":"CORPORATEADMIN","Block":"B1","CollectionID":"19109a78","ID":"6c1cf31c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da57b30f":{"Section":"CORPORATEADMIN","Block":"B1","CollectionID":"19109a78","ID":"da57b30f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61f0802b":{"Section":"CORPORATEADMIN","Block":"B1","CollectionID":"19109a78","ID":"61f0802b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1007504":{"Section":"CORPORATEADMIN","Block":"B1","CollectionID":"19109a78","ID":"1007504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3,"ZoomInParentMemberIds":[],"ZoomInBottomLevelParentMemberIds":[]}},"SuppressBlankRows":true,"SuppressZeroes":true,"EnableDataInput":false},{"Section":"CORPORATEADMIN","Block":"B1","ID":"2426de63","DataModelID":651628815408562176,"Ranges":{"8697542b":{"Section":"CORPORATEADMIN","Block":"B1","CollectionID":"2426de63","ID":"8697542b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fc08d51d":{"Section":"CORPORATEADMIN","Block":"B1","CollectionID":"2426de63","ID":"fc08d51d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669258e2":{"Section":"CORPORATEADMIN","Block":"B1","CollectionID":"2426de63","ID":"669258e2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d6f02c88":{"Section":"CORPORATEADMIN","Block":"B1","CollectionID":"2426de63","ID":"d6f02c88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3,"ZoomInParentMemberIds":[],"ZoomInBottomLevelParentMemberIds":[]}},"SuppressBlankRows":true,"SuppressZeroes":true,"EnableDataInput":false},{"Section":"CORPORATEADMIN","Block":"B1","ID":"ecdd799e","DataModelID":651628815408562176,"Ranges":{"cf2dacba":{"Section":"CORPORATEADMIN","Block":"B1","CollectionID":"ecdd799e","ID":"cf2dacba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b4aebac1":{"Section":"CORPORATEADMIN","Block":"B1","CollectionID":"ecdd799e","ID":"b4aebac1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d2c877c0":{"Section":"CORPORATEADMIN","Block":"B1","CollectionID":"ecdd799e","ID":"d2c877c0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ed5d56d3":{"Section":"CORPORATEADMIN","Block":"B1","CollectionID":"ecdd799e","ID":"ed5d56d3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3,"ZoomInParentMemberIds":[],"ZoomInBottomLevelParentMemberIds":[]}},"SuppressBlankRows":true,"SuppressZeroes":true,"EnableDataInput":false},{"Section":"CORPORATEADMIN","Block":"B1","ID":"5dc8895a","DataModelID":651628815408562176,"Ranges":{"4465335d":{"Section":"CORPORATEADMIN","Block":"B1","CollectionID":"5dc8895a","ID":"4465335d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a579221d":{"Section":"CORPORATEADMIN","Block":"B1","CollectionID":"5dc8895a","ID":"a579221d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3017aaef":{"Section":"CORPORATEADMIN","Block":"B1","CollectionID":"5dc8895a","ID":"3017aaef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f4b9e947":{"Section":"CORPORATEADMIN","Block":"B1","CollectionID":"5dc8895a","ID":"f4b9e947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3,"ZoomInParentMemberIds":[],"ZoomInBottomLevelParentMemberIds":[]}},"SuppressBlankRows":true,"SuppressZeroes":true,"EnableDataInput":false},{"Section":"CORPORATEADMIN","Block":"B1","ID":"6c12de7","DataModelID":651628815408562176,"Ranges":{"ca5d6131":{"Section":"CORPORATEADMIN","Block":"B1","CollectionID":"6c12de7","ID":"ca5d6131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f9bc6cd9":{"Section":"CORPORATEADMIN","Block":"B1","CollectionID":"6c12de7","ID":"f9bc6cd9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bbf4618c":{"Section":"CORPORATEADMIN","Block":"B1","CollectionID":"6c12de7","ID":"bbf4618c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f35f69ad":{"Section":"CORPORATEADMIN","Block":"B1","CollectionID":"6c12de7","ID":"f35f69ad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3,"ZoomInParentMemberIds":[],"ZoomInBottomLevelParentMemberIds":[]}},"SuppressBlankRows":true,"SuppressZeroes":true,"EnableDataInput":false},{"Section":"CORPORATEADMIN","Block":"B1","ID":"6496caa5","DataModelID":651628815408562176,"Ranges":{"a6072758":{"Section":"CORPORATEADMIN","Block":"B1","CollectionID":"6496caa5","ID":"a6072758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21ad636d":{"Section":"CORPORATEADMIN","Block":"B1","CollectionID":"6496caa5","ID":"21ad636d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e57cee1a":{"Section":"CORPORATEADMIN","Block":"B1","CollectionID":"6496caa5","ID":"e57cee1a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388ab526":{"Section":"CORPORATEADMIN","Block":"B1","CollectionID":"6496caa5","ID":"388ab526","DataModelID":651628815408562176,"Dimension":1,"DynamicExpression":"H4sIAAAAAAAEALWST2uDMBjGv0tOLThIXHXOW1tlFLSOTnoZY6T1LQvERJK4rRS/+5LVUg8eduhu758neX5PyAkJWYFG8esJ5VDvQK0qFN8RDyVgKOMoDgMS+lFEghmOgtAnD6HdsdrJrGpujGK71sDlWNGAokYqu8UYX/u5Yub4O/TQEjjfwAEUiD2saQ0oRsjr/V3/AlTtP8pjYzdWv7aI7v6+fKb2oFmJCr6dZ+fdHH2G/duSkxFy/A/gw67ndqMx7Ccl2+bxL/D3I/Cke/MQp9oMRFoqA7Y8UK7BAivGeSK/xNlAX6LazyZazgeCDOgnjOxZDUIzKfrcCTU0t3bc9WNPtKW8ddEWRVkWeZZu02ySp/ki3bwv0yybnCNPp6j7AZ+Tlfj3AgAA","EnableZoom":false,"HierarchyIndenting":false,"ParentsOnBottom":false,"SortingOption":0,"Sorting":"","Order":3,"ZoomInParentMemberIds":[],"ZoomInBottomLevelParentMemberIds":[]}},"SuppressBlankRows":true,"SuppressZeroes":true,"EnableDataInput":false},{"Section":"CORPORATEADMIN","Block":"B1","ID":"c5174f1a","DataModelID":651628815408562176,"Ranges":{"3d47b15":{"Section":"CORPORATEADMIN","Block":"B1","CollectionID":"c5174f1a","ID":"3d47b15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c222efc8":{"Section":"CORPORATEADMIN","Block":"B1","CollectionID":"c5174f1a","ID":"c222efc8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accfba14":{"Section":"CORPORATEADMIN","Block":"B1","CollectionID":"c5174f1a","ID":"accfba14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85587aa8":{"Section":"CORPORATEADMIN","Block":"B1","CollectionID":"c5174f1a","ID":"85587aa8","DataModelID":651628815408562176,"Dimension":1,"DynamicExpression":"H4sIAAAAAAAEALWST2uDMBjGv8t7asFB4qoTb22VUdA6utJLGSOtb1kgRknitlL87ks2yzx42KG7vX+e5Pk9IReQdYka4v0FcqwOqFYlxHfUgwQN4wLiMKChH0U0mJEoCH36ENodr5zMqubGKH5oDV6PFQ0qZmplt4SQ336uuDl/Dz1YohAbPKFCecQ1qxBiAK/3d/0zMnV8254bu7H6tUV09/flE7MHzUqW+Ok8O+/m6DPi35acjpCTfwAfdj23G41hP6q6bSj5C/39CD3tXjwQTJuBSNfKoC1PTGi0xIoLkdQf8sdAX7Pa3yZbIQaCDNk7jux5hVLzWvbBE2ZYbu2E68feaMdE67Itiu22yLN0l2aTPM0X6eZ1mWbZpM88nUL3BYE1CIL5AgAA","EnableZoom":false,"HierarchyIndenting":false,"ParentsOnBottom":false,"SortingOption":0,"Sorting":"","Order":3,"ZoomInParentMemberIds":[],"ZoomInBottomLevelParentMemberIds":[]}},"SuppressBlankRows":true,"SuppressZeroes":true,"EnableDataInput":false},{"Section":"developemnt","Block":"b1","ID":"3adcf2e8","DataModelID":651628815408562176,"Ranges":{"75ad8f03":{"Section":"developemnt","Block":"b1","CollectionID":"3adcf2e8","ID":"75ad8f03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ee030b0d":{"Section":"developemnt","Block":"b1","CollectionID":"3adcf2e8","ID":"ee030b0d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16fe7268":{"Section":"developemnt","Block":"b1","CollectionID":"3adcf2e8","ID":"16fe7268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2346c8e1":{"Section":"developemnt","Block":"b1","CollectionID":"3adcf2e8","ID":"2346c8e1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3,"ZoomInParentMemberIds":[],"ZoomInBottomLevelParentMemberIds":[]}},"SuppressBlankRows":true,"SuppressZeroes":true,"EnableDataInput":false},{"Section":"developemnt","Block":"b1","ID":"ce7fa6ed","DataModelID":651628815408562176,"Ranges":{"e2b5f088":{"Section":"developemnt","Block":"b1","CollectionID":"ce7fa6ed","ID":"e2b5f088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8ec74185":{"Section":"developemnt","Block":"b1","CollectionID":"ce7fa6ed","ID":"8ec74185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267ee169":{"Section":"developemnt","Block":"b1","CollectionID":"ce7fa6ed","ID":"267ee169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ecaa912":{"Section":"developemnt","Block":"b1","CollectionID":"ce7fa6ed","ID":"ecaa912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3,"ZoomInParentMemberIds":[],"ZoomInBottomLevelParentMemberIds":[]}},"SuppressBlankRows":true,"SuppressZeroes":true,"EnableDataInput":false},{"Section":"developemnt","Block":"b1","ID":"ce73001b","DataModelID":651628815408562176,"Ranges":{"96c7eedc":{"Section":"developemnt","Block":"b1","CollectionID":"ce73001b","ID":"96c7eedc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bcf22217":{"Section":"developemnt","Block":"b1","CollectionID":"ce73001b","ID":"bcf22217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e908fcf9":{"Section":"developemnt","Block":"b1","CollectionID":"ce73001b","ID":"e908fcf9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3bf54a3a":{"Section":"developemnt","Block":"b1","CollectionID":"ce73001b","ID":"3bf54a3a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3,"ZoomInParentMemberIds":[],"ZoomInBottomLevelParentMemberIds":[]}},"SuppressBlankRows":true,"SuppressZeroes":true,"EnableDataInput":false},{"Section":"developemnt","Block":"b1","ID":"929b9eea","DataModelID":651628815408562176,"Ranges":{"2c9b6e23":{"Section":"developemnt","Block":"b1","CollectionID":"929b9eea","ID":"2c9b6e23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6e2d9607":{"Section":"developemnt","Block":"b1","CollectionID":"929b9eea","ID":"6e2d9607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e21bd1c5":{"Section":"developemnt","Block":"b1","CollectionID":"929b9eea","ID":"e21bd1c5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261c1077":{"Section":"developemnt","Block":"b1","CollectionID":"929b9eea","ID":"261c1077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3,"ZoomInParentMemberIds":[],"ZoomInBottomLevelParentMemberIds":[]}},"SuppressBlankRows":true,"SuppressZeroes":true,"EnableDataInput":false},{"Section":"developemnt","Block":"b1","ID":"6de6ec36","DataModelID":651628815408562176,"Ranges":{"6479090a":{"Section":"developemnt","Block":"b1","CollectionID":"6de6ec36","ID":"6479090a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3b5bbf90":{"Section":"developemnt","Block":"b1","CollectionID":"6de6ec36","ID":"3b5bbf90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429afe3f":{"Section":"developemnt","Block":"b1","CollectionID":"6de6ec36","ID":"429afe3f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eb0b2339":{"Section":"developemnt","Block":"b1","CollectionID":"6de6ec36","ID":"eb0b2339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3,"ZoomInParentMemberIds":[],"ZoomInBottomLevelParentMemberIds":[]}},"SuppressBlankRows":true,"SuppressZeroes":true,"EnableDataInput":false},{"Section":"developemnt","Block":"b1","ID":"93a2b3e3","DataModelID":651628815408562176,"Ranges":{"a442120f":{"Section":"developemnt","Block":"b1","CollectionID":"93a2b3e3","ID":"a442120f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1f920842":{"Section":"developemnt","Block":"b1","CollectionID":"93a2b3e3","ID":"1f920842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df98453c":{"Section":"developemnt","Block":"b1","CollectionID":"93a2b3e3","ID":"df98453c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6377fda9":{"Section":"developemnt","Block":"b1","CollectionID":"93a2b3e3","ID":"6377fda9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3,"ZoomInParentMemberIds":[],"ZoomInBottomLevelParentMemberIds":[]}},"SuppressBlankRows":true,"SuppressZeroes":true,"EnableDataInput":false},{"Section":"developemnt","Block":"b1","ID":"1fa68701","DataModelID":651628815408562176,"Ranges":{"d1eae212":{"Section":"developemnt","Block":"b1","CollectionID":"1fa68701","ID":"d1eae212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fa1e4f98":{"Section":"developemnt","Block":"b1","CollectionID":"1fa68701","ID":"fa1e4f98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50c99a95":{"Section":"developemnt","Block":"b1","CollectionID":"1fa68701","ID":"50c99a95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6608a673":{"Section":"developemnt","Block":"b1","CollectionID":"1fa68701","ID":"6608a673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3,"ZoomInParentMemberIds":[],"ZoomInBottomLevelParentMemberIds":[]}},"SuppressBlankRows":true,"SuppressZeroes":true,"EnableDataInput":false},{"Section":"developemnt","Block":"b1","ID":"5541f43e","DataModelID":651628815408562176,"Ranges":{"4cd9133c":{"Section":"developemnt","Block":"b1","CollectionID":"5541f43e","ID":"4cd9133c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f4975575":{"Section":"developemnt","Block":"b1","CollectionID":"5541f43e","ID":"f4975575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3819f0d5":{"Section":"developemnt","Block":"b1","CollectionID":"5541f43e","ID":"3819f0d5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a1ef9cbf":{"Section":"developemnt","Block":"b1","CollectionID":"5541f43e","ID":"a1ef9cbf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3,"ZoomInParentMemberIds":[],"ZoomInBottomLevelParentMemberIds":[]}},"SuppressBlankRows":true,"SuppressZeroes":true,"EnableDataInput":false},{"Section":"developemnt","Block":"b1","ID":"49e02d3a","DataModelID":651628815408562176,"Ranges":{"1f0ca7c0":{"Section":"developemnt","Block":"b1","CollectionID":"49e02d3a","ID":"1f0ca7c0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fd1c58f1":{"Section":"developemnt","Block":"b1","CollectionID":"49e02d3a","ID":"fd1c58f1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62203162":{"Section":"developemnt","Block":"b1","CollectionID":"49e02d3a","ID":"62203162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e06dd62":{"Section":"developemnt","Block":"b1","CollectionID":"49e02d3a","ID":"8e06dd62","DataModelID":651628815408562176,"Dimension":1,"DynamicExpression":"H4sIAAAAAAAEALWST2uDMBjGv0tOLThIXHXOW1tlFLSOTnoZY6T1LQvERJK4rRS/+5LVUg8eduhu758neX5PyAkJWYFG8esJ5VDvQK0qFN8RDyVgKOMoDgMS+lFEghmOgtAnD6HdsdrJrGpujGK71sDlWNGAokYqu8UYX/u5Yub4O/TQEjjfwAEUiD2saQ0oRsjr/V3/AlTtP8pjYzdWv7aI7v6+fKb2oFmJCr6dZ+fdHH2G/duSkxFy/A/gw67ndqMx7Ccl2+bxL/D3I/Cke/MQp9oMRFoqA7Y8UK7BAivGeSK/xNlAX6LazyZazgeCDOgnjOxZDUIzKfrcCTU0t3bc9WNPtKW8ddEWRVkWeZZu02ySp/ki3bwv0yybnCNPp6j7AZ+Tlfj3AgAA","EnableZoom":false,"HierarchyIndenting":false,"ParentsOnBottom":false,"SortingOption":0,"Sorting":"","Order":3,"ZoomInParentMemberIds":[],"ZoomInBottomLevelParentMemberIds":[]}},"SuppressBlankRows":true,"SuppressZeroes":true,"EnableDataInput":false},{"Section":"developemnt","Block":"b1","ID":"762505c6","DataModelID":651628815408562176,"Ranges":{"da6f02b5":{"Section":"developemnt","Block":"b1","CollectionID":"762505c6","ID":"da6f02b5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eb6b97c5":{"Section":"developemnt","Block":"b1","CollectionID":"762505c6","ID":"eb6b97c5","DataModelID":651628815408562176,"Dimension":3,"DynamicExpression":"H4sIAAAAAAAEAK2RMWvDMBCF/8tNLahgu7FivKWxh4CdlqR0KSEo9oUKZNlIStsQ/N97wgn14KFDtzvdu3vfQxfQbY0W0vcLlNgc0KxqSB9CBhk6IRWkPA55lCRhPAuSmEfhnNNMNl72yGDhnJGHk8Pb2nOHRrjWQDoLot92YaQ7QxoGAYMlKrXBIxrUFa5Fg5ACsKu977coTPXxeu5oQvo1EfrzfChfBC26la7x21v27N/Jx90V3D9NcW9RYeVkq/cZdsK4htD+kmU+kYX3OwZKWDcS2dY4pPIolEXCN1KprP3Sg4G9BacP1CelRoICxSdOzCURWuL194knE06UZKd8P0jehDr5aGVePuWb/TIvirupmPfQ/wCoc0c6PgIAAA==","EnableZoom":false,"HierarchyIndenting":false,"ParentsOnBottom":false,"SortingOption":0,"Sorting":"","Order":1,"ZoomInParentMemberIds":[],"ZoomInBottomLevelParentMemberIds":[]},"749d66bb":{"Section":"developemnt","Block":"b1","CollectionID":"762505c6","ID":"749d66bb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ba61e5e0":{"Section":"developemnt","Block":"b1","CollectionID":"762505c6","ID":"ba61e5e0","DataModelID":651628815408562176,"Dimension":1,"DynamicExpression":"H4sIAAAAAAAEALWST2uDMBjGv8t7asFB4qoTb22VUdA6utJLGSOtb1kgRknitlL87ks2yzx42KG7vX+e5Pk9IReQdYka4v0FcqwOqFYlxHfUgwQN4wLiMKChH0U0mJEoCH36ENodr5zMqubGKH5oDV6PFQ0qZmplt4SQ336uuDl/Dz1YohAbPKFCecQ1qxBiAK/3d/0zMnV8254bu7H6tUV09/flE7MHzUqW+Ok8O+/m6DPi35acjpCTfwAfdj23G41hP6q6bSj5C/39CD3tXjwQTJuBSNfKoC1PTGi0xIoLkdQf8sdAX7Pa3yZbIQaCDNk7jux5hVLzWvbBE2ZYbu2E68feaMdE67Itiu22yLN0l2aTPM0X6eZ1mWbZpM88nUL3BYE1CIL5AgAA","EnableZoom":false,"HierarchyIndenting":false,"ParentsOnBottom":false,"SortingOption":0,"Sorting":"","Order":3,"ZoomInParentMemberIds":[],"ZoomInBottomLevelParentMemberIds":[]}},"SuppressBlankRows":true,"SuppressZeroes":true,"EnableDataInput":false},{"Section":"CORPORATEADMIN","Block":"B1","ID":"c041a3c3","DataModelID":651628815408562176,"Ranges":{"7f83a4f5":{"Section":"CORPORATEADMIN","Block":"B1","CollectionID":"c041a3c3","ID":"7f83a4f5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CORPORATEADMIN","Block":"B1","ID":"f2be1ff7","DataModelID":651628815408562176,"Ranges":{"bcbbd5db":{"Section":"CORPORATEADMIN","Block":"B1","CollectionID":"f2be1ff7","ID":"bcbbd5db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CORPORATEADMIN","Block":"B1","ID":"b841e0bc","DataModelID":651628815408562176,"Ranges":{"91004a38":{"Section":"CORPORATEADMIN","Block":"B1","CollectionID":"b841e0bc","ID":"91004a38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CORPORATEADMIN","Block":"B1","ID":"c7e2b8f8","DataModelID":651628815408562176,"Ranges":{"8af7940c":{"Section":"CORPORATEADMIN","Block":"B1","CollectionID":"c7e2b8f8","ID":"8af7940c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CORPORATEADMIN","Block":"B1","ID":"7cb98673","DataModelID":651628815408562176,"Ranges":{"28c62532":{"Section":"CORPORATEADMIN","Block":"B1","CollectionID":"7cb98673","ID":"28c62532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6bf250f8","DataModelID":651628815408562176,"Ranges":{"746a4d34":{"Section":"CORPORATEADMIN","Block":"B1","CollectionID":"6bf250f8","ID":"746a4d34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ba4272ba","DataModelID":651628815408562176,"Ranges":{"e3d2b848":{"Section":"CORPORATEADMIN","Block":"B1","CollectionID":"ba4272ba","ID":"e3d2b848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dcf08529","DataModelID":651628815408562176,"Ranges":{"df41971d":{"Section":"CORPORATEADMIN","Block":"B1","CollectionID":"dcf08529","ID":"df41971d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development","Block":"b1","ID":"b1ef87f4","DataModelID":651628815408562176,"Ranges":{"d4a29d80":{"Section":"development","Block":"b1","CollectionID":"b1ef87f4","ID":"d4a29d80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development","Block":"b1","ID":"a2a30672","DataModelID":651628815408562176,"Ranges":{"9acb8a4b":{"Section":"development","Block":"b1","CollectionID":"a2a30672","ID":"9acb8a4b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development","Block":"b1","ID":"1b9a7e5c","DataModelID":651628815408562176,"Ranges":{"a487fbbb":{"Section":"development","Block":"b1","CollectionID":"1b9a7e5c","ID":"a487fbbb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development","Block":"b1","ID":"e5ec9f5","DataModelID":651628815408562176,"Ranges":{"24499e77":{"Section":"development","Block":"b1","CollectionID":"e5ec9f5","ID":"24499e77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development","Block":"b1","ID":"22cfdbd8","DataModelID":651628815408562176,"Ranges":{"500d12ef":{"Section":"development","Block":"b1","CollectionID":"22cfdbd8","ID":"500d12ef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development","Block":"b1","ID":"9514107d","DataModelID":651628815408562176,"Ranges":{"568fc5a3":{"Section":"development","Block":"b1","CollectionID":"9514107d","ID":"568fc5a3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development","Block":"b1","ID":"70554b94","DataModelID":651628815408562176,"Ranges":{"5cdb0238":{"Section":"development","Block":"b1","CollectionID":"70554b94","ID":"5cdb0238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development","Block":"b1","ID":"adf479b8","DataModelID":651628815408562176,"Ranges":{"cefb533b":{"Section":"development","Block":"b1","CollectionID":"adf479b8","ID":"cefb533b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finance","Block":"b1","ID":"8203c3bf","DataModelID":651628815408562176,"Ranges":{"a34fcc10":{"Section":"finance","Block":"b1","CollectionID":"8203c3bf","ID":"a34fcc10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finance","Block":"b1","ID":"87596e","DataModelID":651628815408562176,"Ranges":{"bf203596":{"Section":"finance","Block":"b1","CollectionID":"87596e","ID":"bf203596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finance","Block":"b1","ID":"358196aa","DataModelID":651628815408562176,"Ranges":{"cbc448b3":{"Section":"finance","Block":"b1","CollectionID":"358196aa","ID":"cbc448b3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finance","Block":"b1","ID":"f593d826","DataModelID":651628815408562176,"Ranges":{"79838f47":{"Section":"finance","Block":"b1","CollectionID":"f593d826","ID":"79838f47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finance","Block":"b1","ID":"64589a6d","DataModelID":651628815408562176,"Ranges":{"df851314":{"Section":"finance","Block":"b1","CollectionID":"64589a6d","ID":"df851314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finance","Block":"b1","ID":"e13263d1","DataModelID":651628815408562176,"Ranges":{"c5efc3b9":{"Section":"finance","Block":"b1","CollectionID":"e13263d1","ID":"c5efc3b9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finance","Block":"b1","ID":"665a3af6","DataModelID":651628815408562176,"Ranges":{"ee4df315":{"Section":"finance","Block":"b1","CollectionID":"665a3af6","ID":"ee4df315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finance","Block":"b1","ID":"69271676","DataModelID":651628815408562176,"Ranges":{"50d082d5":{"Section":"finance","Block":"b1","CollectionID":"69271676","ID":"50d082d5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TECHNOLOGY","Block":"B1","ID":"d390acd8","DataModelID":651628815408562176,"Ranges":{"a69257f2":{"Section":"TECHNOLOGY","Block":"B1","CollectionID":"d390acd8","ID":"a69257f2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TECHNOLOGY","Block":"B1","ID":"d39e4617","DataModelID":651628815408562176,"Ranges":{"c48a2157":{"Section":"TECHNOLOGY","Block":"B1","CollectionID":"d39e4617","ID":"c48a2157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TECHNOLOGY","Block":"B1","ID":"86e4f6d5","DataModelID":651628815408562176,"Ranges":{"b8b23027":{"Section":"TECHNOLOGY","Block":"B1","CollectionID":"86e4f6d5","ID":"b8b23027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TECHNOLOGY","Block":"B1","ID":"923eacfe","DataModelID":651628815408562176,"Ranges":{"cf5d0ad4":{"Section":"TECHNOLOGY","Block":"B1","CollectionID":"923eacfe","ID":"cf5d0ad4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TECHNOLOGY","Block":"B1","ID":"e19e424d","DataModelID":651628815408562176,"Ranges":{"3c51d0e9":{"Section":"TECHNOLOGY","Block":"B1","CollectionID":"e19e424d","ID":"3c51d0e9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TECHNOLOGY","Block":"B1","ID":"9e9f0c62","DataModelID":651628815408562176,"Ranges":{"69eb0763":{"Section":"TECHNOLOGY","Block":"B1","CollectionID":"9e9f0c62","ID":"69eb0763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TECHNOLOGY","Block":"B1","ID":"272ba2b7","DataModelID":651628815408562176,"Ranges":{"b262bb2f":{"Section":"TECHNOLOGY","Block":"B1","CollectionID":"272ba2b7","ID":"b262bb2f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TECHNOLOGY","Block":"B1","ID":"401c4482","DataModelID":651628815408562176,"Ranges":{"21e4f0fc":{"Section":"TECHNOLOGY","Block":"B1","CollectionID":"401c4482","ID":"21e4f0fc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PO","Block":"B1","ID":"34260d87","DataModelID":651628815408562176,"Ranges":{"e112b4b1":{"Section":"PO","Block":"B1","CollectionID":"34260d87","ID":"e112b4b1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PO","Block":"B1","ID":"99d9487c","DataModelID":651628815408562176,"Ranges":{"a3b08bfc":{"Section":"PO","Block":"B1","CollectionID":"99d9487c","ID":"a3b08bfc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PO","Block":"B1","ID":"284893ed","DataModelID":651628815408562176,"Ranges":{"e558428d":{"Section":"PO","Block":"B1","CollectionID":"284893ed","ID":"e558428d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PO","Block":"B1","ID":"cfd07dd3","DataModelID":651628815408562176,"Ranges":{"5ae67221":{"Section":"PO","Block":"B1","CollectionID":"cfd07dd3","ID":"5ae67221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PO","Block":"B1","ID":"cf6d0b69","DataModelID":651628815408562176,"Ranges":{"81961a79":{"Section":"PO","Block":"B1","CollectionID":"cf6d0b69","ID":"81961a79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PO","Block":"B1","ID":"9b7e3a2a","DataModelID":651628815408562176,"Ranges":{"c945d3af":{"Section":"PO","Block":"B1","CollectionID":"9b7e3a2a","ID":"c945d3af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PO","Block":"B1","ID":"3057bf05","DataModelID":651628815408562176,"Ranges":{"f89c52dc":{"Section":"PO","Block":"B1","CollectionID":"3057bf05","ID":"f89c52dc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PO","Block":"B1","ID":"19472f40","DataModelID":651628815408562176,"Ranges":{"786a08e":{"Section":"PO","Block":"B1","CollectionID":"19472f40","ID":"786a08e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legal","Block":"b1","ID":"808e0bcb","DataModelID":651628815408562176,"Ranges":{"aa1bdf05":{"Section":"legal","Block":"b1","CollectionID":"808e0bcb","ID":"aa1bdf05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legal","Block":"b1","ID":"f3e32fba","DataModelID":651628815408562176,"Ranges":{"83847ebf":{"Section":"legal","Block":"b1","CollectionID":"f3e32fba","ID":"83847ebf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legal","Block":"b1","ID":"fd698a33","DataModelID":651628815408562176,"Ranges":{"996c20ae":{"Section":"legal","Block":"b1","CollectionID":"fd698a33","ID":"996c20ae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legal","Block":"b1","ID":"30bb9c97","DataModelID":651628815408562176,"Ranges":{"ab2fcde3":{"Section":"legal","Block":"b1","CollectionID":"30bb9c97","ID":"ab2fcde3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legal","Block":"b1","ID":"d4518655","DataModelID":651628815408562176,"Ranges":{"5648ab56":{"Section":"legal","Block":"b1","CollectionID":"d4518655","ID":"5648ab56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legal","Block":"b1","ID":"35c79796","DataModelID":651628815408562176,"Ranges":{"b0d2a303":{"Section":"legal","Block":"b1","CollectionID":"35c79796","ID":"b0d2a303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legal","Block":"b1","ID":"e9a57dbf","DataModelID":651628815408562176,"Ranges":{"f991f38d":{"Section":"legal","Block":"b1","CollectionID":"e9a57dbf","ID":"f991f38d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legal","Block":"b1","ID":"ee1a7b17","DataModelID":651628815408562176,"Ranges":{"58d3b6ef":{"Section":"legal","Block":"b1","CollectionID":"ee1a7b17","ID":"58d3b6ef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a0662baf","DataModelID":651628815408562176,"Ranges":{"3ca57189":{"Section":"CORPORATEADMIN","Block":"B1","CollectionID":"a0662baf","ID":"3ca57189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[1176989022519558144]}},"SuppressBlankRows":true,"SuppressZeroes":true,"EnableDataInput":false},{"Section":"CORPORATEADMIN","Block":"B1","ID":"3ba60618","DataModelID":651628815408562176,"Ranges":{"75c24aff":{"Section":"CORPORATEADMIN","Block":"B1","CollectionID":"3ba60618","ID":"75c24aff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[1126333519640395796]}},"SuppressBlankRows":true,"SuppressZeroes":true,"EnableDataInput":false},{"Section":"CORPORATEADMIN","Block":"B1","ID":"c628c24f","DataModelID":651628815408562176,"Ranges":{"5ceaa6a":{"Section":"CORPORATEADMIN","Block":"B1","CollectionID":"c628c24f","ID":"5ceaa6a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CORPORATEADMIN","Block":"B1","ID":"c9a14e05","DataModelID":651628815408562176,"Ranges":{"bf9b3d87":{"Section":"CORPORATEADMIN","Block":"B1","CollectionID":"c9a14e05","ID":"bf9b3d87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CORPORATEADMIN","Block":"B1","ID":"17c84b64","DataModelID":651628815408562176,"Ranges":{"3b6bdaad":{"Section":"CORPORATEADMIN","Block":"B1","CollectionID":"17c84b64","ID":"3b6bdaad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bac82431","DataModelID":651628815408562176,"Ranges":{"37e47687":{"Section":"CORPORATEADMIN","Block":"B1","CollectionID":"bac82431","ID":"37e47687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e58853e1","DataModelID":651628815408562176,"Ranges":{"a75e16b1":{"Section":"CORPORATEADMIN","Block":"B1","CollectionID":"e58853e1","ID":"a75e16b1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4616a981","DataModelID":651628815408562176,"Ranges":{"88f924af":{"Section":"CORPORATEADMIN","Block":"B1","CollectionID":"4616a981","ID":"88f924af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PO","Block":"B1","ID":"361de0b1","DataModelID":651628815408562176,"Ranges":{"6ab73b54":{"Section":"PO","Block":"B1","CollectionID":"361de0b1","ID":"6ab73b54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]}},"SuppressBlankRows":true,"SuppressZeroes":true,"EnableDataInput":false},{"Section":"PO","Block":"B1","ID":"2f3ae837","DataModelID":651628815408562176,"Ranges":{"d41bcff6":{"Section":"PO","Block":"B1","CollectionID":"2f3ae837","ID":"d41bcff6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]}},"SuppressBlankRows":true,"SuppressZeroes":true,"EnableDataInput":false},{"Section":"PO","Block":"B1","ID":"b2c91346","DataModelID":651628815408562176,"Ranges":{"ef168e9e":{"Section":"PO","Block":"B1","CollectionID":"b2c91346","ID":"ef168e9e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PO","Block":"B1","ID":"535ce60f","DataModelID":651628815408562176,"Ranges":{"a112336d":{"Section":"PO","Block":"B1","CollectionID":"535ce60f","ID":"a112336d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PO","Block":"B1","ID":"3df841c9","DataModelID":651628815408562176,"Ranges":{"e16a5859":{"Section":"PO","Block":"B1","CollectionID":"3df841c9","ID":"e16a5859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PO","Block":"B1","ID":"237e465f","DataModelID":651628815408562176,"Ranges":{"381f2c0f":{"Section":"PO","Block":"B1","CollectionID":"237e465f","ID":"381f2c0f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PO","Block":"B1","ID":"1d12b163","DataModelID":651628815408562176,"Ranges":{"4f45e9e9":{"Section":"PO","Block":"B1","CollectionID":"1d12b163","ID":"4f45e9e9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PO","Block":"B1","ID":"acd7bc21","DataModelID":651628815408562176,"Ranges":{"7db223ae":{"Section":"PO","Block":"B1","CollectionID":"acd7bc21","ID":"7db223ae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CORPORATE","Block":"B1","ID":"1619007b","DataModelID":651628815408562176,"Ranges":{"921aa006":{"Section":"CORPORATE","Block":"B1","CollectionID":"1619007b","ID":"921aa006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Pf0L/PUMPB3fPCKYsWcio7QFLHdMGEBgzYXI1Jc8BpjTqvjX5CDEmaAE9gkzc96BNFzJae+MWVZhnHD93BO9MDG41dL7osyavF5UeXWbN+9pXpaL477LJRl/AEncAmPzAgAA","EnableZoom":true,"HierarchyIndenting":true,"ParentsOnBottom":false,"SortingOption":0,"Sorting":"","Order":0,"ZoomInParentMemberIds":[],"ZoomInBottomLevelParentMemberIds":[1176989022519558144]}},"SuppressBlankRows":true,"SuppressZeroes":true,"EnableDataInput":false},{"Section":"CORPORATE","Block":"B1","ID":"5b98cbce","DataModelID":651628815408562176,"Ranges":{"f77bbd8c":{"Section":"CORPORATE","Block":"B1","CollectionID":"5b98cbce","ID":"f77bbd8c","DataModelID":651628815408562176,"Dimension":1,"DynamicExpression":"H4sIAAAAAAAEALWSwU+DMBTG/5eetgQTigMJtwlESQANGi/GmG68xSalJW1Rl4X/3deMxR04eJi39/q+r9/vNT0QqVowJHk9kAq6DeiiJckV9UgGlnFBkiikURDHNFz5cRgF9CbCGe+cDFVrazXfDBZOtoceNLNKo9H3f9u15naPDneWghAN7ECD3ELNOiAJId4U7/onYHr78bzvcYL6Ggnd9VP5yNBoC9nCt4scvYuTr/zgsuR0htz/B/DzbuJ2R3PYd1oNffAX+OsZeDq+eUQwY89ERmkLWO6YMIDAmguRqS95DDCnVfGvyUGIM0EJ7BNm5rwDabiS094Zs6zCOOH6uSd6YWJwq6X3RZk1eb2o8uo2b97TvCwXx32XSzL+ANxTe1XzAgAA","EnableZoom":true,"HierarchyIndenting":true,"ParentsOnBottom":false,"SortingOption":0,"Sorting":"","Order":0,"ZoomInParentMemberIds":[],"ZoomInBottomLevelParentMemberIds":[1126333519640395796,1126333519686533120]}},"SuppressBlankRows":true,"SuppressZeroes":true,"EnableDataInput":false},{"Section":"CORPORATE","Block":"B1","ID":"e68e214c","DataModelID":651628815408562176,"Ranges":{"720d8046":{"Section":"CORPORATE","Block":"B1","CollectionID":"e68e214c","ID":"720d8046","DataModelID":651628815408562176,"Dimension":1,"DynamicExpression":"H4sIAAAAAAAEALWSwWuDMBTG/5d3asGBcdU5b05lCOpGW3YZY6T1lQVilCRuK8X/fQm1zIOHHbrb+/K+l/f7Qk4g2hoVRK8nKLHZocxriG6IAylqyjhEgU8CLwyJv3JDP/DIXWB6rLE244q1lmzXa7yMPXUoqW4lRPeu+ytjyfTRTNizBDlf4wElij1WtEGIAJxxvdUbpHL/sT12pmP8lSG014/lMzWDOhc1ftuVg3N18pXrXZeczJC7/wA+VSO3PZrDfpRt393+Bd6bgSfDmwOcKj0xqVZqNOWBcoUGWDLO0/ZLnBeoS1Tz10TP+cRQIP3EmT5rUCjWijF3SjUtzTpu9dwTvVDe22h5mm2SrErjartZlFn5kK3fk6woFufMyyUMP2H/vc73AgAA","EnableZoom":true,"HierarchyIndenting":true,"ParentsOnBottom":false,"SortingOption":0,"Sorting":"","Order":0,"ZoomInParentMemberIds":[],"ZoomInBottomLevelParentMemberIds":[]}},"SuppressBlankRows":true,"SuppressZeroes":true,"EnableDataInput":false},{"Section":"CORPORATE","Block":"B1","ID":"f627414f","DataModelID":651628815408562176,"Ranges":{"79a81c1a":{"Section":"CORPORATE","Block":"B1","CollectionID":"f627414f","ID":"79a81c1a","DataModelID":651628815408562176,"Dimension":1,"DynamicExpression":"H4sIAAAAAAAEALWSwWuDMBTG/5ecWnBgnDrnzakMQd2oZZcxRlpfWSAmksRtpfi/L6GWefCwQ3d7X9738n5fyAlx0YJC8esJVdDtQBYtim+wgzLQhDIUhwEOvSjCge9GQejhu9D0aGdtxpVoLelu0HAZe+pBEi0kiu9d91cmkuqjmbBnKTC2gQNI4HuoSQcoRsiZ1lvdAJH7j+2xNx3jrw2hvX4qn4kZ1AVv4duuHJ2rk/uud11yvEDu/gP4XE3c9mgJ+1GKoff/An+7AI/HNwcxovTMpITUYMoDYQoMsKSMZeKLnxeoS1Tz1/jA2MxQAvmEhT7tgCsq+JQ7I5pUZh2zeumJXggbbLQiy5s0r7Ok3jarKq8e8s17mpfl6px5vUbjD6zPXOb3AgAA","EnableZoom":true,"HierarchyIndenting":true,"ParentsOnBottom":false,"SortingOption":0,"Sorting":"","Order":0,"ZoomInParentMemberIds":[],"ZoomInBottomLevelParentMemberIds":[]}},"SuppressBlankRows":true,"SuppressZeroes":true,"EnableDataInput":false},{"Section":"CORPORATE","Block":"B1","ID":"b87dcc00","DataModelID":651628815408562176,"Ranges":{"c00757be":{"Section":"CORPORATE","Block":"B1","CollectionID":"b87dcc00","ID":"c00757be","DataModelID":651628815408562176,"Dimension":1,"DynamicExpression":"H4sIAAAAAAAEALWST2uDMBjGv8t7asFBdNWJt7bKKGgdXelljJHWtywQE0nitlL87ktWyzx42KG7vX+e5Pk9IWcQskINycsZCqz3qFYVJHe+BykayjgkUehHQRz74YzEYRT4D5HdsdrJrGpujGL71uD1WNmgokYquyWE/PZzxczpZ+jBEjnf4BEVigOuaY2QAHi9v+ufkarD+/bU2I3Vry2iu78vn6g9aFaiwi/n2Xk3R5+R4Lbk/gg5+QfwYddzu9EY9qOSbRP+Bf5+BN7vXj3gVJuBSEtl0JZHyjVaYMU4T+WnuBjoa1T72UTL+UCQI/3AkT2rUWgmRZ87pYYW1o67fuyJdpS3Ltqi3G7LIs92WT4psmKRbd6WWZ5PLpGnU+i+AVSx0wn3AgAA","EnableZoom":false,"HierarchyIndenting":false,"ParentsOnBottom":false,"SortingOption":0,"Sorting":"","Order":0,"ZoomInParentMemberIds":[],"ZoomInBottomLevelParentMemberIds":[]}},"SuppressBlankRows":true,"SuppressZeroes":true,"EnableDataInput":false},{"Section":"CORPORATE","Block":"B1","ID":"689e2c43","DataModelID":651628815408562176,"Ranges":{"3d42a981":{"Section":"CORPORATE","Block":"B1","CollectionID":"689e2c43","ID":"3d42a981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124R/gb8fgafdqweCaTMQ6VoZtOWRCY0WWHEhkvpTXgz0Nar9bLIVYiDIkH3gyJ5XKDWvZZ87YYbl1k64fuyJdky0Ltqi2G6LPEt3aTbJ03yRbt6WaZZNLpGnU+i+AVb75q73AgAA","EnableZoom":false,"HierarchyIndenting":false,"ParentsOnBottom":false,"SortingOption":0,"Sorting":"","Order":0,"ZoomInParentMemberIds":[],"ZoomInBottomLevelParentMemberIds":[]}},"SuppressBlankRows":true,"SuppressZeroes":true,"EnableDataInput":false},{"Section":"CORPORATE","Block":"B1","ID":"18905d88","DataModelID":651628815408562176,"Ranges":{"d2f25054":{"Section":"CORPORATE","Block":"B1","CollectionID":"18905d88","ID":"d2f25054","DataModelID":651628815408562176,"Dimension":1,"DynamicExpression":"H4sIAAAAAAAEALWST2uDMBjGv0tOLThIXLXira0yClpHJ72UMdL6lgViIkncVorffclqmQcPO3S398+TPL8n5IKErECjeH9BOdQHUOsKxQ/EQwkYyjiKw4CEfhSRYIajIPTJPLQ7VjuZVS2MUezQGrgdKxpQ1Ehltxjj336hmDn/DD20As63cAIF4ggbWgOKEfJ6f9e/AFXH9/Lc2I3Vbyyiu78vn6k9aNaigi/n2Xl3R59h/77kZIQc/wP4sOu53WgM+0nJtpn/Bf5xBJ50rx7iVJuBSEtlwJYnyjVYYMU4T+SnuBroW1T72UTL+UCQAf2AkT2rQWgmRZ87oYbm1o67fuyJdpS3LtqyKMsiz9Jdmk3yNF+m27dVmmWTa+TpFHXfl8DaevcCAAA=","EnableZoom":false,"HierarchyIndenting":false,"ParentsOnBottom":false,"SortingOption":0,"Sorting":"","Order":0,"ZoomInParentMemberIds":[],"ZoomInBottomLevelParentMemberIds":[]}},"SuppressBlankRows":true,"SuppressZeroes":true,"EnableDataInput":false},{"Section":"CORPORATE","Block":"B1","ID":"6aaae85b","DataModelID":651628815408562176,"Ranges":{"cf4a81af":{"Section":"CORPORATE","Block":"B1","CollectionID":"6aaae85b","ID":"cf4a81af","DataModelID":651628815408562176,"Dimension":1,"DynamicExpression":"H4sIAAAAAAAEALWST2uDMBjGv8t7asFB4qoTb22VUdA6utLLGCOtb1kgRknitlL87ktWyzx42KG7vX+e5Pk9IWeQdYka4pcz5FjtUa1KiO+oBwkaxgXEYUBDP4poMCNREPr0IbQ7XjmZVc2NUXzfGrweKxpUzNTKbgkhv/1ccXP6GXqwRCE2eESF8oBrViHEAF7v7/pnZOrwvj01dmP1a4vo7u/LJ2YPmpUs8ct5dt7N0WfEvy05HSEn/wA+7HpuNxrDflR120R/gb8fgafdqweCaTMQ6VoZtOWRCY0WWHEhkvpTXgz0Nar9bLIVYiDIkH3gyJ5XKDWvZZ87YYbl1k64fuyJdky0Ltqi2G6LPEt3aTbJ03yRbt6WaZZNLpGnU+i+AV6oqSz3AgAA","EnableZoom":false,"HierarchyIndenting":false,"ParentsOnBottom":false,"SortingOption":0,"Sorting":"","Order":0,"ZoomInParentMemberIds":[],"ZoomInBottomLevelParentMemberIds":[]}},"SuppressBlankRows":true,"SuppressZeroes":true,"EnableDataInput":false},{"Section":"SummaryPage","Block":"B1","ID":"dfd19a58","DataModelID":651628815408562176,"Ranges":{"cfed1b3":{"Section":"SummaryPage","Block":"B1","CollectionID":"dfd19a58","ID":"cfed1b3","DataModelID":651628815408562176,"Dimension":1,"DynamicExpression":"H4sIAAAAAAAEAG1QTU/CQBD9K2bONWEL3dbeiOVAImjUeDEeBjrIJtNts7tVCOG/O5uWBI23efPm4713AtvW5KF8P8GKmg25ZQ2lzpSeqllaKJ3puzyb5glUFNDwwKVFobLZpMh0qnItnGnimkpgHoIzmz5QxLfSeOzIYWjdbzR3JhyH1j0xP9OOHNktrbEhKAGSUUzEL4Ruu389dsJMEliL3nh8LJ9QFsPS1nSI984fCTD6cDXlWxdIyh2yJ9HqDHPVftvhg7+4lgxsz3w18ED4Rf/wpiHrTWtHyxUGXMk7viT3N5035D66Gswb+3mzOHRyQmI//wD49kIbgAEAAA==","EnableZoom":true,"HierarchyIndenting":true,"ParentsOnBottom":false,"SortingOption":0,"Sorting":"","Order":0,"ZoomInParentMemberIds":[],"ZoomInBottomLevelParentMemberIds":[]},"52679534":{"Section":"SummaryPage","Block":"B1","CollectionID":"dfd19a58","ID":"52679534","DataModelID":651628815408562176,"Dimension":3,"DynamicExpression":"H4sIAAAAAAAEAKVRQWrDMBD8y55acMGya9nRLdiFGhK3pKWX0IMSb6hAlowktw3Bf6+EE+pDTu1tZ3d2Z0Y6gdItWmDbE6yx26GpW2B3JIIKHRcSGM0ITYqCZPdxkdGE5NTPRBdoaQRL54zYDQ4va089Gu60AZbH8S9cGuGOwEjolSjlBg9oUO2x4R0CA4jO8gG/IDf7j9dj7yee33iH4Xwylc/cL7patfgdJMdo7pwQkicJzUlKab5YpDQI/jvKHJ2ThNZfg6RXgiTjewSSWzcjWW0c+vLApUVv1QgpK/2lJgF7Se1/Tw1Szggr5J94ZS46VFZoFe6Hd+GOr72cDHiivHE5hBh1+Vivqs1Dc1Nq02ufHG9h/AHnVgtcLgIAAA==","EnableZoom":true,"HierarchyIndenting":true,"ParentsOnBottom":true,"SortingOption":5,"Sorting":"PARENTBOTTOM","Order":1,"ZoomInParentMemberIds":[],"ZoomInBottomLevelParentMemberIds":[]}},"SuppressBlankRows":true,"SuppressZeroes":true,"EnableDataInput":false},{"Section":"SummaryPage","Block":"B2","ID":"6e9424e3","DataModelID":651628815408562176,"Ranges":{"b9068926":{"Section":"SummaryPage","Block":"B2","CollectionID":"6e9424e3","ID":"b9068926","DataModelID":651628815408562176,"Dimension":1,"DynamicExpression":"H4sIAAAAAAAEAG1QTU/CQBD9K2bONWEL3dbeiOVAImjUeDEeBjrIJtNts7tVCOG/O5uWBI23efPm4713AtvW5KF8P8GKmg25ZQ2lzpSeqllaKJ3puzyb5glUFNDwwKVFobLZpMh0qnItnGnimkpgHoIzmz5QxLfSeOzIYWjdbzR3JhyH1j0xP9OOHNktrbEhKAGSUUzEL4Ruu389dsJMEliL3nh8LJ9QFsPS1nSI984fCTD6cDXlWxdIyh2yJ9HqDHPVftvhg7+4lgxsz3w18ED4Rf/wpiHrTWtHyxUGXMk7viT3N5035D66Gswb+3mzOHRyQmI//wD49kIbgAEAAA==","EnableZoom":true,"HierarchyIndenting":true,"ParentsOnBottom":false,"SortingOption":0,"Sorting":"","Order":0,"ZoomInParentMemberIds":[],"ZoomInBottomLevelParentMemberIds":[]},"99f9da6d":{"Section":"SummaryPage","Block":"B2","CollectionID":"6e9424e3","ID":"99f9da6d","DataModelID":651628815408562176,"Dimension":3,"DynamicExpression":"H4sIAAAAAAAEAKVRQWrDMBD8y55acMGya9nRLdiFGhK3pKWX0IMSb6hAlowktw3Bf6+EE+pDTu1tZ3d2Z0Y6gdItWmDbE6yx26GpW2B3JIIKHRcSGM0ITYqCZPdxkdGE5NTPRBdoaQRL54zYDQ4va089Gu60AZbH8S9cGuGOwEjolSjlBg9oUO2x4R0CA4jO8gG/IDf7j9dj7yee33iH4Xwylc/cL7patfgdJMdo7pwQkicJzUlKab5YpDQI/jvKHJ2ThNZfg6RXgiTjewSSWzcjWW0c+vLApUVv1QgpK/2lJgF7Se1/Tw1Szggr5J94ZS46VFZoFe6Hd+GOr72cDHiivHE5hBh1+Vivqs1Dc1Nq02ufHG9h/AHnVgtcLgIAAA==","EnableZoom":true,"HierarchyIndenting":true,"ParentsOnBottom":true,"SortingOption":5,"Sorting":"PARENTBOTTOM","Order":1,"ZoomInParentMemberIds":[],"ZoomInBottomLevelParentMemberIds":[]}},"SuppressBlankRows":true,"SuppressZeroes":true,"EnableDataInput":false},{"Section":"IS","Block":"B1","ID":"73a89d88","DataModelID":651628815408562176,"Ranges":{"133a2778":{"Section":"IS","Block":"B1","CollectionID":"73a89d88","ID":"133a2778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b7a98ec2":{"Section":"IS","Block":"B1","CollectionID":"73a89d88","ID":"b7a98ec2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1ec91c35":{"Section":"IS","Block":"B1","CollectionID":"73a89d88","ID":"1ec91c35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3c75e1e9":{"Section":"IS","Block":"B1","CollectionID":"73a89d88","ID":"3c75e1e9","DataModelID":651628815408562176,"Dimension":1,"DynamicExpression":"H4sIAAAAAAAEALWST2uDMBjGv8t7asFBItU5b22VUdA6utLLGCOtb1kgRknitlL87ktWyzx42KG7vX+e5Pk9IWeQdYka4pcz5FjtUa1KiO+oBwkaxgXEYUBDP4poMCNREPr0PrQ7XjmZVc2NUXzfGrweKxpUzNTKbgkhv/1ccXP6GXqwRCE2eESF8oBrViHEAF7v7/pnZOrwvj01dmP1a4vo7u/LJ2YPmpUs8ct5dt7N0WfEvy05HSEn/wA+7HpuNxrDflR12zz8CX6MnnavHgimzVCla2XQ1kcmNFpkxYVI6k95sdDXsPa7yVaIgSBD9oEje16h1LyWffKEGZZbP+H6sUfaMdG6cItiuy3yLN2l2SRP80W6eVumWTa5hJ5OofsGL1+HkPkCAAA=","EnableZoom":false,"HierarchyIndenting":false,"ParentsOnBottom":false,"SortingOption":0,"Sorting":"","Order":3,"ZoomInParentMemberIds":[],"ZoomInBottomLevelParentMemberIds":[]}},"SuppressBlankRows":true,"SuppressZeroes":true,"EnableDataInput":false},{"Section":"CORPORATE","Block":"B1","ID":"3867b58e","DataModelID":651628815408562176,"Ranges":{"2178a4e2":{"Section":"CORPORATE","Block":"B1","CollectionID":"3867b58e","ID":"2178a4e2","DataModelID":651628815408562176,"Dimension":1,"DynamicExpression":"H4sIAAAAAAAEALWST2uDMBjGv0tOLThIRJ3z1lYZBa2jk17GGGl9ywIxkSRuK8XvvmS1zIOHHbrb++dJnt8TckZC1qBR8nJGBTR7UOsaJXfEQykYyjhKopBEfhyTMMBxGPnkPrI71jiZVS2MUWzfGbgeK1tQ1Ehltxjj336hmDn9DD20As63cAQF4gAb2gBKEPIGf9c/A1WH9+rU2o3Vbyyiu38on6g9aNaihi/n2Xs3Rw+wf1tyMkGO/wF83A3cbjSF/ahk1z78BT6YgCf9q4c41WYk0lIZsOWRcg0WWDHOU/kpLgb6GtV+NtFxPhLkQD9gYs8aEJpJMeROqaGFteOun3qiHeWdi7Ysq6os8myX5bMiK5bZ9m2V5fnsEnk+R/03dsX/7PcCAAA=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e292c686","DataModelID":651628815408562176,"Ranges":{"dea12e8f":{"Section":"CORPORATEADMIN","Block":"B1","CollectionID":"e292c686","ID":"dea12e8f","DataModelID":651628815408562176,"Dimension":1,"DynamicExpression":"H4sIAAAAAAAEALWST2uDMBjGv0tOLThIRJ3z1lYZBa2jk17GGGl9ywIxkSRuK8XvvmS1zIOHHbrb++dJnt8TckZC1qBR8nJGBTR7UOsaJXfEQykYyjhKopBEfhyTMMBxGPnkPrI71jiZVS2MUWzfGbgeK1tQ1Ehltxjj336hmDn9DD20As63cAQF4gAb2gBKEPIGf9c/A1WH9+rU2o3Vbyyiu38on6g9aNaihi/n2Xs3Rw+wf1tyMkGO/wF83A3cbjSF/ahk1z78BT6YgCf9q4c41WYk0lIZsOWRcg0WWDHOU/kpLgb6GtV+NtFxPhLkQD9gYs8aEJpJMeROqaGFteOun3qiHeWdi7Ysq6os8myX5bMiK5bZ9m2V5fnsEnk+R/03dsX/7PcCAAA=","EnableZoom":false,"HierarchyIndenting":false,"ParentsOnBottom":false,"SortingOption":0,"Sorting":"","Order":0,"ZoomInParentMemberIds":[],"ZoomInBottomLevelParentMemberIds":[]}},"SuppressBlankRows":true,"SuppressZeroes":true,"EnableDataInput":false},{"Section":"451","Block":"b1","ID":"2027a523","DataModelID":651628815408562176,"Ranges":{"8c82b64":{"Section":"451","Block":"b1","CollectionID":"2027a523","ID":"8c82b64","DataModelID":651628815408562176,"Dimension":1,"DynamicExpression":"H4sIAAAAAAAEALWST2uDMBjGv0tOLThIRJ3z1lYZBa2jk17GGGl9ywIxkSRuK8XvvmS1zIOHHbrb++dJnt8TckZC1qBR8nJGBTR7UOsaJXfEQykYyjhKopBEfhyTMMBxGPnkPrI71jiZVS2MUWzfGbgeK1tQ1Ehltxjj336hmDn9DD20As63cAQF4gAb2gBKEPIGf9c/A1WH9+rU2o3Vbyyiu38on6g9aNaihi/n2Xs3Rw+wf1tyMkGO/wF83A3cbjSF/ahk1z78BT6YgCf9q4c41WYk0lIZsOWRcg0WWDHOU/kpLgb6GtV+NtFxPhLkQD9gYs8aEJpJMeROqaGFteOun3qiHeWdi7Ysq6os8myX5bMiK5bZ9m2V5fnsEnk+R/03dsX/7PcCAAA=","EnableZoom":false,"HierarchyIndenting":false,"ParentsOnBottom":false,"SortingOption":0,"Sorting":"","Order":0,"ZoomInParentMemberIds":[],"ZoomInBottomLevelParentMemberIds":[]}},"SuppressBlankRows":true,"SuppressZeroes":true,"EnableDataInput":false},{"Section":"410","Block":"b1","ID":"dbe2fdb4","DataModelID":651628815408562176,"Ranges":{"2ff58b7f":{"Section":"410","Block":"b1","CollectionID":"dbe2fdb4","ID":"2ff58b7f","DataModelID":651628815408562176,"Dimension":1,"DynamicExpression":"H4sIAAAAAAAEALWST2uDMBjGv0tOLThIRJ3z1lYZBa2jk17GGGl9ywIxkSRuK8XvvmS1zIOHHbrb++dJnt8TckZC1qBR8nJGBTR7UOsaJXfEQykYyjhKopBEfhyTMMBxGPnkPrI71jiZVS2MUWzfGbgeK1tQ1Ehltxjj336hmDn9DD20As63cAQF4gAb2gBKEPIGf9c/A1WH9+rU2o3Vbyyiu38on6g9aNaihi/n2Xs3Rw+wf1tyMkGO/wF83A3cbjSF/ahk1z78BT6YgCf9q4c41WYk0lIZsOWRcg0WWDHOU/kpLgb6GtV+NtFxPhLkQD9gYs8aEJpJMeROqaGFteOun3qiHeWdi7Ysq6os8myX5bMiK5bZ9m2V5fnsEnk+R/03dsX/7PcCAAA=","EnableZoom":false,"HierarchyIndenting":false,"ParentsOnBottom":false,"SortingOption":0,"Sorting":"","Order":0,"ZoomInParentMemberIds":[],"ZoomInBottomLevelParentMemberIds":[]}},"SuppressBlankRows":true,"SuppressZeroes":true,"EnableDataInput":false},{"Section":"420","Block":"B1","ID":"379efcea","DataModelID":651628815408562176,"Ranges":{"6d81b05":{"Section":"420","Block":"B1","CollectionID":"379efcea","ID":"6d81b05","DataModelID":651628815408562176,"Dimension":1,"DynamicExpression":"H4sIAAAAAAAEALWST2uDMBjGv0tOLThIRJ3z1lYZBa2jk17GGGl9ywIxkSRuK8XvvmS1zIOHHbrb++dJnt8TckZC1qBR8nJGBTR7UOsaJXfEQykYyjhKopBEfhyTMMBxGPnkPrI71jiZVS2MUWzfGbgeK1tQ1Ehltxjj336hmDn9DD20As63cAQF4gAb2gBKEPIGf9c/A1WH9+rU2o3Vbyyiu38on6g9aNaihi/n2Xs3Rw+wf1tyMkGO/wF83A3cbjSF/ahk1z78BT6YgCf9q4c41WYk0lIZsOWRcg0WWDHOU/kpLgb6GtV+NtFxPhLkQD9gYs8aEJpJMeROqaGFteOun3qiHeWdi7Ysq6os8myX5bMiK5bZ9m2V5fnsEnk+R/03dsX/7PcCAAA=","EnableZoom":false,"HierarchyIndenting":false,"ParentsOnBottom":false,"SortingOption":0,"Sorting":"","Order":0,"ZoomInParentMemberIds":[],"ZoomInBottomLevelParentMemberIds":[]}},"SuppressBlankRows":true,"SuppressZeroes":true,"EnableDataInput":false},{"Section":"440","Block":"B1","ID":"ea640720","DataModelID":651628815408562176,"Ranges":{"50eb099a":{"Section":"440","Block":"B1","CollectionID":"ea640720","ID":"50eb099a","DataModelID":651628815408562176,"Dimension":1,"DynamicExpression":"H4sIAAAAAAAEALWST2uDMBjGv0tOLThIRJ3z1lYZBa2jk17GGGl9ywIxkSRuK8XvvmS1zIOHHbrb++dJnt8TckZC1qBR8nJGBTR7UOsaJXfEQykYyjhKopBEfhyTMMBxGPnkPrI71jiZVS2MUWzfGbgeK1tQ1Ehltxjj336hmDn9DD20As63cAQF4gAb2gBKEPIGf9c/A1WH9+rU2o3Vbyyiu38on6g9aNaihi/n2Xs3Rw+wf1tyMkGO/wF83A3cbjSF/ahk1z78BT6YgCf9q4c41WYk0lIZsOWRcg0WWDHOU/kpLgb6GtV+NtFxPhLkQD9gYs8aEJpJMeROqaGFteOun3qiHeWdi7Ysq6os8myX5bMiK5bZ9m2V5fnsEnk+R/03dsX/7PcCAAA=","EnableZoom":false,"HierarchyIndenting":false,"ParentsOnBottom":false,"SortingOption":0,"Sorting":"","Order":0,"ZoomInParentMemberIds":[],"ZoomInBottomLevelParentMemberIds":[]}},"SuppressBlankRows":true,"SuppressZeroes":true,"EnableDataInput":false},{"Section":"670","Block":"B1","ID":"ec2ab1f0","DataModelID":651628815408562176,"Ranges":{"6bc9bee3":{"Section":"670","Block":"B1","CollectionID":"ec2ab1f0","ID":"6bc9bee3","DataModelID":651628815408562176,"Dimension":1,"DynamicExpression":"H4sIAAAAAAAEALWST2uDMBjGv0tOLThIRJ3z1lYZBa2jk17GGGl9ywIxkSRuK8XvvmS1zIOHHbrb++dJnt8TckZC1qBR8nJGBTR7UOsaJXfEQykYyjhKopBEfhyTMMBxGPnkPrI71jiZVS2MUWzfGbgeK1tQ1Ehltxjj336hmDn9DD20As63cAQF4gAb2gBKEPIGf9c/A1WH9+rU2o3Vbyyiu38on6g9aNaihi/n2Xs3Rw+wf1tyMkGO/wF83A3cbjSF/ahk1z78BT6YgCf9q4c41WYk0lIZsOWRcg0WWDHOU/kpLgb6GtV+NtFxPhLkQD9gYs8aEJpJMeROqaGFteOun3qiHeWdi7Ysq6os8myX5bMiK5bZ9m2V5fnsEnk+R/03dsX/7PcCAAA=","EnableZoom":false,"HierarchyIndenting":false,"ParentsOnBottom":false,"SortingOption":0,"Sorting":"","Order":0,"ZoomInParentMemberIds":[],"ZoomInBottomLevelParentMemberIds":[]}},"SuppressBlankRows":true,"SuppressZeroes":true,"EnableDataInput":false},{"Section":"CORPORATE","Block":"B1","ID":"17497582","DataModelID":651628815408562176,"Ranges":{"ab04c99c":{"Section":"CORPORATE","Block":"B1","CollectionID":"17497582","ID":"ab04c99c","DataModelID":651628815408562176,"Dimension":1,"DynamicExpression":"H4sIAAAAAAAEALWST2uDMBjGv8t7asFBItWJt7bKKGgdnfQyxkjrWxaIUZK4rRS/+5LNMg8eduhu758neX5PyAVkU6GG+PkCOdYHVJsK4jvqQYKGcQFxGNDQjyIaLEgUhD69D+2O105mVUtjFD90Bq/HihYVM42yW0LIb79U3Jy/hx6sUYgdnlChPOKW1QgxgDf4u/4JmTq+lefWbqx+axHd/UP5yOxBs5EVfjrP3rs5+oL4tyWnE+TkH8DH3cDtRlPYD6rpWkr+Qh9M0NP+xQPBtBmJdKMM2vLEhEZLrLgQSfMhfwz0Nav9bbITYiTIkL3jxJ7XKDVv5BA8YYbl1k64fuqN9kx0LtuqKMsiz9J9ms3yNF+lu9d1mmWzIfN8Dv0X/rmaNvkCAAA=","EnableZoom":false,"HierarchyIndenting":false,"ParentsOnBottom":false,"SortingOption":0,"Sorting":"","Order":0,"ZoomInParentMemberIds":[],"ZoomInBottomLevelParentMemberIds":[]}},"SuppressBlankRows":true,"SuppressZeroes":true,"EnableDataInput":false},{"Section":"CORPORATEADMIN","Block":"B1","ID":"3fc7c4fa","DataModelID":651628815408562176,"Ranges":{"26a93d8a":{"Section":"CORPORATEADMIN","Block":"B1","CollectionID":"3fc7c4fa","ID":"26a93d8a","DataModelID":651628815408562176,"Dimension":1,"DynamicExpression":"H4sIAAAAAAAEALWST2uDMBjGv8t7asFBItWJt7bKKGgdnfQyxkjrWxaIUZK4rRS/+5LNMg8eduhu758neX5PyAVkU6GG+PkCOdYHVJsK4jvqQYKGcQFxGNDQjyIaLEgUhD69D+2O105mVUtjFD90Bq/HihYVM42yW0LIb79U3Jy/hx6sUYgdnlChPOKW1QgxgDf4u/4JmTq+lefWbqx+axHd/UP5yOxBs5EVfjrP3rs5+oL4tyWnE+TkH8DH3cDtRlPYD6rpWkr+Qh9M0NP+xQPBtBmJdKMM2vLEhEZLrLgQSfMhfwz0Nav9bbITYiTIkL3jxJ7XKDVv5BA8YYbl1k64fuqN9kx0LtuqKMsiz9J9ms3yNF+lu9d1mmWzIfN8Dv0X/rmaNvkCAAA=","EnableZoom":false,"HierarchyIndenting":false,"ParentsOnBottom":false,"SortingOption":0,"Sorting":"","Order":0,"ZoomInParentMemberIds":[],"ZoomInBottomLevelParentMemberIds":[]}},"SuppressBlankRows":true,"SuppressZeroes":true,"EnableDataInput":false},{"Section":"451","Block":"b1","ID":"7a3a2281","DataModelID":651628815408562176,"Ranges":{"1ea08e82":{"Section":"451","Block":"b1","CollectionID":"7a3a2281","ID":"1ea08e82","DataModelID":651628815408562176,"Dimension":1,"DynamicExpression":"H4sIAAAAAAAEALWST2uDMBjGv8t7asFBItWJt7bKKGgdnfQyxkjrWxaIUZK4rRS/+5LNMg8eduhu758neX5PyAVkU6GG+PkCOdYHVJsK4jvqQYKGcQFxGNDQjyIaLEgUhD69D+2O105mVUtjFD90Bq/HihYVM42yW0LIb79U3Jy/hx6sUYgdnlChPOKW1QgxgDf4u/4JmTq+lefWbqx+axHd/UP5yOxBs5EVfjrP3rs5+oL4tyWnE+TkH8DH3cDtRlPYD6rpWkr+Qh9M0NP+xQPBtBmJdKMM2vLEhEZLrLgQSfMhfwz0Nav9bbITYiTIkL3jxJ7XKDVv5BA8YYbl1k64fuqN9kx0LtuqKMsiz9J9ms3yNF+lu9d1mmWzIfN8Dv0X/rmaNvkCAAA=","EnableZoom":false,"HierarchyIndenting":false,"ParentsOnBottom":false,"SortingOption":0,"Sorting":"","Order":0,"ZoomInParentMemberIds":[],"ZoomInBottomLevelParentMemberIds":[]}},"SuppressBlankRows":true,"SuppressZeroes":true,"EnableDataInput":false},{"Section":"410","Block":"b1","ID":"127789de","DataModelID":651628815408562176,"Ranges":{"75879d":{"Section":"410","Block":"b1","CollectionID":"127789de","ID":"75879d","DataModelID":651628815408562176,"Dimension":1,"DynamicExpression":"H4sIAAAAAAAEALWST2uDMBjGv8t7asFBItWJt7bKKGgdnfQyxkjrWxaIUZK4rRS/+5LNMg8eduhu758neX5PyAVkU6GG+PkCOdYHVJsK4jvqQYKGcQFxGNDQjyIaLEgUhD69D+2O105mVUtjFD90Bq/HihYVM42yW0LIb79U3Jy/hx6sUYgdnlChPOKW1QgxgDf4u/4JmTq+lefWbqx+axHd/UP5yOxBs5EVfjrP3rs5+oL4tyWnE+TkH8DH3cDtRlPYD6rpWkr+Qh9M0NP+xQPBtBmJdKMM2vLEhEZLrLgQSfMhfwz0Nav9bbITYiTIkL3jxJ7XKDVv5BA8YYbl1k64fuqN9kx0LtuqKMsiz9J9ms3yNF+lu9d1mmWzIfN8Dv0X/rmaNvkCAAA=","EnableZoom":false,"HierarchyIndenting":false,"ParentsOnBottom":false,"SortingOption":0,"Sorting":"","Order":0,"ZoomInParentMemberIds":[],"ZoomInBottomLevelParentMemberIds":[]}},"SuppressBlankRows":true,"SuppressZeroes":true,"EnableDataInput":false},{"Section":"420","Block":"B1","ID":"e061f57b","DataModelID":651628815408562176,"Ranges":{"51f90e77":{"Section":"420","Block":"B1","CollectionID":"e061f57b","ID":"51f90e77","DataModelID":651628815408562176,"Dimension":1,"DynamicExpression":"H4sIAAAAAAAEALWST2uDMBjGv8t7asFBItWJt7bKKGgdnfQyxkjrWxaIUZK4rRS/+5LNMg8eduhu758neX5PyAVkU6GG+PkCOdYHVJsK4jvqQYKGcQFxGNDQjyIaLEgUhD69D+2O105mVUtjFD90Bq/HihYVM42yW0LIb79U3Jy/hx6sUYgdnlChPOKW1QgxgDf4u/4JmTq+lefWbqx+axHd/UP5yOxBs5EVfjrP3rs5+oL4tyWnE+TkH8DH3cDtRlPYD6rpWkr+Qh9M0NP+xQPBtBmJdKMM2vLEhEZLrLgQSfMhfwz0Nav9bbITYiTIkL3jxJ7XKDVv5BA8YYbl1k64fuqN9kx0LtuqKMsiz9J9ms3yNF+lu9d1mmWzIfN8Dv0X/rmaNvkCAAA=","EnableZoom":false,"HierarchyIndenting":false,"ParentsOnBottom":false,"SortingOption":0,"Sorting":"","Order":0,"ZoomInParentMemberIds":[],"ZoomInBottomLevelParentMemberIds":[]}},"SuppressBlankRows":true,"SuppressZeroes":true,"EnableDataInput":false},{"Section":"440","Block":"B1","ID":"89e83f6f","DataModelID":651628815408562176,"Ranges":{"2aec7de4":{"Section":"440","Block":"B1","CollectionID":"89e83f6f","ID":"2aec7de4","DataModelID":651628815408562176,"Dimension":1,"DynamicExpression":"H4sIAAAAAAAEALWST2uDMBjGv8t7asFBItWJt7bKKGgdnfQyxkjrWxaIUZK4rRS/+5LNMg8eduhu758neX5PyAVkU6GG+PkCOdYHVJsK4jvqQYKGcQFxGNDQjyIaLEgUhD69D+2O105mVUtjFD90Bq/HihYVM42yW0LIb79U3Jy/hx6sUYgdnlChPOKW1QgxgDf4u/4JmTq+lefWbqx+axHd/UP5yOxBs5EVfjrP3rs5+oL4tyWnE+TkH8DH3cDtRlPYD6rpWkr+Qh9M0NP+xQPBtBmJdKMM2vLEhEZLrLgQSfMhfwz0Nav9bbITYiTIkL3jxJ7XKDVv5BA8YYbl1k64fuqN9kx0LtuqKMsiz9J9ms3yNF+lu9d1mmWzIfN8Dv0X/rmaNvkCAAA=","EnableZoom":false,"HierarchyIndenting":false,"ParentsOnBottom":false,"SortingOption":0,"Sorting":"","Order":0,"ZoomInParentMemberIds":[],"ZoomInBottomLevelParentMemberIds":[]}},"SuppressBlankRows":true,"SuppressZeroes":true,"EnableDataInput":false},{"Section":"670","Block":"B1","ID":"c5d7e454","DataModelID":651628815408562176,"Ranges":{"6150803d":{"Section":"670","Block":"B1","CollectionID":"c5d7e454","ID":"6150803d","DataModelID":651628815408562176,"Dimension":1,"DynamicExpression":"H4sIAAAAAAAEALWST2uDMBjGv8t7asFBItWJt7bKKGgdnfQyxkjrWxaIUZK4rRS/+5LNMg8eduhu758neX5PyAVkU6GG+PkCOdYHVJsK4jvqQYKGcQFxGNDQjyIaLEgUhD69D+2O105mVUtjFD90Bq/HihYVM42yW0LIb79U3Jy/hx6sUYgdnlChPOKW1QgxgDf4u/4JmTq+lefWbqx+axHd/UP5yOxBs5EVfjrP3rs5+oL4tyWnE+TkH8DH3cDtRlPYD6rpWkr+Qh9M0NP+xQPBtBmJdKMM2vLEhEZLrLgQSfMhfwz0Nav9bbITYiTIkL3jxJ7XKDVv5BA8YYbl1k64fuqN9kx0LtuqKMsiz9J9ms3yNF+lu9d1mmWzIfN8Dv0X/rmaNvkCAAA=","EnableZoom":false,"HierarchyIndenting":false,"ParentsOnBottom":false,"SortingOption":0,"Sorting":"","Order":0,"ZoomInParentMemberIds":[],"ZoomInBottomLevelParentMemberIds":[]}},"SuppressBlankRows":true,"SuppressZeroes":true,"EnableDataInput":false},{"Section":"IS","Block":"B1","ID":"c0d1e1c4","DataModelID":651628815408562176,"Ranges":{"f62c05c8":{"Section":"IS","Block":"B1","CollectionID":"c0d1e1c4","ID":"f62c05c8","DataModelID":651628815408562176,"Dimension":2,"DynamicExpression":"H4sIAAAAAAAEAK1RwWrDMAz9F5028CAOTRZ865ocCkk32rHLGMVNVGZQnGI720rJv89mKSslhx1207Oe/N6TTqC7Bi2I1xNU2O7QLBsQd5xBjk4qApEmPI2zjCezKEvSmN+nvqfaQIsZzJ0zatc7PI89HtBI1xkQsyj+hXOj3BEEjyIGCyRa4x4N6hpXskUQAGyUD3iD0tTvz8eD73j+yjsM34/lk/SDbqkb/AqSA/t355doNB6epnxvkLB2qtPbQrvA/EMOPpEjGt4YkLTugmQ749CXe0kWvXWjiPLuU/8I2HNofzzdE10QSpQfONFXLWrrvY4byKWTlZejgKeW9SKpDyGronoo1ttFUZY314FvYfgG89DynkQCAAA=","EnableZoom":false,"HierarchyIndenting":false,"ParentsOnBottom":false,"SortingOption":0,"Sorting":"","Order":0,"ZoomInParentMemberIds":[],"ZoomInBottomLevelParentMemberIds":[]},"4c9e0d1f":{"Section":"IS","Block":"B1","CollectionID":"c0d1e1c4","ID":"4c9e0d1f","DataModelID":651628815408562176,"Dimension":3,"DynamicExpression":"H4sIAAAAAAAEAK2RP2vDMBDFv8tNLahgubFrtKWxh4CdlqR0KSEo9oUKzn+Q5LYh+LtXog714KFDNz3dnd7vnS7QtBUaEG8XKLA+ol5XIO44gxStVAQijngcJgmPFkESxSF/iF1N1b7tnsHSWq2OvcXr2FOHWtpWg1gE4a9camXPIHgQMFgh0RZPqLEpcSNrBAHARnuvdyh1+f5y7lzF9W8coX9+PD5LN2jXTYVf3nJg/04+VSO4v5rj3iFhaVXbHFLspLa1Q/tLFj6TJRj2DEgaO2kyrbbojidJBh2+VkRp+9n8GJhrcPeBTU80achRfuBMXTlC43jHLaTSysLZkddzC3uV1PugRVY8ZtvDKsvzm7nQtzB8AxZkG+BMAgAA","EnableZoom":false,"HierarchyIndenting":false,"ParentsOnBottom":false,"SortingOption":0,"Sorting":"","Order":1,"ZoomInParentMemberIds":[],"ZoomInBottomLevelParentMemberIds":[]},"97530190":{"Section":"IS","Block":"B1","CollectionID":"c0d1e1c4","ID":"97530190","DataModelID":651628815408562176,"Dimension":11,"DynamicExpression":"H4sIAAAAAAAEAK1RwWqDQBT8l3dqwYJKtOItVQ8BTUtSeiklbPSFLjzXsLu2leC/9y0xNFAPPfT2ZmfezszuCVTXoIH09QQVtnvUqwbSu8CDHK2QBGkcBXGYJEG08JMoDoP7mDnZOlnAsqW1Wu57i5e9xyNqYTsN6cIPf+BSSzvwiu97kCHRBg+oUdW4Fi1CCuBN/g5vUej6/Xk4MsP6NUd010/jk+BFu1INfjnL0fv/6NdoSu6O5oJvkbC2slO7rNeOGP5SJZip4o9vHpAw9kpkOm2Rx4Mgg5xeS6K8+1RnA3PpzR+oeqIrQYniA2d42aIynHZ6z1xYUbEdOXyWvAjqXbGqqB6KzS4ryvLmd8lbGL8B9j871jwCAAA=","EnableZoom":false,"HierarchyIndenting":false,"ParentsOnBottom":false,"SortingOption":0,"Sorting":"","Order":2,"ZoomInParentMemberIds":[],"ZoomInBottomLevelParentMemberIds":[]},"8051f089":{"Section":"IS","Block":"B1","CollectionID":"c0d1e1c4","ID":"8051f089","DataModelID":651628815408562176,"Dimension":1,"DynamicExpression":"H4sIAAAAAAAEALWST2uDMBjGv8t7asFBItWJt7bKKGgdnfQyxkjrWxaIUZK4rRS/+5LNMg8eduhu758neX5PyAVkU6GG+PkCOdYHVJsK4jvqQYKGcQFxGNDQjyIaLEgUhD69D+2O105mVUtjFD90Bq/HihYVM42yW0LIb79U3Jy/hx6sUYgdnlChPOKW1QgxgDf4u/4JmTq+lefWbqx+axHd/UP5yOxBs5EVfjrP3rs5+oL4tyWnE+TkH8DH3cDtRlPYD6rpWkr+RO9P4NP+xQPBtBmrdKMM2vrEhEbLrLgQSfMhfyz0Na39b7ITYiTIkL3jxJ7XKDVv5BA9YYbl1k+4fuqV9kx0Lt2qKMsiz9J9ms3yNF+lu9d1mmWzIfV8Dv0XnhTB2fsCAAA=","EnableZoom":false,"HierarchyIndenting":false,"ParentsOnBottom":false,"SortingOption":0,"Sorting":"","Order":3,"ZoomInParentMemberIds":[],"ZoomInBottomLevelParentMemberIds":[]}},"SuppressBlankRows":true,"SuppressZeroes":true,"EnableDataInput":false},{"Section":"954IS","Block":"B1","ID":"f6d857d9","DataModelID":651628815408562176,"Ranges":{"88762820":{"Section":"954IS","Block":"B1","CollectionID":"f6d857d9","ID":"88762820","DataModelID":651628815408562176,"Dimension":1,"DynamicExpression":"H4sIAAAAAAAEAK1RTUvDQBD9L3NSiJCNTYy5haaHgo3SFC/Sw7aZ4sJkU3Y31VLy353FBIP0JN7m482892YuoNsaLWRvF1hhs0OzrCG7EwEU6KQiyJJYJFGaingWpnESiYeEe6rxMEblzhm16xyOY89HNNK1BrI0DH/S3Ch35glfmyPRGg9oUO+xlA1CBhAM9D6vUJr9++Z85A7jS1bo1w/hi+RBt9Q1fnrKPpgq92rvxSxi8kiIxyQN/8HJNBuM+NJffYgrPsJ+GwBJ6yYg2xqHHB4kWWSpRhEV7Yf+JrCjaX6e7ogmgCeUJ7zSVw1qq1o97C+kkyumo/Fwv4/zKqnzpopFNV+URV5uqps1nlB3eAv9Fw3Sci07AgAA","EnableZoom":true,"HierarchyIndenting":true,"ParentsOnBottom":false,"SortingOption":0,"Sorting":"","Order":0,"ZoomInParentMemberIds":[],"ZoomInBottomLevelParentMemberIds":[]}},"SuppressBlankRows":true,"SuppressZeroes":true,"EnableDataInput":false},{"Section":"954IS","Block":"B1","ID":"a26a2f0e","DataModelID":651628815408562176,"Ranges":{"82b13c73":{"Section":"954IS","Block":"B1","CollectionID":"a26a2f0e","ID":"82b13c73","DataModelID":651628815408562176,"Dimension":1,"DynamicExpression":"H4sIAAAAAAAEAK1RTUvDQBD9K2VPChGysUk3uYWkSMFGMcWLeNg2E1zY7JbdjVpK/ruzmmIOOYm3+Xgz772ZM1G6AUuylzPZQrcHs2lIdkMDUoLjQpIsiWkSMUbjZcjiJKKrBHui8zBE5c4Zse8dXMYejmC404ZkLAx/09wId8IJXytAyidowYA6QMU7IBkhwUjv8xq4ObztTkfsIL5ChX79GD5yHHQb1cCnpxyCqfIkpXSFIm/jJI1ZGi3ZPziZZqMRX/qrDzrjIxxeAyK5dROQ1cYBhi2XFlCqEVKW+kP9ENiLaXye6qWcAO6Bv8NMX3SgrNBq3F9yx7dIJ78PN3OcZy57b6pc18W6KvNqV18V2rqFbhd3Wjd2UWvZXJPhCxmE2EVGAgAA","EnableZoom":true,"HierarchyIndenting":true,"ParentsOnBottom":false,"SortingOption":0,"Sorting":"","Order":0,"ZoomInParentMemberIds":[],"ZoomInBottomLevelParentMemberIds":[]}},"SuppressBlankRows":true,"SuppressZeroes":true,"EnableDataInput":false},{"Section":"954IS","Block":"B1","ID":"d8b57178","DataModelID":651628815408562176,"Ranges":{"e0a88426":{"Section":"954IS","Block":"B1","CollectionID":"d8b57178","ID":"e0a88426","DataModelID":651628815408562176,"Dimension":1,"DynamicExpression":"H4sIAAAAAAAEAK1RTWuDQBD9K2VOLVhwTVyNN4kehMaWGnopPWzipF1YV9ld24Tgf+8uUSolp9LbfLyZ997MGWRbo4bk9QwbbHaoihqSe+JBhoZxAQkNCQ3imIRLPw5pQCJqe7xxMItKjVF81xucxh47VMy0CpKV7/+kqeLmZCdcbY1CPOMBFco9lqxBSAC8kd7lFTK1/9ieOtux+NIqdOvH8InZQVPIGo+OcvDmyp3aBVkGMaEhXUXhIvoHJ/NsNOJKf/URXPHhD28eCKbNDKRbZdCGByY0WqmKC5G1X/JCoCfT9nmyF2IGeED2iVf6vEGpeStHxxkzbGPpxHS438d5YaJ3poosr9Z5maXltrq9HILL95v82Nl9qO9g+AbvWtTuRwIAAA==","EnableZoom":true,"HierarchyIndenting":true,"ParentsOnBottom":false,"SortingOption":0,"Sorting":"","Order":0,"ZoomInParentMemberIds":[],"ZoomInBottomLevelParentMemberIds":[]}},"SuppressBlankRows":true,"SuppressZeroes":true,"EnableDataInput":false},{"Section":"954IS","Block":"B1","ID":"3958266a","DataModelID":651628815408562176,"Ranges":{"f23a056a":{"Section":"954IS","Block":"B1","CollectionID":"3958266a","ID":"f23a056a","DataModelID":651628815408562176,"Dimension":1,"DynamicExpression":"H4sIAAAAAAAEAK1RTU+DQBD9K2ZPmmDcJQWBGykcSCw10ngxHrYwTTdZFrK7aJuG/+6s0siBk/E2H2/mvTdzIaprwJDk7UI20O5BFw1J7plHMrBcSJKEAQv9KGLBikZB6LPHEHuidTBEpdZqsR8sXMe2PWhuO02SmNLfNNXCnnHC1dYg5QscQIOqoeQtkIQQb6J3eQVc18fduccO4ktU6NZP4TPHQVuoBk6OcvTmysOYMZ/5NKArVE1Z7P+Dk3k2GXGlv/pgCz7o+O4RyY2dgUynLWB44NIAStVCyqz7VD8E5moan6cGKWeAJ+AfsNAXLSgjOjXtz7jlG6ST34dbOM4rl4MzVWR5tc7LLC131e3WHkHfFKruWnjITz2uhDsyfgHrTWfdSQIAAA==","EnableZoom":true,"HierarchyIndenting":true,"ParentsOnBottom":false,"SortingOption":0,"Sorting":"","Order":0,"ZoomInParentMemberIds":[],"ZoomInBottomLevelParentMemberIds":[]}},"SuppressBlankRows":true,"SuppressZeroes":true,"EnableDataInput":false},{"Section":"954IS","Block":"B1","ID":"b006802","DataModelID":651628815408562176,"Ranges":{"907f79d6":{"Section":"954IS","Block":"B1","CollectionID":"b006802","ID":"907f79d6","DataModelID":651628815408562176,"Dimension":1,"DynamicExpression":"H4sIAAAAAAAEAK1RTU+DQBD9K82eNMHIkkIXblg4kFg0QnoxHrYwxE2WhSxbpWn6351VGjlwMt7m482892bORHU1DCR6PZMdtAfQWU2iO+qQBAwXkkSBTwOPMeqvXeYHHt0E2BOthSEqNkaLw9HAdeypB81Np0kUuu5vGmthTjhha1uQ8gUa0KAqyHkLJCLEmehtXgDX1Xt56rGD+BwV2vVT+Mxx0GSqhtFSXpy58iCk1EPBIfNctmFszf7ByTybjNjSX33QBR/u5c0hkg9mBho6bQDDhssBUKoWUibdp/ohGK6m8XnqKOUM8Aj8Axb6ogU1iE5N+xNu+A7p5PfhFo6z5/JoTWVJWmzTPInzsrjJVNW1sCr5uErHHhfC/QMoaIS5JZcv9lmO2k8CAAA=","EnableZoom":true,"HierarchyIndenting":true,"ParentsOnBottom":false,"SortingOption":0,"Sorting":"","Order":0,"ZoomInParentMemberIds":[],"ZoomInBottomLevelParentMemberIds":[]}},"SuppressBlankRows":true,"SuppressZeroes":true,"EnableDataInput":false},{"Section":"954IS","Block":"B1","ID":"14de152c","DataModelID":651628815408562176,"Ranges":{"cc111a8e":{"Section":"954IS","Block":"B1","CollectionID":"14de152c","ID":"cc111a8e","DataModelID":651628815408562176,"Dimension":1,"DynamicExpression":"H4sIAAAAAAAEAK1Ry07DMBD8lcoHBFKQ4rzJLap7iEQDIlUviIObbIUlx4kcByhV/p01pCKHnBC3nd3ZnRn7TFRbQ0/S5zPZQnMAndckvaUOYWC4kCSNQhp5SULDwE3CyKNxhDPRWBqyMmO0OAwGLmsPHWhuWk3SO9f9hZkW5oQbtrcGKZ/gCBpUBQVvgKSEOJO8xSVwXb3uTh1OkF+gQ3t+Kh85Lppc1fBhJUdn7pzSxAsC3/PjJPYTSoMw+ococzQlsa2/BqELQdzxxSGS92ZG6lttAMsjlz2gVS2kZO27+hHoL6nx99Qg5YxwD/wNFuaiAdWLVk33GTd8i3LS4qXH2XM52FA525TrTcGyYldeM+g0VIIbPLS6WmUNuhSf3/CGjF+4uvzBUQIAAA==","EnableZoom":true,"HierarchyIndenting":true,"ParentsOnBottom":false,"SortingOption":0,"Sorting":"","Order":0,"ZoomInParentMemberIds":[],"ZoomInBottomLevelParentMemberIds":[]}},"SuppressBlankRows":true,"SuppressZeroes":true,"EnableDataInput":false},{"Section":"954IS","Block":"B1","ID":"b638047b","DataModelID":651628815408562176,"Ranges":{"58171fb1":{"Section":"954IS","Block":"B1","CollectionID":"b638047b","ID":"58171fb1","DataModelID":651628815408562176,"Dimension":1,"DynamicExpression":"H4sIAAAAAAAEAK1Ry26DMBD8lWpPiUQlTIJ53FDIAamhVYh6qXpwYNNaMiayTdso4t9rq0TlwKnqbWd3dmfGvoLsGtSQvlxhh+0RVdFAek88yNEwLiClIaFBHJNw7cchDUhE7Yy3jmZZmTGKH3uDt7XHMypmOgVp4vu/MFPcXOyG621QiD2eUKGssWQtQgrgjfIOV8hU/X64nO3E8kvr0J0fyydmF00hG/xykoM3dU5I7FNKooSuIxqT1YoE/xBlisYkrvXXIGQmiD+8eiCYNhOS7pRBW56Y0GitKi5E3n3KHwF9S21/T/ZCTAgPyD5wZs5blJp3cryfM8N2Vk44PPc4z0z0LlSRb6vNtsyz8lAtaJyEd4s9aqP62vSKy7flEoZvdJJZUUoCAAA=","EnableZoom":true,"HierarchyIndenting":true,"ParentsOnBottom":false,"SortingOption":0,"Sorting":"","Order":0,"ZoomInParentMemberIds":[],"ZoomInBottomLevelParentMemberIds":[]}},"SuppressBlankRows":true,"SuppressZeroes":true,"EnableDataInput":false},{"Section":"954IS","Block":"B1","ID":"a2076b55","DataModelID":651628815408562176,"Ranges":{"29c6000":{"Section":"954IS","Block":"B1","CollectionID":"a2076b55","ID":"29c6000","DataModelID":651628815408562176,"Dimension":1,"DynamicExpression":"H4sIAAAAAAAEAK1Ry2rDMBD8lz214IJlYvlxM3EOhsYNdeil9KDEGyqQ5SDJbUPwv3dFHOpDTqG3nd3ZnRnpDLpv0UL+foY1djs0VQv5EwugRCekgpzHjEdpyuJFmMY8Ygmnmew8jViFc0buBofXtZcjGuF6A3kWhn+wMNKdaMP3lqjUKx7QoN5jLTqEHCCY5D1uUJj95/Z0pAnxa3Loz0/lRtCiq3SLP15yDObOGcsiHpHPhCdJnGZxuPiHKHM0JfGte4OwG0HC8SMAJaybkWxvHFJ5EMoiWTVSqbL/1hcBe01Nv6cHpWaEZxRfeGMuO9RW9nq6Xwon1iSnPL71OG9CDT5UVa6a5aoui3rbPGwuNx5h/AVoIUoPPQIAAA==","EnableZoom":true,"HierarchyIndenting":true,"ParentsOnBottom":false,"SortingOption":0,"Sorting":"","Order":0,"ZoomInParentMemberIds":[],"ZoomInBottomLevelParentMemberIds":[]}},"SuppressBlankRows":true,"SuppressZeroes":true,"EnableDataInput":false},{"Section":"954IS","Block":"B1","ID":"81e7885c","DataModelID":651628815408562176,"Ranges":{"9d111752":{"Section":"954IS","Block":"B1","CollectionID":"81e7885c","ID":"9d111752","DataModelID":651628815408562176,"Dimension":1,"DynamicExpression":"H4sIAAAAAAAEAK1RsW6DMBD9lcpTK1EJ3BgMGwoMSA2tStSl6uCEi2rJGGSbNlHEv/esEpUhU9Xt3t27e+/ZZ6L7FizJ3s5kA90OTNWS7D4KSAFOSEWymEUx5Txiq5CzmEZJjDPZeRqycueM3I0OLmtPAxjhekOyNAx/YW6kO+GG761BqRc4gAG9h1p0QDJCglne4waE2X9sTwNOkF+jQ39+Lp8FLrpKt3D0klOwdB5RxhmljKZh8pDyhPHVP0RZojmJb/01SHQlSDi9B0QJ6xYk2xsHWB6EsoBWjVSq6L/0j4C9pMbf06NSC8IjiE+4MpcdaCt7Pd8vhBMblFMeX3ucV6FGH6oqymZd1kVeb5vbSjtMbN1NeRzwHNyR6Ruy6ZbKRgIAAA==","EnableZoom":true,"HierarchyIndenting":true,"ParentsOnBottom":false,"SortingOption":0,"Sorting":"","Order":0,"ZoomInParentMemberIds":[],"ZoomInBottomLevelParentMemberIds":[]}},"SuppressBlankRows":true,"SuppressZeroes":true,"EnableDataInput":false},{"Section":"975IS","Block":"B1","ID":"631416d3","DataModelID":651628815408562176,"Ranges":{"e776a7e8":{"Section":"975IS","Block":"B1","CollectionID":"631416d3","ID":"e776a7e8","DataModelID":651628815408562176,"Dimension":1,"DynamicExpression":"H4sIAAAAAAAEAK1RTUvDQBD9L3NSiJCNTYy5haaHgo3SFC/Sw7aZ4sJkU3Y31VLy353FBIP0JN7m482892YuoNsaLWRvF1hhs0OzrCG7EwEU6KQiyJJYJFGaingWpnESiYeEe6rxMEblzhm16xyOY89HNNK1BrI0DH/S3Ch35glfmyPRGg9oUO+xlA1CBhAM9D6vUJr9++Z85A7jS1bo1w/hi+RBt9Q1fnrKPpgq92rvxSxi8kiIxyQN/8HJNBuM+NJffYgrPsJ+GwBJ6yYg2xqHHB4kWWSpRhEV7Yf+JrCjaX6e7ogmgCeUJ7zSVw1qq1o97C+kkyumo/Fwv4/zKqnzpopFNV+URV5uqps1nlB3eAv9Fw3Sci07AgAA","EnableZoom":true,"HierarchyIndenting":true,"ParentsOnBottom":false,"SortingOption":0,"Sorting":"","Order":0,"ZoomInParentMemberIds":[],"ZoomInBottomLevelParentMemberIds":[]}},"SuppressBlankRows":true,"SuppressZeroes":true,"EnableDataInput":false},{"Section":"975IS","Block":"B1","ID":"56285e8b","DataModelID":651628815408562176,"Ranges":{"fb7f2ed":{"Section":"975IS","Block":"B1","CollectionID":"56285e8b","ID":"fb7f2ed","DataModelID":651628815408562176,"Dimension":1,"DynamicExpression":"H4sIAAAAAAAEAK1RTUvDQBD9K2VPChGysUk3uYWkSMFGMcWLeNg2E1zY7JbdjVpK/ruzmmIOOYm3+Xgz772ZM1G6AUuylzPZQrcHs2lIdkMDUoLjQpIsiWkSMUbjZcjiJKKrBHui8zBE5c4Zse8dXMYejmC404ZkLAx/09wId8IJXytAyidowYA6QMU7IBkhwUjv8xq4ObztTkfsIL5ChX79GD5yHHQb1cCnpxyCqfIkpXSFIm/jJI1ZGi3ZPziZZqMRX/qrDzrjIxxeAyK5dROQ1cYBhi2XFlCqEVKW+kP9ENiLaXye6qWcAO6Bv8NMX3SgrNBq3F9yx7dIJ78PN3OcZy57b6pc18W6KvNqV18V2rqFbhd3Wjd2UWvZXJPhCxmE2EVGAgAA","EnableZoom":true,"HierarchyIndenting":true,"ParentsOnBottom":false,"SortingOption":0,"Sorting":"","Order":0,"ZoomInParentMemberIds":[],"ZoomInBottomLevelParentMemberIds":[]}},"SuppressBlankRows":true,"SuppressZeroes":true,"EnableDataInput":false},{"Section":"975IS","Block":"B1","ID":"644d49d5","DataModelID":651628815408562176,"Ranges":{"84993647":{"Section":"975IS","Block":"B1","CollectionID":"644d49d5","ID":"84993647","DataModelID":651628815408562176,"Dimension":1,"DynamicExpression":"H4sIAAAAAAAEAK1RTWuDQBD9K2VOLVhwTVyNN4kehMaWGnopPWzipF1YV9ld24Tgf+8uUSolp9LbfLyZ997MGWRbo4bk9QwbbHaoihqSe+JBhoZxAQkNCQ3imIRLPw5pQCJqe7xxMItKjVF81xucxh47VMy0CpKV7/+kqeLmZCdcbY1CPOMBFco9lqxBSAC8kd7lFTK1/9ieOtux+NIqdOvH8InZQVPIGo+OcvDmyp3aBVkGMaEhXUXhIvoHJ/NsNOJKf/URXPHhD28eCKbNDKRbZdCGByY0WqmKC5G1X/JCoCfT9nmyF2IGeED2iVf6vEGpeStHxxkzbGPpxHS438d5YaJ3poosr9Z5maXltrq9HILL95v82Nl9qO9g+AbvWtTuRwIAAA==","EnableZoom":true,"HierarchyIndenting":true,"ParentsOnBottom":false,"SortingOption":0,"Sorting":"","Order":0,"ZoomInParentMemberIds":[],"ZoomInBottomLevelParentMemberIds":[]}},"SuppressBlankRows":true,"SuppressZeroes":true,"EnableDataInput":false},{"Section":"975IS","Block":"B1","ID":"3af621d8","DataModelID":651628815408562176,"Ranges":{"b0c088df":{"Section":"975IS","Block":"B1","CollectionID":"3af621d8","ID":"b0c088df","DataModelID":651628815408562176,"Dimension":1,"DynamicExpression":"H4sIAAAAAAAEAK1RTU+DQBD9K2ZPmmDcJQWBGykcSCw10ngxHrYwTTdZFrK7aJuG/+6s0siBk/E2H2/mvTdzIaprwJDk7UI20O5BFw1J7plHMrBcSJKEAQv9KGLBikZB6LPHEHuidTBEpdZqsR8sXMe2PWhuO02SmNLfNNXCnnHC1dYg5QscQIOqoeQtkIQQb6J3eQVc18fduccO4ktU6NZP4TPHQVuoBk6OcvTmysOYMZ/5NKArVE1Z7P+Dk3k2GXGlv/pgCz7o+O4RyY2dgUynLWB44NIAStVCyqz7VD8E5moan6cGKWeAJ+AfsNAXLSgjOjXtz7jlG6ST34dbOM4rl4MzVWR5tc7LLC131e3WHkHfFKruWnjITz2uhDsyfgHrTWfdSQIAAA==","EnableZoom":true,"HierarchyIndenting":true,"ParentsOnBottom":false,"SortingOption":0,"Sorting":"","Order":0,"ZoomInParentMemberIds":[],"ZoomInBottomLevelParentMemberIds":[]}},"SuppressBlankRows":true,"SuppressZeroes":true,"EnableDataInput":false},{"Section":"975IS","Block":"B1","ID":"cd73c3a8","DataModelID":651628815408562176,"Ranges":{"fe35981e":{"Section":"975IS","Block":"B1","CollectionID":"cd73c3a8","ID":"fe35981e","DataModelID":651628815408562176,"Dimension":1,"DynamicExpression":"H4sIAAAAAAAEAK1RTU+DQBD9K82eNMHIkkIXblg4kFg0QnoxHrYwxE2WhSxbpWn6351VGjlwMt7m482892bORHU1DCR6PZMdtAfQWU2iO+qQBAwXkkSBTwOPMeqvXeYHHt0E2BOthSEqNkaLw9HAdeypB81Np0kUuu5vGmthTjhha1uQ8gUa0KAqyHkLJCLEmehtXgDX1Xt56rGD+BwV2vVT+Mxx0GSqhtFSXpy58iCk1EPBIfNctmFszf7ByTybjNjSX33QBR/u5c0hkg9mBho6bQDDhssBUKoWUibdp/ohGK6m8XnqKOUM8Aj8Axb6ogU1iE5N+xNu+A7p5PfhFo6z5/JoTWVJWmzTPInzsrjJVNW1sCr5uErHHhfC/QMoaIS5JZcv9lmO2k8CAAA=","EnableZoom":true,"HierarchyIndenting":true,"ParentsOnBottom":false,"SortingOption":0,"Sorting":"","Order":0,"ZoomInParentMemberIds":[],"ZoomInBottomLevelParentMemberIds":[]}},"SuppressBlankRows":true,"SuppressZeroes":true,"EnableDataInput":false},{"Section":"975IS","Block":"B1","ID":"bd8e8f89","DataModelID":651628815408562176,"Ranges":{"1bfbc4b0":{"Section":"975IS","Block":"B1","CollectionID":"bd8e8f89","ID":"1bfbc4b0","DataModelID":651628815408562176,"Dimension":1,"DynamicExpression":"H4sIAAAAAAAEAK1Ry07DMBD8lcoHBFKQ4rzJLap7iEQDIlUviIObbIUlx4kcByhV/p01pCKHnBC3nd3ZnRn7TFRbQ0/S5zPZQnMAndckvaUOYWC4kCSNQhp5SULDwE3CyKNxhDPRWBqyMmO0OAwGLmsPHWhuWk3SO9f9hZkW5oQbtrcGKZ/gCBpUBQVvgKSEOJO8xSVwXb3uTh1OkF+gQ3t+Kh85Lppc1fBhJUdn7pzSxAsC3/PjJPYTSoMw+ococzQlsa2/BqELQdzxxSGS92ZG6lttAMsjlz2gVS2kZO27+hHoL6nx99Qg5YxwD/wNFuaiAdWLVk33GTd8i3LS4qXH2XM52FA525TrTcGyYldeM+g0VIIbPLS6WmUNuhSf3/CGjF+4uvzBUQIAAA==","EnableZoom":true,"HierarchyIndenting":true,"ParentsOnBottom":false,"SortingOption":0,"Sorting":"","Order":0,"ZoomInParentMemberIds":[],"ZoomInBottomLevelParentMemberIds":[]}},"SuppressBlankRows":true,"SuppressZeroes":true,"EnableDataInput":false},{"Section":"975IS","Block":"B1","ID":"22ed185","DataModelID":651628815408562176,"Ranges":{"e2be10bd":{"Section":"975IS","Block":"B1","CollectionID":"22ed185","ID":"e2be10bd","DataModelID":651628815408562176,"Dimension":1,"DynamicExpression":"H4sIAAAAAAAEAK1Ry26DMBD8lWpPiUQlTIJ53FDIAamhVYh6qXpwYNNaMiayTdso4t9rq0TlwKnqbWd3dmfGvoLsGtSQvlxhh+0RVdFAek88yNEwLiClIaFBHJNw7cchDUhE7Yy3jmZZmTGKH3uDt7XHMypmOgVp4vu/MFPcXOyG621QiD2eUKGssWQtQgrgjfIOV8hU/X64nO3E8kvr0J0fyydmF00hG/xykoM3dU5I7FNKooSuIxqT1YoE/xBlisYkrvXXIGQmiD+8eiCYNhOS7pRBW56Y0GitKi5E3n3KHwF9S21/T/ZCTAgPyD5wZs5blJp3cryfM8N2Vk44PPc4z0z0LlSRb6vNtsyz8lAtaJyEd4s9aqP62vSKy7flEoZvdJJZUUoCAAA=","EnableZoom":true,"HierarchyIndenting":true,"ParentsOnBottom":false,"SortingOption":0,"Sorting":"","Order":0,"ZoomInParentMemberIds":[],"ZoomInBottomLevelParentMemberIds":[]}},"SuppressBlankRows":true,"SuppressZeroes":true,"EnableDataInput":false},{"Section":"975IS","Block":"B1","ID":"68a72206","DataModelID":651628815408562176,"Ranges":{"73a3280e":{"Section":"975IS","Block":"B1","CollectionID":"68a72206","ID":"73a3280e","DataModelID":651628815408562176,"Dimension":1,"DynamicExpression":"H4sIAAAAAAAEAK1Ry2rDMBD8lz214IJlYvlxM3EOhsYNdeil9KDEGyqQ5SDJbUPwv3dFHOpDTqG3nd3ZnRnpDLpv0UL+foY1djs0VQv5EwugRCekgpzHjEdpyuJFmMY8Ygmnmew8jViFc0buBofXtZcjGuF6A3kWhn+wMNKdaMP3lqjUKx7QoN5jLTqEHCCY5D1uUJj95/Z0pAnxa3Loz0/lRtCiq3SLP15yDObOGcsiHpHPhCdJnGZxuPiHKHM0JfGte4OwG0HC8SMAJaybkWxvHFJ5EMoiWTVSqbL/1hcBe01Nv6cHpWaEZxRfeGMuO9RW9nq6Xwon1iSnPL71OG9CDT5UVa6a5aoui3rbPGwuNx5h/AVoIUoPPQIAAA==","EnableZoom":true,"HierarchyIndenting":true,"ParentsOnBottom":false,"SortingOption":0,"Sorting":"","Order":0,"ZoomInParentMemberIds":[],"ZoomInBottomLevelParentMemberIds":[]}},"SuppressBlankRows":true,"SuppressZeroes":true,"EnableDataInput":false},{"Section":"975IS","Block":"B1","ID":"97fa43ce","DataModelID":651628815408562176,"Ranges":{"68500a11":{"Section":"975IS","Block":"B1","CollectionID":"97fa43ce","ID":"68500a11","DataModelID":651628815408562176,"Dimension":1,"DynamicExpression":"H4sIAAAAAAAEAK1RsW6DMBD9lcpTK1EJ3BgMGwoMSA2tStSl6uCEi2rJGGSbNlHEv/esEpUhU9Xt3t27e+/ZZ6L7FizJ3s5kA90OTNWS7D4KSAFOSEWymEUx5Txiq5CzmEZJjDPZeRqycueM3I0OLmtPAxjhekOyNAx/YW6kO+GG761BqRc4gAG9h1p0QDJCglne4waE2X9sTwNOkF+jQ39+Lp8FLrpKt3D0klOwdB5RxhmljKZh8pDyhPHVP0RZojmJb/01SHQlSDi9B0QJ6xYk2xsHWB6EsoBWjVSq6L/0j4C9pMbf06NSC8IjiE+4MpcdaCt7Pd8vhBMblFMeX3ucV6FGH6oqymZd1kVeb5vbSjtMbN1NeRzwHNyR6Ruy6ZbKRgIAAA==","EnableZoom":true,"HierarchyIndenting":true,"ParentsOnBottom":false,"SortingOption":0,"Sorting":"","Order":0,"ZoomInParentMemberIds":[],"ZoomInBottomLevelParentMemberIds":[]}},"SuppressBlankRows":true,"SuppressZeroes":true,"EnableDataInput":false},{"Section":"958IS","Block":"B1","ID":"72c025e1","DataModelID":651628815408562176,"Ranges":{"479afb8e":{"Section":"958IS","Block":"B1","CollectionID":"72c025e1","ID":"479afb8e","DataModelID":651628815408562176,"Dimension":1,"DynamicExpression":"H4sIAAAAAAAEAK1RTUvDQBD9L3NSiJCNTYy5haaHgo3SFC/Sw7aZ4sJkU3Y31VLy353FBIP0JN7m482892YuoNsaLWRvF1hhs0OzrCG7EwEU6KQiyJJYJFGaingWpnESiYeEe6rxMEblzhm16xyOY89HNNK1BrI0DH/S3Ch35glfmyPRGg9oUO+xlA1CBhAM9D6vUJr9++Z85A7jS1bo1w/hi+RBt9Q1fnrKPpgq92rvxSxi8kiIxyQN/8HJNBuM+NJffYgrPsJ+GwBJ6yYg2xqHHB4kWWSpRhEV7Yf+JrCjaX6e7ogmgCeUJ7zSVw1qq1o97C+kkyumo/Fwv4/zKqnzpopFNV+URV5uqps1nlB3eAv9Fw3Sci07AgAA","EnableZoom":true,"HierarchyIndenting":true,"ParentsOnBottom":false,"SortingOption":0,"Sorting":"","Order":0,"ZoomInParentMemberIds":[],"ZoomInBottomLevelParentMemberIds":[]}},"SuppressBlankRows":true,"SuppressZeroes":true,"EnableDataInput":false},{"Section":"958IS","Block":"B1","ID":"ba31b9b9","DataModelID":651628815408562176,"Ranges":{"eddd10b6":{"Section":"958IS","Block":"B1","CollectionID":"ba31b9b9","ID":"eddd10b6","DataModelID":651628815408562176,"Dimension":1,"DynamicExpression":"H4sIAAAAAAAEAK1RTUvDQBD9K2VPChGysUk3uYWkSMFGMcWLeNg2E1zY7JbdjVpK/ruzmmIOOYm3+Xgz772ZM1G6AUuylzPZQrcHs2lIdkMDUoLjQpIsiWkSMUbjZcjiJKKrBHui8zBE5c4Zse8dXMYejmC404ZkLAx/09wId8IJXytAyidowYA6QMU7IBkhwUjv8xq4ObztTkfsIL5ChX79GD5yHHQb1cCnpxyCqfIkpXSFIm/jJI1ZGi3ZPziZZqMRX/qrDzrjIxxeAyK5dROQ1cYBhi2XFlCqEVKW+kP9ENiLaXye6qWcAO6Bv8NMX3SgrNBq3F9yx7dIJ78PN3OcZy57b6pc18W6KvNqV18V2rqFbhd3Wjd2UWvZXJPhCxmE2EVGAgAA","EnableZoom":true,"HierarchyIndenting":true,"ParentsOnBottom":false,"SortingOption":0,"Sorting":"","Order":0,"ZoomInParentMemberIds":[],"ZoomInBottomLevelParentMemberIds":[]}},"SuppressBlankRows":true,"SuppressZeroes":true,"EnableDataInput":false},{"Section":"958IS","Block":"B1","ID":"dd8f6c3e","DataModelID":651628815408562176,"Ranges":{"fbb49aa3":{"Section":"958IS","Block":"B1","CollectionID":"dd8f6c3e","ID":"fbb49aa3","DataModelID":651628815408562176,"Dimension":1,"DynamicExpression":"H4sIAAAAAAAEAK1RTWuDQBD9K2VOLVhwTVyNN4kehMaWGnopPWzipF1YV9ld24Tgf+8uUSolp9LbfLyZ997MGWRbo4bk9QwbbHaoihqSe+JBhoZxAQkNCQ3imIRLPw5pQCJqe7xxMItKjVF81xucxh47VMy0CpKV7/+kqeLmZCdcbY1CPOMBFco9lqxBSAC8kd7lFTK1/9ieOtux+NIqdOvH8InZQVPIGo+OcvDmyp3aBVkGMaEhXUXhIvoHJ/NsNOJKf/URXPHhD28eCKbNDKRbZdCGByY0WqmKC5G1X/JCoCfT9nmyF2IGeED2iVf6vEGpeStHxxkzbGPpxHS438d5YaJ3poosr9Z5maXltrq9HILL95v82Nl9qO9g+AbvWtTuRwIAAA==","EnableZoom":true,"HierarchyIndenting":true,"ParentsOnBottom":false,"SortingOption":0,"Sorting":"","Order":0,"ZoomInParentMemberIds":[],"ZoomInBottomLevelParentMemberIds":[]}},"SuppressBlankRows":true,"SuppressZeroes":true,"EnableDataInput":false},{"Section":"958IS","Block":"B1","ID":"9c526608","DataModelID":651628815408562176,"Ranges":{"5dff6a0e":{"Section":"958IS","Block":"B1","CollectionID":"9c526608","ID":"5dff6a0e","DataModelID":651628815408562176,"Dimension":1,"DynamicExpression":"H4sIAAAAAAAEAK1RTU+DQBD9K2ZPmmDcJQWBGykcSCw10ngxHrYwTTdZFrK7aJuG/+6s0siBk/E2H2/mvTdzIaprwJDk7UI20O5BFw1J7plHMrBcSJKEAQv9KGLBikZB6LPHEHuidTBEpdZqsR8sXMe2PWhuO02SmNLfNNXCnnHC1dYg5QscQIOqoeQtkIQQb6J3eQVc18fduccO4ktU6NZP4TPHQVuoBk6OcvTmysOYMZ/5NKArVE1Z7P+Dk3k2GXGlv/pgCz7o+O4RyY2dgUynLWB44NIAStVCyqz7VD8E5moan6cGKWeAJ+AfsNAXLSgjOjXtz7jlG6ST34dbOM4rl4MzVWR5tc7LLC131e3WHkHfFKruWnjITz2uhDsyfgHrTWfdSQIAAA==","EnableZoom":true,"HierarchyIndenting":true,"ParentsOnBottom":false,"SortingOption":0,"Sorting":"","Order":0,"ZoomInParentMemberIds":[],"ZoomInBottomLevelParentMemberIds":[]}},"SuppressBlankRows":true,"SuppressZeroes":true,"EnableDataInput":false},{"Section":"958IS","Block":"B1","ID":"341256f0","DataModelID":651628815408562176,"Ranges":{"420a04dd":{"Section":"958IS","Block":"B1","CollectionID":"341256f0","ID":"420a04dd","DataModelID":651628815408562176,"Dimension":1,"DynamicExpression":"H4sIAAAAAAAEAK1RTU+DQBD9K82eNMHIkkIXblg4kFg0QnoxHrYwxE2WhSxbpWn6351VGjlwMt7m482892bORHU1DCR6PZMdtAfQWU2iO+qQBAwXkkSBTwOPMeqvXeYHHt0E2BOthSEqNkaLw9HAdeypB81Np0kUuu5vGmthTjhha1uQ8gUa0KAqyHkLJCLEmehtXgDX1Xt56rGD+BwV2vVT+Mxx0GSqhtFSXpy58iCk1EPBIfNctmFszf7ByTybjNjSX33QBR/u5c0hkg9mBho6bQDDhssBUKoWUibdp/ohGK6m8XnqKOUM8Aj8Axb6ogU1iE5N+xNu+A7p5PfhFo6z5/JoTWVJWmzTPInzsrjJVNW1sCr5uErHHhfC/QMoaIS5JZcv9lmO2k8CAAA=","EnableZoom":true,"HierarchyIndenting":true,"ParentsOnBottom":false,"SortingOption":0,"Sorting":"","Order":0,"ZoomInParentMemberIds":[],"ZoomInBottomLevelParentMemberIds":[]}},"SuppressBlankRows":true,"SuppressZeroes":true,"EnableDataInput":false},{"Section":"958IS","Block":"B1","ID":"cddef076","DataModelID":651628815408562176,"Ranges":{"ef62d00d":{"Section":"958IS","Block":"B1","CollectionID":"cddef076","ID":"ef62d00d","DataModelID":651628815408562176,"Dimension":1,"DynamicExpression":"H4sIAAAAAAAEAK1Ry07DMBD8lcoHBFKQ4rzJLap7iEQDIlUviIObbIUlx4kcByhV/p01pCKHnBC3nd3ZnRn7TFRbQ0/S5zPZQnMAndckvaUOYWC4kCSNQhp5SULDwE3CyKNxhDPRWBqyMmO0OAwGLmsPHWhuWk3SO9f9hZkW5oQbtrcGKZ/gCBpUBQVvgKSEOJO8xSVwXb3uTh1OkF+gQ3t+Kh85Lppc1fBhJUdn7pzSxAsC3/PjJPYTSoMw+ococzQlsa2/BqELQdzxxSGS92ZG6lttAMsjlz2gVS2kZO27+hHoL6nx99Qg5YxwD/wNFuaiAdWLVk33GTd8i3LS4qXH2XM52FA525TrTcGyYldeM+g0VIIbPLS6WmUNuhSf3/CGjF+4uvzBUQIAAA==","EnableZoom":true,"HierarchyIndenting":true,"ParentsOnBottom":false,"SortingOption":0,"Sorting":"","Order":0,"ZoomInParentMemberIds":[],"ZoomInBottomLevelParentMemberIds":[]}},"SuppressBlankRows":true,"SuppressZeroes":true,"EnableDataInput":false},{"Section":"958IS","Block":"B1","ID":"fbad30a","DataModelID":651628815408562176,"Ranges":{"899a28aa":{"Section":"958IS","Block":"B1","CollectionID":"fbad30a","ID":"899a28aa","DataModelID":651628815408562176,"Dimension":1,"DynamicExpression":"H4sIAAAAAAAEAK1Ry26DMBD8lWpPiUQlTIJ53FDIAamhVYh6qXpwYNNaMiayTdso4t9rq0TlwKnqbWd3dmfGvoLsGtSQvlxhh+0RVdFAek88yNEwLiClIaFBHJNw7cchDUhE7Yy3jmZZmTGKH3uDt7XHMypmOgVp4vu/MFPcXOyG621QiD2eUKGssWQtQgrgjfIOV8hU/X64nO3E8kvr0J0fyydmF00hG/xykoM3dU5I7FNKooSuIxqT1YoE/xBlisYkrvXXIGQmiD+8eiCYNhOS7pRBW56Y0GitKi5E3n3KHwF9S21/T/ZCTAgPyD5wZs5blJp3cryfM8N2Vk44PPc4z0z0LlSRb6vNtsyz8lAtaJyEd4s9aqP62vSKy7flEoZvdJJZUUoCAAA=","EnableZoom":true,"HierarchyIndenting":true,"ParentsOnBottom":false,"SortingOption":0,"Sorting":"","Order":0,"ZoomInParentMemberIds":[],"ZoomInBottomLevelParentMemberIds":[]}},"SuppressBlankRows":true,"SuppressZeroes":true,"EnableDataInput":false},{"Section":"958IS","Block":"B1","ID":"6a776fdb","DataModelID":651628815408562176,"Ranges":{"52b717c1":{"Section":"958IS","Block":"B1","CollectionID":"6a776fdb","ID":"52b717c1","DataModelID":651628815408562176,"Dimension":1,"DynamicExpression":"H4sIAAAAAAAEAK1Ry2rDMBD8lz214IJlYvlxM3EOhsYNdeil9KDEGyqQ5SDJbUPwv3dFHOpDTqG3nd3ZnRnpDLpv0UL+foY1djs0VQv5EwugRCekgpzHjEdpyuJFmMY8Ygmnmew8jViFc0buBofXtZcjGuF6A3kWhn+wMNKdaMP3lqjUKx7QoN5jLTqEHCCY5D1uUJj95/Z0pAnxa3Loz0/lRtCiq3SLP15yDObOGcsiHpHPhCdJnGZxuPiHKHM0JfGte4OwG0HC8SMAJaybkWxvHFJ5EMoiWTVSqbL/1hcBe01Nv6cHpWaEZxRfeGMuO9RW9nq6Xwon1iSnPL71OG9CDT5UVa6a5aoui3rbPGwuNx5h/AVoIUoPPQIAAA==","EnableZoom":true,"HierarchyIndenting":true,"ParentsOnBottom":false,"SortingOption":0,"Sorting":"","Order":0,"ZoomInParentMemberIds":[],"ZoomInBottomLevelParentMemberIds":[]}},"SuppressBlankRows":true,"SuppressZeroes":true,"EnableDataInput":false},{"Section":"958IS","Block":"B1","ID":"27e15296","DataModelID":651628815408562176,"Ranges":{"8b8e405c":{"Section":"958IS","Block":"B1","CollectionID":"27e15296","ID":"8b8e405c","DataModelID":651628815408562176,"Dimension":1,"DynamicExpression":"H4sIAAAAAAAEAK1RsW6DMBD9lcpTK1EJ3BgMGwoMSA2tStSl6uCEi2rJGGSbNlHEv/esEpUhU9Xt3t27e+/ZZ6L7FizJ3s5kA90OTNWS7D4KSAFOSEWymEUx5Txiq5CzmEZJjDPZeRqycueM3I0OLmtPAxjhekOyNAx/YW6kO+GG761BqRc4gAG9h1p0QDJCglne4waE2X9sTwNOkF+jQ39+Lp8FLrpKt3D0klOwdB5RxhmljKZh8pDyhPHVP0RZojmJb/01SHQlSDi9B0QJ6xYk2xsHWB6EsoBWjVSq6L/0j4C9pMbf06NSC8IjiE+4MpcdaCt7Pd8vhBMblFMeX3ucV6FGH6oqymZd1kVeb5vbSjtMbN1NeRzwHNyR6Ruy6ZbKRgIAAA==","EnableZoom":true,"HierarchyIndenting":true,"ParentsOnBottom":false,"SortingOption":0,"Sorting":"","Order":0,"ZoomInParentMemberIds":[],"ZoomInBottomLevelParentMemberIds":[]}},"SuppressBlankRows":true,"SuppressZeroes":true,"EnableDataInput":false},{"Section":"959IS","Block":"B1","ID":"240e1df3","DataModelID":651628815408562176,"Ranges":{"ec762465":{"Section":"959IS","Block":"B1","CollectionID":"240e1df3","ID":"ec762465","DataModelID":651628815408562176,"Dimension":1,"DynamicExpression":"H4sIAAAAAAAEAK1RTUvDQBD9L3NSiJCNTYy5haaHgo3SFC/Sw7aZ4sJkU3Y31VLy353FBIP0JN7m482892YuoNsaLWRvF1hhs0OzrCG7EwEU6KQiyJJYJFGaingWpnESiYeEe6rxMEblzhm16xyOY89HNNK1BrI0DH/S3Ch35glfmyPRGg9oUO+xlA1CBhAM9D6vUJr9++Z85A7jS1bo1w/hi+RBt9Q1fnrKPpgq92rvxSxi8kiIxyQN/8HJNBuM+NJffYgrPsJ+GwBJ6yYg2xqHHB4kWWSpRhEV7Yf+JrCjaX6e7ogmgCeUJ7zSVw1qq1o97C+kkyumo/Fwv4/zKqnzpopFNV+URV5uqps1nlB3eAv9Fw3Sci07AgAA","EnableZoom":true,"HierarchyIndenting":true,"ParentsOnBottom":false,"SortingOption":0,"Sorting":"","Order":0,"ZoomInParentMemberIds":[],"ZoomInBottomLevelParentMemberIds":[]}},"SuppressBlankRows":true,"SuppressZeroes":true,"EnableDataInput":false},{"Section":"959IS","Block":"B1","ID":"cfc76229","DataModelID":651628815408562176,"Ranges":{"3dacb08f":{"Section":"959IS","Block":"B1","CollectionID":"cfc76229","ID":"3dacb08f","DataModelID":651628815408562176,"Dimension":1,"DynamicExpression":"H4sIAAAAAAAEAK1RTUvDQBD9K2VPChGysUk3uYWkSMFGMcWLeNg2E1zY7JbdjVpK/ruzmmIOOYm3+Xgz772ZM1G6AUuylzPZQrcHs2lIdkMDUoLjQpIsiWkSMUbjZcjiJKKrBHui8zBE5c4Zse8dXMYejmC404ZkLAx/09wId8IJXytAyidowYA6QMU7IBkhwUjv8xq4ObztTkfsIL5ChX79GD5yHHQb1cCnpxyCqfIkpXSFIm/jJI1ZGi3ZPziZZqMRX/qrDzrjIxxeAyK5dROQ1cYBhi2XFlCqEVKW+kP9ENiLaXye6qWcAO6Bv8NMX3SgrNBq3F9yx7dIJ78PN3OcZy57b6pc18W6KvNqV18V2rqFbhd3Wjd2UWvZXJPhCxmE2EVGAgAA","EnableZoom":true,"HierarchyIndenting":true,"ParentsOnBottom":false,"SortingOption":0,"Sorting":"","Order":0,"ZoomInParentMemberIds":[],"ZoomInBottomLevelParentMemberIds":[]}},"SuppressBlankRows":true,"SuppressZeroes":true,"EnableDataInput":false},{"Section":"959IS","Block":"B1","ID":"2696d6c7","DataModelID":651628815408562176,"Ranges":{"75cd8378":{"Section":"959IS","Block":"B1","CollectionID":"2696d6c7","ID":"75cd8378","DataModelID":651628815408562176,"Dimension":1,"DynamicExpression":"H4sIAAAAAAAEAK1RTWuDQBD9K2VOLVhwTVyNN4kehMaWGnopPWzipF1YV9ld24Tgf+8uUSolp9LbfLyZ997MGWRbo4bk9QwbbHaoihqSe+JBhoZxAQkNCQ3imIRLPw5pQCJqe7xxMItKjVF81xucxh47VMy0CpKV7/+kqeLmZCdcbY1CPOMBFco9lqxBSAC8kd7lFTK1/9ieOtux+NIqdOvH8InZQVPIGo+OcvDmyp3aBVkGMaEhXUXhIvoHJ/NsNOJKf/URXPHhD28eCKbNDKRbZdCGByY0WqmKC5G1X/JCoCfT9nmyF2IGeED2iVf6vEGpeStHxxkzbGPpxHS438d5YaJ3poosr9Z5maXltrq9HILL95v82Nl9qO9g+AbvWtTuRwIAAA==","EnableZoom":true,"HierarchyIndenting":true,"ParentsOnBottom":false,"SortingOption":0,"Sorting":"","Order":0,"ZoomInParentMemberIds":[],"ZoomInBottomLevelParentMemberIds":[]}},"SuppressBlankRows":true,"SuppressZeroes":true,"EnableDataInput":false},{"Section":"959IS","Block":"B1","ID":"43c7d233","DataModelID":651628815408562176,"Ranges":{"f6296219":{"Section":"959IS","Block":"B1","CollectionID":"43c7d233","ID":"f6296219","DataModelID":651628815408562176,"Dimension":1,"DynamicExpression":"H4sIAAAAAAAEAK1RTU+DQBD9K2ZPmmDcJQWBGykcSCw10ngxHrYwTTdZFrK7aJuG/+6s0siBk/E2H2/mvTdzIaprwJDk7UI20O5BFw1J7plHMrBcSJKEAQv9KGLBikZB6LPHEHuidTBEpdZqsR8sXMe2PWhuO02SmNLfNNXCnnHC1dYg5QscQIOqoeQtkIQQb6J3eQVc18fduccO4ktU6NZP4TPHQVuoBk6OcvTmysOYMZ/5NKArVE1Z7P+Dk3k2GXGlv/pgCz7o+O4RyY2dgUynLWB44NIAStVCyqz7VD8E5moan6cGKWeAJ+AfsNAXLSgjOjXtz7jlG6ST34dbOM4rl4MzVWR5tc7LLC131e3WHkHfFKruWnjITz2uhDsyfgHrTWfdSQIAAA==","EnableZoom":true,"HierarchyIndenting":true,"ParentsOnBottom":false,"SortingOption":0,"Sorting":"","Order":0,"ZoomInParentMemberIds":[],"ZoomInBottomLevelParentMemberIds":[]}},"SuppressBlankRows":true,"SuppressZeroes":true,"EnableDataInput":false},{"Section":"959IS","Block":"B1","ID":"cafba1b7","DataModelID":651628815408562176,"Ranges":{"e7c6a9b":{"Section":"959IS","Block":"B1","CollectionID":"cafba1b7","ID":"e7c6a9b","DataModelID":651628815408562176,"Dimension":1,"DynamicExpression":"H4sIAAAAAAAEAK1RTU+DQBD9K82eNMHIkkIXblg4kFg0QnoxHrYwxE2WhSxbpWn6351VGjlwMt7m482892bORHU1DCR6PZMdtAfQWU2iO+qQBAwXkkSBTwOPMeqvXeYHHt0E2BOthSEqNkaLw9HAdeypB81Np0kUuu5vGmthTjhha1uQ8gUa0KAqyHkLJCLEmehtXgDX1Xt56rGD+BwV2vVT+Mxx0GSqhtFSXpy58iCk1EPBIfNctmFszf7ByTybjNjSX33QBR/u5c0hkg9mBho6bQDDhssBUKoWUibdp/ohGK6m8XnqKOUM8Aj8Axb6ogU1iE5N+xNu+A7p5PfhFo6z5/JoTWVJWmzTPInzsrjJVNW1sCr5uErHHhfC/QMoaIS5JZcv9lmO2k8CAAA=","EnableZoom":true,"HierarchyIndenting":true,"ParentsOnBottom":false,"SortingOption":0,"Sorting":"","Order":0,"ZoomInParentMemberIds":[],"ZoomInBottomLevelParentMemberIds":[]}},"SuppressBlankRows":true,"SuppressZeroes":true,"EnableDataInput":false},{"Section":"959IS","Block":"B1","ID":"1c361a20","DataModelID":651628815408562176,"Ranges":{"cbd08036":{"Section":"959IS","Block":"B1","CollectionID":"1c361a20","ID":"cbd08036","DataModelID":651628815408562176,"Dimension":1,"DynamicExpression":"H4sIAAAAAAAEAK1Ry07DMBD8lcoHBFKQ4rzJLap7iEQDIlUviIObbIUlx4kcByhV/p01pCKHnBC3nd3ZnRn7TFRbQ0/S5zPZQnMAndckvaUOYWC4kCSNQhp5SULDwE3CyKNxhDPRWBqyMmO0OAwGLmsPHWhuWk3SO9f9hZkW5oQbtrcGKZ/gCBpUBQVvgKSEOJO8xSVwXb3uTh1OkF+gQ3t+Kh85Lppc1fBhJUdn7pzSxAsC3/PjJPYTSoMw+ococzQlsa2/BqELQdzxxSGS92ZG6lttAMsjlz2gVS2kZO27+hHoL6nx99Qg5YxwD/wNFuaiAdWLVk33GTd8i3LS4qXH2XM52FA525TrTcGyYldeM+g0VIIbPLS6WmUNuhSf3/CGjF+4uvzBUQIAAA==","EnableZoom":true,"HierarchyIndenting":true,"ParentsOnBottom":false,"SortingOption":0,"Sorting":"","Order":0,"ZoomInParentMemberIds":[],"ZoomInBottomLevelParentMemberIds":[]}},"SuppressBlankRows":true,"SuppressZeroes":true,"EnableDataInput":false},{"Section":"959IS","Block":"B1","ID":"95d6f91b","DataModelID":651628815408562176,"Ranges":{"8f289f5d":{"Section":"959IS","Block":"B1","CollectionID":"95d6f91b","ID":"8f289f5d","DataModelID":651628815408562176,"Dimension":1,"DynamicExpression":"H4sIAAAAAAAEAK1Ry26DMBD8lWpPiUQlTIJ53FDIAamhVYh6qXpwYNNaMiayTdso4t9rq0TlwKnqbWd3dmfGvoLsGtSQvlxhh+0RVdFAek88yNEwLiClIaFBHJNw7cchDUhE7Yy3jmZZmTGKH3uDt7XHMypmOgVp4vu/MFPcXOyG621QiD2eUKGssWQtQgrgjfIOV8hU/X64nO3E8kvr0J0fyydmF00hG/xykoM3dU5I7FNKooSuIxqT1YoE/xBlisYkrvXXIGQmiD+8eiCYNhOS7pRBW56Y0GitKi5E3n3KHwF9S21/T/ZCTAgPyD5wZs5blJp3cryfM8N2Vk44PPc4z0z0LlSRb6vNtsyz8lAtaJyEd4s9aqP62vSKy7flEoZvdJJZUUoCAAA=","EnableZoom":true,"HierarchyIndenting":true,"ParentsOnBottom":false,"SortingOption":0,"Sorting":"","Order":0,"ZoomInParentMemberIds":[],"ZoomInBottomLevelParentMemberIds":[]}},"SuppressBlankRows":true,"SuppressZeroes":true,"EnableDataInput":false},{"Section":"959IS","Block":"B1","ID":"c75cc097","DataModelID":651628815408562176,"Ranges":{"5b71ffc9":{"Section":"959IS","Block":"B1","CollectionID":"c75cc097","ID":"5b71ffc9","DataModelID":651628815408562176,"Dimension":1,"DynamicExpression":"H4sIAAAAAAAEAK1Ry2rDMBD8lz214IJlYvlxM3EOhsYNdeil9KDEGyqQ5SDJbUPwv3dFHOpDTqG3nd3ZnRnpDLpv0UL+foY1djs0VQv5EwugRCekgpzHjEdpyuJFmMY8Ygmnmew8jViFc0buBofXtZcjGuF6A3kWhn+wMNKdaMP3lqjUKx7QoN5jLTqEHCCY5D1uUJj95/Z0pAnxa3Loz0/lRtCiq3SLP15yDObOGcsiHpHPhCdJnGZxuPiHKHM0JfGte4OwG0HC8SMAJaybkWxvHFJ5EMoiWTVSqbL/1hcBe01Nv6cHpWaEZxRfeGMuO9RW9nq6Xwon1iSnPL71OG9CDT5UVa6a5aoui3rbPGwuNx5h/AVoIUoPPQIAAA==","EnableZoom":true,"HierarchyIndenting":true,"ParentsOnBottom":false,"SortingOption":0,"Sorting":"","Order":0,"ZoomInParentMemberIds":[],"ZoomInBottomLevelParentMemberIds":[]}},"SuppressBlankRows":true,"SuppressZeroes":true,"EnableDataInput":false},{"Section":"959IS","Block":"B1","ID":"92076a90","DataModelID":651628815408562176,"Ranges":{"3efb4e3d":{"Section":"959IS","Block":"B1","CollectionID":"92076a90","ID":"3efb4e3d","DataModelID":651628815408562176,"Dimension":1,"DynamicExpression":"H4sIAAAAAAAEAK1RsW6DMBD9lcpTK1EJ3BgMGwoMSA2tStSl6uCEi2rJGGSbNlHEv/esEpUhU9Xt3t27e+/ZZ6L7FizJ3s5kA90OTNWS7D4KSAFOSEWymEUx5Txiq5CzmEZJjDPZeRqycueM3I0OLmtPAxjhekOyNAx/YW6kO+GG761BqRc4gAG9h1p0QDJCglne4waE2X9sTwNOkF+jQ39+Lp8FLrpKt3D0klOwdB5RxhmljKZh8pDyhPHVP0RZojmJb/01SHQlSDi9B0QJ6xYk2xsHWB6EsoBWjVSq6L/0j4C9pMbf06NSC8IjiE+4MpcdaCt7Pd8vhBMblFMeX3ucV6FGH6oqymZd1kVeb5vbSjtMbN1NeRzwHNyR6Ruy6ZbKRgIAAA==","EnableZoom":true,"HierarchyIndenting":true,"ParentsOnBottom":false,"SortingOption":0,"Sorting":"","Order":0,"ZoomInParentMemberIds":[],"ZoomInBottomLevelParentMemberIds":[]}},"SuppressBlankRows":true,"SuppressZeroes":true,"EnableDataInput":false},{"Section":"960IS","Block":"B1","ID":"5d6b95e5","DataModelID":651628815408562176,"Ranges":{"6d486ba5":{"Section":"960IS","Block":"B1","CollectionID":"5d6b95e5","ID":"6d486ba5","DataModelID":651628815408562176,"Dimension":1,"DynamicExpression":"H4sIAAAAAAAEAK1RTUvDQBD9L3NSiJCNTYy5haaHgo3SFC/Sw7aZ4sJkU3Y31VLy353FBIP0JN7m482892YuoNsaLWRvF1hhs0OzrCG7EwEU6KQiyJJYJFGaingWpnESiYeEe6rxMEblzhm16xyOY89HNNK1BrI0DH/S3Ch35glfmyPRGg9oUO+xlA1CBhAM9D6vUJr9++Z85A7jS1bo1w/hi+RBt9Q1fnrKPpgq92rvxSxi8kiIxyQN/8HJNBuM+NJffYgrPsJ+GwBJ6yYg2xqHHB4kWWSpRhEV7Yf+JrCjaX6e7ogmgCeUJ7zSVw1qq1o97C+kkyumo/Fwv4/zKqnzpopFNV+URV5uqps1nlB3eAv9Fw3Sci07AgAA","EnableZoom":true,"HierarchyIndenting":true,"ParentsOnBottom":false,"SortingOption":0,"Sorting":"","Order":0,"ZoomInParentMemberIds":[],"ZoomInBottomLevelParentMemberIds":[]}},"SuppressBlankRows":true,"SuppressZeroes":true,"EnableDataInput":false},{"Section":"960IS","Block":"B1","ID":"b6eaeaaf","DataModelID":651628815408562176,"Ranges":{"4ead15ff":{"Section":"960IS","Block":"B1","CollectionID":"b6eaeaaf","ID":"4ead15ff","DataModelID":651628815408562176,"Dimension":1,"DynamicExpression":"H4sIAAAAAAAEAK1RTUvDQBD9K2VPChGysUk3uYWkSMFGMcWLeNg2E1zY7JbdjVpK/ruzmmIOOYm3+Xgz772ZM1G6AUuylzPZQrcHs2lIdkMDUoLjQpIsiWkSMUbjZcjiJKKrBHui8zBE5c4Zse8dXMYejmC404ZkLAx/09wId8IJXytAyidowYA6QMU7IBkhwUjv8xq4ObztTkfsIL5ChX79GD5yHHQb1cCnpxyCqfIkpXSFIm/jJI1ZGi3ZPziZZqMRX/qrDzrjIxxeAyK5dROQ1cYBhi2XFlCqEVKW+kP9ENiLaXye6qWcAO6Bv8NMX3SgrNBq3F9yx7dIJ78PN3OcZy57b6pc18W6KvNqV18V2rqFbhd3Wjd2UWvZXJPhCxmE2EVGAgAA","EnableZoom":true,"HierarchyIndenting":true,"ParentsOnBottom":false,"SortingOption":0,"Sorting":"","Order":0,"ZoomInParentMemberIds":[],"ZoomInBottomLevelParentMemberIds":[]}},"SuppressBlankRows":true,"SuppressZeroes":true,"EnableDataInput":false},{"Section":"960IS","Block":"B1","ID":"d4a5a813","DataModelID":651628815408562176,"Ranges":{"cc40fdd8":{"Section":"960IS","Block":"B1","CollectionID":"d4a5a813","ID":"cc40fdd8","DataModelID":651628815408562176,"Dimension":1,"DynamicExpression":"H4sIAAAAAAAEAK1RTWuDQBD9K2VOLVhwTVyNN4kehMaWGnopPWzipF1YV9ld24Tgf+8uUSolp9LbfLyZ997MGWRbo4bk9QwbbHaoihqSe+JBhoZxAQkNCQ3imIRLPw5pQCJqe7xxMItKjVF81xucxh47VMy0CpKV7/+kqeLmZCdcbY1CPOMBFco9lqxBSAC8kd7lFTK1/9ieOtux+NIqdOvH8InZQVPIGo+OcvDmyp3aBVkGMaEhXUXhIvoHJ/NsNOJKf/URXPHhD28eCKbNDKRbZdCGByY0WqmKC5G1X/JCoCfT9nmyF2IGeED2iVf6vEGpeStHxxkzbGPpxHS438d5YaJ3poosr9Z5maXltrq9HILL95v82Nl9qO9g+AbvWtTuRwIAAA==","EnableZoom":true,"HierarchyIndenting":true,"ParentsOnBottom":false,"SortingOption":0,"Sorting":"","Order":0,"ZoomInParentMemberIds":[],"ZoomInBottomLevelParentMemberIds":[]}},"SuppressBlankRows":true,"SuppressZeroes":true,"EnableDataInput":false},{"Section":"960IS","Block":"B1","ID":"a870afdf","DataModelID":651628815408562176,"Ranges":{"5db62c8a":{"Section":"960IS","Block":"B1","CollectionID":"a870afdf","ID":"5db62c8a","DataModelID":651628815408562176,"Dimension":1,"DynamicExpression":"H4sIAAAAAAAEAK1RTU+DQBD9K2ZPmmDcJQWBGykcSCw10ngxHrYwTTdZFrK7aJuG/+6s0siBk/E2H2/mvTdzIaprwJDk7UI20O5BFw1J7plHMrBcSJKEAQv9KGLBikZB6LPHEHuidTBEpdZqsR8sXMe2PWhuO02SmNLfNNXCnnHC1dYg5QscQIOqoeQtkIQQb6J3eQVc18fduccO4ktU6NZP4TPHQVuoBk6OcvTmysOYMZ/5NKArVE1Z7P+Dk3k2GXGlv/pgCz7o+O4RyY2dgUynLWB44NIAStVCyqz7VD8E5moan6cGKWeAJ+AfsNAXLSgjOjXtz7jlG6ST34dbOM4rl4MzVWR5tc7LLC131e3WHkHfFKruWnjITz2uhDsyfgHrTWfdSQIAAA==","EnableZoom":true,"HierarchyIndenting":true,"ParentsOnBottom":false,"SortingOption":0,"Sorting":"","Order":0,"ZoomInParentMemberIds":[],"ZoomInBottomLevelParentMemberIds":[]}},"SuppressBlankRows":true,"SuppressZeroes":true,"EnableDataInput":false},{"Section":"960IS","Block":"B1","ID":"8d415862","DataModelID":651628815408562176,"Ranges":{"15507c92":{"Section":"960IS","Block":"B1","CollectionID":"8d415862","ID":"15507c92","DataModelID":651628815408562176,"Dimension":1,"DynamicExpression":"H4sIAAAAAAAEAK1RTU+DQBD9K82eNMHIkkIXblg4kFg0QnoxHrYwxE2WhSxbpWn6351VGjlwMt7m482892bORHU1DCR6PZMdtAfQWU2iO+qQBAwXkkSBTwOPMeqvXeYHHt0E2BOthSEqNkaLw9HAdeypB81Np0kUuu5vGmthTjhha1uQ8gUa0KAqyHkLJCLEmehtXgDX1Xt56rGD+BwV2vVT+Mxx0GSqhtFSXpy58iCk1EPBIfNctmFszf7ByTybjNjSX33QBR/u5c0hkg9mBho6bQDDhssBUKoWUibdp/ohGK6m8XnqKOUM8Aj8Axb6ogU1iE5N+xNu+A7p5PfhFo6z5/JoTWVJWmzTPInzsrjJVNW1sCr5uErHHhfC/QMoaIS5JZcv9lmO2k8CAAA=","EnableZoom":true,"HierarchyIndenting":true,"ParentsOnBottom":false,"SortingOption":0,"Sorting":"","Order":0,"ZoomInParentMemberIds":[],"ZoomInBottomLevelParentMemberIds":[]}},"SuppressBlankRows":true,"SuppressZeroes":true,"EnableDataInput":false},{"Section":"960IS","Block":"B1","ID":"7f8630f9","DataModelID":651628815408562176,"Ranges":{"f001cea":{"Section":"960IS","Block":"B1","CollectionID":"7f8630f9","ID":"f001cea","DataModelID":651628815408562176,"Dimension":1,"DynamicExpression":"H4sIAAAAAAAEAK1Ry07DMBD8lcoHBFKQ4rzJLap7iEQDIlUviIObbIUlx4kcByhV/p01pCKHnBC3nd3ZnRn7TFRbQ0/S5zPZQnMAndckvaUOYWC4kCSNQhp5SULDwE3CyKNxhDPRWBqyMmO0OAwGLmsPHWhuWk3SO9f9hZkW5oQbtrcGKZ/gCBpUBQVvgKSEOJO8xSVwXb3uTh1OkF+gQ3t+Kh85Lppc1fBhJUdn7pzSxAsC3/PjJPYTSoMw+ococzQlsa2/BqELQdzxxSGS92ZG6lttAMsjlz2gVS2kZO27+hHoL6nx99Qg5YxwD/wNFuaiAdWLVk33GTd8i3LS4qXH2XM52FA525TrTcGyYldeM+g0VIIbPLS6WmUNuhSf3/CGjF+4uvzBUQIAAA==","EnableZoom":true,"HierarchyIndenting":true,"ParentsOnBottom":false,"SortingOption":0,"Sorting":"","Order":0,"ZoomInParentMemberIds":[],"ZoomInBottomLevelParentMemberIds":[]}},"SuppressBlankRows":true,"SuppressZeroes":true,"EnableDataInput":false},{"Section":"960IS","Block":"B1","ID":"3b35939c","DataModelID":651628815408562176,"Ranges":{"28fcfe5d":{"Section":"960IS","Block":"B1","CollectionID":"3b35939c","ID":"28fcfe5d","DataModelID":651628815408562176,"Dimension":1,"DynamicExpression":"H4sIAAAAAAAEAK1Ry26DMBD8lWpPiUQlTIJ53FDIAamhVYh6qXpwYNNaMiayTdso4t9rq0TlwKnqbWd3dmfGvoLsGtSQvlxhh+0RVdFAek88yNEwLiClIaFBHJNw7cchDUhE7Yy3jmZZmTGKH3uDt7XHMypmOgVp4vu/MFPcXOyG621QiD2eUKGssWQtQgrgjfIOV8hU/X64nO3E8kvr0J0fyydmF00hG/xykoM3dU5I7FNKooSuIxqT1YoE/xBlisYkrvXXIGQmiD+8eiCYNhOS7pRBW56Y0GitKi5E3n3KHwF9S21/T/ZCTAgPyD5wZs5blJp3cryfM8N2Vk44PPc4z0z0LlSRb6vNtsyz8lAtaJyEd4s9aqP62vSKy7flEoZvdJJZUUoCAAA=","EnableZoom":true,"HierarchyIndenting":true,"ParentsOnBottom":false,"SortingOption":0,"Sorting":"","Order":0,"ZoomInParentMemberIds":[],"ZoomInBottomLevelParentMemberIds":[]}},"SuppressBlankRows":true,"SuppressZeroes":true,"EnableDataInput":false},{"Section":"960IS","Block":"B1","ID":"8777a06c","DataModelID":651628815408562176,"Ranges":{"2caf8be7":{"Section":"960IS","Block":"B1","CollectionID":"8777a06c","ID":"2caf8be7","DataModelID":651628815408562176,"Dimension":1,"DynamicExpression":"H4sIAAAAAAAEAK1Ry2rDMBD8lz214IJlYvlxM3EOhsYNdeil9KDEGyqQ5SDJbUPwv3dFHOpDTqG3nd3ZnRnpDLpv0UL+foY1djs0VQv5EwugRCekgpzHjEdpyuJFmMY8Ygmnmew8jViFc0buBofXtZcjGuF6A3kWhn+wMNKdaMP3lqjUKx7QoN5jLTqEHCCY5D1uUJj95/Z0pAnxa3Loz0/lRtCiq3SLP15yDObOGcsiHpHPhCdJnGZxuPiHKHM0JfGte4OwG0HC8SMAJaybkWxvHFJ5EMoiWTVSqbL/1hcBe01Nv6cHpWaEZxRfeGMuO9RW9nq6Xwon1iSnPL71OG9CDT5UVa6a5aoui3rbPGwuNx5h/AVoIUoPPQIAAA==","EnableZoom":true,"HierarchyIndenting":true,"ParentsOnBottom":false,"SortingOption":0,"Sorting":"","Order":0,"ZoomInParentMemberIds":[],"ZoomInBottomLevelParentMemberIds":[]}},"SuppressBlankRows":true,"SuppressZeroes":true,"EnableDataInput":false},{"Section":"960IS","Block":"B1","ID":"1d2de3c9","DataModelID":651628815408562176,"Ranges":{"ccc37bb0":{"Section":"960IS","Block":"B1","CollectionID":"1d2de3c9","ID":"ccc37bb0","DataModelID":651628815408562176,"Dimension":1,"DynamicExpression":"H4sIAAAAAAAEAK1RsW6DMBD9lcpTK1EJ3BgMGwoMSA2tStSl6uCEi2rJGGSbNlHEv/esEpUhU9Xt3t27e+/ZZ6L7FizJ3s5kA90OTNWS7D4KSAFOSEWymEUx5Txiq5CzmEZJjDPZeRqycueM3I0OLmtPAxjhekOyNAx/YW6kO+GG761BqRc4gAG9h1p0QDJCglne4waE2X9sTwNOkF+jQ39+Lp8FLrpKt3D0klOwdB5RxhmljKZh8pDyhPHVP0RZojmJb/01SHQlSDi9B0QJ6xYk2xsHWB6EsoBWjVSq6L/0j4C9pMbf06NSC8IjiE+4MpcdaCt7Pd8vhBMblFMeX3ucV6FGH6oqymZd1kVeb5vbSjtMbN1NeRzwHNyR6Ruy6ZbKRgIAAA==","EnableZoom":true,"HierarchyIndenting":true,"ParentsOnBottom":false,"SortingOption":0,"Sorting":"","Order":0,"ZoomInParentMemberIds":[],"ZoomInBottomLevelParentMemberIds":[]}},"SuppressBlankRows":true,"SuppressZeroes":true,"EnableDataInput":false},{"Section":"961IS","Block":"B1","ID":"b69cebd4","DataModelID":651628815408562176,"Ranges":{"d8f4b008":{"Section":"961IS","Block":"B1","CollectionID":"b69cebd4","ID":"d8f4b008","DataModelID":651628815408562176,"Dimension":1,"DynamicExpression":"H4sIAAAAAAAEAK1RTUvDQBD9L3NSiJCNTYy5haaHgo3SFC/Sw7aZ4sJkU3Y31VLy353FBIP0JN7m482892YuoNsaLWRvF1hhs0OzrCG7EwEU6KQiyJJYJFGaingWpnESiYeEe6rxMEblzhm16xyOY89HNNK1BrI0DH/S3Ch35glfmyPRGg9oUO+xlA1CBhAM9D6vUJr9++Z85A7jS1bo1w/hi+RBt9Q1fnrKPpgq92rvxSxi8kiIxyQN/8HJNBuM+NJffYgrPsJ+GwBJ6yYg2xqHHB4kWWSpRhEV7Yf+JrCjaX6e7ogmgCeUJ7zSVw1qq1o97C+kkyumo/Fwv4/zKqnzpopFNV+URV5uqps1nlB3eAv9Fw3Sci07AgAA","EnableZoom":true,"HierarchyIndenting":true,"ParentsOnBottom":false,"SortingOption":0,"Sorting":"","Order":0,"ZoomInParentMemberIds":[],"ZoomInBottomLevelParentMemberIds":[]}},"SuppressBlankRows":true,"SuppressZeroes":true,"EnableDataInput":false},{"Section":"961IS","Block":"B1","ID":"b7d0c443","DataModelID":651628815408562176,"Ranges":{"a7773cd9":{"Section":"961IS","Block":"B1","CollectionID":"b7d0c443","ID":"a7773cd9","DataModelID":651628815408562176,"Dimension":1,"DynamicExpression":"H4sIAAAAAAAEAK1RTUvDQBD9K2VPChGysUk3uYWkSMFGMcWLeNg2E1zY7JbdjVpK/ruzmmIOOYm3+Xgz772ZM1G6AUuylzPZQrcHs2lIdkMDUoLjQpIsiWkSMUbjZcjiJKKrBHui8zBE5c4Zse8dXMYejmC404ZkLAx/09wId8IJXytAyidowYA6QMU7IBkhwUjv8xq4ObztTkfsIL5ChX79GD5yHHQb1cCnpxyCqfIkpXSFIm/jJI1ZGi3ZPziZZqMRX/qrDzrjIxxeAyK5dROQ1cYBhi2XFlCqEVKW+kP9ENiLaXye6qWcAO6Bv8NMX3SgrNBq3F9yx7dIJ78PN3OcZy57b6pc18W6KvNqV18V2rqFbhd3Wjd2UWvZXJPhCxmE2EVGAgAA","EnableZoom":true,"HierarchyIndenting":true,"ParentsOnBottom":false,"SortingOption":0,"Sorting":"","Order":0,"ZoomInParentMemberIds":[],"ZoomInBottomLevelParentMemberIds":[]}},"SuppressBlankRows":true,"SuppressZeroes":true,"EnableDataInput":false},{"Section":"961IS","Block":"B1","ID":"8e1f1d","DataModelID":651628815408562176,"Ranges":{"a277dffa":{"Section":"961IS","Block":"B1","CollectionID":"8e1f1d","ID":"a277dffa","DataModelID":651628815408562176,"Dimension":1,"DynamicExpression":"H4sIAAAAAAAEAK1RTWuDQBD9K2VOLVhwTVyNN4kehMaWGnopPWzipF1YV9ld24Tgf+8uUSolp9LbfLyZ997MGWRbo4bk9QwbbHaoihqSe+JBhoZxAQkNCQ3imIRLPw5pQCJqe7xxMItKjVF81xucxh47VMy0CpKV7/+kqeLmZCdcbY1CPOMBFco9lqxBSAC8kd7lFTK1/9ieOtux+NIqdOvH8InZQVPIGo+OcvDmyp3aBVkGMaEhXUXhIvoHJ/NsNOJKf/URXPHhD28eCKbNDKRbZdCGByY0WqmKC5G1X/JCoCfT9nmyF2IGeED2iVf6vEGpeStHxxkzbGPpxHS438d5YaJ3poosr9Z5maXltrq9HILL95v82Nl9qO9g+AbvWtTuRwIAAA==","EnableZoom":true,"HierarchyIndenting":true,"ParentsOnBottom":false,"SortingOption":0,"Sorting":"","Order":0,"ZoomInParentMemberIds":[],"ZoomInBottomLevelParentMemberIds":[]}},"SuppressBlankRows":true,"SuppressZeroes":true,"EnableDataInput":false},{"Section":"961IS","Block":"B1","ID":"ab518323","DataModelID":651628815408562176,"Ranges":{"980ac492":{"Section":"961IS","Block":"B1","CollectionID":"ab518323","ID":"980ac492","DataModelID":651628815408562176,"Dimension":1,"DynamicExpression":"H4sIAAAAAAAEAK1RTU+DQBD9K2ZPmmDcJQWBGykcSCw10ngxHrYwTTdZFrK7aJuG/+6s0siBk/E2H2/mvTdzIaprwJDk7UI20O5BFw1J7plHMrBcSJKEAQv9KGLBikZB6LPHEHuidTBEpdZqsR8sXMe2PWhuO02SmNLfNNXCnnHC1dYg5QscQIOqoeQtkIQQb6J3eQVc18fduccO4ktU6NZP4TPHQVuoBk6OcvTmysOYMZ/5NKArVE1Z7P+Dk3k2GXGlv/pgCz7o+O4RyY2dgUynLWB44NIAStVCyqz7VD8E5moan6cGKWeAJ+AfsNAXLSgjOjXtz7jlG6ST34dbOM4rl4MzVWR5tc7LLC131e3WHkHfFKruWnjITz2uhDsyfgHrTWfdSQIAAA==","EnableZoom":true,"HierarchyIndenting":true,"ParentsOnBottom":false,"SortingOption":0,"Sorting":"","Order":0,"ZoomInParentMemberIds":[],"ZoomInBottomLevelParentMemberIds":[]}},"SuppressBlankRows":true,"SuppressZeroes":true,"EnableDataInput":false},{"Section":"961IS","Block":"B1","ID":"6cbced3c","DataModelID":651628815408562176,"Ranges":{"8ecd57b0":{"Section":"961IS","Block":"B1","CollectionID":"6cbced3c","ID":"8ecd57b0","DataModelID":651628815408562176,"Dimension":1,"DynamicExpression":"H4sIAAAAAAAEAK1RTU+DQBD9K82eNMHIkkIXblg4kFg0QnoxHrYwxE2WhSxbpWn6351VGjlwMt7m482892bORHU1DCR6PZMdtAfQWU2iO+qQBAwXkkSBTwOPMeqvXeYHHt0E2BOthSEqNkaLw9HAdeypB81Np0kUuu5vGmthTjhha1uQ8gUa0KAqyHkLJCLEmehtXgDX1Xt56rGD+BwV2vVT+Mxx0GSqhtFSXpy58iCk1EPBIfNctmFszf7ByTybjNjSX33QBR/u5c0hkg9mBho6bQDDhssBUKoWUibdp/ohGK6m8XnqKOUM8Aj8Axb6ogU1iE5N+xNu+A7p5PfhFo6z5/JoTWVJWmzTPInzsrjJVNW1sCr5uErHHhfC/QMoaIS5JZcv9lmO2k8CAAA=","EnableZoom":true,"HierarchyIndenting":true,"ParentsOnBottom":false,"SortingOption":0,"Sorting":"","Order":0,"ZoomInParentMemberIds":[],"ZoomInBottomLevelParentMemberIds":[]}},"SuppressBlankRows":true,"SuppressZeroes":true,"EnableDataInput":false},{"Section":"961IS","Block":"B1","ID":"b237486f","DataModelID":651628815408562176,"Ranges":{"c6eec44c":{"Section":"961IS","Block":"B1","CollectionID":"b237486f","ID":"c6eec44c","DataModelID":651628815408562176,"Dimension":1,"DynamicExpression":"H4sIAAAAAAAEAK1Ry07DMBD8lcoHBFKQ4rzJLap7iEQDIlUviIObbIUlx4kcByhV/p01pCKHnBC3nd3ZnRn7TFRbQ0/S5zPZQnMAndckvaUOYWC4kCSNQhp5SULDwE3CyKNxhDPRWBqyMmO0OAwGLmsPHWhuWk3SO9f9hZkW5oQbtrcGKZ/gCBpUBQVvgKSEOJO8xSVwXb3uTh1OkF+gQ3t+Kh85Lppc1fBhJUdn7pzSxAsC3/PjJPYTSoMw+ococzQlsa2/BqELQdzxxSGS92ZG6lttAMsjlz2gVS2kZO27+hHoL6nx99Qg5YxwD/wNFuaiAdWLVk33GTd8i3LS4qXH2XM52FA525TrTcGyYldeM+g0VIIbPLS6WmUNuhSf3/CGjF+4uvzBUQIAAA==","EnableZoom":true,"HierarchyIndenting":true,"ParentsOnBottom":false,"SortingOption":0,"Sorting":"","Order":0,"ZoomInParentMemberIds":[],"ZoomInBottomLevelParentMemberIds":[]}},"SuppressBlankRows":true,"SuppressZeroes":true,"EnableDataInput":false},{"Section":"961IS","Block":"B1","ID":"d8b4cd7f","DataModelID":651628815408562176,"Ranges":{"5f67e43f":{"Section":"961IS","Block":"B1","CollectionID":"d8b4cd7f","ID":"5f67e43f","DataModelID":651628815408562176,"Dimension":1,"DynamicExpression":"H4sIAAAAAAAEAK1Ry26DMBD8lWpPiUQlTIJ53FDIAamhVYh6qXpwYNNaMiayTdso4t9rq0TlwKnqbWd3dmfGvoLsGtSQvlxhh+0RVdFAek88yNEwLiClIaFBHJNw7cchDUhE7Yy3jmZZmTGKH3uDt7XHMypmOgVp4vu/MFPcXOyG621QiD2eUKGssWQtQgrgjfIOV8hU/X64nO3E8kvr0J0fyydmF00hG/xykoM3dU5I7FNKooSuIxqT1YoE/xBlisYkrvXXIGQmiD+8eiCYNhOS7pRBW56Y0GitKi5E3n3KHwF9S21/T/ZCTAgPyD5wZs5blJp3cryfM8N2Vk44PPc4z0z0LlSRb6vNtsyz8lAtaJyEd4s9aqP62vSKy7flEoZvdJJZUUoCAAA=","EnableZoom":true,"HierarchyIndenting":true,"ParentsOnBottom":false,"SortingOption":0,"Sorting":"","Order":0,"ZoomInParentMemberIds":[],"ZoomInBottomLevelParentMemberIds":[]}},"SuppressBlankRows":true,"SuppressZeroes":true,"EnableDataInput":false},{"Section":"961IS","Block":"B1","ID":"fda15a09","DataModelID":651628815408562176,"Ranges":{"182b932c":{"Section":"961IS","Block":"B1","CollectionID":"fda15a09","ID":"182b932c","DataModelID":651628815408562176,"Dimension":1,"DynamicExpression":"H4sIAAAAAAAEAK1Ry2rDMBD8lz214IJlYvlxM3EOhsYNdeil9KDEGyqQ5SDJbUPwv3dFHOpDTqG3nd3ZnRnpDLpv0UL+foY1djs0VQv5EwugRCekgpzHjEdpyuJFmMY8Ygmnmew8jViFc0buBofXtZcjGuF6A3kWhn+wMNKdaMP3lqjUKx7QoN5jLTqEHCCY5D1uUJj95/Z0pAnxa3Loz0/lRtCiq3SLP15yDObOGcsiHpHPhCdJnGZxuPiHKHM0JfGte4OwG0HC8SMAJaybkWxvHFJ5EMoiWTVSqbL/1hcBe01Nv6cHpWaEZxRfeGMuO9RW9nq6Xwon1iSnPL71OG9CDT5UVa6a5aoui3rbPGwuNx5h/AVoIUoPPQIAAA==","EnableZoom":true,"HierarchyIndenting":true,"ParentsOnBottom":false,"SortingOption":0,"Sorting":"","Order":0,"ZoomInParentMemberIds":[],"ZoomInBottomLevelParentMemberIds":[]}},"SuppressBlankRows":true,"SuppressZeroes":true,"EnableDataInput":false},{"Section":"961IS","Block":"B1","ID":"d597dc9d","DataModelID":651628815408562176,"Ranges":{"5572db37":{"Section":"961IS","Block":"B1","CollectionID":"d597dc9d","ID":"5572db37","DataModelID":651628815408562176,"Dimension":1,"DynamicExpression":"H4sIAAAAAAAEAK1RsW6DMBD9lcpTK1EJ3BgMGwoMSA2tStSl6uCEi2rJGGSbNlHEv/esEpUhU9Xt3t27e+/ZZ6L7FizJ3s5kA90OTNWS7D4KSAFOSEWymEUx5Txiq5CzmEZJjDPZeRqycueM3I0OLmtPAxjhekOyNAx/YW6kO+GG761BqRc4gAG9h1p0QDJCglne4waE2X9sTwNOkF+jQ39+Lp8FLrpKt3D0klOwdB5RxhmljKZh8pDyhPHVP0RZojmJb/01SHQlSDi9B0QJ6xYk2xsHWB6EsoBWjVSq6L/0j4C9pMbf06NSC8IjiE+4MpcdaCt7Pd8vhBMblFMeX3ucV6FGH6oqymZd1kVeb5vbSjtMbN1NeRzwHNyR6Ruy6ZbKRgIAAA==","EnableZoom":true,"HierarchyIndenting":true,"ParentsOnBottom":false,"SortingOption":0,"Sorting":"","Order":0,"ZoomInParentMemberIds":[],"ZoomInBottomLevelParentMemberIds":[]}},"SuppressBlankRows":true,"SuppressZeroes":true,"EnableDataInput":false},{"Section":"test1","Block":"B1","ID":"616de4db","DataModelID":651628815408562176,"Ranges":{"5295d267":{"Section":"test1","Block":"B1","CollectionID":"616de4db","ID":"5295d267","DataModelID":651628815408562176,"Dimension":1,"DynamicExpression":"H4sIAAAAAAAEAK1RTUvDQBD9L3NSiJCNTYy5haaHgo3SFC/Sw7aZ4sJkU3Y31VLy353FBIP0JN7m482892YuoNsaLWRvF1hhs0OzrCG7EwEU6KQiyJJYJFGaingWpnESiYeEe6rxMEblzhm16xyOY89HNNK1BrI0DH/S3Ch35glfmyPRGg9oUO+xlA1CBhAM9D6vUJr9++Z85A7jS1bo1w/hi+RBt9Q1fnrKPpgq92rvxSxi8kiIxyQN/8HJNBuM+NJffYgrPsJ+GwBJ6yYg2xqHHB4kWWSpRhEV7Yf+JrCjaX6e7ogmgCeUJ7zSVw1qq1o97C+kkyumo/Fwv4/zKqnzpopFNV+URV5uqps1nlB3eAv9Fw3Sci07AgAA","EnableZoom":true,"HierarchyIndenting":true,"ParentsOnBottom":false,"SortingOption":0,"Sorting":"","Order":0,"ZoomInParentMemberIds":[],"ZoomInBottomLevelParentMemberIds":[]}},"SuppressBlankRows":false,"SuppressZeroes":true,"EnableDataInput":false},{"Section":"test1","Block":"B1","ID":"94cf46d0","DataModelID":651628815408562176,"Ranges":{"5913b575":{"Section":"test1","Block":"B1","CollectionID":"94cf46d0","ID":"5913b575","DataModelID":651628815408562176,"Dimension":1,"DynamicExpression":"H4sIAAAAAAAEAK1RTUvDQBD9K2VPChGysUk3uYWkSMFGMcWLeNg2E1zY7JbdjVpK/ruzmmIOOYm3+Xgz772ZM1G6AUuylzPZQrcHs2lIdkMDUoLjQpIsiWkSMUbjZcjiJKKrBHui8zBE5c4Zse8dXMYejmC404ZkLAx/09wId8IJXytAyidowYA6QMU7IBkhwUjv8xq4ObztTkfsIL5ChX79GD5yHHQb1cCnpxyCqfIkpXSFIm/jJI1ZGi3ZPziZZqMRX/qrDzrjIxxeAyK5dROQ1cYBhi2XFlCqEVKW+kP9ENiLaXye6qWcAO6Bv8NMX3SgrNBq3F9yx7dIJ78PN3OcZy57b6pc18W6KvNqV18V2rqFbhd3Wjd2UWvZXJPhCxmE2EVGAgAA","EnableZoom":true,"HierarchyIndenting":true,"ParentsOnBottom":false,"SortingOption":0,"Sorting":"","Order":0,"ZoomInParentMemberIds":[],"ZoomInBottomLevelParentMemberIds":[]}},"SuppressBlankRows":false,"SuppressZeroes":true,"EnableDataInput":false},{"Section":"test1","Block":"B1","ID":"4156010c","DataModelID":651628815408562176,"Ranges":{"a49ccb10":{"Section":"test1","Block":"B1","CollectionID":"4156010c","ID":"a49ccb10","DataModelID":651628815408562176,"Dimension":1,"DynamicExpression":"H4sIAAAAAAAEAK1RTWuDQBD9K2VOLVhwTVyNN4kehMaWGnopPWzipF1YV9ld24Tgf+8uUSolp9LbfLyZ997MGWRbo4bk9QwbbHaoihqSe+JBhoZxAQkNCQ3imIRLPw5pQCJqe7xxMItKjVF81xucxh47VMy0CpKV7/+kqeLmZCdcbY1CPOMBFco9lqxBSAC8kd7lFTK1/9ieOtux+NIqdOvH8InZQVPIGo+OcvDmyp3aBVkGMaEhXUXhIvoHJ/NsNOJKf/URXPHhD28eCKbNDKRbZdCGByY0WqmKC5G1X/JCoCfT9nmyF2IGeED2iVf6vEGpeStHxxkzbGPpxHS438d5YaJ3poosr9Z5maXltrq9HILL95v82Nl9qO9g+AbvWtTuRwIAAA==","EnableZoom":true,"HierarchyIndenting":true,"ParentsOnBottom":false,"SortingOption":0,"Sorting":"","Order":0,"ZoomInParentMemberIds":[],"ZoomInBottomLevelParentMemberIds":[]}},"SuppressBlankRows":false,"SuppressZeroes":true,"EnableDataInput":false},{"Section":"test1","Block":"B1","ID":"368b3bbd","DataModelID":651628815408562176,"Ranges":{"8a2e3629":{"Section":"test1","Block":"B1","CollectionID":"368b3bbd","ID":"8a2e3629","DataModelID":651628815408562176,"Dimension":1,"DynamicExpression":"H4sIAAAAAAAEAK1RTU+DQBD9K2ZPmmDcJQWBGykcSCw10ngxHrYwTTdZFrK7aJuG/+6s0siBk/E2H2/mvTdzIaprwJDk7UI20O5BFw1J7plHMrBcSJKEAQv9KGLBikZB6LPHEHuidTBEpdZqsR8sXMe2PWhuO02SmNLfNNXCnnHC1dYg5QscQIOqoeQtkIQQb6J3eQVc18fduccO4ktU6NZP4TPHQVuoBk6OcvTmysOYMZ/5NKArVE1Z7P+Dk3k2GXGlv/pgCz7o+O4RyY2dgUynLWB44NIAStVCyqz7VD8E5moan6cGKWeAJ+AfsNAXLSgjOjXtz7jlG6ST34dbOM4rl4MzVWR5tc7LLC131e3WHkHfFKruWnjITz2uhDsyfgHrTWfdSQIAAA==","EnableZoom":true,"HierarchyIndenting":true,"ParentsOnBottom":false,"SortingOption":0,"Sorting":"","Order":0,"ZoomInParentMemberIds":[],"ZoomInBottomLevelParentMemberIds":[]}},"SuppressBlankRows":true,"SuppressZeroes":true,"EnableDataInput":false},{"Section":"test1","Block":"B1","ID":"744c0f41","DataModelID":651628815408562176,"Ranges":{"e5e31590":{"Section":"test1","Block":"B1","CollectionID":"744c0f41","ID":"e5e31590","DataModelID":651628815408562176,"Dimension":1,"DynamicExpression":"H4sIAAAAAAAEAK1RTU+DQBD9K82eNMHIkkIXblg4kFg0QnoxHrYwxE2WhSxbpWn6351VGjlwMt7m482892bORHU1DCR6PZMdtAfQWU2iO+qQBAwXkkSBTwOPMeqvXeYHHt0E2BOthSEqNkaLw9HAdeypB81Np0kUuu5vGmthTjhha1uQ8gUa0KAqyHkLJCLEmehtXgDX1Xt56rGD+BwV2vVT+Mxx0GSqhtFSXpy58iCk1EPBIfNctmFszf7ByTybjNjSX33QBR/u5c0hkg9mBho6bQDDhssBUKoWUibdp/ohGK6m8XnqKOUM8Aj8Axb6ogU1iE5N+xNu+A7p5PfhFo6z5/JoTWVJWmzTPInzsrjJVNW1sCr5uErHHhfC/QMoaIS5JZcv9lmO2k8CAAA=","EnableZoom":true,"HierarchyIndenting":true,"ParentsOnBottom":false,"SortingOption":0,"Sorting":"","Order":0,"ZoomInParentMemberIds":[],"ZoomInBottomLevelParentMemberIds":[]}},"SuppressBlankRows":true,"SuppressZeroes":true,"EnableDataInput":false},{"Section":"test1","Block":"B1","ID":"4184969c","DataModelID":651628815408562176,"Ranges":{"c93f5df4":{"Section":"test1","Block":"B1","CollectionID":"4184969c","ID":"c93f5df4","DataModelID":651628815408562176,"Dimension":1,"DynamicExpression":"H4sIAAAAAAAEAK1Ry07DMBD8lcoHBFKQ4rzJLap7iEQDIlUviIObbIUlx4kcByhV/p01pCKHnBC3nd3ZnRn7TFRbQ0/S5zPZQnMAndckvaUOYWC4kCSNQhp5SULDwE3CyKNxhDPRWBqyMmO0OAwGLmsPHWhuWk3SO9f9hZkW5oQbtrcGKZ/gCBpUBQVvgKSEOJO8xSVwXb3uTh1OkF+gQ3t+Kh85Lppc1fBhJUdn7pzSxAsC3/PjJPYTSoMw+ococzQlsa2/BqELQdzxxSGS92ZG6lttAMsjlz2gVS2kZO27+hHoL6nx99Qg5YxwD/wNFuaiAdWLVk33GTd8i3LS4qXH2XM52FA525TrTcGyYldeM+g0VIIbPLS6WmUNuhSf3/CGjF+4uvzBUQIAAA==","EnableZoom":true,"HierarchyIndenting":true,"ParentsOnBottom":false,"SortingOption":0,"Sorting":"","Order":0,"ZoomInParentMemberIds":[],"ZoomInBottomLevelParentMemberIds":[]}},"SuppressBlankRows":true,"SuppressZeroes":true,"EnableDataInput":false},{"Section":"test1","Block":"B1","ID":"8801e76d","DataModelID":651628815408562176,"Ranges":{"dd2c63ad":{"Section":"test1","Block":"B1","CollectionID":"8801e76d","ID":"dd2c63ad","DataModelID":651628815408562176,"Dimension":1,"DynamicExpression":"H4sIAAAAAAAEAK1Ry26DMBD8lWpPiUQlTIJ53FDIAamhVYh6qXpwYNNaMiayTdso4t9rq0TlwKnqbWd3dmfGvoLsGtSQvlxhh+0RVdFAek88yNEwLiClIaFBHJNw7cchDUhE7Yy3jmZZmTGKH3uDt7XHMypmOgVp4vu/MFPcXOyG621QiD2eUKGssWQtQgrgjfIOV8hU/X64nO3E8kvr0J0fyydmF00hG/xykoM3dU5I7FNKooSuIxqT1YoE/xBlisYkrvXXIGQmiD+8eiCYNhOS7pRBW56Y0GitKi5E3n3KHwF9S21/T/ZCTAgPyD5wZs5blJp3cryfM8N2Vk44PPc4z0z0LlSRb6vNtsyz8lAtaJyEd4s9aqP62vSKy7flEoZvdJJZUUoCAAA=","EnableZoom":true,"HierarchyIndenting":true,"ParentsOnBottom":false,"SortingOption":0,"Sorting":"","Order":0,"ZoomInParentMemberIds":[],"ZoomInBottomLevelParentMemberIds":[]}},"SuppressBlankRows":true,"SuppressZeroes":true,"EnableDataInput":false},{"Section":"test1","Block":"B1","ID":"41ee03e0","DataModelID":651628815408562176,"Ranges":{"4ff04570":{"Section":"test1","Block":"B1","CollectionID":"41ee03e0","ID":"4ff04570","DataModelID":651628815408562176,"Dimension":1,"DynamicExpression":"H4sIAAAAAAAEAK1Ry2rDMBD8lz214IJlYvlxM3EOhsYNdeil9KDEGyqQ5SDJbUPwv3dFHOpDTqG3nd3ZnRnpDLpv0UL+foY1djs0VQv5EwugRCekgpzHjEdpyuJFmMY8Ygmnmew8jViFc0buBofXtZcjGuF6A3kWhn+wMNKdaMP3lqjUKx7QoN5jLTqEHCCY5D1uUJj95/Z0pAnxa3Loz0/lRtCiq3SLP15yDObOGcsiHpHPhCdJnGZxuPiHKHM0JfGte4OwG0HC8SMAJaybkWxvHFJ5EMoiWTVSqbL/1hcBe01Nv6cHpWaEZxRfeGMuO9RW9nq6Xwon1iSnPL71OG9CDT5UVa6a5aoui3rbPGwuNx5h/AVoIUoPPQIAAA==","EnableZoom":true,"HierarchyIndenting":true,"ParentsOnBottom":false,"SortingOption":0,"Sorting":"","Order":0,"ZoomInParentMemberIds":[],"ZoomInBottomLevelParentMemberIds":[]}},"SuppressBlankRows":true,"SuppressZeroes":true,"EnableDataInput":false},{"Section":"test1","Block":"B1","ID":"1b5d3d40","DataModelID":651628815408562176,"Ranges":{"bf947731":{"Section":"test1","Block":"B1","CollectionID":"1b5d3d40","ID":"bf947731","DataModelID":651628815408562176,"Dimension":1,"DynamicExpression":"H4sIAAAAAAAEAK1RsW6DMBD9lcpTK1EJ3BgMGwoMSA2tStSl6uCEi2rJGGSbNlHEv/esEpUhU9Xt3t27e+/ZZ6L7FizJ3s5kA90OTNWS7D4KSAFOSEWymEUx5Txiq5CzmEZJjDPZeRqycueM3I0OLmtPAxjhekOyNAx/YW6kO+GG761BqRc4gAG9h1p0QDJCglne4waE2X9sTwNOkF+jQ39+Lp8FLrpKt3D0klOwdB5RxhmljKZh8pDyhPHVP0RZojmJb/01SHQlSDi9B0QJ6xYk2xsHWB6EsoBWjVSq6L/0j4C9pMbf06NSC8IjiE+4MpcdaCt7Pd8vhBMblFMeX3ucV6FGH6oqymZd1kVeb5vbSjtMbN1NeRzwHNyR6Ruy6ZbKRgIAAA==","EnableZoom":true,"HierarchyIndenting":true,"ParentsOnBottom":false,"SortingOption":0,"Sorting":"","Order":0,"ZoomInParentMemberIds":[],"ZoomInBottomLevelParentMemberIds":[]}},"SuppressBlankRows":true,"SuppressZeroes":true,"EnableDataInput":false},{"Section":"1","Block":"B1","ID":"4595eea8","DataModelID":651628815408562176,"Ranges":{"9900bd4d":{"Section":"1","Block":"B1","CollectionID":"4595eea8","ID":"9900bd4d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4cc00a00","DataModelID":651628815408562176,"Ranges":{"51d56810":{"Section":"1","Block":"B1","CollectionID":"4cc00a00","ID":"51d56810","DataModelID":651628815408562176,"Dimension":1,"DynamicExpression":"H4sIAAAAAAAEANVVXWvCMBT9KyNPFjpokjb9ePNrIGg7tPoy9hD1OguxlTTdJuJ/XzqVieRhmw7cW+69J5xzcm7pFuXFHEoUPW3RAFZTkL05iu6xjTqgeCZQxDzMSBBgz3UCjxHsMz3LVjVMo5pKyWxaKTheS9YguSokilzH+SqbMlMbFJG61wYhhrAACfkMYr4CFCFkH+jregRczpbpZq0nGh9rhZ90eH9+5Pqm6uVzeK85d/bVpWPHoB1fpJ0atOMz7RgTRin1cMgC5lGKiXMFM6fVwUrd+rUT1+SE/kEKxBACvSQESr4Rwo0uEDU9OyVnC+S5vo8djwah6zPihuwGF4h6Jifu/0iB/SAFFuqPOAx1GPQGU/BNTtju2UaCl+oUVhZSgT4vuChBq5WZEJ3iLd9zlEfj+ieSV0KcAPrAX8Ewz1aQl1mRH0x3uOIDzSfq2vQ+Ey6q2tdo3EqHzXbaaCVpmgz63Um333iQkL0slWWP414Sm0Z3vdyyTf2kUpZlod0HxrbCUgUHAAA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b7003ed4","DataModelID":651628815408562176,"Ranges":{"266d13f5":{"Section":"1","Block":"B1","CollectionID":"b7003ed4","ID":"266d13f5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60148fd9","DataModelID":651628815408562176,"Ranges":{"8a7f705":{"Section":"1","Block":"B1","CollectionID":"60148fd9","ID":"8a7f705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493e9e24","DataModelID":651628815408562176,"Ranges":{"a598def5":{"Section":"1","Block":"B1","CollectionID":"493e9e24","ID":"a598def5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1ec589b3","DataModelID":651628815408562176,"Ranges":{"39b3f5d4":{"Section":"1","Block":"B1","CollectionID":"1ec589b3","ID":"39b3f5d4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9c988328","DataModelID":651628815408562176,"Ranges":{"350e0e2d":{"Section":"1","Block":"B1","CollectionID":"9c988328","ID":"350e0e2d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5f1ee2f1","DataModelID":651628815408562176,"Ranges":{"147903ec":{"Section":"1","Block":"B1","CollectionID":"5f1ee2f1","ID":"147903ec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bd85c5d7","DataModelID":651628815408562176,"Ranges":{"69e98ab0":{"Section":"1","Block":"B1","CollectionID":"bd85c5d7","ID":"69e98ab0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c4a3fd2d","DataModelID":651628815408562176,"Ranges":{"fd06ec4c":{"Section":"1","Block":"B1","CollectionID":"c4a3fd2d","ID":"fd06ec4c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8dc35574","DataModelID":651628815408562176,"Ranges":{"a24692ea":{"Section":"1","Block":"B1","CollectionID":"8dc35574","ID":"a24692ea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7b633d6","DataModelID":651628815408562176,"Ranges":{"a3a1014e":{"Section":"1","Block":"B1","CollectionID":"7b633d6","ID":"a3a1014e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ca65fd1d","DataModelID":651628815408562176,"Ranges":{"f2f20e5d":{"Section":"1","Block":"B1","CollectionID":"ca65fd1d","ID":"f2f20e5d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8b14c78f","DataModelID":651628815408562176,"Ranges":{"f57fbe79":{"Section":"1","Block":"B1","CollectionID":"8b14c78f","ID":"f57fbe79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6fd17684","DataModelID":651628815408562176,"Ranges":{"a7c87e86":{"Section":"1","Block":"B1","CollectionID":"6fd17684","ID":"a7c87e86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414f34aa","DataModelID":651628815408562176,"Ranges":{"afa17a01":{"Section":"1","Block":"B1","CollectionID":"414f34aa","ID":"afa17a01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2714494c","DataModelID":651628815408562176,"Ranges":{"9abe388c":{"Section":"1","Block":"B1","CollectionID":"2714494c","ID":"9abe388c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b4be782f","DataModelID":651628815408562176,"Ranges":{"ef55908e":{"Section":"1","Block":"B1","CollectionID":"b4be782f","ID":"ef55908e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adfc71bf","DataModelID":651628815408562176,"Ranges":{"7ae5b388":{"Section":"1","Block":"B1","CollectionID":"adfc71bf","ID":"7ae5b388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25bff5c3","DataModelID":651628815408562176,"Ranges":{"1876c04b":{"Section":"1","Block":"B1","CollectionID":"25bff5c3","ID":"1876c04b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3294a637","DataModelID":651628815408562176,"Ranges":{"74007850":{"Section":"1","Block":"B1","CollectionID":"3294a637","ID":"74007850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56fa9cda","DataModelID":651628815408562176,"Ranges":{"6d66a4a3":{"Section":"1","Block":"B1","CollectionID":"56fa9cda","ID":"6d66a4a3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c0fe04cd","DataModelID":651628815408562176,"Ranges":{"c557d17f":{"Section":"1","Block":"B1","CollectionID":"c0fe04cd","ID":"c557d17f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c49c509c","DataModelID":651628815408562176,"Ranges":{"fe7b5801":{"Section":"1","Block":"B1","CollectionID":"c49c509c","ID":"fe7b5801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96aca248","DataModelID":651628815408562176,"Ranges":{"19035cff":{"Section":"1","Block":"B1","CollectionID":"96aca248","ID":"19035cff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5b8c3f25","DataModelID":651628815408562176,"Ranges":{"e93e8c36":{"Section":"1","Block":"B1","CollectionID":"5b8c3f25","ID":"e93e8c36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","Block":"B1","ID":"ba21577b","DataModelID":651628815408562176,"Ranges":{"fb49e1f1":{"Section":"1","Block":"B1","CollectionID":"ba21577b","ID":"fb49e1f1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bc4e5472","DataModelID":651628815408562176,"Ranges":{"f16fe35b":{"Section":"2","Block":"B1","CollectionID":"bc4e5472","ID":"f16fe35b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1b93a96a","DataModelID":651628815408562176,"Ranges":{"eccdd5fb":{"Section":"2","Block":"B1","CollectionID":"1b93a96a","ID":"eccdd5fb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dbe69cf1","DataModelID":651628815408562176,"Ranges":{"6780e2a":{"Section":"2","Block":"B1","CollectionID":"dbe69cf1","ID":"6780e2a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5bbabfa1","DataModelID":651628815408562176,"Ranges":{"756627a5":{"Section":"2","Block":"B1","CollectionID":"5bbabfa1","ID":"756627a5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894991cf","DataModelID":651628815408562176,"Ranges":{"142ea2a6":{"Section":"2","Block":"B1","CollectionID":"894991cf","ID":"142ea2a6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fddaefe4","DataModelID":651628815408562176,"Ranges":{"932e7370":{"Section":"2","Block":"B1","CollectionID":"fddaefe4","ID":"932e7370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b7a7b58b","DataModelID":651628815408562176,"Ranges":{"674db7db":{"Section":"2","Block":"B1","CollectionID":"b7a7b58b","ID":"674db7db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d1350884","DataModelID":651628815408562176,"Ranges":{"f34c97a4":{"Section":"2","Block":"B1","CollectionID":"d1350884","ID":"f34c97a4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f994a178","DataModelID":651628815408562176,"Ranges":{"f547d40f":{"Section":"2","Block":"B1","CollectionID":"f994a178","ID":"f547d40f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9c58fdae","DataModelID":651628815408562176,"Ranges":{"bdeeef49":{"Section":"2","Block":"B1","CollectionID":"9c58fdae","ID":"bdeeef49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6fc33715","DataModelID":651628815408562176,"Ranges":{"4cc84226":{"Section":"2","Block":"B1","CollectionID":"6fc33715","ID":"4cc84226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dbacd17b","DataModelID":651628815408562176,"Ranges":{"b36ca404":{"Section":"2","Block":"B1","CollectionID":"dbacd17b","ID":"b36ca404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3888619d","DataModelID":651628815408562176,"Ranges":{"708c8f26":{"Section":"2","Block":"B1","CollectionID":"3888619d","ID":"708c8f26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823775d5","DataModelID":651628815408562176,"Ranges":{"219c5c8e":{"Section":"2","Block":"B1","CollectionID":"823775d5","ID":"219c5c8e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e5edff55","DataModelID":651628815408562176,"Ranges":{"1c14688c":{"Section":"2","Block":"B1","CollectionID":"e5edff55","ID":"1c14688c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8b02c9ed","DataModelID":651628815408562176,"Ranges":{"14c6f598":{"Section":"2","Block":"B1","CollectionID":"8b02c9ed","ID":"14c6f598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d1906588","DataModelID":651628815408562176,"Ranges":{"b9e362b4":{"Section":"2","Block":"B1","CollectionID":"d1906588","ID":"b9e362b4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c9ac1536","DataModelID":651628815408562176,"Ranges":{"f8a484e3":{"Section":"2","Block":"B1","CollectionID":"c9ac1536","ID":"f8a484e3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f0e35eab","DataModelID":651628815408562176,"Ranges":{"2909e9cf":{"Section":"2","Block":"B1","CollectionID":"f0e35eab","ID":"2909e9cf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c8e90ce6","DataModelID":651628815408562176,"Ranges":{"23b9a703":{"Section":"2","Block":"B1","CollectionID":"c8e90ce6","ID":"23b9a703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3fe6bec6","DataModelID":651628815408562176,"Ranges":{"1d8da2dc":{"Section":"2","Block":"B1","CollectionID":"3fe6bec6","ID":"1d8da2dc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c09a1d04","DataModelID":651628815408562176,"Ranges":{"1e40570":{"Section":"2","Block":"B1","CollectionID":"c09a1d04","ID":"1e40570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2750cbec","DataModelID":651628815408562176,"Ranges":{"832c998a":{"Section":"2","Block":"B1","CollectionID":"2750cbec","ID":"832c998a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b13bc8b","DataModelID":651628815408562176,"Ranges":{"af6bfc97":{"Section":"2","Block":"B1","CollectionID":"b13bc8b","ID":"af6bfc97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60337174","DataModelID":651628815408562176,"Ranges":{"8324ddc4":{"Section":"2","Block":"B1","CollectionID":"60337174","ID":"8324ddc4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","Block":"B1","ID":"7276a90a","DataModelID":651628815408562176,"Ranges":{"a181d49e":{"Section":"2","Block":"B1","CollectionID":"7276a90a","ID":"a181d49e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a27ee486","DataModelID":651628815408562176,"Ranges":{"7c0725c6":{"Section":"3","Block":"3","CollectionID":"a27ee486","ID":"7c0725c6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fe146d3c","DataModelID":651628815408562176,"Ranges":{"c8e583d":{"Section":"3","Block":"3","CollectionID":"fe146d3c","ID":"c8e583d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9ceb4fd0","DataModelID":651628815408562176,"Ranges":{"607d44e9":{"Section":"3","Block":"3","CollectionID":"9ceb4fd0","ID":"607d44e9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889a7372","DataModelID":651628815408562176,"Ranges":{"226ad24":{"Section":"3","Block":"3","CollectionID":"889a7372","ID":"226ad24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f62261da","DataModelID":651628815408562176,"Ranges":{"a02336a":{"Section":"3","Block":"3","CollectionID":"f62261da","ID":"a02336a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201bcb77","DataModelID":651628815408562176,"Ranges":{"fe9a977c":{"Section":"3","Block":"3","CollectionID":"201bcb77","ID":"fe9a977c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9623fc79","DataModelID":651628815408562176,"Ranges":{"e44f50dc":{"Section":"3","Block":"3","CollectionID":"9623fc79","ID":"e44f50dc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bcee94f8","DataModelID":651628815408562176,"Ranges":{"56d0fdc6":{"Section":"3","Block":"3","CollectionID":"bcee94f8","ID":"56d0fdc6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a4fd32a7","DataModelID":651628815408562176,"Ranges":{"5285fe55":{"Section":"3","Block":"3","CollectionID":"a4fd32a7","ID":"5285fe55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a1a52f34","DataModelID":651628815408562176,"Ranges":{"7954fa44":{"Section":"3","Block":"3","CollectionID":"a1a52f34","ID":"7954fa44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9756473c","DataModelID":651628815408562176,"Ranges":{"62303003":{"Section":"3","Block":"3","CollectionID":"9756473c","ID":"62303003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c0bd711c","DataModelID":651628815408562176,"Ranges":{"2db29313":{"Section":"3","Block":"3","CollectionID":"c0bd711c","ID":"2db29313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c7ce6af9","DataModelID":651628815408562176,"Ranges":{"aef7b6ec":{"Section":"3","Block":"3","CollectionID":"c7ce6af9","ID":"aef7b6ec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daa6d521","DataModelID":651628815408562176,"Ranges":{"fc3ab15a":{"Section":"3","Block":"3","CollectionID":"daa6d521","ID":"fc3ab15a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46374826","DataModelID":651628815408562176,"Ranges":{"25a15c12":{"Section":"3","Block":"3","CollectionID":"46374826","ID":"25a15c12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adfe4d95","DataModelID":651628815408562176,"Ranges":{"c7cfa493":{"Section":"3","Block":"3","CollectionID":"adfe4d95","ID":"c7cfa493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a325afd3","DataModelID":651628815408562176,"Ranges":{"b05737b1":{"Section":"3","Block":"3","CollectionID":"a325afd3","ID":"b05737b1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aa44ff25","DataModelID":651628815408562176,"Ranges":{"c4777224":{"Section":"3","Block":"3","CollectionID":"aa44ff25","ID":"c4777224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536f8ce2","DataModelID":651628815408562176,"Ranges":{"b1ce00ee":{"Section":"3","Block":"3","CollectionID":"536f8ce2","ID":"b1ce00ee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5780459f","DataModelID":651628815408562176,"Ranges":{"d8a7accb":{"Section":"3","Block":"3","CollectionID":"5780459f","ID":"d8a7accb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dd48b1d6","DataModelID":651628815408562176,"Ranges":{"231f0dd2":{"Section":"3","Block":"3","CollectionID":"dd48b1d6","ID":"231f0dd2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e55227c","DataModelID":651628815408562176,"Ranges":{"929c136a":{"Section":"3","Block":"3","CollectionID":"e55227c","ID":"929c136a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1e395abc","DataModelID":651628815408562176,"Ranges":{"222fad01":{"Section":"3","Block":"3","CollectionID":"1e395abc","ID":"222fad01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32dc56f5","DataModelID":651628815408562176,"Ranges":{"5abd66e3":{"Section":"3","Block":"3","CollectionID":"32dc56f5","ID":"5abd66e3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7cd81058","DataModelID":651628815408562176,"Ranges":{"d3601501":{"Section":"3","Block":"3","CollectionID":"7cd81058","ID":"d3601501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3","ID":"6f920487","DataModelID":651628815408562176,"Ranges":{"5bac963b":{"Section":"3","Block":"3","CollectionID":"6f920487","ID":"5bac963b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f03b8892","DataModelID":651628815408562176,"Ranges":{"5838aa62":{"Section":"3","Block":"B1","CollectionID":"f03b8892","ID":"5838aa62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5676f1b4","DataModelID":651628815408562176,"Ranges":{"d3470de3":{"Section":"3","Block":"B1","CollectionID":"5676f1b4","ID":"d3470de3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ed6bbfbf","DataModelID":651628815408562176,"Ranges":{"9ec69454":{"Section":"3","Block":"B1","CollectionID":"ed6bbfbf","ID":"9ec69454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d2eeae1e","DataModelID":651628815408562176,"Ranges":{"ad0fce1a":{"Section":"3","Block":"B1","CollectionID":"d2eeae1e","ID":"ad0fce1a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8c4967db","DataModelID":651628815408562176,"Ranges":{"f7dbec5f":{"Section":"3","Block":"B1","CollectionID":"8c4967db","ID":"f7dbec5f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3d805b23","DataModelID":651628815408562176,"Ranges":{"20baecc2":{"Section":"3","Block":"B1","CollectionID":"3d805b23","ID":"20baecc2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61462c99","DataModelID":651628815408562176,"Ranges":{"f18defc":{"Section":"3","Block":"B1","CollectionID":"61462c99","ID":"f18defc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b3e56fa2","DataModelID":651628815408562176,"Ranges":{"150077c7":{"Section":"3","Block":"B1","CollectionID":"b3e56fa2","ID":"150077c7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5b5cdcb0","DataModelID":651628815408562176,"Ranges":{"7ac4c49e":{"Section":"3","Block":"B1","CollectionID":"5b5cdcb0","ID":"7ac4c49e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930a243","DataModelID":651628815408562176,"Ranges":{"a27b03dd":{"Section":"3","Block":"B1","CollectionID":"930a243","ID":"a27b03dd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a168a8aa","DataModelID":651628815408562176,"Ranges":{"2b0a9667":{"Section":"3","Block":"B1","CollectionID":"a168a8aa","ID":"2b0a9667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495f7749","DataModelID":651628815408562176,"Ranges":{"a1b28f8f":{"Section":"3","Block":"B1","CollectionID":"495f7749","ID":"a1b28f8f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274e23f6","DataModelID":651628815408562176,"Ranges":{"2ac1ec3f":{"Section":"3","Block":"B1","CollectionID":"274e23f6","ID":"2ac1ec3f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bbb761df","DataModelID":651628815408562176,"Ranges":{"6c1cb0a3":{"Section":"3","Block":"B1","CollectionID":"bbb761df","ID":"6c1cb0a3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4dc46ca8","DataModelID":651628815408562176,"Ranges":{"4252f6b3":{"Section":"3","Block":"B1","CollectionID":"4dc46ca8","ID":"4252f6b3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2a916b00","DataModelID":651628815408562176,"Ranges":{"4c0a4982":{"Section":"3","Block":"B1","CollectionID":"2a916b00","ID":"4c0a4982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9854f2da","DataModelID":651628815408562176,"Ranges":{"52ccaac4":{"Section":"3","Block":"B1","CollectionID":"9854f2da","ID":"52ccaac4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dad96222","DataModelID":651628815408562176,"Ranges":{"b8cc0072":{"Section":"3","Block":"B1","CollectionID":"dad96222","ID":"b8cc0072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46d3e3d7","DataModelID":651628815408562176,"Ranges":{"68953055":{"Section":"3","Block":"B1","CollectionID":"46d3e3d7","ID":"68953055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b8e1cf56","DataModelID":651628815408562176,"Ranges":{"a973fc75":{"Section":"3","Block":"B1","CollectionID":"b8e1cf56","ID":"a973fc75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1ca368a5","DataModelID":651628815408562176,"Ranges":{"225773b0":{"Section":"3","Block":"B1","CollectionID":"1ca368a5","ID":"225773b0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3eb3505b","DataModelID":651628815408562176,"Ranges":{"2a0f6ed7":{"Section":"3","Block":"B1","CollectionID":"3eb3505b","ID":"2a0f6ed7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4443e830","DataModelID":651628815408562176,"Ranges":{"5fce07b2":{"Section":"3","Block":"B1","CollectionID":"4443e830","ID":"5fce07b2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27f3cc6a","DataModelID":651628815408562176,"Ranges":{"60765388":{"Section":"3","Block":"B1","CollectionID":"27f3cc6a","ID":"60765388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b721cb84","DataModelID":651628815408562176,"Ranges":{"141a522a":{"Section":"3","Block":"B1","CollectionID":"b721cb84","ID":"141a522a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3","Block":"B1","ID":"1e7f81f1","DataModelID":651628815408562176,"Ranges":{"c62b28be":{"Section":"3","Block":"B1","CollectionID":"1e7f81f1","ID":"c62b28be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c9af24d3","DataModelID":651628815408562176,"Ranges":{"81dcb49e":{"Section":"4","Block":"b1","CollectionID":"c9af24d3","ID":"81dcb49e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d65d7527","DataModelID":651628815408562176,"Ranges":{"58ff3ff9":{"Section":"4","Block":"b1","CollectionID":"d65d7527","ID":"58ff3ff9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98668e67","DataModelID":651628815408562176,"Ranges":{"5c6d7c6c":{"Section":"4","Block":"b1","CollectionID":"98668e67","ID":"5c6d7c6c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15495e12","DataModelID":651628815408562176,"Ranges":{"c9987004":{"Section":"4","Block":"b1","CollectionID":"15495e12","ID":"c9987004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5207a3f6","DataModelID":651628815408562176,"Ranges":{"7d337ef1":{"Section":"4","Block":"b1","CollectionID":"5207a3f6","ID":"7d337ef1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da156865","DataModelID":651628815408562176,"Ranges":{"731b33a5":{"Section":"4","Block":"b1","CollectionID":"da156865","ID":"731b33a5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a349f560","DataModelID":651628815408562176,"Ranges":{"9bdf5481":{"Section":"4","Block":"b1","CollectionID":"a349f560","ID":"9bdf5481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4cb361e4","DataModelID":651628815408562176,"Ranges":{"fd906e84":{"Section":"4","Block":"b1","CollectionID":"4cb361e4","ID":"fd906e84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fc23d169","DataModelID":651628815408562176,"Ranges":{"70c01d53":{"Section":"4","Block":"b1","CollectionID":"fc23d169","ID":"70c01d53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36a01a7","DataModelID":651628815408562176,"Ranges":{"56807299":{"Section":"4","Block":"b1","CollectionID":"36a01a7","ID":"56807299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585222a2","DataModelID":651628815408562176,"Ranges":{"9efb07e9":{"Section":"4","Block":"b1","CollectionID":"585222a2","ID":"9efb07e9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820b0bb","DataModelID":651628815408562176,"Ranges":{"75c68e52":{"Section":"4","Block":"b1","CollectionID":"820b0bb","ID":"75c68e52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eaf4f3ea","DataModelID":651628815408562176,"Ranges":{"1872fa4a":{"Section":"4","Block":"b1","CollectionID":"eaf4f3ea","ID":"1872fa4a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4dab0ca4","DataModelID":651628815408562176,"Ranges":{"776f168a":{"Section":"4","Block":"b1","CollectionID":"4dab0ca4","ID":"776f168a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a2efbfda","DataModelID":651628815408562176,"Ranges":{"4105cc0":{"Section":"4","Block":"b1","CollectionID":"a2efbfda","ID":"4105cc0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8934c402","DataModelID":651628815408562176,"Ranges":{"e2f06f02":{"Section":"4","Block":"b1","CollectionID":"8934c402","ID":"e2f06f02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cfbe6cc6","DataModelID":651628815408562176,"Ranges":{"eb9f6b82":{"Section":"4","Block":"b1","CollectionID":"cfbe6cc6","ID":"eb9f6b82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5bac4fd8","DataModelID":651628815408562176,"Ranges":{"6e330de6":{"Section":"4","Block":"b1","CollectionID":"5bac4fd8","ID":"6e330de6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94e41104","DataModelID":651628815408562176,"Ranges":{"5a3275e0":{"Section":"4","Block":"b1","CollectionID":"94e41104","ID":"5a3275e0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d9ca2398","DataModelID":651628815408562176,"Ranges":{"d912413d":{"Section":"4","Block":"b1","CollectionID":"d9ca2398","ID":"d912413d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18762335","DataModelID":651628815408562176,"Ranges":{"6f9ef430":{"Section":"4","Block":"b1","CollectionID":"18762335","ID":"6f9ef430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b9d368a8","DataModelID":651628815408562176,"Ranges":{"1ba9f145":{"Section":"4","Block":"b1","CollectionID":"b9d368a8","ID":"1ba9f145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2617c592","DataModelID":651628815408562176,"Ranges":{"fb7d261f":{"Section":"4","Block":"b1","CollectionID":"2617c592","ID":"fb7d261f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fcb555cc","DataModelID":651628815408562176,"Ranges":{"3d94e7e4":{"Section":"4","Block":"b1","CollectionID":"fcb555cc","ID":"3d94e7e4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a31340b6","DataModelID":651628815408562176,"Ranges":{"2d180b3b":{"Section":"4","Block":"b1","CollectionID":"a31340b6","ID":"2d180b3b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4","Block":"b1","ID":"42b3d2b","DataModelID":651628815408562176,"Ranges":{"8f4c7936":{"Section":"4","Block":"b1","CollectionID":"42b3d2b","ID":"8f4c7936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f5f484dc","DataModelID":651628815408562176,"Ranges":{"c077bddb":{"Section":"5","Block":"b1","CollectionID":"f5f484dc","ID":"c077bddb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3735033","DataModelID":651628815408562176,"Ranges":{"d86aba5c":{"Section":"5","Block":"b1","CollectionID":"3735033","ID":"d86aba5c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54e7f65","DataModelID":651628815408562176,"Ranges":{"f06d608c":{"Section":"5","Block":"b1","CollectionID":"54e7f65","ID":"f06d608c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3dc6ac28","DataModelID":651628815408562176,"Ranges":{"2e20b67f":{"Section":"5","Block":"b1","CollectionID":"3dc6ac28","ID":"2e20b67f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ac8e848a","DataModelID":651628815408562176,"Ranges":{"e812e9b7":{"Section":"5","Block":"b1","CollectionID":"ac8e848a","ID":"e812e9b7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3a55bf2f","DataModelID":651628815408562176,"Ranges":{"a306913a":{"Section":"5","Block":"b1","CollectionID":"3a55bf2f","ID":"a306913a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e60729d","DataModelID":651628815408562176,"Ranges":{"38c7fa8f":{"Section":"5","Block":"b1","CollectionID":"e60729d","ID":"38c7fa8f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70407990","DataModelID":651628815408562176,"Ranges":{"268fb20f":{"Section":"5","Block":"b1","CollectionID":"70407990","ID":"268fb20f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7f5a2474","DataModelID":651628815408562176,"Ranges":{"222e1c5b":{"Section":"5","Block":"b1","CollectionID":"7f5a2474","ID":"222e1c5b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fb646e13","DataModelID":651628815408562176,"Ranges":{"cc9587df":{"Section":"5","Block":"b1","CollectionID":"fb646e13","ID":"cc9587df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6c4351a1","DataModelID":651628815408562176,"Ranges":{"8d7a2911":{"Section":"5","Block":"b1","CollectionID":"6c4351a1","ID":"8d7a2911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9b9c5cbd","DataModelID":651628815408562176,"Ranges":{"bbf3f67b":{"Section":"5","Block":"b1","CollectionID":"9b9c5cbd","ID":"bbf3f67b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f64dcead","DataModelID":651628815408562176,"Ranges":{"27340529":{"Section":"5","Block":"b1","CollectionID":"f64dcead","ID":"27340529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a9a44c10","DataModelID":651628815408562176,"Ranges":{"a6caa262":{"Section":"5","Block":"b1","CollectionID":"a9a44c10","ID":"a6caa262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695c0b7f","DataModelID":651628815408562176,"Ranges":{"df102f4c":{"Section":"5","Block":"b1","CollectionID":"695c0b7f","ID":"df102f4c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b7ba3bf3","DataModelID":651628815408562176,"Ranges":{"64f64756":{"Section":"5","Block":"b1","CollectionID":"b7ba3bf3","ID":"64f64756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90df53cf","DataModelID":651628815408562176,"Ranges":{"1422a135":{"Section":"5","Block":"b1","CollectionID":"90df53cf","ID":"1422a135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155ab79e","DataModelID":651628815408562176,"Ranges":{"9053d8f3":{"Section":"5","Block":"b1","CollectionID":"155ab79e","ID":"9053d8f3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819c9a1c","DataModelID":651628815408562176,"Ranges":{"c266b1a1":{"Section":"5","Block":"b1","CollectionID":"819c9a1c","ID":"c266b1a1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e80d901","DataModelID":651628815408562176,"Ranges":{"74ded23b":{"Section":"5","Block":"b1","CollectionID":"e80d901","ID":"74ded23b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bc94df4","DataModelID":651628815408562176,"Ranges":{"69d89792":{"Section":"5","Block":"b1","CollectionID":"bc94df4","ID":"69d89792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1187f4d9","DataModelID":651628815408562176,"Ranges":{"7c554b94":{"Section":"5","Block":"b1","CollectionID":"1187f4d9","ID":"7c554b94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447da193","DataModelID":651628815408562176,"Ranges":{"656f0498":{"Section":"5","Block":"b1","CollectionID":"447da193","ID":"656f0498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1b9356c0","DataModelID":651628815408562176,"Ranges":{"b1a4afcc":{"Section":"5","Block":"b1","CollectionID":"1b9356c0","ID":"b1a4afcc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3c347c9f","DataModelID":651628815408562176,"Ranges":{"58e3e81f":{"Section":"5","Block":"b1","CollectionID":"3c347c9f","ID":"58e3e81f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5","Block":"b1","ID":"cf612f0b","DataModelID":651628815408562176,"Ranges":{"544d92eb":{"Section":"5","Block":"b1","CollectionID":"cf612f0b","ID":"544d92eb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e03a8579","DataModelID":651628815408562176,"Ranges":{"47e1485":{"Section":"6","Block":"b1","CollectionID":"e03a8579","ID":"47e1485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fe5bd80f","DataModelID":651628815408562176,"Ranges":{"1b2c0ea4":{"Section":"6","Block":"b1","CollectionID":"fe5bd80f","ID":"1b2c0ea4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71c63e31","DataModelID":651628815408562176,"Ranges":{"3727c2f2":{"Section":"6","Block":"b1","CollectionID":"71c63e31","ID":"3727c2f2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dc095f77","DataModelID":651628815408562176,"Ranges":{"f735d8fd":{"Section":"6","Block":"b1","CollectionID":"dc095f77","ID":"f735d8fd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a15d8b8","DataModelID":651628815408562176,"Ranges":{"28adb3c2":{"Section":"6","Block":"b1","CollectionID":"a15d8b8","ID":"28adb3c2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4f125e0d","DataModelID":651628815408562176,"Ranges":{"6d736bcd":{"Section":"6","Block":"b1","CollectionID":"4f125e0d","ID":"6d736bcd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8e9ac198","DataModelID":651628815408562176,"Ranges":{"853ccc98":{"Section":"6","Block":"b1","CollectionID":"8e9ac198","ID":"853ccc98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b6432b2a","DataModelID":651628815408562176,"Ranges":{"853ba0a":{"Section":"6","Block":"b1","CollectionID":"b6432b2a","ID":"853ba0a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acb8f388","DataModelID":651628815408562176,"Ranges":{"1f040aab":{"Section":"6","Block":"b1","CollectionID":"acb8f388","ID":"1f040aab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19b8c2ee","DataModelID":651628815408562176,"Ranges":{"5fb8213":{"Section":"6","Block":"b1","CollectionID":"19b8c2ee","ID":"5fb8213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a53d80dd","DataModelID":651628815408562176,"Ranges":{"accd7902":{"Section":"6","Block":"b1","CollectionID":"a53d80dd","ID":"accd7902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8d74ad2","DataModelID":651628815408562176,"Ranges":{"41ca4b2":{"Section":"6","Block":"b1","CollectionID":"8d74ad2","ID":"41ca4b2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307887a1","DataModelID":651628815408562176,"Ranges":{"ff902668":{"Section":"6","Block":"b1","CollectionID":"307887a1","ID":"ff902668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b59cca20","DataModelID":651628815408562176,"Ranges":{"6f39c3a8":{"Section":"6","Block":"b1","CollectionID":"b59cca20","ID":"6f39c3a8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81e0d8b7","DataModelID":651628815408562176,"Ranges":{"dec71cc":{"Section":"6","Block":"b1","CollectionID":"81e0d8b7","ID":"dec71cc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df0dbebb","DataModelID":651628815408562176,"Ranges":{"7c7f4ff2":{"Section":"6","Block":"b1","CollectionID":"df0dbebb","ID":"7c7f4ff2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74405870","DataModelID":651628815408562176,"Ranges":{"eeb28c15":{"Section":"6","Block":"b1","CollectionID":"74405870","ID":"eeb28c15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8964ada4","DataModelID":651628815408562176,"Ranges":{"82126d4c":{"Section":"6","Block":"b1","CollectionID":"8964ada4","ID":"82126d4c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bc3c453b","DataModelID":651628815408562176,"Ranges":{"75078486":{"Section":"6","Block":"b1","CollectionID":"bc3c453b","ID":"75078486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f1e20d00","DataModelID":651628815408562176,"Ranges":{"7acbc233":{"Section":"6","Block":"b1","CollectionID":"f1e20d00","ID":"7acbc233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156df6bf","DataModelID":651628815408562176,"Ranges":{"ecba946c":{"Section":"6","Block":"b1","CollectionID":"156df6bf","ID":"ecba946c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52ca7877","DataModelID":651628815408562176,"Ranges":{"8890532e":{"Section":"6","Block":"b1","CollectionID":"52ca7877","ID":"8890532e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2923ceb6","DataModelID":651628815408562176,"Ranges":{"fe96a94":{"Section":"6","Block":"b1","CollectionID":"2923ceb6","ID":"fe96a94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1c0d1915","DataModelID":651628815408562176,"Ranges":{"aeeee52c":{"Section":"6","Block":"b1","CollectionID":"1c0d1915","ID":"aeeee52c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a204d652","DataModelID":651628815408562176,"Ranges":{"6635eded":{"Section":"6","Block":"b1","CollectionID":"a204d652","ID":"6635eded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6","Block":"b1","ID":"2cf513c4","DataModelID":651628815408562176,"Ranges":{"f69abac3":{"Section":"6","Block":"b1","CollectionID":"2cf513c4","ID":"f69abac3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a337db52","DataModelID":651628815408562176,"Ranges":{"531cd53":{"Section":"7","Block":"b1","CollectionID":"a337db52","ID":"531cd53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c639e143","DataModelID":651628815408562176,"Ranges":{"9a94e7ce":{"Section":"7","Block":"b1","CollectionID":"c639e143","ID":"9a94e7ce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eeb6f87c","DataModelID":651628815408562176,"Ranges":{"bbe92044":{"Section":"7","Block":"b1","CollectionID":"eeb6f87c","ID":"bbe92044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ac23b846","DataModelID":651628815408562176,"Ranges":{"31a3c29b":{"Section":"7","Block":"b1","CollectionID":"ac23b846","ID":"31a3c29b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1a818e3d","DataModelID":651628815408562176,"Ranges":{"97e46d9e":{"Section":"7","Block":"b1","CollectionID":"1a818e3d","ID":"97e46d9e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3f0461f","DataModelID":651628815408562176,"Ranges":{"7d36cc49":{"Section":"7","Block":"b1","CollectionID":"3f0461f","ID":"7d36cc49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f5ec9035","DataModelID":651628815408562176,"Ranges":{"18ffff14":{"Section":"7","Block":"b1","CollectionID":"f5ec9035","ID":"18ffff14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52b1e6cd","DataModelID":651628815408562176,"Ranges":{"de2c5a8f":{"Section":"7","Block":"b1","CollectionID":"52b1e6cd","ID":"de2c5a8f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70ef63ad","DataModelID":651628815408562176,"Ranges":{"b26e32c4":{"Section":"7","Block":"b1","CollectionID":"70ef63ad","ID":"b26e32c4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efb0611f","DataModelID":651628815408562176,"Ranges":{"59a5e80c":{"Section":"7","Block":"b1","CollectionID":"efb0611f","ID":"59a5e80c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376b624d","DataModelID":651628815408562176,"Ranges":{"30ef4d18":{"Section":"7","Block":"b1","CollectionID":"376b624d","ID":"30ef4d18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598d060a","DataModelID":651628815408562176,"Ranges":{"d02cbcfb":{"Section":"7","Block":"b1","CollectionID":"598d060a","ID":"d02cbcfb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f07f258b","DataModelID":651628815408562176,"Ranges":{"25e0b281":{"Section":"7","Block":"b1","CollectionID":"f07f258b","ID":"25e0b281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e1739d1e","DataModelID":651628815408562176,"Ranges":{"9880e9aa":{"Section":"7","Block":"b1","CollectionID":"e1739d1e","ID":"9880e9aa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c0282ccf","DataModelID":651628815408562176,"Ranges":{"4cd75877":{"Section":"7","Block":"b1","CollectionID":"c0282ccf","ID":"4cd75877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fec63d9b","DataModelID":651628815408562176,"Ranges":{"7afd1e2b":{"Section":"7","Block":"b1","CollectionID":"fec63d9b","ID":"7afd1e2b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a378672f","DataModelID":651628815408562176,"Ranges":{"a1a3237a":{"Section":"7","Block":"b1","CollectionID":"a378672f","ID":"a1a3237a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8a3c430b","DataModelID":651628815408562176,"Ranges":{"9b60cb6c":{"Section":"7","Block":"b1","CollectionID":"8a3c430b","ID":"9b60cb6c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751d0254","DataModelID":651628815408562176,"Ranges":{"7cd7db86":{"Section":"7","Block":"b1","CollectionID":"751d0254","ID":"7cd7db86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6b503653","DataModelID":651628815408562176,"Ranges":{"3501809a":{"Section":"7","Block":"b1","CollectionID":"6b503653","ID":"3501809a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22c123f6","DataModelID":651628815408562176,"Ranges":{"19882e7d":{"Section":"7","Block":"b1","CollectionID":"22c123f6","ID":"19882e7d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b7141aa4","DataModelID":651628815408562176,"Ranges":{"f02e3678":{"Section":"7","Block":"b1","CollectionID":"b7141aa4","ID":"f02e3678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49d3db81","DataModelID":651628815408562176,"Ranges":{"5ccf64d1":{"Section":"7","Block":"b1","CollectionID":"49d3db81","ID":"5ccf64d1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297449d2","DataModelID":651628815408562176,"Ranges":{"9e610ca1":{"Section":"7","Block":"b1","CollectionID":"297449d2","ID":"9e610ca1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11bf0375","DataModelID":651628815408562176,"Ranges":{"cab12030":{"Section":"7","Block":"b1","CollectionID":"11bf0375","ID":"cab12030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7","Block":"b1","ID":"31c7d286","DataModelID":651628815408562176,"Ranges":{"c95ca373":{"Section":"7","Block":"b1","CollectionID":"31c7d286","ID":"c95ca373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f218fd02","DataModelID":651628815408562176,"Ranges":{"9bef376e":{"Section":"8","Block":"b1","CollectionID":"f218fd02","ID":"9bef376e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eef1a566","DataModelID":651628815408562176,"Ranges":{"a1758847":{"Section":"8","Block":"b1","CollectionID":"eef1a566","ID":"a1758847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ba7c6004","DataModelID":651628815408562176,"Ranges":{"ea322f5e":{"Section":"8","Block":"b1","CollectionID":"ba7c6004","ID":"ea322f5e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3c6e9f82","DataModelID":651628815408562176,"Ranges":{"d9103631":{"Section":"8","Block":"b1","CollectionID":"3c6e9f82","ID":"d9103631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458fddd3","DataModelID":651628815408562176,"Ranges":{"b22c52ed":{"Section":"8","Block":"b1","CollectionID":"458fddd3","ID":"b22c52ed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8cf5d03c","DataModelID":651628815408562176,"Ranges":{"a441066":{"Section":"8","Block":"b1","CollectionID":"8cf5d03c","ID":"a441066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bdaa9d84","DataModelID":651628815408562176,"Ranges":{"77c519ab":{"Section":"8","Block":"b1","CollectionID":"bdaa9d84","ID":"77c519ab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af90a3bb","DataModelID":651628815408562176,"Ranges":{"55f4a087":{"Section":"8","Block":"b1","CollectionID":"af90a3bb","ID":"55f4a087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a9787ce8","DataModelID":651628815408562176,"Ranges":{"c46286d7":{"Section":"8","Block":"b1","CollectionID":"a9787ce8","ID":"c46286d7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f80ce2a","DataModelID":651628815408562176,"Ranges":{"4eeca8ee":{"Section":"8","Block":"b1","CollectionID":"f80ce2a","ID":"4eeca8ee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8b1950a0","DataModelID":651628815408562176,"Ranges":{"8b915887":{"Section":"8","Block":"b1","CollectionID":"8b1950a0","ID":"8b915887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ed6b636e","DataModelID":651628815408562176,"Ranges":{"b2f2f4d6":{"Section":"8","Block":"b1","CollectionID":"ed6b636e","ID":"b2f2f4d6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ed191b8c","DataModelID":651628815408562176,"Ranges":{"5dd35cad":{"Section":"8","Block":"b1","CollectionID":"ed191b8c","ID":"5dd35cad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6ce5f675","DataModelID":651628815408562176,"Ranges":{"eadb83b4":{"Section":"8","Block":"b1","CollectionID":"6ce5f675","ID":"eadb83b4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848936e8","DataModelID":651628815408562176,"Ranges":{"7dbb28a":{"Section":"8","Block":"b1","CollectionID":"848936e8","ID":"7dbb28a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c1eda3a","DataModelID":651628815408562176,"Ranges":{"4259e527":{"Section":"8","Block":"b1","CollectionID":"c1eda3a","ID":"4259e527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e974a4ba","DataModelID":651628815408562176,"Ranges":{"1a2eb0a8":{"Section":"8","Block":"b1","CollectionID":"e974a4ba","ID":"1a2eb0a8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a4a37a19","DataModelID":651628815408562176,"Ranges":{"4ed5ef9d":{"Section":"8","Block":"b1","CollectionID":"a4a37a19","ID":"4ed5ef9d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119ae29b","DataModelID":651628815408562176,"Ranges":{"48c7c3bb":{"Section":"8","Block":"b1","CollectionID":"119ae29b","ID":"48c7c3bb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8dde94ca","DataModelID":651628815408562176,"Ranges":{"3acc61b8":{"Section":"8","Block":"b1","CollectionID":"8dde94ca","ID":"3acc61b8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b2c17d1c","DataModelID":651628815408562176,"Ranges":{"5bfb0c12":{"Section":"8","Block":"b1","CollectionID":"b2c17d1c","ID":"5bfb0c12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f2504b47","DataModelID":651628815408562176,"Ranges":{"43a12522":{"Section":"8","Block":"b1","CollectionID":"f2504b47","ID":"43a12522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bc0c8b94","DataModelID":651628815408562176,"Ranges":{"61f7998e":{"Section":"8","Block":"b1","CollectionID":"bc0c8b94","ID":"61f7998e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6a3d61a5","DataModelID":651628815408562176,"Ranges":{"f522b89b":{"Section":"8","Block":"b1","CollectionID":"6a3d61a5","ID":"f522b89b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ef26e781","DataModelID":651628815408562176,"Ranges":{"40259fac":{"Section":"8","Block":"b1","CollectionID":"ef26e781","ID":"40259fac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8","Block":"b1","ID":"957e8b7a","DataModelID":651628815408562176,"Ranges":{"c6522320":{"Section":"8","Block":"b1","CollectionID":"957e8b7a","ID":"c6522320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bfc792d1","DataModelID":651628815408562176,"Ranges":{"d6f2faa4":{"Section":"9","Block":"b1","CollectionID":"bfc792d1","ID":"d6f2faa4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353332c8","DataModelID":651628815408562176,"Ranges":{"8b3aae24":{"Section":"9","Block":"b1","CollectionID":"353332c8","ID":"8b3aae24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d4a9bae4","DataModelID":651628815408562176,"Ranges":{"820169d":{"Section":"9","Block":"b1","CollectionID":"d4a9bae4","ID":"820169d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6ef351e5","DataModelID":651628815408562176,"Ranges":{"2399d28a":{"Section":"9","Block":"b1","CollectionID":"6ef351e5","ID":"2399d28a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3b461360","DataModelID":651628815408562176,"Ranges":{"5678769f":{"Section":"9","Block":"b1","CollectionID":"3b461360","ID":"5678769f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40f6a53e","DataModelID":651628815408562176,"Ranges":{"752fe0ea":{"Section":"9","Block":"b1","CollectionID":"40f6a53e","ID":"752fe0ea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ee947509","DataModelID":651628815408562176,"Ranges":{"d4ab246a":{"Section":"9","Block":"b1","CollectionID":"ee947509","ID":"d4ab246a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ca5e8fbe","DataModelID":651628815408562176,"Ranges":{"79538224":{"Section":"9","Block":"b1","CollectionID":"ca5e8fbe","ID":"79538224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b4533dd3","DataModelID":651628815408562176,"Ranges":{"f621e3bb":{"Section":"9","Block":"b1","CollectionID":"b4533dd3","ID":"f621e3bb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d7d74246","DataModelID":651628815408562176,"Ranges":{"249e02":{"Section":"9","Block":"b1","CollectionID":"d7d74246","ID":"249e02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a831feef","DataModelID":651628815408562176,"Ranges":{"4b744cb4":{"Section":"9","Block":"b1","CollectionID":"a831feef","ID":"4b744cb4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9cf7c5f0","DataModelID":651628815408562176,"Ranges":{"e8b80eb9":{"Section":"9","Block":"b1","CollectionID":"9cf7c5f0","ID":"e8b80eb9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be7cd5aa","DataModelID":651628815408562176,"Ranges":{"2286b8b":{"Section":"9","Block":"b1","CollectionID":"be7cd5aa","ID":"2286b8b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f8d4a74d","DataModelID":651628815408562176,"Ranges":{"9576ad9f":{"Section":"9","Block":"b1","CollectionID":"f8d4a74d","ID":"9576ad9f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f109a092","DataModelID":651628815408562176,"Ranges":{"a4a4a7d4":{"Section":"9","Block":"b1","CollectionID":"f109a092","ID":"a4a4a7d4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ffc4b79d","DataModelID":651628815408562176,"Ranges":{"abf3e17e":{"Section":"9","Block":"b1","CollectionID":"ffc4b79d","ID":"abf3e17e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b7e0679d","DataModelID":651628815408562176,"Ranges":{"d2d0892a":{"Section":"9","Block":"b1","CollectionID":"b7e0679d","ID":"d2d0892a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996971d7","DataModelID":651628815408562176,"Ranges":{"bef1ce53":{"Section":"9","Block":"b1","CollectionID":"996971d7","ID":"bef1ce53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a654cd47","DataModelID":651628815408562176,"Ranges":{"9bb1f031":{"Section":"9","Block":"b1","CollectionID":"a654cd47","ID":"9bb1f031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b9c3e00b","DataModelID":651628815408562176,"Ranges":{"377291a":{"Section":"9","Block":"b1","CollectionID":"b9c3e00b","ID":"377291a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c782351a","DataModelID":651628815408562176,"Ranges":{"2459603b":{"Section":"9","Block":"b1","CollectionID":"c782351a","ID":"2459603b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6f991c","DataModelID":651628815408562176,"Ranges":{"ec4bc672":{"Section":"9","Block":"b1","CollectionID":"6f991c","ID":"ec4bc672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6e2a55d4","DataModelID":651628815408562176,"Ranges":{"f647f7c9":{"Section":"9","Block":"b1","CollectionID":"6e2a55d4","ID":"f647f7c9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8aa271b1","DataModelID":651628815408562176,"Ranges":{"b1067f7c":{"Section":"9","Block":"b1","CollectionID":"8aa271b1","ID":"b1067f7c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400b00ad","DataModelID":651628815408562176,"Ranges":{"c7debb":{"Section":"9","Block":"b1","CollectionID":"400b00ad","ID":"c7debb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9","Block":"b1","ID":"796ddcb2","DataModelID":651628815408562176,"Ranges":{"c6f659ad":{"Section":"9","Block":"b1","CollectionID":"796ddcb2","ID":"c6f659ad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710dea0a","DataModelID":651628815408562176,"Ranges":{"63419ea7":{"Section":"11","Block":"b1","CollectionID":"710dea0a","ID":"63419ea7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95f43d9","DataModelID":651628815408562176,"Ranges":{"998bbc5b":{"Section":"11","Block":"b1","CollectionID":"95f43d9","ID":"998bbc5b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2fb027f1","DataModelID":651628815408562176,"Ranges":{"fe0d944a":{"Section":"11","Block":"b1","CollectionID":"2fb027f1","ID":"fe0d944a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bdc065f1","DataModelID":651628815408562176,"Ranges":{"cd3c5558":{"Section":"11","Block":"b1","CollectionID":"bdc065f1","ID":"cd3c5558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2e0a8486","DataModelID":651628815408562176,"Ranges":{"77161ab7":{"Section":"11","Block":"b1","CollectionID":"2e0a8486","ID":"77161ab7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532e15d","DataModelID":651628815408562176,"Ranges":{"5e56eb09":{"Section":"11","Block":"b1","CollectionID":"532e15d","ID":"5e56eb09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5354126d","DataModelID":651628815408562176,"Ranges":{"36a6f4df":{"Section":"11","Block":"b1","CollectionID":"5354126d","ID":"36a6f4df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31cf1ceb","DataModelID":651628815408562176,"Ranges":{"b531da81":{"Section":"11","Block":"b1","CollectionID":"31cf1ceb","ID":"b531da81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3241160a","DataModelID":651628815408562176,"Ranges":{"fa9997f":{"Section":"11","Block":"b1","CollectionID":"3241160a","ID":"fa9997f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2c573e38","DataModelID":651628815408562176,"Ranges":{"e7363a11":{"Section":"11","Block":"b1","CollectionID":"2c573e38","ID":"e7363a11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5d93617e","DataModelID":651628815408562176,"Ranges":{"92c61e0a":{"Section":"11","Block":"b1","CollectionID":"5d93617e","ID":"92c61e0a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7cf6ce40","DataModelID":651628815408562176,"Ranges":{"2e923063":{"Section":"11","Block":"b1","CollectionID":"7cf6ce40","ID":"2e923063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8741a0cb","DataModelID":651628815408562176,"Ranges":{"1850c30b":{"Section":"11","Block":"b1","CollectionID":"8741a0cb","ID":"1850c30b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7df812d","DataModelID":651628815408562176,"Ranges":{"25c8380a":{"Section":"11","Block":"b1","CollectionID":"7df812d","ID":"25c8380a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5cdb8ef7","DataModelID":651628815408562176,"Ranges":{"9c678382":{"Section":"11","Block":"b1","CollectionID":"5cdb8ef7","ID":"9c678382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204abc65","DataModelID":651628815408562176,"Ranges":{"973930a8":{"Section":"11","Block":"b1","CollectionID":"204abc65","ID":"973930a8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2a39341b","DataModelID":651628815408562176,"Ranges":{"939b20d9":{"Section":"11","Block":"b1","CollectionID":"2a39341b","ID":"939b20d9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92ef4942","DataModelID":651628815408562176,"Ranges":{"f5ca3d1d":{"Section":"11","Block":"b1","CollectionID":"92ef4942","ID":"f5ca3d1d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8182ed99","DataModelID":651628815408562176,"Ranges":{"ef53c490":{"Section":"11","Block":"b1","CollectionID":"8182ed99","ID":"ef53c490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19722a3e","DataModelID":651628815408562176,"Ranges":{"5a2c7276":{"Section":"11","Block":"b1","CollectionID":"19722a3e","ID":"5a2c7276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acbff197","DataModelID":651628815408562176,"Ranges":{"df8379dc":{"Section":"11","Block":"b1","CollectionID":"acbff197","ID":"df8379dc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f9ab52cd","DataModelID":651628815408562176,"Ranges":{"f8334882":{"Section":"11","Block":"b1","CollectionID":"f9ab52cd","ID":"f8334882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4dd26bb7","DataModelID":651628815408562176,"Ranges":{"1df163ba":{"Section":"11","Block":"b1","CollectionID":"4dd26bb7","ID":"1df163ba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fb63e8d9","DataModelID":651628815408562176,"Ranges":{"33d83cee":{"Section":"11","Block":"b1","CollectionID":"fb63e8d9","ID":"33d83cee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980f6545","DataModelID":651628815408562176,"Ranges":{"156ad241":{"Section":"11","Block":"b1","CollectionID":"980f6545","ID":"156ad241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11","Block":"b1","ID":"471624fe","DataModelID":651628815408562176,"Ranges":{"45f1807a":{"Section":"11","Block":"b1","CollectionID":"471624fe","ID":"45f1807a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8b2c3324","DataModelID":651628815408562176,"Ranges":{"e594c9b6":{"Section":"12","Block":"b1","CollectionID":"8b2c3324","ID":"e594c9b6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3608da6b","DataModelID":651628815408562176,"Ranges":{"a4b92aca":{"Section":"12","Block":"b1","CollectionID":"3608da6b","ID":"a4b92aca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906b1787","DataModelID":651628815408562176,"Ranges":{"40fa9089":{"Section":"12","Block":"b1","CollectionID":"906b1787","ID":"40fa9089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627de3a5","DataModelID":651628815408562176,"Ranges":{"9e67a051":{"Section":"12","Block":"b1","CollectionID":"627de3a5","ID":"9e67a051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59af725b","DataModelID":651628815408562176,"Ranges":{"21e741b8":{"Section":"12","Block":"b1","CollectionID":"59af725b","ID":"21e741b8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6f4de039","DataModelID":651628815408562176,"Ranges":{"914c7a97":{"Section":"12","Block":"b1","CollectionID":"6f4de039","ID":"914c7a97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4234d28b","DataModelID":651628815408562176,"Ranges":{"ec91b8f6":{"Section":"12","Block":"b1","CollectionID":"4234d28b","ID":"ec91b8f6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df410267","DataModelID":651628815408562176,"Ranges":{"afa9270f":{"Section":"12","Block":"b1","CollectionID":"df410267","ID":"afa9270f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40a019cd","DataModelID":651628815408562176,"Ranges":{"f87bf3e":{"Section":"12","Block":"b1","CollectionID":"40a019cd","ID":"f87bf3e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a54f83e2","DataModelID":651628815408562176,"Ranges":{"8ca55a0e":{"Section":"12","Block":"b1","CollectionID":"a54f83e2","ID":"8ca55a0e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fc8146e1","DataModelID":651628815408562176,"Ranges":{"809b8025":{"Section":"12","Block":"b1","CollectionID":"fc8146e1","ID":"809b8025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d046f58c","DataModelID":651628815408562176,"Ranges":{"b7e9eab9":{"Section":"12","Block":"b1","CollectionID":"d046f58c","ID":"b7e9eab9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5883a440","DataModelID":651628815408562176,"Ranges":{"4742ed7d":{"Section":"12","Block":"b1","CollectionID":"5883a440","ID":"4742ed7d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3f2717fc","DataModelID":651628815408562176,"Ranges":{"2fbe8997":{"Section":"12","Block":"b1","CollectionID":"3f2717fc","ID":"2fbe8997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d11a56b9","DataModelID":651628815408562176,"Ranges":{"5e6044ad":{"Section":"12","Block":"b1","CollectionID":"d11a56b9","ID":"5e6044ad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b8910da6","DataModelID":651628815408562176,"Ranges":{"543a35ad":{"Section":"12","Block":"b1","CollectionID":"b8910da6","ID":"543a35ad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85f5f1fd","DataModelID":651628815408562176,"Ranges":{"56118f8b":{"Section":"12","Block":"b1","CollectionID":"85f5f1fd","ID":"56118f8b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4671aec6","DataModelID":651628815408562176,"Ranges":{"8f70bdd2":{"Section":"12","Block":"b1","CollectionID":"4671aec6","ID":"8f70bdd2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f825496f","DataModelID":651628815408562176,"Ranges":{"a25e996e":{"Section":"12","Block":"b1","CollectionID":"f825496f","ID":"a25e996e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3f7c3002","DataModelID":651628815408562176,"Ranges":{"8ba8fbed":{"Section":"12","Block":"b1","CollectionID":"3f7c3002","ID":"8ba8fbed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220bf389","DataModelID":651628815408562176,"Ranges":{"1f9a69bb":{"Section":"12","Block":"b1","CollectionID":"220bf389","ID":"1f9a69bb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a0894d9","DataModelID":651628815408562176,"Ranges":{"91de8118":{"Section":"12","Block":"b1","CollectionID":"a0894d9","ID":"91de8118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b4cfb9ff","DataModelID":651628815408562176,"Ranges":{"959881cb":{"Section":"12","Block":"b1","CollectionID":"b4cfb9ff","ID":"959881cb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d3ee1b9","DataModelID":651628815408562176,"Ranges":{"919e6e6a":{"Section":"12","Block":"b1","CollectionID":"d3ee1b9","ID":"919e6e6a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65c6f150","DataModelID":651628815408562176,"Ranges":{"19fd63aa":{"Section":"12","Block":"b1","CollectionID":"65c6f150","ID":"19fd63aa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12","Block":"b1","ID":"c77defb1","DataModelID":651628815408562176,"Ranges":{"46896de9":{"Section":"12","Block":"b1","CollectionID":"c77defb1","ID":"46896de9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4b28042e","DataModelID":651628815408562176,"Ranges":{"ea941ce8":{"Section":"13","Block":"b1","CollectionID":"4b28042e","ID":"ea941ce8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d8fccbb9","DataModelID":651628815408562176,"Ranges":{"90d9177a":{"Section":"13","Block":"b1","CollectionID":"d8fccbb9","ID":"90d9177a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77cd1c7d","DataModelID":651628815408562176,"Ranges":{"5e426941":{"Section":"13","Block":"b1","CollectionID":"77cd1c7d","ID":"5e426941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ad4df9c1","DataModelID":651628815408562176,"Ranges":{"f799dc67":{"Section":"13","Block":"b1","CollectionID":"ad4df9c1","ID":"f799dc67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b09bf16d","DataModelID":651628815408562176,"Ranges":{"2c0d268b":{"Section":"13","Block":"b1","CollectionID":"b09bf16d","ID":"2c0d268b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9f1a61e9","DataModelID":651628815408562176,"Ranges":{"c67fd37f":{"Section":"13","Block":"b1","CollectionID":"9f1a61e9","ID":"c67fd37f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135ee8f","DataModelID":651628815408562176,"Ranges":{"875de274":{"Section":"13","Block":"b1","CollectionID":"135ee8f","ID":"875de274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794a1955","DataModelID":651628815408562176,"Ranges":{"12fdc002":{"Section":"13","Block":"b1","CollectionID":"794a1955","ID":"12fdc002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63375890","DataModelID":651628815408562176,"Ranges":{"89749f3e":{"Section":"13","Block":"b1","CollectionID":"63375890","ID":"89749f3e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daee6623","DataModelID":651628815408562176,"Ranges":{"e0e59605":{"Section":"13","Block":"b1","CollectionID":"daee6623","ID":"e0e59605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b176ab8f","DataModelID":651628815408562176,"Ranges":{"e6e3bab0":{"Section":"13","Block":"b1","CollectionID":"b176ab8f","ID":"e6e3bab0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69bd2a7e","DataModelID":651628815408562176,"Ranges":{"e3190568":{"Section":"13","Block":"b1","CollectionID":"69bd2a7e","ID":"e3190568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c0883e18","DataModelID":651628815408562176,"Ranges":{"71b2896c":{"Section":"13","Block":"b1","CollectionID":"c0883e18","ID":"71b2896c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b6bd7533","DataModelID":651628815408562176,"Ranges":{"860e5317":{"Section":"13","Block":"b1","CollectionID":"b6bd7533","ID":"860e5317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c544981b","DataModelID":651628815408562176,"Ranges":{"3f15309c":{"Section":"13","Block":"b1","CollectionID":"c544981b","ID":"3f15309c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85ace0f","DataModelID":651628815408562176,"Ranges":{"7670dda9":{"Section":"13","Block":"b1","CollectionID":"85ace0f","ID":"7670dda9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190bd524","DataModelID":651628815408562176,"Ranges":{"9cc084a9":{"Section":"13","Block":"b1","CollectionID":"190bd524","ID":"9cc084a9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5459b8b0","DataModelID":651628815408562176,"Ranges":{"ead0a029":{"Section":"13","Block":"b1","CollectionID":"5459b8b0","ID":"ead0a029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7542ae4","DataModelID":651628815408562176,"Ranges":{"9905dc46":{"Section":"13","Block":"b1","CollectionID":"7542ae4","ID":"9905dc46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d3e1338e","DataModelID":651628815408562176,"Ranges":{"f24c6ea":{"Section":"13","Block":"b1","CollectionID":"d3e1338e","ID":"f24c6ea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2cbeff6a","DataModelID":651628815408562176,"Ranges":{"dab04492":{"Section":"13","Block":"b1","CollectionID":"2cbeff6a","ID":"dab04492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cb8daf97","DataModelID":651628815408562176,"Ranges":{"93db9de4":{"Section":"13","Block":"b1","CollectionID":"cb8daf97","ID":"93db9de4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daa11041","DataModelID":651628815408562176,"Ranges":{"41e8ec22":{"Section":"13","Block":"b1","CollectionID":"daa11041","ID":"41e8ec22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d133f13","DataModelID":651628815408562176,"Ranges":{"cc77d466":{"Section":"13","Block":"b1","CollectionID":"d133f13","ID":"cc77d466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987c2b0f","DataModelID":651628815408562176,"Ranges":{"c1152193":{"Section":"13","Block":"b1","CollectionID":"987c2b0f","ID":"c1152193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13","Block":"b1","ID":"64dfbc8c","DataModelID":651628815408562176,"Ranges":{"a7ce6321":{"Section":"13","Block":"b1","CollectionID":"64dfbc8c","ID":"a7ce6321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d0e9f448","DataModelID":651628815408562176,"Ranges":{"9809da1c":{"Section":"cons1","Block":"b1","CollectionID":"d0e9f448","ID":"9809da1c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d9fcf8c2","DataModelID":651628815408562176,"Ranges":{"949e0c96":{"Section":"cons1","Block":"b1","CollectionID":"d9fcf8c2","ID":"949e0c96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d940a9c1","DataModelID":651628815408562176,"Ranges":{"608e595a":{"Section":"cons1","Block":"b1","CollectionID":"d940a9c1","ID":"608e595a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70574978","DataModelID":651628815408562176,"Ranges":{"a3cba05":{"Section":"cons1","Block":"b1","CollectionID":"70574978","ID":"a3cba05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f3b1b09","DataModelID":651628815408562176,"Ranges":{"5d69376":{"Section":"cons1","Block":"b1","CollectionID":"f3b1b09","ID":"5d69376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b81757f","DataModelID":651628815408562176,"Ranges":{"5f9c2f0":{"Section":"cons1","Block":"b1","CollectionID":"b81757f","ID":"5f9c2f0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5653141f","DataModelID":651628815408562176,"Ranges":{"5fe3fba5":{"Section":"cons1","Block":"b1","CollectionID":"5653141f","ID":"5fe3fba5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6fe90d10","DataModelID":651628815408562176,"Ranges":{"52455f20":{"Section":"cons1","Block":"b1","CollectionID":"6fe90d10","ID":"52455f20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f4a5d13e","DataModelID":651628815408562176,"Ranges":{"cbc8d129":{"Section":"cons1","Block":"b1","CollectionID":"f4a5d13e","ID":"cbc8d129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6511f329","DataModelID":651628815408562176,"Ranges":{"7536d767":{"Section":"cons1","Block":"b1","CollectionID":"6511f329","ID":"7536d767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72482f67","DataModelID":651628815408562176,"Ranges":{"a6be0e2e":{"Section":"cons1","Block":"b1","CollectionID":"72482f67","ID":"a6be0e2e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a66cc10b","DataModelID":651628815408562176,"Ranges":{"11abce1b":{"Section":"cons1","Block":"b1","CollectionID":"a66cc10b","ID":"11abce1b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152e0fe9","DataModelID":651628815408562176,"Ranges":{"c1eb63c":{"Section":"cons1","Block":"b1","CollectionID":"152e0fe9","ID":"c1eb63c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b159e66f","DataModelID":651628815408562176,"Ranges":{"e4e89c9f":{"Section":"cons1","Block":"b1","CollectionID":"b159e66f","ID":"e4e89c9f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cf037229","DataModelID":651628815408562176,"Ranges":{"ce045e7e":{"Section":"cons1","Block":"b1","CollectionID":"cf037229","ID":"ce045e7e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93db5fc6","DataModelID":651628815408562176,"Ranges":{"ae71cef0":{"Section":"cons1","Block":"b1","CollectionID":"93db5fc6","ID":"ae71cef0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8b9b4b19","DataModelID":651628815408562176,"Ranges":{"c47a0e42":{"Section":"cons1","Block":"b1","CollectionID":"8b9b4b19","ID":"c47a0e42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24baa24a","DataModelID":651628815408562176,"Ranges":{"5521d30":{"Section":"cons1","Block":"b1","CollectionID":"24baa24a","ID":"5521d30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e3d1c033","DataModelID":651628815408562176,"Ranges":{"958967e4":{"Section":"cons1","Block":"b1","CollectionID":"e3d1c033","ID":"958967e4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a25cce90","DataModelID":651628815408562176,"Ranges":{"742b7200":{"Section":"cons1","Block":"b1","CollectionID":"a25cce90","ID":"742b7200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af0b3467","DataModelID":651628815408562176,"Ranges":{"d1bc062":{"Section":"cons1","Block":"b1","CollectionID":"af0b3467","ID":"d1bc062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9f3491e9","DataModelID":651628815408562176,"Ranges":{"bb4575a4":{"Section":"cons1","Block":"b1","CollectionID":"9f3491e9","ID":"bb4575a4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b621738","DataModelID":651628815408562176,"Ranges":{"16f09a32":{"Section":"cons1","Block":"b1","CollectionID":"b621738","ID":"16f09a32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4897a0f7","DataModelID":651628815408562176,"Ranges":{"c3f975bc":{"Section":"cons1","Block":"b1","CollectionID":"4897a0f7","ID":"c3f975bc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7474b927","DataModelID":651628815408562176,"Ranges":{"4cf3ebf6":{"Section":"cons1","Block":"b1","CollectionID":"7474b927","ID":"4cf3ebf6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cons1","Block":"b1","ID":"b3f12393","DataModelID":651628815408562176,"Ranges":{"f4a422af":{"Section":"cons1","Block":"b1","CollectionID":"b3f12393","ID":"f4a422af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e240bc9c","DataModelID":651628815408562176,"Ranges":{"933c587f":{"Section":"cons2","Block":"b1","CollectionID":"e240bc9c","ID":"933c587f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69a526f7","DataModelID":651628815408562176,"Ranges":{"37bab7e0":{"Section":"cons2","Block":"b1","CollectionID":"69a526f7","ID":"37bab7e0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440e71cd","DataModelID":651628815408562176,"Ranges":{"c09ae3c3":{"Section":"cons2","Block":"b1","CollectionID":"440e71cd","ID":"c09ae3c3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6edfa628","DataModelID":651628815408562176,"Ranges":{"9edb2f80":{"Section":"cons2","Block":"b1","CollectionID":"6edfa628","ID":"9edb2f80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16c4319","DataModelID":651628815408562176,"Ranges":{"76ccd3bc":{"Section":"cons2","Block":"b1","CollectionID":"16c4319","ID":"76ccd3bc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cf86b932","DataModelID":651628815408562176,"Ranges":{"a75bbfe":{"Section":"cons2","Block":"b1","CollectionID":"cf86b932","ID":"a75bbfe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3e942bd0","DataModelID":651628815408562176,"Ranges":{"d3facb5c":{"Section":"cons2","Block":"b1","CollectionID":"3e942bd0","ID":"d3facb5c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b36c8305","DataModelID":651628815408562176,"Ranges":{"cd1f8cf":{"Section":"cons2","Block":"b1","CollectionID":"b36c8305","ID":"cd1f8cf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1d427035","DataModelID":651628815408562176,"Ranges":{"62b33990":{"Section":"cons2","Block":"b1","CollectionID":"1d427035","ID":"62b33990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d4ecd655","DataModelID":651628815408562176,"Ranges":{"9d45526e":{"Section":"cons2","Block":"b1","CollectionID":"d4ecd655","ID":"9d45526e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e5a1fc0a","DataModelID":651628815408562176,"Ranges":{"5ebeffd5":{"Section":"cons2","Block":"b1","CollectionID":"e5a1fc0a","ID":"5ebeffd5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68284711","DataModelID":651628815408562176,"Ranges":{"4fd3c2c4":{"Section":"cons2","Block":"b1","CollectionID":"68284711","ID":"4fd3c2c4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4ca1d102","DataModelID":651628815408562176,"Ranges":{"4658c33f":{"Section":"cons2","Block":"b1","CollectionID":"4ca1d102","ID":"4658c33f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4f2353c0","DataModelID":651628815408562176,"Ranges":{"c6aebe6c":{"Section":"cons2","Block":"b1","CollectionID":"4f2353c0","ID":"c6aebe6c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1bd45b56","DataModelID":651628815408562176,"Ranges":{"288b6ecb":{"Section":"cons2","Block":"b1","CollectionID":"1bd45b56","ID":"288b6ecb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42ac221","DataModelID":651628815408562176,"Ranges":{"645d81e7":{"Section":"cons2","Block":"b1","CollectionID":"42ac221","ID":"645d81e7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4cb78f11","DataModelID":651628815408562176,"Ranges":{"8fa62887":{"Section":"cons2","Block":"b1","CollectionID":"4cb78f11","ID":"8fa62887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451c03a4","DataModelID":651628815408562176,"Ranges":{"d0d9f2cc":{"Section":"cons2","Block":"b1","CollectionID":"451c03a4","ID":"d0d9f2cc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a9d1237c","DataModelID":651628815408562176,"Ranges":{"a7acb7a7":{"Section":"cons2","Block":"b1","CollectionID":"a9d1237c","ID":"a7acb7a7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187ee5f5","DataModelID":651628815408562176,"Ranges":{"9f39dfbb":{"Section":"cons2","Block":"b1","CollectionID":"187ee5f5","ID":"9f39dfbb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d064c968","DataModelID":651628815408562176,"Ranges":{"f2d71237":{"Section":"cons2","Block":"b1","CollectionID":"d064c968","ID":"f2d71237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80fcfed1","DataModelID":651628815408562176,"Ranges":{"1fc4b66":{"Section":"cons2","Block":"b1","CollectionID":"80fcfed1","ID":"1fc4b66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c826a44e","DataModelID":651628815408562176,"Ranges":{"f12c954c":{"Section":"cons2","Block":"b1","CollectionID":"c826a44e","ID":"f12c954c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bd5499ea","DataModelID":651628815408562176,"Ranges":{"4b11297b":{"Section":"cons2","Block":"b1","CollectionID":"bd5499ea","ID":"4b11297b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1a04a965","DataModelID":651628815408562176,"Ranges":{"c0b28ac3":{"Section":"cons2","Block":"b1","CollectionID":"1a04a965","ID":"c0b28ac3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cons2","Block":"b1","ID":"9fd7dcb3","DataModelID":651628815408562176,"Ranges":{"1f24f13d":{"Section":"cons2","Block":"b1","CollectionID":"9fd7dcb3","ID":"1f24f13d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739282c","DataModelID":651628815408562176,"Ranges":{"b366e9fd":{"Section":"14","Block":"b1","CollectionID":"739282c","ID":"b366e9fd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24a7830b","DataModelID":651628815408562176,"Ranges":{"62c553bb":{"Section":"14","Block":"b1","CollectionID":"24a7830b","ID":"62c553bb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4e0c5cc5","DataModelID":651628815408562176,"Ranges":{"aee1f5b":{"Section":"14","Block":"b1","CollectionID":"4e0c5cc5","ID":"aee1f5b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8528b694","DataModelID":651628815408562176,"Ranges":{"248005e5":{"Section":"14","Block":"b1","CollectionID":"8528b694","ID":"248005e5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9c584bff","DataModelID":651628815408562176,"Ranges":{"1391d48":{"Section":"14","Block":"b1","CollectionID":"9c584bff","ID":"1391d48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9ab38753","DataModelID":651628815408562176,"Ranges":{"102dc705":{"Section":"14","Block":"b1","CollectionID":"9ab38753","ID":"102dc705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8ad352a9","DataModelID":651628815408562176,"Ranges":{"5560138":{"Section":"14","Block":"b1","CollectionID":"8ad352a9","ID":"5560138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fad1c76","DataModelID":651628815408562176,"Ranges":{"7820b955":{"Section":"14","Block":"b1","CollectionID":"fad1c76","ID":"7820b955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757dc32","DataModelID":651628815408562176,"Ranges":{"bbc21490":{"Section":"14","Block":"b1","CollectionID":"757dc32","ID":"bbc21490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3a33b1fa","DataModelID":651628815408562176,"Ranges":{"3323543f":{"Section":"14","Block":"b1","CollectionID":"3a33b1fa","ID":"3323543f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e5bbb2c3","DataModelID":651628815408562176,"Ranges":{"239632b7":{"Section":"14","Block":"b1","CollectionID":"e5bbb2c3","ID":"239632b7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15a459b9","DataModelID":651628815408562176,"Ranges":{"adc584c":{"Section":"14","Block":"b1","CollectionID":"15a459b9","ID":"adc584c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e122f25b","DataModelID":651628815408562176,"Ranges":{"f4a20563":{"Section":"14","Block":"b1","CollectionID":"e122f25b","ID":"f4a20563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15441aec","DataModelID":651628815408562176,"Ranges":{"ec510a35":{"Section":"14","Block":"b1","CollectionID":"15441aec","ID":"ec510a35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9aacc10","DataModelID":651628815408562176,"Ranges":{"5aa0f7fc":{"Section":"14","Block":"b1","CollectionID":"9aacc10","ID":"5aa0f7fc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1deb77ef","DataModelID":651628815408562176,"Ranges":{"39cffc04":{"Section":"14","Block":"b1","CollectionID":"1deb77ef","ID":"39cffc04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b7c18e67","DataModelID":651628815408562176,"Ranges":{"40ee016e":{"Section":"14","Block":"b1","CollectionID":"b7c18e67","ID":"40ee016e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108aa4dc","DataModelID":651628815408562176,"Ranges":{"55fe9773":{"Section":"14","Block":"b1","CollectionID":"108aa4dc","ID":"55fe9773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a46edd7","DataModelID":651628815408562176,"Ranges":{"e7357876":{"Section":"14","Block":"b1","CollectionID":"a46edd7","ID":"e7357876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3a961f86","DataModelID":651628815408562176,"Ranges":{"f283abe0":{"Section":"14","Block":"b1","CollectionID":"3a961f86","ID":"f283abe0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ad445d96","DataModelID":651628815408562176,"Ranges":{"bd4b709c":{"Section":"14","Block":"b1","CollectionID":"ad445d96","ID":"bd4b709c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1035e90d","DataModelID":651628815408562176,"Ranges":{"28594710":{"Section":"14","Block":"b1","CollectionID":"1035e90d","ID":"28594710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6f1e4af","DataModelID":651628815408562176,"Ranges":{"48c7bd0b":{"Section":"14","Block":"b1","CollectionID":"6f1e4af","ID":"48c7bd0b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3d4682fc","DataModelID":651628815408562176,"Ranges":{"8ccad597":{"Section":"14","Block":"b1","CollectionID":"3d4682fc","ID":"8ccad597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b00141b8","DataModelID":651628815408562176,"Ranges":{"14b70c49":{"Section":"14","Block":"b1","CollectionID":"b00141b8","ID":"14b70c49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14","Block":"b1","ID":"aa4b33af","DataModelID":651628815408562176,"Ranges":{"55cf75b9":{"Section":"14","Block":"b1","CollectionID":"aa4b33af","ID":"55cf75b9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9dbbf8f","DataModelID":651628815408562176,"Ranges":{"daf56246":{"Section":"15","Block":"b1","CollectionID":"9dbbf8f","ID":"daf56246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eda8365b","DataModelID":651628815408562176,"Ranges":{"c1e4abff":{"Section":"15","Block":"b1","CollectionID":"eda8365b","ID":"c1e4abff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1c5a72c3","DataModelID":651628815408562176,"Ranges":{"19ccf0bc":{"Section":"15","Block":"b1","CollectionID":"1c5a72c3","ID":"19ccf0bc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6c84a193","DataModelID":651628815408562176,"Ranges":{"2a636e10":{"Section":"15","Block":"b1","CollectionID":"6c84a193","ID":"2a636e10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5555affc","DataModelID":651628815408562176,"Ranges":{"5d0ec37a":{"Section":"15","Block":"b1","CollectionID":"5555affc","ID":"5d0ec37a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8debfd34","DataModelID":651628815408562176,"Ranges":{"7b503932":{"Section":"15","Block":"b1","CollectionID":"8debfd34","ID":"7b503932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f997775","DataModelID":651628815408562176,"Ranges":{"7ee03031":{"Section":"15","Block":"b1","CollectionID":"f997775","ID":"7ee03031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3d3ebb3a","DataModelID":651628815408562176,"Ranges":{"f0741c4":{"Section":"15","Block":"b1","CollectionID":"3d3ebb3a","ID":"f0741c4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dbf6a3c","DataModelID":651628815408562176,"Ranges":{"d10e556c":{"Section":"15","Block":"b1","CollectionID":"dbf6a3c","ID":"d10e556c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d1f1a56","DataModelID":651628815408562176,"Ranges":{"2950a042":{"Section":"15","Block":"b1","CollectionID":"d1f1a56","ID":"2950a042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e73f408a","DataModelID":651628815408562176,"Ranges":{"66999ed":{"Section":"15","Block":"b1","CollectionID":"e73f408a","ID":"66999ed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48f3c696","DataModelID":651628815408562176,"Ranges":{"66f6e701":{"Section":"15","Block":"b1","CollectionID":"48f3c696","ID":"66f6e701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317f1f8a","DataModelID":651628815408562176,"Ranges":{"cb6edf4a":{"Section":"15","Block":"b1","CollectionID":"317f1f8a","ID":"cb6edf4a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55bbfb13","DataModelID":651628815408562176,"Ranges":{"bb0d2fc7":{"Section":"15","Block":"b1","CollectionID":"55bbfb13","ID":"bb0d2fc7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62c991aa","DataModelID":651628815408562176,"Ranges":{"a277ee46":{"Section":"15","Block":"b1","CollectionID":"62c991aa","ID":"a277ee46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ae58cf10","DataModelID":651628815408562176,"Ranges":{"d8f62b1c":{"Section":"15","Block":"b1","CollectionID":"ae58cf10","ID":"d8f62b1c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604b55e0","DataModelID":651628815408562176,"Ranges":{"d72f9341":{"Section":"15","Block":"b1","CollectionID":"604b55e0","ID":"d72f9341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9eb496b8","DataModelID":651628815408562176,"Ranges":{"3a4b82d5":{"Section":"15","Block":"b1","CollectionID":"9eb496b8","ID":"3a4b82d5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50b7f25d","DataModelID":651628815408562176,"Ranges":{"6bafbda6":{"Section":"15","Block":"b1","CollectionID":"50b7f25d","ID":"6bafbda6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d694b42a","DataModelID":651628815408562176,"Ranges":{"1494c2f5":{"Section":"15","Block":"b1","CollectionID":"d694b42a","ID":"1494c2f5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5252686e","DataModelID":651628815408562176,"Ranges":{"95462880":{"Section":"15","Block":"b1","CollectionID":"5252686e","ID":"95462880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206fb8c7","DataModelID":651628815408562176,"Ranges":{"2f0db325":{"Section":"15","Block":"b1","CollectionID":"206fb8c7","ID":"2f0db325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ca83e28c","DataModelID":651628815408562176,"Ranges":{"e60da42e":{"Section":"15","Block":"b1","CollectionID":"ca83e28c","ID":"e60da42e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cd912421","DataModelID":651628815408562176,"Ranges":{"f0da1f3a":{"Section":"15","Block":"b1","CollectionID":"cd912421","ID":"f0da1f3a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fbefbcdf","DataModelID":651628815408562176,"Ranges":{"850c3f03":{"Section":"15","Block":"b1","CollectionID":"fbefbcdf","ID":"850c3f03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15","Block":"b1","ID":"da9fd628","DataModelID":651628815408562176,"Ranges":{"722aed30":{"Section":"15","Block":"b1","CollectionID":"da9fd628","ID":"722aed30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da7081d1","DataModelID":651628815408562176,"Ranges":{"d1f8686d":{"Section":"16","Block":"b1","CollectionID":"da7081d1","ID":"d1f8686d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a4bb3604","DataModelID":651628815408562176,"Ranges":{"766bee52":{"Section":"16","Block":"b1","CollectionID":"a4bb3604","ID":"766bee52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52dd0f0a","DataModelID":651628815408562176,"Ranges":{"ec695fba":{"Section":"16","Block":"b1","CollectionID":"52dd0f0a","ID":"ec695fba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f606564a","DataModelID":651628815408562176,"Ranges":{"4988755d":{"Section":"16","Block":"b1","CollectionID":"f606564a","ID":"4988755d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f8d2faf3","DataModelID":651628815408562176,"Ranges":{"1da0664f":{"Section":"16","Block":"b1","CollectionID":"f8d2faf3","ID":"1da0664f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8a9bbe31","DataModelID":651628815408562176,"Ranges":{"dde3f305":{"Section":"16","Block":"b1","CollectionID":"8a9bbe31","ID":"dde3f305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bf7cc7e6","DataModelID":651628815408562176,"Ranges":{"75e7e757":{"Section":"16","Block":"b1","CollectionID":"bf7cc7e6","ID":"75e7e757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4e920608","DataModelID":651628815408562176,"Ranges":{"d50a3951":{"Section":"16","Block":"b1","CollectionID":"4e920608","ID":"d50a3951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57b2843c","DataModelID":651628815408562176,"Ranges":{"287d6aa7":{"Section":"16","Block":"b1","CollectionID":"57b2843c","ID":"287d6aa7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3b7de109","DataModelID":651628815408562176,"Ranges":{"83ac6336":{"Section":"16","Block":"b1","CollectionID":"3b7de109","ID":"83ac6336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a7dee35d","DataModelID":651628815408562176,"Ranges":{"a9043560":{"Section":"16","Block":"b1","CollectionID":"a7dee35d","ID":"a9043560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9bddb2e1","DataModelID":651628815408562176,"Ranges":{"f06567f5":{"Section":"16","Block":"b1","CollectionID":"9bddb2e1","ID":"f06567f5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4b28766f","DataModelID":651628815408562176,"Ranges":{"8b93d4cd":{"Section":"16","Block":"b1","CollectionID":"4b28766f","ID":"8b93d4cd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e6c6ee3e","DataModelID":651628815408562176,"Ranges":{"a83d03b":{"Section":"16","Block":"b1","CollectionID":"e6c6ee3e","ID":"a83d03b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cc784bf5","DataModelID":651628815408562176,"Ranges":{"63efe7cb":{"Section":"16","Block":"b1","CollectionID":"cc784bf5","ID":"63efe7cb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4e14d074","DataModelID":651628815408562176,"Ranges":{"48573fc1":{"Section":"16","Block":"b1","CollectionID":"4e14d074","ID":"48573fc1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fe3f1f16","DataModelID":651628815408562176,"Ranges":{"fe87be5a":{"Section":"16","Block":"b1","CollectionID":"fe3f1f16","ID":"fe87be5a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b464bc4a","DataModelID":651628815408562176,"Ranges":{"db26bfda":{"Section":"16","Block":"b1","CollectionID":"b464bc4a","ID":"db26bfda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ec031ef3","DataModelID":651628815408562176,"Ranges":{"f343c6f0":{"Section":"16","Block":"b1","CollectionID":"ec031ef3","ID":"f343c6f0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c96e9cab","DataModelID":651628815408562176,"Ranges":{"79f08d27":{"Section":"16","Block":"b1","CollectionID":"c96e9cab","ID":"79f08d27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8fa698e0","DataModelID":651628815408562176,"Ranges":{"3e3cd018":{"Section":"16","Block":"b1","CollectionID":"8fa698e0","ID":"3e3cd018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c1f728a6","DataModelID":651628815408562176,"Ranges":{"f8f3516e":{"Section":"16","Block":"b1","CollectionID":"c1f728a6","ID":"f8f3516e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b35131f1","DataModelID":651628815408562176,"Ranges":{"c7c6e27a":{"Section":"16","Block":"b1","CollectionID":"b35131f1","ID":"c7c6e27a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c754de75","DataModelID":651628815408562176,"Ranges":{"36e2e4ff":{"Section":"16","Block":"b1","CollectionID":"c754de75","ID":"36e2e4ff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a750df71","DataModelID":651628815408562176,"Ranges":{"f5112bc":{"Section":"16","Block":"b1","CollectionID":"a750df71","ID":"f5112bc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16","Block":"b1","ID":"a592b636","DataModelID":651628815408562176,"Ranges":{"d7b07ef7":{"Section":"16","Block":"b1","CollectionID":"a592b636","ID":"d7b07ef7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c1a1a458","DataModelID":651628815408562176,"Ranges":{"c15329c8":{"Section":"17","Block":"b1","CollectionID":"c1a1a458","ID":"c15329c8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4ae1477b","DataModelID":651628815408562176,"Ranges":{"6fa7089e":{"Section":"17","Block":"b1","CollectionID":"4ae1477b","ID":"6fa7089e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1e9a78b4","DataModelID":651628815408562176,"Ranges":{"840930b0":{"Section":"17","Block":"b1","CollectionID":"1e9a78b4","ID":"840930b0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14557fae","DataModelID":651628815408562176,"Ranges":{"f33acd49":{"Section":"17","Block":"b1","CollectionID":"14557fae","ID":"f33acd49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ba9e1063","DataModelID":651628815408562176,"Ranges":{"683b9d01":{"Section":"17","Block":"b1","CollectionID":"ba9e1063","ID":"683b9d01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6e72d8ec","DataModelID":651628815408562176,"Ranges":{"57d153df":{"Section":"17","Block":"b1","CollectionID":"6e72d8ec","ID":"57d153df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53fa43fd","DataModelID":651628815408562176,"Ranges":{"e3ed42eb":{"Section":"17","Block":"b1","CollectionID":"53fa43fd","ID":"e3ed42eb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cb3bdabc","DataModelID":651628815408562176,"Ranges":{"a9bdf0c2":{"Section":"17","Block":"b1","CollectionID":"cb3bdabc","ID":"a9bdf0c2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d763126e","DataModelID":651628815408562176,"Ranges":{"7c442f96":{"Section":"17","Block":"b1","CollectionID":"d763126e","ID":"7c442f96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b1d892d4","DataModelID":651628815408562176,"Ranges":{"497de258":{"Section":"17","Block":"b1","CollectionID":"b1d892d4","ID":"497de258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c163a806","DataModelID":651628815408562176,"Ranges":{"4db1b382":{"Section":"17","Block":"b1","CollectionID":"c163a806","ID":"4db1b382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dab19415","DataModelID":651628815408562176,"Ranges":{"afa5433b":{"Section":"17","Block":"b1","CollectionID":"dab19415","ID":"afa5433b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6592d791","DataModelID":651628815408562176,"Ranges":{"6ed1e3f5":{"Section":"17","Block":"b1","CollectionID":"6592d791","ID":"6ed1e3f5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5f7355d8","DataModelID":651628815408562176,"Ranges":{"c79a617c":{"Section":"17","Block":"b1","CollectionID":"5f7355d8","ID":"c79a617c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c9ed9e85","DataModelID":651628815408562176,"Ranges":{"8afa214d":{"Section":"17","Block":"b1","CollectionID":"c9ed9e85","ID":"8afa214d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41e715c2","DataModelID":651628815408562176,"Ranges":{"8fd31ed8":{"Section":"17","Block":"b1","CollectionID":"41e715c2","ID":"8fd31ed8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6df07250","DataModelID":651628815408562176,"Ranges":{"6edec5e6":{"Section":"17","Block":"b1","CollectionID":"6df07250","ID":"6edec5e6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93e824bb","DataModelID":651628815408562176,"Ranges":{"206502e1":{"Section":"17","Block":"b1","CollectionID":"93e824bb","ID":"206502e1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aefce227","DataModelID":651628815408562176,"Ranges":{"607563c3":{"Section":"17","Block":"b1","CollectionID":"aefce227","ID":"607563c3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fb981b8e","DataModelID":651628815408562176,"Ranges":{"a1b5cd8b":{"Section":"17","Block":"b1","CollectionID":"fb981b8e","ID":"a1b5cd8b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dbd94677","DataModelID":651628815408562176,"Ranges":{"830a2011":{"Section":"17","Block":"b1","CollectionID":"dbd94677","ID":"830a2011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8c01fa4b","DataModelID":651628815408562176,"Ranges":{"e08d4fc2":{"Section":"17","Block":"b1","CollectionID":"8c01fa4b","ID":"e08d4fc2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a638cd6c","DataModelID":651628815408562176,"Ranges":{"66f8933d":{"Section":"17","Block":"b1","CollectionID":"a638cd6c","ID":"66f8933d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c1569964","DataModelID":651628815408562176,"Ranges":{"56efdef4":{"Section":"17","Block":"b1","CollectionID":"c1569964","ID":"56efdef4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f469280e","DataModelID":651628815408562176,"Ranges":{"34cc697d":{"Section":"17","Block":"b1","CollectionID":"f469280e","ID":"34cc697d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17","Block":"b1","ID":"fa39ab7","DataModelID":651628815408562176,"Ranges":{"c9448700":{"Section":"17","Block":"b1","CollectionID":"fa39ab7","ID":"c9448700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336c5418","DataModelID":651628815408562176,"Ranges":{"8bebd604":{"Section":"18","Block":"b1","CollectionID":"336c5418","ID":"8bebd604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353cdc78","DataModelID":651628815408562176,"Ranges":{"ff444ff7":{"Section":"18","Block":"b1","CollectionID":"353cdc78","ID":"ff444ff7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b2f29052","DataModelID":651628815408562176,"Ranges":{"144bd7ac":{"Section":"18","Block":"b1","CollectionID":"b2f29052","ID":"144bd7ac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4f3b6d09","DataModelID":651628815408562176,"Ranges":{"3830c7b4":{"Section":"18","Block":"b1","CollectionID":"4f3b6d09","ID":"3830c7b4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3bbc1b06","DataModelID":651628815408562176,"Ranges":{"2c9a4212":{"Section":"18","Block":"b1","CollectionID":"3bbc1b06","ID":"2c9a4212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a380c0cb","DataModelID":651628815408562176,"Ranges":{"cef102ae":{"Section":"18","Block":"b1","CollectionID":"a380c0cb","ID":"cef102ae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6f51199d","DataModelID":651628815408562176,"Ranges":{"1ee1f9bf":{"Section":"18","Block":"b1","CollectionID":"6f51199d","ID":"1ee1f9bf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7623e3a2","DataModelID":651628815408562176,"Ranges":{"34559087":{"Section":"18","Block":"b1","CollectionID":"7623e3a2","ID":"34559087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758662fe","DataModelID":651628815408562176,"Ranges":{"e1950f89":{"Section":"18","Block":"b1","CollectionID":"758662fe","ID":"e1950f89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1424a60e","DataModelID":651628815408562176,"Ranges":{"785de28d":{"Section":"18","Block":"b1","CollectionID":"1424a60e","ID":"785de28d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7057a609","DataModelID":651628815408562176,"Ranges":{"f9a0fdf":{"Section":"18","Block":"b1","CollectionID":"7057a609","ID":"f9a0fdf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8dedb01c","DataModelID":651628815408562176,"Ranges":{"cf2b94ec":{"Section":"18","Block":"b1","CollectionID":"8dedb01c","ID":"cf2b94ec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d7e74cda","DataModelID":651628815408562176,"Ranges":{"33775ead":{"Section":"18","Block":"b1","CollectionID":"d7e74cda","ID":"33775ead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c2ddb150","DataModelID":651628815408562176,"Ranges":{"a17f15e5":{"Section":"18","Block":"b1","CollectionID":"c2ddb150","ID":"a17f15e5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5e6f8ea5","DataModelID":651628815408562176,"Ranges":{"846b2079":{"Section":"18","Block":"b1","CollectionID":"5e6f8ea5","ID":"846b2079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f1bff695","DataModelID":651628815408562176,"Ranges":{"aeb90265":{"Section":"18","Block":"b1","CollectionID":"f1bff695","ID":"aeb90265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64f9a45b","DataModelID":651628815408562176,"Ranges":{"751b6156":{"Section":"18","Block":"b1","CollectionID":"64f9a45b","ID":"751b6156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4dd4965f","DataModelID":651628815408562176,"Ranges":{"eb9acc24":{"Section":"18","Block":"b1","CollectionID":"4dd4965f","ID":"eb9acc24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b3c6195","DataModelID":651628815408562176,"Ranges":{"1184e6ef":{"Section":"18","Block":"b1","CollectionID":"b3c6195","ID":"1184e6ef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e5959dd6","DataModelID":651628815408562176,"Ranges":{"c328cec3":{"Section":"18","Block":"b1","CollectionID":"e5959dd6","ID":"c328cec3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1f1741ee","DataModelID":651628815408562176,"Ranges":{"72c2c50d":{"Section":"18","Block":"b1","CollectionID":"1f1741ee","ID":"72c2c50d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8e722b35","DataModelID":651628815408562176,"Ranges":{"356451a2":{"Section":"18","Block":"b1","CollectionID":"8e722b35","ID":"356451a2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49422fb5","DataModelID":651628815408562176,"Ranges":{"89ecda8e":{"Section":"18","Block":"b1","CollectionID":"49422fb5","ID":"89ecda8e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5d66cae6","DataModelID":651628815408562176,"Ranges":{"752704a4":{"Section":"18","Block":"b1","CollectionID":"5d66cae6","ID":"752704a4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7b2cd828","DataModelID":651628815408562176,"Ranges":{"4b51b72e":{"Section":"18","Block":"b1","CollectionID":"7b2cd828","ID":"4b51b72e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18","Block":"b1","ID":"833bed9e","DataModelID":651628815408562176,"Ranges":{"4dd3ec44":{"Section":"18","Block":"b1","CollectionID":"833bed9e","ID":"4dd3ec44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9a2aadb3","DataModelID":651628815408562176,"Ranges":{"9dcf4a7d":{"Section":"19","Block":"b1","CollectionID":"9a2aadb3","ID":"9dcf4a7d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add686f5","DataModelID":651628815408562176,"Ranges":{"461b2b3f":{"Section":"19","Block":"b1","CollectionID":"add686f5","ID":"461b2b3f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82ae74fd","DataModelID":651628815408562176,"Ranges":{"e5c3351b":{"Section":"19","Block":"b1","CollectionID":"82ae74fd","ID":"e5c3351b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bd48db78","DataModelID":651628815408562176,"Ranges":{"765a1f42":{"Section":"19","Block":"b1","CollectionID":"bd48db78","ID":"765a1f42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c5bfb4b7","DataModelID":651628815408562176,"Ranges":{"e381bf02":{"Section":"19","Block":"b1","CollectionID":"c5bfb4b7","ID":"e381bf02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ddf9b26d","DataModelID":651628815408562176,"Ranges":{"7439777b":{"Section":"19","Block":"b1","CollectionID":"ddf9b26d","ID":"7439777b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678843f6","DataModelID":651628815408562176,"Ranges":{"76a2ec84":{"Section":"19","Block":"b1","CollectionID":"678843f6","ID":"76a2ec84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ea38b989","DataModelID":651628815408562176,"Ranges":{"587288ff":{"Section":"19","Block":"b1","CollectionID":"ea38b989","ID":"587288ff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5b393cf8","DataModelID":651628815408562176,"Ranges":{"ada189d4":{"Section":"19","Block":"b1","CollectionID":"5b393cf8","ID":"ada189d4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554fddc3","DataModelID":651628815408562176,"Ranges":{"67da46cb":{"Section":"19","Block":"b1","CollectionID":"554fddc3","ID":"67da46cb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a205d06a","DataModelID":651628815408562176,"Ranges":{"50f79825":{"Section":"19","Block":"b1","CollectionID":"a205d06a","ID":"50f79825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3a906724","DataModelID":651628815408562176,"Ranges":{"74b0f069":{"Section":"19","Block":"b1","CollectionID":"3a906724","ID":"74b0f069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a1bd4ffc","DataModelID":651628815408562176,"Ranges":{"bb716d76":{"Section":"19","Block":"b1","CollectionID":"a1bd4ffc","ID":"bb716d76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eb6f18e1","DataModelID":651628815408562176,"Ranges":{"f001f3f9":{"Section":"19","Block":"b1","CollectionID":"eb6f18e1","ID":"f001f3f9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df8cae58","DataModelID":651628815408562176,"Ranges":{"1360e936":{"Section":"19","Block":"b1","CollectionID":"df8cae58","ID":"1360e936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178ae220","DataModelID":651628815408562176,"Ranges":{"b3b0a8d0":{"Section":"19","Block":"b1","CollectionID":"178ae220","ID":"b3b0a8d0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98b0ae5c","DataModelID":651628815408562176,"Ranges":{"91a8a855":{"Section":"19","Block":"b1","CollectionID":"98b0ae5c","ID":"91a8a855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7acd1e7f","DataModelID":651628815408562176,"Ranges":{"638e342":{"Section":"19","Block":"b1","CollectionID":"7acd1e7f","ID":"638e342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6e7bda44","DataModelID":651628815408562176,"Ranges":{"3952f4fc":{"Section":"19","Block":"b1","CollectionID":"6e7bda44","ID":"3952f4fc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b668c154","DataModelID":651628815408562176,"Ranges":{"285fd040":{"Section":"19","Block":"b1","CollectionID":"b668c154","ID":"285fd040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b3982aee","DataModelID":651628815408562176,"Ranges":{"60d613cd":{"Section":"19","Block":"b1","CollectionID":"b3982aee","ID":"60d613cd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d5f10298","DataModelID":651628815408562176,"Ranges":{"78af4c8e":{"Section":"19","Block":"b1","CollectionID":"d5f10298","ID":"78af4c8e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3a80bd83","DataModelID":651628815408562176,"Ranges":{"4f81aa4b":{"Section":"19","Block":"b1","CollectionID":"3a80bd83","ID":"4f81aa4b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801eedd1","DataModelID":651628815408562176,"Ranges":{"8f899058":{"Section":"19","Block":"b1","CollectionID":"801eedd1","ID":"8f899058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1aaf258","DataModelID":651628815408562176,"Ranges":{"a8e43c7":{"Section":"19","Block":"b1","CollectionID":"1aaf258","ID":"a8e43c7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19","Block":"b1","ID":"9bff29c5","DataModelID":651628815408562176,"Ranges":{"15de8220":{"Section":"19","Block":"b1","CollectionID":"9bff29c5","ID":"15de8220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b3740b8f","DataModelID":651628815408562176,"Ranges":{"3df19de4":{"Section":"20","Block":"b1","CollectionID":"b3740b8f","ID":"3df19de4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9fb298a9","DataModelID":651628815408562176,"Ranges":{"40a03ae9":{"Section":"20","Block":"b1","CollectionID":"9fb298a9","ID":"40a03ae9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ca065026","DataModelID":651628815408562176,"Ranges":{"6a7d6cd3":{"Section":"20","Block":"b1","CollectionID":"ca065026","ID":"6a7d6cd3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448ecf2d","DataModelID":651628815408562176,"Ranges":{"5a1c430":{"Section":"20","Block":"b1","CollectionID":"448ecf2d","ID":"5a1c430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b013c9d0","DataModelID":651628815408562176,"Ranges":{"15010290":{"Section":"20","Block":"b1","CollectionID":"b013c9d0","ID":"15010290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d7be90fb","DataModelID":651628815408562176,"Ranges":{"edd54062":{"Section":"20","Block":"b1","CollectionID":"d7be90fb","ID":"edd54062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a160959a","DataModelID":651628815408562176,"Ranges":{"21344493":{"Section":"20","Block":"b1","CollectionID":"a160959a","ID":"21344493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14754ee0","DataModelID":651628815408562176,"Ranges":{"2bd6da84":{"Section":"20","Block":"b1","CollectionID":"14754ee0","ID":"2bd6da84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21a1498c","DataModelID":651628815408562176,"Ranges":{"69eafbfe":{"Section":"20","Block":"b1","CollectionID":"21a1498c","ID":"69eafbfe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fcf27ace","DataModelID":651628815408562176,"Ranges":{"890143b6":{"Section":"20","Block":"b1","CollectionID":"fcf27ace","ID":"890143b6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df95edea","DataModelID":651628815408562176,"Ranges":{"71a9707":{"Section":"20","Block":"b1","CollectionID":"df95edea","ID":"71a9707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6132c6ea","DataModelID":651628815408562176,"Ranges":{"dc04ec0f":{"Section":"20","Block":"b1","CollectionID":"6132c6ea","ID":"dc04ec0f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ee337b62","DataModelID":651628815408562176,"Ranges":{"a625c830":{"Section":"20","Block":"b1","CollectionID":"ee337b62","ID":"a625c830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d58a6da3","DataModelID":651628815408562176,"Ranges":{"9519630e":{"Section":"20","Block":"b1","CollectionID":"d58a6da3","ID":"9519630e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69b70663","DataModelID":651628815408562176,"Ranges":{"2b1e109d":{"Section":"20","Block":"b1","CollectionID":"69b70663","ID":"2b1e109d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ba4531ac","DataModelID":651628815408562176,"Ranges":{"3edccfed":{"Section":"20","Block":"b1","CollectionID":"ba4531ac","ID":"3edccfed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7a36d8fd","DataModelID":651628815408562176,"Ranges":{"37917dcd":{"Section":"20","Block":"b1","CollectionID":"7a36d8fd","ID":"37917dcd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c86fbc2","DataModelID":651628815408562176,"Ranges":{"3287914":{"Section":"20","Block":"b1","CollectionID":"c86fbc2","ID":"3287914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b4a44896","DataModelID":651628815408562176,"Ranges":{"8fcefdd4":{"Section":"20","Block":"b1","CollectionID":"b4a44896","ID":"8fcefdd4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8118c449","DataModelID":651628815408562176,"Ranges":{"91e73e36":{"Section":"20","Block":"b1","CollectionID":"8118c449","ID":"91e73e36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4a515350","DataModelID":651628815408562176,"Ranges":{"bab3da1":{"Section":"20","Block":"b1","CollectionID":"4a515350","ID":"bab3da1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c823e037","DataModelID":651628815408562176,"Ranges":{"b6ca222f":{"Section":"20","Block":"b1","CollectionID":"c823e037","ID":"b6ca222f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1c76c2bf","DataModelID":651628815408562176,"Ranges":{"37359697":{"Section":"20","Block":"b1","CollectionID":"1c76c2bf","ID":"37359697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90502159","DataModelID":651628815408562176,"Ranges":{"1c2f16d4":{"Section":"20","Block":"b1","CollectionID":"90502159","ID":"1c2f16d4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fdb1ee51","DataModelID":651628815408562176,"Ranges":{"875b3af9":{"Section":"20","Block":"b1","CollectionID":"fdb1ee51","ID":"875b3af9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20","Block":"b1","ID":"5e7d65d8","DataModelID":651628815408562176,"Ranges":{"de74206b":{"Section":"20","Block":"b1","CollectionID":"5e7d65d8","ID":"de74206b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3dafd82","DataModelID":651628815408562176,"Ranges":{"99d202f1":{"Section":"21","Block":"b1","CollectionID":"3dafd82","ID":"99d202f1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a2543183","DataModelID":651628815408562176,"Ranges":{"ce6a9547":{"Section":"21","Block":"b1","CollectionID":"a2543183","ID":"ce6a9547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77155f87","DataModelID":651628815408562176,"Ranges":{"febeb8a8":{"Section":"21","Block":"b1","CollectionID":"77155f87","ID":"febeb8a8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95bcfc04","DataModelID":651628815408562176,"Ranges":{"ebdfdc2a":{"Section":"21","Block":"b1","CollectionID":"95bcfc04","ID":"ebdfdc2a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9d30b189","DataModelID":651628815408562176,"Ranges":{"a2d11990":{"Section":"21","Block":"b1","CollectionID":"9d30b189","ID":"a2d11990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ff9a4a22","DataModelID":651628815408562176,"Ranges":{"1a0bdd8":{"Section":"21","Block":"b1","CollectionID":"ff9a4a22","ID":"1a0bdd8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e2313723","DataModelID":651628815408562176,"Ranges":{"79a5d741":{"Section":"21","Block":"b1","CollectionID":"e2313723","ID":"79a5d741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dbb62ac","DataModelID":651628815408562176,"Ranges":{"f7f7b594":{"Section":"21","Block":"b1","CollectionID":"dbb62ac","ID":"f7f7b594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291658a6","DataModelID":651628815408562176,"Ranges":{"15e75e90":{"Section":"21","Block":"b1","CollectionID":"291658a6","ID":"15e75e90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45a68be6","DataModelID":651628815408562176,"Ranges":{"51d7ed2":{"Section":"21","Block":"b1","CollectionID":"45a68be6","ID":"51d7ed2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bc0b631f","DataModelID":651628815408562176,"Ranges":{"4b8ee68f":{"Section":"21","Block":"b1","CollectionID":"bc0b631f","ID":"4b8ee68f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40868344","DataModelID":651628815408562176,"Ranges":{"a7041819":{"Section":"21","Block":"b1","CollectionID":"40868344","ID":"a7041819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57ff3c5c","DataModelID":651628815408562176,"Ranges":{"90911d2":{"Section":"21","Block":"b1","CollectionID":"57ff3c5c","ID":"90911d2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9e78d742","DataModelID":651628815408562176,"Ranges":{"649494c7":{"Section":"21","Block":"b1","CollectionID":"9e78d742","ID":"649494c7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8a756bfa","DataModelID":651628815408562176,"Ranges":{"56e2d431":{"Section":"21","Block":"b1","CollectionID":"8a756bfa","ID":"56e2d431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c7ca8125","DataModelID":651628815408562176,"Ranges":{"459b4722":{"Section":"21","Block":"b1","CollectionID":"c7ca8125","ID":"459b4722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a70ee6d4","DataModelID":651628815408562176,"Ranges":{"7c21f594":{"Section":"21","Block":"b1","CollectionID":"a70ee6d4","ID":"7c21f594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45a2c098","DataModelID":651628815408562176,"Ranges":{"d7ee9ecf":{"Section":"21","Block":"b1","CollectionID":"45a2c098","ID":"d7ee9ecf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c188772d","DataModelID":651628815408562176,"Ranges":{"e1f6038e":{"Section":"21","Block":"b1","CollectionID":"c188772d","ID":"e1f6038e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d473dda5","DataModelID":651628815408562176,"Ranges":{"be73f130":{"Section":"21","Block":"b1","CollectionID":"d473dda5","ID":"be73f130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6440cd15","DataModelID":651628815408562176,"Ranges":{"8f99ecfc":{"Section":"21","Block":"b1","CollectionID":"6440cd15","ID":"8f99ecfc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2fa74e2f","DataModelID":651628815408562176,"Ranges":{"d18f123c":{"Section":"21","Block":"b1","CollectionID":"2fa74e2f","ID":"d18f123c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520737ae","DataModelID":651628815408562176,"Ranges":{"5afd7b5f":{"Section":"21","Block":"b1","CollectionID":"520737ae","ID":"5afd7b5f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af80e54b","DataModelID":651628815408562176,"Ranges":{"39b8cedb":{"Section":"21","Block":"b1","CollectionID":"af80e54b","ID":"39b8cedb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c53d5a9c","DataModelID":651628815408562176,"Ranges":{"18f56db4":{"Section":"21","Block":"b1","CollectionID":"c53d5a9c","ID":"18f56db4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21","Block":"b1","ID":"3f58301c","DataModelID":651628815408562176,"Ranges":{"5ee176a3":{"Section":"21","Block":"b1","CollectionID":"3f58301c","ID":"5ee176a3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128c5cf4","DataModelID":651628815408562176,"Ranges":{"7d1b11c3":{"Section":"22","Block":"b1","CollectionID":"128c5cf4","ID":"7d1b11c3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7257a301","DataModelID":651628815408562176,"Ranges":{"467a5bd7":{"Section":"22","Block":"b1","CollectionID":"7257a301","ID":"467a5bd7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f7c487f1","DataModelID":651628815408562176,"Ranges":{"59d48dfd":{"Section":"22","Block":"b1","CollectionID":"f7c487f1","ID":"59d48dfd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b86de290","DataModelID":651628815408562176,"Ranges":{"bc82cb20":{"Section":"22","Block":"b1","CollectionID":"b86de290","ID":"bc82cb20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d311276a","DataModelID":651628815408562176,"Ranges":{"e9a821b4":{"Section":"22","Block":"b1","CollectionID":"d311276a","ID":"e9a821b4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234cfc33","DataModelID":651628815408562176,"Ranges":{"b1b31604":{"Section":"22","Block":"b1","CollectionID":"234cfc33","ID":"b1b31604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a7fe8b1c","DataModelID":651628815408562176,"Ranges":{"e10cc7c9":{"Section":"22","Block":"b1","CollectionID":"a7fe8b1c","ID":"e10cc7c9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6f7218c2","DataModelID":651628815408562176,"Ranges":{"fba327da":{"Section":"22","Block":"b1","CollectionID":"6f7218c2","ID":"fba327da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40b3e82f","DataModelID":651628815408562176,"Ranges":{"98770050":{"Section":"22","Block":"b1","CollectionID":"40b3e82f","ID":"98770050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47aa2bbe","DataModelID":651628815408562176,"Ranges":{"fc222f32":{"Section":"22","Block":"b1","CollectionID":"47aa2bbe","ID":"fc222f32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42f5089c","DataModelID":651628815408562176,"Ranges":{"b9ca0ca6":{"Section":"22","Block":"b1","CollectionID":"42f5089c","ID":"b9ca0ca6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ffb55807","DataModelID":651628815408562176,"Ranges":{"f7aca821":{"Section":"22","Block":"b1","CollectionID":"ffb55807","ID":"f7aca821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434219da","DataModelID":651628815408562176,"Ranges":{"db1f32f4":{"Section":"22","Block":"b1","CollectionID":"434219da","ID":"db1f32f4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b6f35ec1","DataModelID":651628815408562176,"Ranges":{"7e458189":{"Section":"22","Block":"b1","CollectionID":"b6f35ec1","ID":"7e458189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efab2592","DataModelID":651628815408562176,"Ranges":{"59a0aab6":{"Section":"22","Block":"b1","CollectionID":"efab2592","ID":"59a0aab6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9318c34f","DataModelID":651628815408562176,"Ranges":{"2333e730":{"Section":"22","Block":"b1","CollectionID":"9318c34f","ID":"2333e730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1078c260","DataModelID":651628815408562176,"Ranges":{"a6b78c87":{"Section":"22","Block":"b1","CollectionID":"1078c260","ID":"a6b78c87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d98c80c8","DataModelID":651628815408562176,"Ranges":{"62658a66":{"Section":"22","Block":"b1","CollectionID":"d98c80c8","ID":"62658a66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8ca2cdd3","DataModelID":651628815408562176,"Ranges":{"b6840e42":{"Section":"22","Block":"b1","CollectionID":"8ca2cdd3","ID":"b6840e42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2c505e7f","DataModelID":651628815408562176,"Ranges":{"87770549":{"Section":"22","Block":"b1","CollectionID":"2c505e7f","ID":"87770549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67cd827d","DataModelID":651628815408562176,"Ranges":{"e5eed439":{"Section":"22","Block":"b1","CollectionID":"67cd827d","ID":"e5eed439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b3a88175","DataModelID":651628815408562176,"Ranges":{"24c12e16":{"Section":"22","Block":"b1","CollectionID":"b3a88175","ID":"24c12e16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45566f81","DataModelID":651628815408562176,"Ranges":{"58bfc23c":{"Section":"22","Block":"b1","CollectionID":"45566f81","ID":"58bfc23c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79fde331","DataModelID":651628815408562176,"Ranges":{"750a47a3":{"Section":"22","Block":"b1","CollectionID":"79fde331","ID":"750a47a3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224cc0e7","DataModelID":651628815408562176,"Ranges":{"e40effc9":{"Section":"22","Block":"b1","CollectionID":"224cc0e7","ID":"e40effc9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22","Block":"b1","ID":"77ecdcb2","DataModelID":651628815408562176,"Ranges":{"969c0ab6":{"Section":"22","Block":"b1","CollectionID":"77ecdcb2","ID":"969c0ab6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465ff5be","DataModelID":651628815408562176,"Ranges":{"6f24ac21":{"Section":"23","Block":"b1","CollectionID":"465ff5be","ID":"6f24ac21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f08807d9","DataModelID":651628815408562176,"Ranges":{"c0d467a7":{"Section":"23","Block":"b1","CollectionID":"f08807d9","ID":"c0d467a7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7a2db363","DataModelID":651628815408562176,"Ranges":{"eed8cd1c":{"Section":"23","Block":"b1","CollectionID":"7a2db363","ID":"eed8cd1c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f9dce73c","DataModelID":651628815408562176,"Ranges":{"3bc87e73":{"Section":"23","Block":"b1","CollectionID":"f9dce73c","ID":"3bc87e73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7343d46","DataModelID":651628815408562176,"Ranges":{"de921ec9":{"Section":"23","Block":"b1","CollectionID":"7343d46","ID":"de921ec9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db9e34fa","DataModelID":651628815408562176,"Ranges":{"9beffe3c":{"Section":"23","Block":"b1","CollectionID":"db9e34fa","ID":"9beffe3c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f9d21559","DataModelID":651628815408562176,"Ranges":{"431610ae":{"Section":"23","Block":"b1","CollectionID":"f9d21559","ID":"431610ae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8d9060ff","DataModelID":651628815408562176,"Ranges":{"325710e1":{"Section":"23","Block":"b1","CollectionID":"8d9060ff","ID":"325710e1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7b427f5d","DataModelID":651628815408562176,"Ranges":{"b38ab5e5":{"Section":"23","Block":"b1","CollectionID":"7b427f5d","ID":"b38ab5e5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8d36ff5d","DataModelID":651628815408562176,"Ranges":{"e20ec11d":{"Section":"23","Block":"b1","CollectionID":"8d36ff5d","ID":"e20ec11d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f20d1063","DataModelID":651628815408562176,"Ranges":{"f89d64bb":{"Section":"23","Block":"b1","CollectionID":"f20d1063","ID":"f89d64bb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30e24cbb","DataModelID":651628815408562176,"Ranges":{"6443654a":{"Section":"23","Block":"b1","CollectionID":"30e24cbb","ID":"6443654a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3c8405b6","DataModelID":651628815408562176,"Ranges":{"d0baa5e5":{"Section":"23","Block":"b1","CollectionID":"3c8405b6","ID":"d0baa5e5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ca554734","DataModelID":651628815408562176,"Ranges":{"2dec81be":{"Section":"23","Block":"b1","CollectionID":"ca554734","ID":"2dec81be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4af3534","DataModelID":651628815408562176,"Ranges":{"869efc0c":{"Section":"23","Block":"b1","CollectionID":"4af3534","ID":"869efc0c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84bbda40","DataModelID":651628815408562176,"Ranges":{"37ce955f":{"Section":"23","Block":"b1","CollectionID":"84bbda40","ID":"37ce955f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837845a","DataModelID":651628815408562176,"Ranges":{"ca7ef91b":{"Section":"23","Block":"b1","CollectionID":"837845a","ID":"ca7ef91b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bf631b1a","DataModelID":651628815408562176,"Ranges":{"42a7f61f":{"Section":"23","Block":"b1","CollectionID":"bf631b1a","ID":"42a7f61f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5578c403","DataModelID":651628815408562176,"Ranges":{"5a1e53b5":{"Section":"23","Block":"b1","CollectionID":"5578c403","ID":"5a1e53b5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1ff77c35","DataModelID":651628815408562176,"Ranges":{"f841b78c":{"Section":"23","Block":"b1","CollectionID":"1ff77c35","ID":"f841b78c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80aea078","DataModelID":651628815408562176,"Ranges":{"9de1274f":{"Section":"23","Block":"b1","CollectionID":"80aea078","ID":"9de1274f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fa846874","DataModelID":651628815408562176,"Ranges":{"234db83b":{"Section":"23","Block":"b1","CollectionID":"fa846874","ID":"234db83b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d915db0","DataModelID":651628815408562176,"Ranges":{"4dccbb95":{"Section":"23","Block":"b1","CollectionID":"d915db0","ID":"4dccbb95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7573215f","DataModelID":651628815408562176,"Ranges":{"28396398":{"Section":"23","Block":"b1","CollectionID":"7573215f","ID":"28396398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d2682aa6","DataModelID":651628815408562176,"Ranges":{"44566653":{"Section":"23","Block":"b1","CollectionID":"d2682aa6","ID":"44566653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23","Block":"b1","ID":"3f5a3fe8","DataModelID":651628815408562176,"Ranges":{"43992da0":{"Section":"23","Block":"b1","CollectionID":"3f5a3fe8","ID":"43992da0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1233eea9","DataModelID":651628815408562176,"Ranges":{"8eddb20c":{"Section":"24","Block":"b1","CollectionID":"1233eea9","ID":"8eddb20c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8ad9bb18","DataModelID":651628815408562176,"Ranges":{"880ac7f":{"Section":"24","Block":"b1","CollectionID":"8ad9bb18","ID":"880ac7f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d532e371","DataModelID":651628815408562176,"Ranges":{"eca1ae45":{"Section":"24","Block":"b1","CollectionID":"d532e371","ID":"eca1ae45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584a0ed4","DataModelID":651628815408562176,"Ranges":{"3026a1bf":{"Section":"24","Block":"b1","CollectionID":"584a0ed4","ID":"3026a1bf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ce32f4a1","DataModelID":651628815408562176,"Ranges":{"a09179f1":{"Section":"24","Block":"b1","CollectionID":"ce32f4a1","ID":"a09179f1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e7e6569f","DataModelID":651628815408562176,"Ranges":{"79ea659f":{"Section":"24","Block":"b1","CollectionID":"e7e6569f","ID":"79ea659f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1e595c42","DataModelID":651628815408562176,"Ranges":{"d8008b00":{"Section":"24","Block":"b1","CollectionID":"1e595c42","ID":"d8008b00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63a55a04","DataModelID":651628815408562176,"Ranges":{"a0594900":{"Section":"24","Block":"b1","CollectionID":"63a55a04","ID":"a0594900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d9e76e4c","DataModelID":651628815408562176,"Ranges":{"b969df3b":{"Section":"24","Block":"b1","CollectionID":"d9e76e4c","ID":"b969df3b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94c863ca","DataModelID":651628815408562176,"Ranges":{"c1e510fa":{"Section":"24","Block":"b1","CollectionID":"94c863ca","ID":"c1e510fa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3467f545","DataModelID":651628815408562176,"Ranges":{"8ef24e3":{"Section":"24","Block":"b1","CollectionID":"3467f545","ID":"8ef24e3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f391865d","DataModelID":651628815408562176,"Ranges":{"7637e8ae":{"Section":"24","Block":"b1","CollectionID":"f391865d","ID":"7637e8ae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4ebc02d0","DataModelID":651628815408562176,"Ranges":{"ff7febc4":{"Section":"24","Block":"b1","CollectionID":"4ebc02d0","ID":"ff7febc4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bcd99317","DataModelID":651628815408562176,"Ranges":{"39455d02":{"Section":"24","Block":"b1","CollectionID":"bcd99317","ID":"39455d02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886a3144","DataModelID":651628815408562176,"Ranges":{"37987575":{"Section":"24","Block":"b1","CollectionID":"886a3144","ID":"37987575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15ee5ed0","DataModelID":651628815408562176,"Ranges":{"9a08ea15":{"Section":"24","Block":"b1","CollectionID":"15ee5ed0","ID":"9a08ea15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14897f0f","DataModelID":651628815408562176,"Ranges":{"b09cecdd":{"Section":"24","Block":"b1","CollectionID":"14897f0f","ID":"b09cecdd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2d99dc41","DataModelID":651628815408562176,"Ranges":{"d032276d":{"Section":"24","Block":"b1","CollectionID":"2d99dc41","ID":"d032276d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d8bb7878","DataModelID":651628815408562176,"Ranges":{"4dbce0dd":{"Section":"24","Block":"b1","CollectionID":"d8bb7878","ID":"4dbce0dd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4af4897a","DataModelID":651628815408562176,"Ranges":{"8a49604c":{"Section":"24","Block":"b1","CollectionID":"4af4897a","ID":"8a49604c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d4b6e186","DataModelID":651628815408562176,"Ranges":{"59236fba":{"Section":"24","Block":"b1","CollectionID":"d4b6e186","ID":"59236fba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7060df4e","DataModelID":651628815408562176,"Ranges":{"93284892":{"Section":"24","Block":"b1","CollectionID":"7060df4e","ID":"93284892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82a94460","DataModelID":651628815408562176,"Ranges":{"ba92d490":{"Section":"24","Block":"b1","CollectionID":"82a94460","ID":"ba92d490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fe1d5c1e","DataModelID":651628815408562176,"Ranges":{"33dbca68":{"Section":"24","Block":"b1","CollectionID":"fe1d5c1e","ID":"33dbca68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d83369d9","DataModelID":651628815408562176,"Ranges":{"7654a918":{"Section":"24","Block":"b1","CollectionID":"d83369d9","ID":"7654a918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24","Block":"b1","ID":"852697c5","DataModelID":651628815408562176,"Ranges":{"c07a9213":{"Section":"24","Block":"b1","CollectionID":"852697c5","ID":"c07a9213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e4ae8f4","DataModelID":651628815408562176,"Ranges":{"e8d3073d":{"Section":"25","Block":"b1","CollectionID":"e4ae8f4","ID":"e8d3073d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ae6dbf16","DataModelID":651628815408562176,"Ranges":{"cf34f997":{"Section":"25","Block":"b1","CollectionID":"ae6dbf16","ID":"cf34f997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e4de3b0f","DataModelID":651628815408562176,"Ranges":{"fe918f48":{"Section":"25","Block":"b1","CollectionID":"e4de3b0f","ID":"fe918f48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58464c9c","DataModelID":651628815408562176,"Ranges":{"57ffb5dd":{"Section":"25","Block":"b1","CollectionID":"58464c9c","ID":"57ffb5dd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c58eeb1f","DataModelID":651628815408562176,"Ranges":{"440d36d9":{"Section":"25","Block":"b1","CollectionID":"c58eeb1f","ID":"440d36d9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2ba25c4","DataModelID":651628815408562176,"Ranges":{"ad7bb9e5":{"Section":"25","Block":"b1","CollectionID":"2ba25c4","ID":"ad7bb9e5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6a8d9c4e","DataModelID":651628815408562176,"Ranges":{"3171f564":{"Section":"25","Block":"b1","CollectionID":"6a8d9c4e","ID":"3171f564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22011848","DataModelID":651628815408562176,"Ranges":{"4a85666":{"Section":"25","Block":"b1","CollectionID":"22011848","ID":"4a85666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3692ff71","DataModelID":651628815408562176,"Ranges":{"ffb00f93":{"Section":"25","Block":"b1","CollectionID":"3692ff71","ID":"ffb00f93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d486bf67","DataModelID":651628815408562176,"Ranges":{"1d9fb737":{"Section":"25","Block":"b1","CollectionID":"d486bf67","ID":"1d9fb737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2f942c01","DataModelID":651628815408562176,"Ranges":{"a2f13449":{"Section":"25","Block":"b1","CollectionID":"2f942c01","ID":"a2f13449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d026268d","DataModelID":651628815408562176,"Ranges":{"6e511e42":{"Section":"25","Block":"b1","CollectionID":"d026268d","ID":"6e511e42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e11d023e","DataModelID":651628815408562176,"Ranges":{"b6f0e61a":{"Section":"25","Block":"b1","CollectionID":"e11d023e","ID":"b6f0e61a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d033af19","DataModelID":651628815408562176,"Ranges":{"9f4ccc6e":{"Section":"25","Block":"b1","CollectionID":"d033af19","ID":"9f4ccc6e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5f75a51c","DataModelID":651628815408562176,"Ranges":{"c49b84fc":{"Section":"25","Block":"b1","CollectionID":"5f75a51c","ID":"c49b84fc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b2e5daf1","DataModelID":651628815408562176,"Ranges":{"ad72f88c":{"Section":"25","Block":"b1","CollectionID":"b2e5daf1","ID":"ad72f88c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bbbba129","DataModelID":651628815408562176,"Ranges":{"14063bd7":{"Section":"25","Block":"b1","CollectionID":"bbbba129","ID":"14063bd7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ffff55a2","DataModelID":651628815408562176,"Ranges":{"f890c6c":{"Section":"25","Block":"b1","CollectionID":"ffff55a2","ID":"f890c6c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92e74053","DataModelID":651628815408562176,"Ranges":{"9173ae92":{"Section":"25","Block":"b1","CollectionID":"92e74053","ID":"9173ae92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921820f0","DataModelID":651628815408562176,"Ranges":{"872a2a90":{"Section":"25","Block":"b1","CollectionID":"921820f0","ID":"872a2a90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323b1e74","DataModelID":651628815408562176,"Ranges":{"aaddcfbb":{"Section":"25","Block":"b1","CollectionID":"323b1e74","ID":"aaddcfbb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9530c203","DataModelID":651628815408562176,"Ranges":{"844a9cf8":{"Section":"25","Block":"b1","CollectionID":"9530c203","ID":"844a9cf8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f5267b80","DataModelID":651628815408562176,"Ranges":{"59eb68b0":{"Section":"25","Block":"b1","CollectionID":"f5267b80","ID":"59eb68b0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7b5cdbb2","DataModelID":651628815408562176,"Ranges":{"2d337093":{"Section":"25","Block":"b1","CollectionID":"7b5cdbb2","ID":"2d337093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6282e60b","DataModelID":651628815408562176,"Ranges":{"7e9c610":{"Section":"25","Block":"b1","CollectionID":"6282e60b","ID":"7e9c610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25","Block":"b1","ID":"7d79e001","DataModelID":651628815408562176,"Ranges":{"2a7cad09":{"Section":"25","Block":"b1","CollectionID":"7d79e001","ID":"2a7cad09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6df642db","DataModelID":651628815408562176,"Ranges":{"b666f668":{"Section":"26","Block":"b1","CollectionID":"6df642db","ID":"b666f668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644505e0","DataModelID":651628815408562176,"Ranges":{"9dc9035b":{"Section":"26","Block":"b1","CollectionID":"644505e0","ID":"9dc9035b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5f4c5edd","DataModelID":651628815408562176,"Ranges":{"3c0887d":{"Section":"26","Block":"b1","CollectionID":"5f4c5edd","ID":"3c0887d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bbf62285","DataModelID":651628815408562176,"Ranges":{"10093f32":{"Section":"26","Block":"b1","CollectionID":"bbf62285","ID":"10093f32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12d4e6b5","DataModelID":651628815408562176,"Ranges":{"3b4e2f6a":{"Section":"26","Block":"b1","CollectionID":"12d4e6b5","ID":"3b4e2f6a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c40579a8","DataModelID":651628815408562176,"Ranges":{"b4ff7a81":{"Section":"26","Block":"b1","CollectionID":"c40579a8","ID":"b4ff7a81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6ec4ade9","DataModelID":651628815408562176,"Ranges":{"d4ecdbf2":{"Section":"26","Block":"b1","CollectionID":"6ec4ade9","ID":"d4ecdbf2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56924235","DataModelID":651628815408562176,"Ranges":{"fd959aa8":{"Section":"26","Block":"b1","CollectionID":"56924235","ID":"fd959aa8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17b290cc","DataModelID":651628815408562176,"Ranges":{"f76e5508":{"Section":"26","Block":"b1","CollectionID":"17b290cc","ID":"f76e5508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3d23eab5","DataModelID":651628815408562176,"Ranges":{"2d5c28af":{"Section":"26","Block":"b1","CollectionID":"3d23eab5","ID":"2d5c28af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5af8120f","DataModelID":651628815408562176,"Ranges":{"1f026232":{"Section":"26","Block":"b1","CollectionID":"5af8120f","ID":"1f026232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4b7ff65c","DataModelID":651628815408562176,"Ranges":{"cecb4650":{"Section":"26","Block":"b1","CollectionID":"4b7ff65c","ID":"cecb4650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d2a5f46e","DataModelID":651628815408562176,"Ranges":{"91c4a2fc":{"Section":"26","Block":"b1","CollectionID":"d2a5f46e","ID":"91c4a2fc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665b546f","DataModelID":651628815408562176,"Ranges":{"b7256fe":{"Section":"26","Block":"b1","CollectionID":"665b546f","ID":"b7256fe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c1044d12","DataModelID":651628815408562176,"Ranges":{"33c9c987":{"Section":"26","Block":"b1","CollectionID":"c1044d12","ID":"33c9c987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9a58ea8a","DataModelID":651628815408562176,"Ranges":{"279f5090":{"Section":"26","Block":"b1","CollectionID":"9a58ea8a","ID":"279f5090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3d90767b","DataModelID":651628815408562176,"Ranges":{"1219103d":{"Section":"26","Block":"b1","CollectionID":"3d90767b","ID":"1219103d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16307a09","DataModelID":651628815408562176,"Ranges":{"2c9a1076":{"Section":"26","Block":"b1","CollectionID":"16307a09","ID":"2c9a1076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a94eff19","DataModelID":651628815408562176,"Ranges":{"7f33374f":{"Section":"26","Block":"b1","CollectionID":"a94eff19","ID":"7f33374f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57120fe2","DataModelID":651628815408562176,"Ranges":{"402c4adf":{"Section":"26","Block":"b1","CollectionID":"57120fe2","ID":"402c4adf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ccf630e0","DataModelID":651628815408562176,"Ranges":{"81731626":{"Section":"26","Block":"b1","CollectionID":"ccf630e0","ID":"81731626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316f45eb","DataModelID":651628815408562176,"Ranges":{"8c353f08":{"Section":"26","Block":"b1","CollectionID":"316f45eb","ID":"8c353f08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d685c40","DataModelID":651628815408562176,"Ranges":{"e17e86c0":{"Section":"26","Block":"b1","CollectionID":"d685c40","ID":"e17e86c0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bcc7f610","DataModelID":651628815408562176,"Ranges":{"40119aef":{"Section":"26","Block":"b1","CollectionID":"bcc7f610","ID":"40119aef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5776f0d4","DataModelID":651628815408562176,"Ranges":{"8506e4d8":{"Section":"26","Block":"b1","CollectionID":"5776f0d4","ID":"8506e4d8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26","Block":"b1","ID":"daedeb56","DataModelID":651628815408562176,"Ranges":{"f51dfb03":{"Section":"26","Block":"b1","CollectionID":"daedeb56","ID":"f51dfb03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1b8256f1","DataModelID":651628815408562176,"Ranges":{"ce2adcbd":{"Section":"27","Block":"b1","CollectionID":"1b8256f1","ID":"ce2adcbd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be130571","DataModelID":651628815408562176,"Ranges":{"6bb0d09":{"Section":"27","Block":"b1","CollectionID":"be130571","ID":"6bb0d09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eb500d4d","DataModelID":651628815408562176,"Ranges":{"979c5a51":{"Section":"27","Block":"b1","CollectionID":"eb500d4d","ID":"979c5a51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c65cb4b3","DataModelID":651628815408562176,"Ranges":{"c69f173f":{"Section":"27","Block":"b1","CollectionID":"c65cb4b3","ID":"c69f173f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9a15f14b","DataModelID":651628815408562176,"Ranges":{"37484cd9":{"Section":"27","Block":"b1","CollectionID":"9a15f14b","ID":"37484cd9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34556c95","DataModelID":651628815408562176,"Ranges":{"6ae46966":{"Section":"27","Block":"b1","CollectionID":"34556c95","ID":"6ae46966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56476c91","DataModelID":651628815408562176,"Ranges":{"ece76122":{"Section":"27","Block":"b1","CollectionID":"56476c91","ID":"ece76122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d2801b2a","DataModelID":651628815408562176,"Ranges":{"fb58428d":{"Section":"27","Block":"b1","CollectionID":"d2801b2a","ID":"fb58428d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f16eb4b1","DataModelID":651628815408562176,"Ranges":{"85e4a73c":{"Section":"27","Block":"b1","CollectionID":"f16eb4b1","ID":"85e4a73c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aa610905","DataModelID":651628815408562176,"Ranges":{"2d6a0b43":{"Section":"27","Block":"b1","CollectionID":"aa610905","ID":"2d6a0b43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b676cc6e","DataModelID":651628815408562176,"Ranges":{"b05fd21c":{"Section":"27","Block":"b1","CollectionID":"b676cc6e","ID":"b05fd21c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daa9dbc1","DataModelID":651628815408562176,"Ranges":{"d899c8a2":{"Section":"27","Block":"b1","CollectionID":"daa9dbc1","ID":"d899c8a2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af509398","DataModelID":651628815408562176,"Ranges":{"a397e4eb":{"Section":"27","Block":"b1","CollectionID":"af509398","ID":"a397e4eb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9e69173e","DataModelID":651628815408562176,"Ranges":{"7a45810a":{"Section":"27","Block":"b1","CollectionID":"9e69173e","ID":"7a45810a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564f6ca4","DataModelID":651628815408562176,"Ranges":{"d321b8ee":{"Section":"27","Block":"b1","CollectionID":"564f6ca4","ID":"d321b8ee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ea515a55","DataModelID":651628815408562176,"Ranges":{"9dd74bce":{"Section":"27","Block":"b1","CollectionID":"ea515a55","ID":"9dd74bce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fb1f932f","DataModelID":651628815408562176,"Ranges":{"145f17db":{"Section":"27","Block":"b1","CollectionID":"fb1f932f","ID":"145f17db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f0c09a3a","DataModelID":651628815408562176,"Ranges":{"fca12d6a":{"Section":"27","Block":"b1","CollectionID":"f0c09a3a","ID":"fca12d6a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b2ed2504","DataModelID":651628815408562176,"Ranges":{"c86bfb20":{"Section":"27","Block":"b1","CollectionID":"b2ed2504","ID":"c86bfb20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dde8d234","DataModelID":651628815408562176,"Ranges":{"d387d0c1":{"Section":"27","Block":"b1","CollectionID":"dde8d234","ID":"d387d0c1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11c5f520","DataModelID":651628815408562176,"Ranges":{"93d516a3":{"Section":"27","Block":"b1","CollectionID":"11c5f520","ID":"93d516a3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e61e96","DataModelID":651628815408562176,"Ranges":{"66ea8a28":{"Section":"27","Block":"b1","CollectionID":"e61e96","ID":"66ea8a28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1ffd82ca","DataModelID":651628815408562176,"Ranges":{"4f474236":{"Section":"27","Block":"b1","CollectionID":"1ffd82ca","ID":"4f474236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e8f8d4e6","DataModelID":651628815408562176,"Ranges":{"b1d6bdcd":{"Section":"27","Block":"b1","CollectionID":"e8f8d4e6","ID":"b1d6bdcd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3f60568c","DataModelID":651628815408562176,"Ranges":{"dbe3a4dd":{"Section":"27","Block":"b1","CollectionID":"3f60568c","ID":"dbe3a4dd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27","Block":"b1","ID":"6bf14912","DataModelID":651628815408562176,"Ranges":{"c4b0ae99":{"Section":"27","Block":"b1","CollectionID":"6bf14912","ID":"c4b0ae99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71711870","DataModelID":651628815408562176,"Ranges":{"da81e746":{"Section":"28","Block":"b1","CollectionID":"71711870","ID":"da81e746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2ba85b60","DataModelID":651628815408562176,"Ranges":{"5efb0c92":{"Section":"28","Block":"b1","CollectionID":"2ba85b60","ID":"5efb0c92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84be301","DataModelID":651628815408562176,"Ranges":{"17443f03":{"Section":"28","Block":"b1","CollectionID":"84be301","ID":"17443f03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cf7f4287","DataModelID":651628815408562176,"Ranges":{"706aa6b4":{"Section":"28","Block":"b1","CollectionID":"cf7f4287","ID":"706aa6b4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980f6a65","DataModelID":651628815408562176,"Ranges":{"f51f5d93":{"Section":"28","Block":"b1","CollectionID":"980f6a65","ID":"f51f5d93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e78d978","DataModelID":651628815408562176,"Ranges":{"8164b19f":{"Section":"28","Block":"b1","CollectionID":"e78d978","ID":"8164b19f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d0ab1a72","DataModelID":651628815408562176,"Ranges":{"abf91da1":{"Section":"28","Block":"b1","CollectionID":"d0ab1a72","ID":"abf91da1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b081bdfc","DataModelID":651628815408562176,"Ranges":{"19012ad9":{"Section":"28","Block":"b1","CollectionID":"b081bdfc","ID":"19012ad9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3c038026","DataModelID":651628815408562176,"Ranges":{"4980322f":{"Section":"28","Block":"b1","CollectionID":"3c038026","ID":"4980322f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53199468","DataModelID":651628815408562176,"Ranges":{"20209b60":{"Section":"28","Block":"b1","CollectionID":"53199468","ID":"20209b60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484a756f","DataModelID":651628815408562176,"Ranges":{"a0ad192a":{"Section":"28","Block":"b1","CollectionID":"484a756f","ID":"a0ad192a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5f3c08db","DataModelID":651628815408562176,"Ranges":{"3ccaeb55":{"Section":"28","Block":"b1","CollectionID":"5f3c08db","ID":"3ccaeb55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b5a23e68","DataModelID":651628815408562176,"Ranges":{"2be343b6":{"Section":"28","Block":"b1","CollectionID":"b5a23e68","ID":"2be343b6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bfeb7961","DataModelID":651628815408562176,"Ranges":{"5c4ac75":{"Section":"28","Block":"b1","CollectionID":"bfeb7961","ID":"5c4ac75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926f98cc","DataModelID":651628815408562176,"Ranges":{"6aa498fa":{"Section":"28","Block":"b1","CollectionID":"926f98cc","ID":"6aa498fa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e287446d","DataModelID":651628815408562176,"Ranges":{"fc46a647":{"Section":"28","Block":"b1","CollectionID":"e287446d","ID":"fc46a647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84553c08","DataModelID":651628815408562176,"Ranges":{"56c46a1d":{"Section":"28","Block":"b1","CollectionID":"84553c08","ID":"56c46a1d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d2a64fbb","DataModelID":651628815408562176,"Ranges":{"be8c668a":{"Section":"28","Block":"b1","CollectionID":"d2a64fbb","ID":"be8c668a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8402cd28","DataModelID":651628815408562176,"Ranges":{"fc059b65":{"Section":"28","Block":"b1","CollectionID":"8402cd28","ID":"fc059b65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f987d30e","DataModelID":651628815408562176,"Ranges":{"49ba72cf":{"Section":"28","Block":"b1","CollectionID":"f987d30e","ID":"49ba72cf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9187c23","DataModelID":651628815408562176,"Ranges":{"9ca54131":{"Section":"28","Block":"b1","CollectionID":"9187c23","ID":"9ca54131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26560170","DataModelID":651628815408562176,"Ranges":{"2e772bb0":{"Section":"28","Block":"b1","CollectionID":"26560170","ID":"2e772bb0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1b215419","DataModelID":651628815408562176,"Ranges":{"e42010f4":{"Section":"28","Block":"b1","CollectionID":"1b215419","ID":"e42010f4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46fde485","DataModelID":651628815408562176,"Ranges":{"753d901d":{"Section":"28","Block":"b1","CollectionID":"46fde485","ID":"753d901d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53a1f5e6","DataModelID":651628815408562176,"Ranges":{"40ce74b9":{"Section":"28","Block":"b1","CollectionID":"53a1f5e6","ID":"40ce74b9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28","Block":"b1","ID":"738e2f8c","DataModelID":651628815408562176,"Ranges":{"e9b0514d":{"Section":"28","Block":"b1","CollectionID":"738e2f8c","ID":"e9b0514d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4e8805f6","DataModelID":651628815408562176,"Ranges":{"a8592589":{"Section":"29","Block":"b1","CollectionID":"4e8805f6","ID":"a8592589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778593c2","DataModelID":651628815408562176,"Ranges":{"d7bb05b4":{"Section":"29","Block":"b1","CollectionID":"778593c2","ID":"d7bb05b4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62f2f46f","DataModelID":651628815408562176,"Ranges":{"a119a1af":{"Section":"29","Block":"b1","CollectionID":"62f2f46f","ID":"a119a1af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d4bba008","DataModelID":651628815408562176,"Ranges":{"fd431985":{"Section":"29","Block":"b1","CollectionID":"d4bba008","ID":"fd431985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9419155a","DataModelID":651628815408562176,"Ranges":{"e0f3cf50":{"Section":"29","Block":"b1","CollectionID":"9419155a","ID":"e0f3cf50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5446d56b","DataModelID":651628815408562176,"Ranges":{"1a0bd3eb":{"Section":"29","Block":"b1","CollectionID":"5446d56b","ID":"1a0bd3eb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e12bf481","DataModelID":651628815408562176,"Ranges":{"c00f6ac3":{"Section":"29","Block":"b1","CollectionID":"e12bf481","ID":"c00f6ac3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93fddcae","DataModelID":651628815408562176,"Ranges":{"a93a555c":{"Section":"29","Block":"b1","CollectionID":"93fddcae","ID":"a93a555c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ff3803a8","DataModelID":651628815408562176,"Ranges":{"5e1f50ea":{"Section":"29","Block":"b1","CollectionID":"ff3803a8","ID":"5e1f50ea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f684d0f8","DataModelID":651628815408562176,"Ranges":{"c3f861ef":{"Section":"29","Block":"b1","CollectionID":"f684d0f8","ID":"c3f861ef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803e4302","DataModelID":651628815408562176,"Ranges":{"ad4c8bef":{"Section":"29","Block":"b1","CollectionID":"803e4302","ID":"ad4c8bef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4ce698ac","DataModelID":651628815408562176,"Ranges":{"a7968542":{"Section":"29","Block":"b1","CollectionID":"4ce698ac","ID":"a7968542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8bb3e16b","DataModelID":651628815408562176,"Ranges":{"2965a82e":{"Section":"29","Block":"b1","CollectionID":"8bb3e16b","ID":"2965a82e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500f2da6","DataModelID":651628815408562176,"Ranges":{"658a58b2":{"Section":"29","Block":"b1","CollectionID":"500f2da6","ID":"658a58b2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289185d9","DataModelID":651628815408562176,"Ranges":{"8b2f4298":{"Section":"29","Block":"b1","CollectionID":"289185d9","ID":"8b2f4298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268151b8","DataModelID":651628815408562176,"Ranges":{"f4d10944":{"Section":"29","Block":"b1","CollectionID":"268151b8","ID":"f4d10944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d9ce470d","DataModelID":651628815408562176,"Ranges":{"9980542e":{"Section":"29","Block":"b1","CollectionID":"d9ce470d","ID":"9980542e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d34f3475","DataModelID":651628815408562176,"Ranges":{"365ed10e":{"Section":"29","Block":"b1","CollectionID":"d34f3475","ID":"365ed10e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d2745249","DataModelID":651628815408562176,"Ranges":{"dee8083f":{"Section":"29","Block":"b1","CollectionID":"d2745249","ID":"dee8083f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f484fd52","DataModelID":651628815408562176,"Ranges":{"3836404d":{"Section":"29","Block":"b1","CollectionID":"f484fd52","ID":"3836404d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fb633f84","DataModelID":651628815408562176,"Ranges":{"9d215137":{"Section":"29","Block":"b1","CollectionID":"fb633f84","ID":"9d215137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6666dee1","DataModelID":651628815408562176,"Ranges":{"7ad53ee4":{"Section":"29","Block":"b1","CollectionID":"6666dee1","ID":"7ad53ee4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3cf97554","DataModelID":651628815408562176,"Ranges":{"3242a88a":{"Section":"29","Block":"b1","CollectionID":"3cf97554","ID":"3242a88a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31be3d20","DataModelID":651628815408562176,"Ranges":{"510e1cfb":{"Section":"29","Block":"b1","CollectionID":"31be3d20","ID":"510e1cfb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230aef2a","DataModelID":651628815408562176,"Ranges":{"5971ae98":{"Section":"29","Block":"b1","CollectionID":"230aef2a","ID":"5971ae98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29","Block":"b1","ID":"5a5d5563","DataModelID":651628815408562176,"Ranges":{"6f842456":{"Section":"29","Block":"b1","CollectionID":"5a5d5563","ID":"6f842456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e1a9d7fc","DataModelID":651628815408562176,"Ranges":{"3e090a05":{"Section":"30","Block":"b1","CollectionID":"e1a9d7fc","ID":"3e090a05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840203e2","DataModelID":651628815408562176,"Ranges":{"fa2e6bc4":{"Section":"30","Block":"b1","CollectionID":"840203e2","ID":"fa2e6bc4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6369c92a","DataModelID":651628815408562176,"Ranges":{"c9b568bb":{"Section":"30","Block":"b1","CollectionID":"6369c92a","ID":"c9b568bb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f44fca06","DataModelID":651628815408562176,"Ranges":{"2a5e7a50":{"Section":"30","Block":"b1","CollectionID":"f44fca06","ID":"2a5e7a50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4fdc1d1e","DataModelID":651628815408562176,"Ranges":{"1dea5664":{"Section":"30","Block":"b1","CollectionID":"4fdc1d1e","ID":"1dea5664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6ec30320","DataModelID":651628815408562176,"Ranges":{"bcf3c65d":{"Section":"30","Block":"b1","CollectionID":"6ec30320","ID":"bcf3c65d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2cbf490d","DataModelID":651628815408562176,"Ranges":{"39148033":{"Section":"30","Block":"b1","CollectionID":"2cbf490d","ID":"39148033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ed03d4cd","DataModelID":651628815408562176,"Ranges":{"902d31f8":{"Section":"30","Block":"b1","CollectionID":"ed03d4cd","ID":"902d31f8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1c23d3db","DataModelID":651628815408562176,"Ranges":{"d06d7cc5":{"Section":"30","Block":"b1","CollectionID":"1c23d3db","ID":"d06d7cc5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d08e1ae2","DataModelID":651628815408562176,"Ranges":{"e06a33f0":{"Section":"30","Block":"b1","CollectionID":"d08e1ae2","ID":"e06a33f0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5bac64bd","DataModelID":651628815408562176,"Ranges":{"187df249":{"Section":"30","Block":"b1","CollectionID":"5bac64bd","ID":"187df249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1ecf1cc6","DataModelID":651628815408562176,"Ranges":{"18083e4e":{"Section":"30","Block":"b1","CollectionID":"1ecf1cc6","ID":"18083e4e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8bf2f2d","DataModelID":651628815408562176,"Ranges":{"a52bbfa8":{"Section":"30","Block":"b1","CollectionID":"8bf2f2d","ID":"a52bbfa8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b94678f0","DataModelID":651628815408562176,"Ranges":{"4f35229d":{"Section":"30","Block":"b1","CollectionID":"b94678f0","ID":"4f35229d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67f46480","DataModelID":651628815408562176,"Ranges":{"dd8f59a9":{"Section":"30","Block":"b1","CollectionID":"67f46480","ID":"dd8f59a9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265415be","DataModelID":651628815408562176,"Ranges":{"c981b278":{"Section":"30","Block":"b1","CollectionID":"265415be","ID":"c981b278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6a9b2349","DataModelID":651628815408562176,"Ranges":{"b1781ae6":{"Section":"30","Block":"b1","CollectionID":"6a9b2349","ID":"b1781ae6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66ba9c5d","DataModelID":651628815408562176,"Ranges":{"68fc5bc0":{"Section":"30","Block":"b1","CollectionID":"66ba9c5d","ID":"68fc5bc0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4e4c5d03","DataModelID":651628815408562176,"Ranges":{"645b8546":{"Section":"30","Block":"b1","CollectionID":"4e4c5d03","ID":"645b8546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9f59249e","DataModelID":651628815408562176,"Ranges":{"354620e4":{"Section":"30","Block":"b1","CollectionID":"9f59249e","ID":"354620e4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66eef2ec","DataModelID":651628815408562176,"Ranges":{"28a89267":{"Section":"30","Block":"b1","CollectionID":"66eef2ec","ID":"28a89267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91e5a5cd","DataModelID":651628815408562176,"Ranges":{"50731537":{"Section":"30","Block":"b1","CollectionID":"91e5a5cd","ID":"50731537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af4c9b87","DataModelID":651628815408562176,"Ranges":{"a4c5062a":{"Section":"30","Block":"b1","CollectionID":"af4c9b87","ID":"a4c5062a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4daa3d1c","DataModelID":651628815408562176,"Ranges":{"a39976cb":{"Section":"30","Block":"b1","CollectionID":"4daa3d1c","ID":"a39976cb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12246bdb","DataModelID":651628815408562176,"Ranges":{"838bbdf9":{"Section":"30","Block":"b1","CollectionID":"12246bdb","ID":"838bbdf9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30","Block":"b1","ID":"152da97e","DataModelID":651628815408562176,"Ranges":{"51e28864":{"Section":"30","Block":"b1","CollectionID":"152da97e","ID":"51e28864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eae0e5ee","DataModelID":651628815408562176,"Ranges":{"7f3d916f":{"Section":"31","Block":"b1","CollectionID":"eae0e5ee","ID":"7f3d916f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4c27c796","DataModelID":651628815408562176,"Ranges":{"6f86856e":{"Section":"31","Block":"b1","CollectionID":"4c27c796","ID":"6f86856e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a85d68d2","DataModelID":651628815408562176,"Ranges":{"834bbfca":{"Section":"31","Block":"b1","CollectionID":"a85d68d2","ID":"834bbfca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a0cc2c8c","DataModelID":651628815408562176,"Ranges":{"16413c16":{"Section":"31","Block":"b1","CollectionID":"a0cc2c8c","ID":"16413c16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362b636e","DataModelID":651628815408562176,"Ranges":{"80095f6f":{"Section":"31","Block":"b1","CollectionID":"362b636e","ID":"80095f6f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95c497d","DataModelID":651628815408562176,"Ranges":{"d2dc0d9":{"Section":"31","Block":"b1","CollectionID":"95c497d","ID":"d2dc0d9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68d37a3b","DataModelID":651628815408562176,"Ranges":{"14d7e1ea":{"Section":"31","Block":"b1","CollectionID":"68d37a3b","ID":"14d7e1ea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504b48da","DataModelID":651628815408562176,"Ranges":{"4f3b0baa":{"Section":"31","Block":"b1","CollectionID":"504b48da","ID":"4f3b0baa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7e0b6190","DataModelID":651628815408562176,"Ranges":{"6351b0e3":{"Section":"31","Block":"b1","CollectionID":"7e0b6190","ID":"6351b0e3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408eb45b","DataModelID":651628815408562176,"Ranges":{"f3947504":{"Section":"31","Block":"b1","CollectionID":"408eb45b","ID":"f3947504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d098751c","DataModelID":651628815408562176,"Ranges":{"34459a6":{"Section":"31","Block":"b1","CollectionID":"d098751c","ID":"34459a6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1e842d85","DataModelID":651628815408562176,"Ranges":{"1721f9fc":{"Section":"31","Block":"b1","CollectionID":"1e842d85","ID":"1721f9fc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8c3d243d","DataModelID":651628815408562176,"Ranges":{"bf0cf493":{"Section":"31","Block":"b1","CollectionID":"8c3d243d","ID":"bf0cf493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1fa08013","DataModelID":651628815408562176,"Ranges":{"b6826797":{"Section":"31","Block":"b1","CollectionID":"1fa08013","ID":"b6826797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cde31eba","DataModelID":651628815408562176,"Ranges":{"f241fae1":{"Section":"31","Block":"b1","CollectionID":"cde31eba","ID":"f241fae1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6ef80f7a","DataModelID":651628815408562176,"Ranges":{"df3ab840":{"Section":"31","Block":"b1","CollectionID":"6ef80f7a","ID":"df3ab840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f7ab39a9","DataModelID":651628815408562176,"Ranges":{"2f6417b6":{"Section":"31","Block":"b1","CollectionID":"f7ab39a9","ID":"2f6417b6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8509720f","DataModelID":651628815408562176,"Ranges":{"a8959a3c":{"Section":"31","Block":"b1","CollectionID":"8509720f","ID":"a8959a3c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a1536146","DataModelID":651628815408562176,"Ranges":{"85c85571":{"Section":"31","Block":"b1","CollectionID":"a1536146","ID":"85c85571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9f05ceb8","DataModelID":651628815408562176,"Ranges":{"a44d6599":{"Section":"31","Block":"b1","CollectionID":"9f05ceb8","ID":"a44d6599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cefa68f0","DataModelID":651628815408562176,"Ranges":{"f52b70c3":{"Section":"31","Block":"b1","CollectionID":"cefa68f0","ID":"f52b70c3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e820753a","DataModelID":651628815408562176,"Ranges":{"8a032b17":{"Section":"31","Block":"b1","CollectionID":"e820753a","ID":"8a032b17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8209523b","DataModelID":651628815408562176,"Ranges":{"42427a83":{"Section":"31","Block":"b1","CollectionID":"8209523b","ID":"42427a83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4566ce70","DataModelID":651628815408562176,"Ranges":{"b2a80993":{"Section":"31","Block":"b1","CollectionID":"4566ce70","ID":"b2a80993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3919e8e1","DataModelID":651628815408562176,"Ranges":{"28501c5c":{"Section":"31","Block":"b1","CollectionID":"3919e8e1","ID":"28501c5c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31","Block":"b1","ID":"b71c7b21","DataModelID":651628815408562176,"Ranges":{"2883a225":{"Section":"31","Block":"b1","CollectionID":"b71c7b21","ID":"2883a225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bucc","Block":"b1","ID":"a6d7c308","DataModelID":651628815408562176,"Ranges":{"e8b5d717":{"Section":"bucc","Block":"b1","CollectionID":"a6d7c308","ID":"e8b5d717","DataModelID":651628815408562176,"Dimension":3,"DynamicExpression":"H4sIAAAAAAAEAK1Ry2rDMBD8lbKnFlyw5PhR3UycgqF2SxNyKT0o9oYKZDlIctsQ/O+VcEJ9yKn0trM7uzPDnkD1LRpgbyeosNuhLltg9ySAAi0XElgSk4RmGYkXYRYnlKSJm4nO06IAcmu12A0WL2vPB9Tc9hrYQxj+wlwLewRGfG+JUr7iHjWqBmveITCA4Czv8Rq5bj42x4ObOH7tHPrzdCpfuFu0pWrx20uOwdw5ISSlNElJlIZxuqBRlP1DlDk6J/GtvwaJrwSh43sAkhs7I5leW3TlnkuDzqoWUhb9l5oEzCW1+54apJwRnpB/4pW56FAZ0St/3/kpuOWVk5MeT5Qtl4OPURar9XJVF3m9Wd8+amxRi+amwlbwOxh/AGFRT/I2AgAA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2ed70d0","DataModelID":651628815408562176,"Ranges":{"4e088e3e":{"Section":"32","Block":"B1","CollectionID":"2ed70d0","ID":"4e088e3e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e14354f9","DataModelID":651628815408562176,"Ranges":{"96afc604":{"Section":"32","Block":"B1","CollectionID":"e14354f9","ID":"96afc604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af93d814","DataModelID":651628815408562176,"Ranges":{"8b7a53b6":{"Section":"32","Block":"B1","CollectionID":"af93d814","ID":"8b7a53b6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31f4027c","DataModelID":651628815408562176,"Ranges":{"af37d2ca":{"Section":"32","Block":"B1","CollectionID":"31f4027c","ID":"af37d2ca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3e3e36c8","DataModelID":651628815408562176,"Ranges":{"16e15cbe":{"Section":"32","Block":"B1","CollectionID":"3e3e36c8","ID":"16e15cbe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59ece441","DataModelID":651628815408562176,"Ranges":{"48c53c0f":{"Section":"32","Block":"B1","CollectionID":"59ece441","ID":"48c53c0f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7d8c1bc0","DataModelID":651628815408562176,"Ranges":{"e14a5775":{"Section":"32","Block":"B1","CollectionID":"7d8c1bc0","ID":"e14a5775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c3aad184","DataModelID":651628815408562176,"Ranges":{"7a0a783d":{"Section":"32","Block":"B1","CollectionID":"c3aad184","ID":"7a0a783d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2aa8d386","DataModelID":651628815408562176,"Ranges":{"37637f21":{"Section":"32","Block":"B1","CollectionID":"2aa8d386","ID":"37637f21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99840447","DataModelID":651628815408562176,"Ranges":{"a4a1abc3":{"Section":"32","Block":"B1","CollectionID":"99840447","ID":"a4a1abc3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ecdd1971","DataModelID":651628815408562176,"Ranges":{"35469bf":{"Section":"32","Block":"B1","CollectionID":"ecdd1971","ID":"35469bf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2f130658","DataModelID":651628815408562176,"Ranges":{"6b68f009":{"Section":"32","Block":"B1","CollectionID":"2f130658","ID":"6b68f009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410f9877","DataModelID":651628815408562176,"Ranges":{"dabaf5c8":{"Section":"32","Block":"B1","CollectionID":"410f9877","ID":"dabaf5c8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7e45a0a6","DataModelID":651628815408562176,"Ranges":{"b3fee5cf":{"Section":"32","Block":"B1","CollectionID":"7e45a0a6","ID":"b3fee5cf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7263118b","DataModelID":651628815408562176,"Ranges":{"73936d80":{"Section":"32","Block":"B1","CollectionID":"7263118b","ID":"73936d80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ea22c914","DataModelID":651628815408562176,"Ranges":{"ea3ed7e5":{"Section":"32","Block":"B1","CollectionID":"ea22c914","ID":"ea3ed7e5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5e6e6631","DataModelID":651628815408562176,"Ranges":{"8d7afacf":{"Section":"32","Block":"B1","CollectionID":"5e6e6631","ID":"8d7afacf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15b29a19","DataModelID":651628815408562176,"Ranges":{"7b48f52f":{"Section":"32","Block":"B1","CollectionID":"15b29a19","ID":"7b48f52f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3602eee1","DataModelID":651628815408562176,"Ranges":{"8a3cdb33":{"Section":"32","Block":"B1","CollectionID":"3602eee1","ID":"8a3cdb33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6d21f121","DataModelID":651628815408562176,"Ranges":{"acf0b221":{"Section":"32","Block":"B1","CollectionID":"6d21f121","ID":"acf0b221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f93aa83","DataModelID":651628815408562176,"Ranges":{"cb2a81db":{"Section":"32","Block":"B1","CollectionID":"f93aa83","ID":"cb2a81db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d6510127","DataModelID":651628815408562176,"Ranges":{"30f87a68":{"Section":"32","Block":"B1","CollectionID":"d6510127","ID":"30f87a68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510b8dcf","DataModelID":651628815408562176,"Ranges":{"aeb98fd5":{"Section":"32","Block":"B1","CollectionID":"510b8dcf","ID":"aeb98fd5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337daf46","DataModelID":651628815408562176,"Ranges":{"baaedc93":{"Section":"32","Block":"B1","CollectionID":"337daf46","ID":"baaedc93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e52b5182","DataModelID":651628815408562176,"Ranges":{"868b236":{"Section":"32","Block":"B1","CollectionID":"e52b5182","ID":"868b236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32","Block":"B1","ID":"bcec9826","DataModelID":651628815408562176,"Ranges":{"7f07a8b4":{"Section":"32","Block":"B1","CollectionID":"bcec9826","ID":"7f07a8b4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75646687","DataModelID":651628815408562176,"Ranges":{"bb0f6694":{"Section":"33","Block":"B1","CollectionID":"75646687","ID":"bb0f6694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73dcd8a","DataModelID":651628815408562176,"Ranges":{"f2cb0780":{"Section":"33","Block":"B1","CollectionID":"73dcd8a","ID":"f2cb0780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940f9fb0","DataModelID":651628815408562176,"Ranges":{"8aa441a9":{"Section":"33","Block":"B1","CollectionID":"940f9fb0","ID":"8aa441a9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cf5d6ac4","DataModelID":651628815408562176,"Ranges":{"e08918b2":{"Section":"33","Block":"B1","CollectionID":"cf5d6ac4","ID":"e08918b2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6ce22635","DataModelID":651628815408562176,"Ranges":{"f958dae2":{"Section":"33","Block":"B1","CollectionID":"6ce22635","ID":"f958dae2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80c0c995","DataModelID":651628815408562176,"Ranges":{"80a54d77":{"Section":"33","Block":"B1","CollectionID":"80c0c995","ID":"80a54d77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c6e13c54","DataModelID":651628815408562176,"Ranges":{"1e18ba3b":{"Section":"33","Block":"B1","CollectionID":"c6e13c54","ID":"1e18ba3b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b2414e7a","DataModelID":651628815408562176,"Ranges":{"d51248be":{"Section":"33","Block":"B1","CollectionID":"b2414e7a","ID":"d51248be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80f5c690","DataModelID":651628815408562176,"Ranges":{"21d6928f":{"Section":"33","Block":"B1","CollectionID":"80f5c690","ID":"21d6928f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8a321d44","DataModelID":651628815408562176,"Ranges":{"db24b5cc":{"Section":"33","Block":"B1","CollectionID":"8a321d44","ID":"db24b5cc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6059d58c","DataModelID":651628815408562176,"Ranges":{"eda4106f":{"Section":"33","Block":"B1","CollectionID":"6059d58c","ID":"eda4106f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6c5798af","DataModelID":651628815408562176,"Ranges":{"92bb3bc7":{"Section":"33","Block":"B1","CollectionID":"6c5798af","ID":"92bb3bc7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5eefb4b0","DataModelID":651628815408562176,"Ranges":{"a461ca46":{"Section":"33","Block":"B1","CollectionID":"5eefb4b0","ID":"a461ca46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495981db","DataModelID":651628815408562176,"Ranges":{"e61d16f5":{"Section":"33","Block":"B1","CollectionID":"495981db","ID":"e61d16f5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7658ed0b","DataModelID":651628815408562176,"Ranges":{"acd2803b":{"Section":"33","Block":"B1","CollectionID":"7658ed0b","ID":"acd2803b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66631a9c","DataModelID":651628815408562176,"Ranges":{"7a578f4f":{"Section":"33","Block":"B1","CollectionID":"66631a9c","ID":"7a578f4f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b0bb6c7e","DataModelID":651628815408562176,"Ranges":{"77fe0010":{"Section":"33","Block":"B1","CollectionID":"b0bb6c7e","ID":"77fe0010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13585574","DataModelID":651628815408562176,"Ranges":{"cb659f36":{"Section":"33","Block":"B1","CollectionID":"13585574","ID":"cb659f36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34622495","DataModelID":651628815408562176,"Ranges":{"779a31bb":{"Section":"33","Block":"B1","CollectionID":"34622495","ID":"779a31bb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ef2954da","DataModelID":651628815408562176,"Ranges":{"2a7ea8ba":{"Section":"33","Block":"B1","CollectionID":"ef2954da","ID":"2a7ea8ba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7284fa1c","DataModelID":651628815408562176,"Ranges":{"e9d6088":{"Section":"33","Block":"B1","CollectionID":"7284fa1c","ID":"e9d6088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35e71361","DataModelID":651628815408562176,"Ranges":{"855e5dee":{"Section":"33","Block":"B1","CollectionID":"35e71361","ID":"855e5dee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33095bb9","DataModelID":651628815408562176,"Ranges":{"fb43cde0":{"Section":"33","Block":"B1","CollectionID":"33095bb9","ID":"fb43cde0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65b58f10","DataModelID":651628815408562176,"Ranges":{"640852ad":{"Section":"33","Block":"B1","CollectionID":"65b58f10","ID":"640852ad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a7fcdcf9","DataModelID":651628815408562176,"Ranges":{"e0adf66d":{"Section":"33","Block":"B1","CollectionID":"a7fcdcf9","ID":"e0adf66d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33","Block":"B1","ID":"3f4190b1","DataModelID":651628815408562176,"Ranges":{"349f2325":{"Section":"33","Block":"B1","CollectionID":"3f4190b1","ID":"349f2325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cd53cc5e","DataModelID":651628815408562176,"Ranges":{"5ce505de":{"Section":"34","Block":"B1","CollectionID":"cd53cc5e","ID":"5ce505de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c470519f","DataModelID":651628815408562176,"Ranges":{"d6c21d57":{"Section":"34","Block":"B1","CollectionID":"c470519f","ID":"d6c21d57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60e70552","DataModelID":651628815408562176,"Ranges":{"75e7086a":{"Section":"34","Block":"B1","CollectionID":"60e70552","ID":"75e7086a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1ed832e5","DataModelID":651628815408562176,"Ranges":{"d7adcfab":{"Section":"34","Block":"B1","CollectionID":"1ed832e5","ID":"d7adcfab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cfa374c6","DataModelID":651628815408562176,"Ranges":{"d708978c":{"Section":"34","Block":"B1","CollectionID":"cfa374c6","ID":"d708978c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318ac1fc","DataModelID":651628815408562176,"Ranges":{"78ee4d39":{"Section":"34","Block":"B1","CollectionID":"318ac1fc","ID":"78ee4d39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662d2959","DataModelID":651628815408562176,"Ranges":{"1fbe195":{"Section":"34","Block":"B1","CollectionID":"662d2959","ID":"1fbe195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70efb944","DataModelID":651628815408562176,"Ranges":{"a0464db":{"Section":"34","Block":"B1","CollectionID":"70efb944","ID":"a0464db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8c0d97c3","DataModelID":651628815408562176,"Ranges":{"597aec80":{"Section":"34","Block":"B1","CollectionID":"8c0d97c3","ID":"597aec80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8e89ae99","DataModelID":651628815408562176,"Ranges":{"675e0a1d":{"Section":"34","Block":"B1","CollectionID":"8e89ae99","ID":"675e0a1d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6d73e84e","DataModelID":651628815408562176,"Ranges":{"2bba91b8":{"Section":"34","Block":"B1","CollectionID":"6d73e84e","ID":"2bba91b8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214ffd64","DataModelID":651628815408562176,"Ranges":{"875a92dd":{"Section":"34","Block":"B1","CollectionID":"214ffd64","ID":"875a92dd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d4cfa4c7","DataModelID":651628815408562176,"Ranges":{"51594bb9":{"Section":"34","Block":"B1","CollectionID":"d4cfa4c7","ID":"51594bb9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e0ca7473","DataModelID":651628815408562176,"Ranges":{"53132589":{"Section":"34","Block":"B1","CollectionID":"e0ca7473","ID":"53132589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f8f1b002","DataModelID":651628815408562176,"Ranges":{"dd871faa":{"Section":"34","Block":"B1","CollectionID":"f8f1b002","ID":"dd871faa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6fbd9a3f","DataModelID":651628815408562176,"Ranges":{"8dfe8ede":{"Section":"34","Block":"B1","CollectionID":"6fbd9a3f","ID":"8dfe8ede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c4bd57b9","DataModelID":651628815408562176,"Ranges":{"31896ad8":{"Section":"34","Block":"B1","CollectionID":"c4bd57b9","ID":"31896ad8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f32f15f7","DataModelID":651628815408562176,"Ranges":{"a375c6af":{"Section":"34","Block":"B1","CollectionID":"f32f15f7","ID":"a375c6af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adc09f60","DataModelID":651628815408562176,"Ranges":{"19054c87":{"Section":"34","Block":"B1","CollectionID":"adc09f60","ID":"19054c87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81760a38","DataModelID":651628815408562176,"Ranges":{"8bfe8583":{"Section":"34","Block":"B1","CollectionID":"81760a38","ID":"8bfe8583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18b52191","DataModelID":651628815408562176,"Ranges":{"f8202f62":{"Section":"34","Block":"B1","CollectionID":"18b52191","ID":"f8202f62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d7e177d6","DataModelID":651628815408562176,"Ranges":{"da193c5d":{"Section":"34","Block":"B1","CollectionID":"d7e177d6","ID":"da193c5d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6d964109","DataModelID":651628815408562176,"Ranges":{"e83fb5e0":{"Section":"34","Block":"B1","CollectionID":"6d964109","ID":"e83fb5e0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5a2c192e","DataModelID":651628815408562176,"Ranges":{"ce712495":{"Section":"34","Block":"B1","CollectionID":"5a2c192e","ID":"ce712495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70d3d8b2","DataModelID":651628815408562176,"Ranges":{"8ce26cf4":{"Section":"34","Block":"B1","CollectionID":"70d3d8b2","ID":"8ce26cf4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34","Block":"B1","ID":"6a723fd5","DataModelID":651628815408562176,"Ranges":{"d72698ae":{"Section":"34","Block":"B1","CollectionID":"6a723fd5","ID":"d72698ae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2463a600","DataModelID":651628815408562176,"Ranges":{"d8b418a9":{"Section":"35","Block":"B1","CollectionID":"2463a600","ID":"d8b418a9","DataModelID":651628815408562176,"Dimension":1,"DynamicExpression":"H4sIAAAAAAAEAK1Ry07DMBD8FeQTSEGyozgkuRXSQ6U8EK16qTi4zVZYcpzKdoCqyr+zhlTkkBPitrMzu7NjX4juGrAk211ICe0ezKoh2T0LSA5OSEWymLM4TBLGI5rwOGQPMXKy9TJULZwzct87uI7VJzDCdQZZSukvXhjpzt/NgDyBUi9wBAP6AJVogWSEBKO/x2sQ5vC2OZ+QQX2FJ/r9Y/kscNCtdAOf3nMIpqczPDBNUhqGnKWcJyyK/iHLFI1JfOuvQdhMEDq8BkQJ6yYi2xkHWB6FsoCnGqlU3n3oHwN7TY3fp3ulJoICxDvM8LIFbWWnx/25cKJEO+Xx3ONshep9qMd6s6nLYrldFrcVuJu1UGDvyPAFNqYucz8CAAA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c1be672f","DataModelID":651628815408562176,"Ranges":{"e1a8f97f":{"Section":"35","Block":"B1","CollectionID":"c1be672f","ID":"e1a8f97f","DataModelID":651628815408562176,"Dimension":1,"DynamicExpression":"H4sIAAAAAAAEAK1Ry2rDMBD8laJTCy5IqvzAt7ROIWDHJTW5lB6UeNMIZDlIctoQ/O+VWof44FPpbWdnlpmRzki1NRiUvp1RAc0G9KJG6T0JUAaWC4nSKCQRTRISMpyEESVx5DjReJlTzazVYtNZuJyVB9DcttqxGOMrnmlhTz/LAD2BlCvYgQa1hSVvAKUIBYO/x6/A9XZfnQ6Ocfqlizj4+fGFu0O7UDV8ec8+GEcnJI4xow+UMMYwYwmm/9BljIYmfvXXInSiCOnfAyS5sSORabUFN+64NOCiaiFl1n6qXwNzae2+T3VSjgQ58CNM8KIBZUSrhsYZt7xwdtLjqcdZc9n5Uo9lVZVFPl/P89tnDeJjb29WcATVwR3qvwEub2RvRQ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1784bbd0","DataModelID":651628815408562176,"Ranges":{"e487be29":{"Section":"35","Block":"B1","CollectionID":"1784bbd0","ID":"e487be29","DataModelID":651628815408562176,"Dimension":1,"DynamicExpression":"H4sIAAAAAAAEAK1Ry26DMBD8lWpPrUQlG8Ij3NKSQyQIVYpyqXpwwkaxZExkm7RRxL/XbonKgVPV287O7M6OfQXZ1qghfbtCgc0O1aqG9JF6kKFhXEAahTTyk4SGM5KEkU/jyHK8cTKrWhij+K4zeBsrT6iYaZVlCSG/eKG4uXw3PXhGITZ4QIVyj2vWIKQA3uDv8CsytT9Wl5NlrH5tT3T7h/KF2UGzkjV+Os/eG59OaRyTmU/IfB4FfhD4CfmHLGM0JHGtvwahE0FI/+6BYNqMRLpVBm15YEKjPVVxIbL2Q/4Y6Ftq+32yE2IkyJGdcYLnDUrNWznsz5hhhbUTDk89zpaJzoV6KquqLPLldpnfl+aI6m6DZ5QdPkD/BRc6O6VDAgAA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457e3cc4","DataModelID":651628815408562176,"Ranges":{"b1ba5209":{"Section":"35","Block":"B1","CollectionID":"457e3cc4","ID":"b1ba5209","DataModelID":651628815408562176,"Dimension":1,"DynamicExpression":"H4sIAAAAAAAEAK1RsU7DMBD9F08gBclOGjfJVkiHSkmDIOqCGK7NVVhynMp2gKrKv2NDKjJkQmz37r27d8++ENU1aEj2ciEltnvUm4ZkdywgOVoQkmQ8ZjxMEhYvaBLzkC2540TrZU61slaLfW/xOladUIPttGMppb94pYU9fzcD8oBSPuERNaoDbqFFkhESjP4ePyPow1t9PjnG6bfuRL9/LB/BDdqNavDTew7B9HTGQh5FUcxSvqBRGi9T/g9ZpmhM4lt/DcJmgtDhNSASjJ2ITKctuvII0qA7VQsp8+5D/RiYa2r3faqXciIoEN5xhhctKiM6Ne7PwULp7KTHc4+zA9n7UPdVXVdlsd6ti5sSLGoB8pYMXxbB1Gs+AgAA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4fd870ff","DataModelID":651628815408562176,"Ranges":{"eb39965f":{"Section":"35","Block":"B1","CollectionID":"4fd870ff","ID":"eb39965f","DataModelID":651628815408562176,"Dimension":1,"DynamicExpression":"H4sIAAAAAAAEAK1RwU6DQBD9FbMnTTBZEBbKrUpNSKAYJb0YD9sytZssS7O7qE3DvztraeTQk/E2b96befN2j0R1DRiSvh5JCe0adN6Q9Nb3SAaWC0lSFvksSBI/CmkSscCPGXKidTJUza3VYt1bOI9Ve9DcdhpZSukvnmthDz9NjzyAlM+wBQ1qA0veAkkJ8UZ/h1+A682uPuyRQf0ST3T7x/KJ46DNVQNfznPwpqfjnXHs0+gumYUxC8IZo/+QZYrGJK711yD+hSB0ePOI5MZORKbTFrDccmkAT9VCyqz7VCcDc06N36d6KSeCAvgHXOBFC8qITo37M255iXbS4UuPs+Kyd6Huq7quymKxWhTXjxrE+85e5eqGDN8vlkuzQA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ab78af5d","DataModelID":651628815408562176,"Ranges":{"9b6eb4e6":{"Section":"35","Block":"B1","CollectionID":"ab78af5d","ID":"9b6eb4e6","DataModelID":651628815408562176,"Dimension":1,"DynamicExpression":"H4sIAAAAAAAEAK1Ry07DMBD8FbQnkILkNMR53AopUqWkQRD1gji4zZZacpzKdoCqyr9j01TkkBPitrMzu7Njn0C2NWpIX09QYLNBtawhvfU9yNAwLiCloU9nceyHdyQO6cyPqOV442RWNTdG8U1n8DJWHlAx0yrLEkJ+8Vxxc/xpevCAQjzjDhXKLa5Yg5ACeIO/wy/I1HZfHQ+WsfqVPdHtH8onZgfNUtb45Tx7b3y6vTOKfBLShIZBkgRxEvxDljEakrjWX4P4E0FI/+aBYNqMRLpVBm25Y0KjPVVxIbL2U54N9CW1/T7ZCTES5Mg+cILnDUrNWznsz5hhhbUTDk89zpqJzoW6L6uqLPLFepFfPyrk73tzVXbmBvpvSpp+WUECAAA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940862d3","DataModelID":651628815408562176,"Ranges":{"45b82b64":{"Section":"35","Block":"B1","CollectionID":"940862d3","ID":"45b82b64","DataModelID":651628815408562176,"Dimension":1,"DynamicExpression":"H4sIAAAAAAAEAK1RsW6DMBD9l5taiUrYFIewpSVDJAhVi7JEHZxwUSwZE9mmbRTx77UbojIwVd3u3Xvnd+98AdXWaCDdXqDAZod6VUP6QALI0HIhIWUxYTRJSPwYJjGjZMYcJxovc6qFtVrsOou3sfKEmttWOzYMw1+80MKef5oBPKOUr3hAjWqPa94gpADB4O/xG3K9P1bnk2Ocfu1W9O/Ta/nC3aBdqRq/vGcfjFcnhLIoimIyn5E4mUeU0X/IMkZDEt/6a5BoIgjt3wOQ3NiRyLTaoisPXBp0q2ohZdZ+qquBuaV236c6KUeCHPkHTvCiQWVEq4bEGbe8cHbS46njbLjsfKinsqrKIl9ulvldaY+o76H/Bkuxbeg7AgAA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da215141","DataModelID":651628815408562176,"Ranges":{"a152c297":{"Section":"35","Block":"B1","CollectionID":"da215141","ID":"a152c297","DataModelID":651628815408562176,"Dimension":1,"DynamicExpression":"H4sIAAAAAAAEAK1RQU7DMBD8SuUDAilIcVKHNLdCilQpaRCNekEcts0WLDlOZTtAVeXv2CUVOeSEuO3szO7s2Ccimwo1SV5OJMd6i2pZkeSWeiRFA1yQJGI0CuKYsqkfsyigd5HleO1kVjU3RvFta/AyVhxQgWmUZX3f/8Vzxc3x3PTIAwrxjHtUKHe4ghpJQojX+zu8RlC79/J4sIzVr+yJbn9fPoEdNEtZ4Zfz7Lzh6ZQGURiGjM5iNg19Fszif8gyRH0S1/prEDoSxO9ePSJAm4FIN8qgLfcgNNpTFRcibT7lj4G+pLbfJ1shBoIM4QNHeF6j1LyR/f4UDOTWTjg89jgbEK0LdV+UZZFni80iu16DAMVRT64mj4rLN9Q3pPsGUraz/kgCAAA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f61aadf5","DataModelID":651628815408562176,"Ranges":{"c5e2f6e8":{"Section":"35","Block":"B1","CollectionID":"f61aadf5","ID":"c5e2f6e8","DataModelID":651628815408562176,"Dimension":1,"DynamicExpression":"H4sIAAAAAAAEAK1Ry07DMBD8lcgHBFKQ7LQJaW6F5lCpD1SiXhAHt9kKSxsnsl1oVeXfWUMqcsgJcdvZnd2ZsS9M1yVYlr1e2BKqHZh5ybJ7EbIZOKmQZUkskihNRTzmaZxE4iGhmao8jVhT54zaHR1c19YNGOlqQ1PO+S+eGuXO382QPQHiBg5gQO9hJStgGWNhp+/xC0izfy/ODU2IvyKL/n5XPktadHNdwslrtmHfuhBRMhqNYjGZcD4eE/iPLH3UJfGtvwaJBoLw9i1kKK3rkWxtHFB5kGiBrBqFOKs/9Y+Avaam79NHxB5hAfIDBuaqAm1VrbvEM+nkkuTQ46HH2Uo8+lCP66JYLxf5Nl/cFoZuY3AT5FWD9Rkg2ABK8hnkp4bOg71j7RedYQZzWA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de128e10","DataModelID":651628815408562176,"Ranges":{"cfcdd196":{"Section":"35","Block":"B1","CollectionID":"de128e10","ID":"cfcdd196","DataModelID":651628815408562176,"Dimension":1,"DynamicExpression":"H4sIAAAAAAAEAK1Ry07DMBD8F59ACpKdt3IrTQ+VkgZB1AvisG22wpLjRLYDlCr/jg2pyCEnxG1nZ3Znx74Q2TWoSfZ8ISW2B1TbhmR3zCM5GuCCZHHEYj9NWRTSNIp9lsSW462TWdXKGMUPg8HrWNWjAtMpy1JKf/FKcXP+bnpkjUI84gkVyiPuoEWSEeJN/g4/Iajja33uLWP1O3ui2z+VD2AHzVY2+OE8R29+OguCOKXUDyllSZgEUZD+Q5Y5mpK41l+DBAtB6PjiEQHazES6UwZteQKh0Z6quBB59y5/DPQ1tf0+OQgxExQIb7jA8xal5p2cEudgoLR2wuGlx9mDGFyo+6quq7LY7DfFzRp6bkDwTzB20y0ZvwDTQCYhRA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31ecbf35","DataModelID":651628815408562176,"Ranges":{"c89c07a2":{"Section":"35","Block":"B1","CollectionID":"31ecbf35","ID":"c89c07a2","DataModelID":651628815408562176,"Dimension":1,"DynamicExpression":"H4sIAAAAAAAEAK1RwU6EMBD9FdOTJphQWCpyW4XDJrAYl+zFeOgus9qkFNIW3c2Gf3eqbOTAyXibN+/NvHntmai2BkOSlzMpoNmBXtUkuaUeScFyIUnCIsqCOKbRwo8jFtA7hpxonAxVS2u12PUWLmNlB5rbViPr+/4vXmphT99NjzyClM9wAA1qD2veAEkI8UZ/hzfA9f69OnXIoH6NJ7r9Y/nEcdCuVA1H5zl409MpDVgYhhG9j+OQsWgRsH/IMkVjEtf6axA6E8QfXj0iubETkWm1BSwPXBrAU7WQMm0/1Y+BuaTG71O9lBNBDvwDZnjRgDKiVeP+lFteoJ10eO5xtlz2LtRDWVVlkWfbLL/eYGih3q6yY4fLwNyQ4QtP64m/Rg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4dd24fb8","DataModelID":651628815408562176,"Ranges":{"59626dc3":{"Section":"35","Block":"B1","CollectionID":"4dd24fb8","ID":"59626dc3","DataModelID":651628815408562176,"Dimension":1,"DynamicExpression":"H4sIAAAAAAAEAK1RsW6DMBD9lcpTK1EJQzCULS0MkSBULcpSdXDCRbVkDLJNmyji33tuiMqQqep2797zvXvnE1FdA4akbydSQrsFvWpIek89koHlQpKURZQFSUKjhZ9ELKAxQ060ToaqpbVabAcLl2dVD5rbTiPr+/4vXmphjz9NjzyBlC+wBw1qB2veAkkJ8SZ/h1+B691HfeyRQf0aV3Tzp/KZ40O7Ug0cnOfozVenNGBhGEb0IQ5ZwhZx4v9DljmakrjWX4PQK0H88d0jkhs7E5lOW8Byz6UBXFULKbPuS50NzCU1fp8apJwJCuCfcIUXLSgjOjXNz7jlJdpJh68dZ8Pl4EI9VnVdlUW+yYvbTJjznXDOTX7ocSKYOzJ+AwFuoi5LAgAA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d01e05ee","DataModelID":651628815408562176,"Ranges":{"5e6bb599":{"Section":"35","Block":"B1","CollectionID":"d01e05ee","ID":"5e6bb599","DataModelID":651628815408562176,"Dimension":1,"DynamicExpression":"H4sIAAAAAAAEAK1RTU+EMBD9K6QHowkmLciH3FbhsAksxiV7MR66MMQmpWBb1M1m/7uty0YOnIy3efPezJvXHpHoG1AoeTmiAro9yHWDklviohQ0ZRwlYUBCL45JcIfjIPRIFBqOdVZmVCutJduPGi5j5QCS6l4aFmP8i1eS6cNP00WPwPkztCBB1LChHaAEIXfyt3gLVNZv1WEwjNFvzIl2/1Q+UTOo16KBL+t5cuenE+KFvu8H5D6K4hhHsYf/IcscTUls669BvIUg+PTqIk6VnolULzWYsqVcgTlVMs7T/lOcDdQltfk+MXI+E+RAP2CBZx0IxXoxJU6ppoWx4xYvPc6O8tGGeiirqizybJfl12Xbshqc7H1kg1mnnStnOw4DZ6Bu0OkbTYvBfVECAAA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c0e984d6","DataModelID":651628815408562176,"Ranges":{"a8053217":{"Section":"35","Block":"B1","CollectionID":"c0e984d6","ID":"a8053217","DataModelID":651628815408562176,"Dimension":1,"DynamicExpression":"H4sIAAAAAAAEAK1RsU7DMBD9FeQJpCDZCXFDtkIyVEobBFUXxHBNrsKS40S2A62q/Ds2pCJDJsR27967e/fsM1FtjYakr2eyxmaPelWT9JYFJEMLQpKUx4yHScLiO5rEPGQL7jjReJlTLa3VYt9bvIyVHWqwrXYspfQXL7Wwp+9mQB5Rymc8oEZV4QYaJCkhwejv8QuCrt63p84xTr9xJ/r9Y/kEbtCuVI1H7zkE09MZC3kURTG7X/CQRpTT5B+yTNGYxLf+GiSaCUKHt4BIMHYiMq226MoDSIPuVC2kzNpP9WNgLqnd96leyomgQPjAGV40qIxo1Zg4AwtrZyc9nnucHcjeh3oot9tyXeS7vLguq6rvQFWnq/zYuXVobsjwBabgUOBIAgAA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477bb485","DataModelID":651628815408562176,"Ranges":{"a009c2f6":{"Section":"35","Block":"B1","CollectionID":"477bb485","ID":"a009c2f6","DataModelID":651628815408562176,"Dimension":1,"DynamicExpression":"H4sIAAAAAAAEAK1Ry07DMBD8FeQTSEGy83Dd3ArpoVLSIBr1gji4yVZYcpzKdgpVlX/HhlTNoSfEbWdn1rOzPiPVNWBQ+nZGBbQ70KsGpY8kQBlYLiRKaUJoyBhJYswSGpIZdZxovcypFtZqsestXMbKA2huO+1YjPEVL7Swp59mgJ5BylfYgwZVw5q3gFKEgtHf4w1wXX9Up4NjnH7tVvTvj+ULd4N2pRr48p5DMF2dkJBGUZSQOcOM0Nk8Zv+QZYrGJL711yDxjSB4eA+Q5MZORKbTFly559KAW1ULKbPuU/0amEtq932ql3IiyIEf4QYvWlBGdGpMnHHLC2cnPb51nC2XvQ/1VFZVWeTL7TK/L3trRAN3G9BHUYN5QMM3V2YXB0YCAAA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35b5d324","DataModelID":651628815408562176,"Ranges":{"1a34fb37":{"Section":"35","Block":"B1","CollectionID":"35b5d324","ID":"1a34fb37","DataModelID":651628815408562176,"Dimension":1,"DynamicExpression":"H4sIAAAAAAAEAK1Ry26DMBD8lcinVqIS5mEIN1o4RIJQtSiXqgcnbBRLxiDbtIki/r12S1QOnKrednZmd3bsKxJdAwolb1dUQrsHuWlQ8oAdlIGmjKOEhJh4cYzDwI1D4uGIGI61VmZUqdaS7QcNt7GqB0l1Jw3ruu4vTiXTl++mg56A8xc4ggRxgC1tASUIOZO/xa9A5eFUX3rDGP3WnGj3T+UzNYN6Ixo4W8/RmZ+OsUd83w/xOoojvCZBQP4hyxxNSWzrr0HChSDu+O4gTpWeiVQnNZjySLkCc6pknGfdp/gxULfU5vvEwPlMUAD9gAWetSAU68SUOKOalsaOW7z0ODvKBxvqsarrqizyXV7cVfoEcpU2LROr/NybhXCPxi/dXC31SQ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dfd712e1","DataModelID":651628815408562176,"Ranges":{"ac3f8bcc":{"Section":"35","Block":"B1","CollectionID":"dfd712e1","ID":"ac3f8bcc","DataModelID":651628815408562176,"Dimension":1,"DynamicExpression":"H4sIAAAAAAAEAK1Ry07DMBD8lcoHBFKQ7DyckFshPVRKGgRRL4iD22zBkuNUtlOoqvw7dpuKHHJC3HZ3Zndm7BOSbQ0apW8nVECzAbWsUXpPPJSBYVyglEaE+klCohAnEfVJTC3GG0ezrLkxim86A9e1cg+KmVZZFGP8288VN8fz0ENPIMQL7ECB3MKKNYBShLxB3/WvwNT2szruLWL5K2vR3R/KZ2YXzVLW8O00e29snZA4xkFI/QDjMIoD+kD/Icu4G5K40V+D0IkguH/3kGDajEi6VQZsuWNCg7WquBBZ+yUvAvqa2n6f7IQYEXJgB5jAeQNS81YOiTNmWGHlxFlv4nHWTHQu1GNZVWWRL9aL/DYDzT/k7GaWwQFEu7cnzR3qfwBVijlrSg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1adb5f22","DataModelID":651628815408562176,"Ranges":{"df7afc01":{"Section":"35","Block":"B1","CollectionID":"1adb5f22","ID":"df7afc01","DataModelID":651628815408562176,"Dimension":1,"DynamicExpression":"H4sIAAAAAAAEAK1Ry07DMBD8FeQTSEGyE/JoboXkUClpEI16QRzcZissbZzIdqBVlX/HhlTk0BPitrMzu7Njn4nsGtAkfT2TEtodqFVD0nvmkQwMF0jSKGSRnyQsfKBJGPksjiwnWiezqqUxSuwGA5exqgfFTacsSyn9xUslzOm76ZEnQHyBAyiQe1jzFkhKiDf5O7wBrvbv9am3jNWv7Ylu/1Q+cztoVrKBo/McvfnpjPlREAQhWyQxo4kf+ot/yDJHUxLX+muQ+EoQOr55BLk2M5HulAFbHjhqsKcqgZh1n/LHQF9S2++TA+JMUAD/gCu8aEFq0ckpccYNL60dOnztcbYcBxfqsarrqizybV7cbnjbI9zkx97ugjsyfgGJOCx6RA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4a3482b1","DataModelID":651628815408562176,"Ranges":{"3eaed0e4":{"Section":"35","Block":"B1","CollectionID":"4a3482b1","ID":"3eaed0e4","DataModelID":651628815408562176,"Dimension":1,"DynamicExpression":"H4sIAAAAAAAEAK1RsU7DMBD9FeQJpCDZSeOm2QrpEClpEERdEIObXFVLjl3ZDlBV+XdsSEWGTIjt3r139+7ZFyRVCwalrxdUQrcHnbcovScBysAyLlBKY0LDJCHxAicxDcmSOo53XuZUa2s13/cWrmPVCTSzSjsWY/yL15rb83czQI8gxDMcQINsYMs6QClCwejv8Qsw3Rzr88kxTr91J/r9Y/nE3KDNZQuf3nMIpqcTEtIoimKyWoUxxcliGf1Dlikak/jWX4OQmSB4eAuQYMZOREZpC648MGHAnaq5EJn6kD8G5prafZ/shZgICmDvMMPzDqThSo77M2ZZ6eyEx3OPs2Oi96EeqrquymKz2xS3lT2Cvsllozq4Q8MXi3Z25EICAAA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fc6992bc","DataModelID":651628815408562176,"Ranges":{"cc8d7e77":{"Section":"35","Block":"B1","CollectionID":"fc6992bc","ID":"cc8d7e77","DataModelID":651628815408562176,"Dimension":1,"DynamicExpression":"H4sIAAAAAAAEAK1RsW6DMBD9lcpTK1HJhkKALS0MkSBULcpSdXDCRbFkDLJNmyjKv/fcEpWBqerke/ee792zz0R1DRiSvp1JCe0W9Koh6T3zSAaWC0nSKGSRH8csfKBxGPlsESEnWidD1dJaLbaDheu1qgfNbaeRpZT+4qUW9vTd9MgTSPkCe9CgdrDmLZCUEG/0d/gVuN4d6lOPDOrXuKKbP5bPHC/alWrg6Dwv3nR1xvwoCIKQJQme4YIl9B+yTNGYxLX+GoTNBKGXd49IbuxEZDptAcs9lwZwVS2kzLpP9WNgrqnx+9Qg5URQAP+AGV60oIzo1Dg/45aXaCcdnnucDZeDC/VY1XVVFvkmL24rewB9kx97HAV35PIFChovaEMCAAA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f4b14e47","DataModelID":651628815408562176,"Ranges":{"ac12cd07":{"Section":"35","Block":"B1","CollectionID":"f4b14e47","ID":"ac12cd07","DataModelID":651628815408562176,"Dimension":1,"DynamicExpression":"H4sIAAAAAAAEAK1RsW6DMBD9lchTK1EVo0ActqQwIEGoWpSl6uDAoVoyBhnTEkX8e4+UqAxMVbe7e8/33jtfiKoLaIn/diEJVCfQUUH8B2qRAAwXkvieSz2HMequbeZ6Dt14iIlqpCFrZ4wWp87A7VnagOam1ojatv3b77Qw5+vQIk8g5QuUoEHlcOAVEJ8Qa9If+1fgOv/Izg0iyD+gxXH/VD5zfGgiVUA/ag7W3Lq3pdRBx1vm2GzD2Jr9Q5R5NwUZR3/NQRdy2MO7RSRvzYzU1toAliWXLaBVLaQM6i/1I9DeQuPvqU7KGSEG/gkLuKhAtaJW0/6AG56gnLwebuE4Ry67MdQ+zbI0icNjGN9FKq8rWGW8X4V9g/vgcQ8KSmHuyfANTG4Ur08CAAA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9bec0d76","DataModelID":651628815408562176,"Ranges":{"b1059d04":{"Section":"35","Block":"B1","CollectionID":"9bec0d76","ID":"b1059d04","DataModelID":651628815408562176,"Dimension":1,"DynamicExpression":"H4sIAAAAAAAEAK1RTU+DQBD9K80ejCaYsHyHG0oPTaAYJb0YD1uYxk2WhSyLWhv+u7OVphw4GW/zZt7Me2/3RGRbQ0/i1xPJodmD2tQkvqcWSUEzLkgc+DRwooj6nh35gUPDAGe8MTRkJVorvh80XNaKDhTTrcKpbdtXnCiuj+emRR5BiGc4gAJZwZY1QGJCrEnf4Bdgqnovjx1OkL9Fi+b+VD4xXNQbWcOX0RytuXVKI8fzXMcNo9CNKPX84B+yzNGUxLT+GoQuBLHHN4sI1usZqW+VBiwPTPSAVhUXIm0/5a9Af0mN3ycHIWaEDNgHLMx5A7LnrZzup0yzHOWEwUuPs2NiMKEeirIs8my9W2e3KXQKKs403lndrJIGTfLvM7wj4w+Crw6dUQ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93b9e5f7","DataModelID":651628815408562176,"Ranges":{"3c9e4a18":{"Section":"35","Block":"B1","CollectionID":"93b9e5f7","ID":"3c9e4a18","DataModelID":651628815408562176,"Dimension":1,"DynamicExpression":"H4sIAAAAAAAEAK1RPU/DMBT8L55AClKcD5NmK6RDpaRBJeqCGNzkFSw5TmW/AFWV/45NU5EhE2J79+7su7PPRHUNGJK+nEkB7R70uiHpHfVIBsiFJCmLKQuShMaRn8QsoPfMcqJ1MqtaImqx7xGux8ojaI6dtqzv+794qQWefpYeeQQpt3AADaqGDW+BpIR4o7/Dz8B1/V6djpax+o2N6O4PLuMTtwdxrRr4cp6DN41O6SJ0cWnIokWUhEnC/qHLFI1N3OqvRcKZIsHw6hHJDU5EptMIdjxwacBG1ULKrPtUFwNzbW2/T/VSTgQ58A+Y4UULyohOjY0zjrywdtLhucfZcdm7Ug9lVZVFvtqt8pstGNR9jb0W6u2WDN+RxoGUQw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f78607f3","DataModelID":651628815408562176,"Ranges":{"c1eff593":{"Section":"35","Block":"B1","CollectionID":"f78607f3","ID":"c1eff593","DataModelID":651628815408562176,"Dimension":1,"DynamicExpression":"H4sIAAAAAAAEAK1Ry2rDMBD8lz214IJk4kd8S+scAnYcWpNL6UGJN1Qgy0GS24aQf++qcagPPpXednZmd3akM+iuQQvZ6xlKbHdoVg1kDzyAHJ2QCrI44nGYpjyasTSKQ57ExMnWy0i1cM7IXe/wNlYd0QjXGWIZY794YaQ7/TQDeEKlnvGABvUe16JFyACCwd/jFxRm/16fjsSQfk0n+v1DuRE06Fa6wS/veQnGp3M+D+OQDk3iJInSecRm/5BljIYkvvXXIHwiCLu8BaCEdSOR7YxDKg9CWaRTjVQq7z711cDeUtP36V6pkaBA8YETvGxRW9npYX8unCjJTnk89ThboXof6rGq66oslttlcbe5rriHyzcLk6MwPQ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c6ac6831","DataModelID":651628815408562176,"Ranges":{"18c0144c":{"Section":"35","Block":"B1","CollectionID":"c6ac6831","ID":"18c0144c","DataModelID":651628815408562176,"Dimension":1,"DynamicExpression":"H4sIAAAAAAAEAK1RsW6DMBD9lcpTK1EJ3BgIW1oYkCBULcpSdXDCRbVkDLJNmyjKv/fcEoWBqep27967e/fsE1FdA4YkbydSQrsFnTckuQ88koLlQpIkZEFI4zhgCz9mIQ2iEDnROhmqVtZqsR0sXMaqHjS3nUbW9/0rXmlhjz9NjzyBlC+wBw1qB2veAkkI8UZ/h1+B691HfeyRQf0aT3T7x/KZ46DNVQMH53n2pqcHlMWMUkaXfvSwjCMWL/4hyxSNSVzrr0HoTBD//O4RyY2diEynLWC559IAnqqFlGn3pX4NzCU1fp8apJwICuCfMMOLFpQRnRoTp9zyEu2kw3OPs+FycKEeq7quyiLbZMVtriwGNvYmO/S4De7I+RuOfX8PRgIAAA==","EnableZoom":false,"HierarchyIndenting":false,"ParentsOnBottom":false,"SortingOption":0,"Sorting":"","Order":0,"ZoomInParentMemberIds":[],"ZoomInBottomLevelParentMemberIds":[]}},"SuppressBlankRows":true,"SuppressZeroes":true,"EnableDataInput":false},{"Section":"35","Block":"B1","ID":"11484d5c","DataModelID":651628815408562176,"Ranges":{"38137558":{"Section":"35","Block":"B1","CollectionID":"11484d5c","ID":"38137558","DataModelID":651628815408562176,"Dimension":1,"DynamicExpression":"H4sIAAAAAAAEAK1Ry07DMBD8lcgnkIKw82qUWyEVqpQ0iEa9IA7bdissOXZlu5Sqyr9jQypy6Alx29mZ9eysz0SqLRpSvJ5Jjd0a9XxLijsWkhItcEGKLGVZlOcsTWieZhGbZI7jnZc51dRazdcHi5exZo8arNKOpZT+4qnm9vTdDMkjCvGCO9QoN7iADklBSDj4e7xE0Jv39rR3jNMv3Ir+/aF8Bjdo53KLn96zD8erszRK4yiLo4QmdJKxOEn+IcsYDUl8669B4itBaP8WEgHGjkRGaYuu3IEw6FbVXIhSHeWPgbmkdt8nD0KMBBXCB17heYfScCWHxCVYqJ2d8PjacVYgDj7UQ9O2TV3NVrPq5gm4vK+UMYGSwfII+6Bu61vSfwEt4BaOSwIAAA==","EnableZoom":false,"HierarchyIndenting":false,"ParentsOnBottom":false,"SortingOption":0,"Sorting":"","Order":0,"ZoomInParentMemberIds":[],"ZoomInBottomLevelParentMemberIds":[]}},"SuppressBlankRows":true,"SuppressZeroes":true,"EnableDataInput":false}]</venadatastore>
</file>

<file path=customXml/item4.xml><?xml version="1.0" encoding="utf-8"?>
<venadatastore xmlns="http://venasolutions.com/VenaSPMAddin/DataModelSectionStore_V1">{"Settings":{"Id":651628815408562176,"Name":"Foundation Module 2.0"},"Selection":{"Id":651628815408562176,"Name":"1.1 - Finance"},"Controls":{"Id":651628815408562176,"Name":"1.1 - Finance"},"Variable":{"Id":651628815408562176,"Name":"1.1 - Finance"},"Setting":{"Id":651628815408562176,"Name":"1.1 - Finance"},"Summary":{"Id":651628815408562176,"Name":"1.1 - Finance"},"Dashboard":{"Id":651628815408562176,"Name":"1.1 - Finance"},"List":{"Id":651628815408562176,"Name":"Foundation Module 2.0"},"PVOverride":{"Id":651628815408562176,"Name":"1.1 - Finance"},"PVOverrides":{"Id":651628815408562176,"Name":"1.1 - Finance"},"PVOverrides1":{"Id":651628815408562176,"Name":"1.1 - Finance"},"IS":{"Id":651628815408562176,"Name":"1.1 - Finance"},"SF":{"Id":651628815408562176,"Name":"1.1 - Finance"},"SF2":{"Id":651628815408562176,"Name":"1.1 - Finance"},"PFConsolidated":{"Id":651628815408562176,"Name":"1.1 - Finance"},"451":{"Id":651628815408562176,"Name":"1.1 - Finance"},"410":{"Id":651628815408562176,"Name":"1.1 - Finance"},"420":{"Id":651628815408562176,"Name":"1.1 - Finance"},"440":{"Id":651628815408562176,"Name":"1.1 - Finance"},"670":{"Id":651628815408562176,"Name":"1.1 - Finance"},"695":{"Id":651628815408562176,"Name":"1.1 - Finance"},"955":{"Id":651628815408562176,"Name":"1.1 - Finance"},"704":{"Id":651628815408562176,"Name":"1.1 - Finance"},"705":{"Id":651628815408562176,"Name":"1.1 - Finance"},"709":{"Id":651628815408562176,"Name":"1.1 - Finance"},"Finance":{"Id":651628815408562176,"Name":"1.1 - Finance"},"912":{"Id":651628815408562176,"Name":"1.1 - Finance"},"Technology":{"Id":651628815408562176,"Name":"1.1 - Finance"},"930":{"Id":651628815408562176,"Name":"1.1 - Finance"},"933":{"Id":651628815408562176,"Name":"1.1 - Finance"},"Po":{"Id":651628815408562176,"Name":"1.1 - Finance"},"920":{"Id":651628815408562176,"Name":"1.1 - Finance"},"LEGAL":{"Id":651628815408562176,"Name":"1.1 - Finance"},"925":{"Id":651628815408562176,"Name":"1.1 - Finance"},"CORPORATEADMIN":{"Id":651628815408562176,"Name":"1.1 - Finance"},"developemnt":{"Id":651628815408562176,"Name":"1.1 - Finance"},"development":{"Id":651628815408562176,"Name":"1.1 - Finance"},"finance":{"Id":651628815408562176,"Name":"1.1 - Finance"},"TECHNOLOGY":{"Id":651628815408562176,"Name":"1.1 - Finance"},"PO":{"Id":651628815408562176,"Name":"1.1 - Finance"},"legal":{"Id":651628815408562176,"Name":"1.1 - Finance"},"CORPORATE":{"Id":651628815408562176,"Name":"1.1 - Finance"},"SummaryPage":{"Id":651628815408562176,"Name":"1.1 - Finance"},"LatestScenario":{"Id":651628815408562176,"Name":"1.1 - Finance"},"MonthNAME":{"Id":651628815408562176,"Name":"1.1 - Finance"},"954IS":{"Id":651628815408562176,"Name":"1.1 - Finance"},"975IS":{"Id":651628815408562176,"Name":"1.1 - Finance"},"958IS":{"Id":651628815408562176,"Name":"1.1 - Finance"},"959IS":{"Id":651628815408562176,"Name":"1.1 - Finance"},"960IS":{"Id":651628815408562176,"Name":"1.1 - Finance"},"961IS":{"Id":651628815408562176,"Name":"1.1 - Finance"},"test1":{"Id":651628815408562176,"Name":"1.1 - Finance"},"1":{"Id":651628815408562176,"Name":"1.1 - Finance"},"2":{"Id":651628815408562176,"Name":"1.1 - Finance"},"3":{"Id":651628815408562176,"Name":"1.1 - Finance"},"4":{"Id":651628815408562176,"Name":"1.1 - Finance"},"5":{"Id":651628815408562176,"Name":"1.1 - Finance"},"6":{"Id":651628815408562176,"Name":"1.1 - Finance"},"7":{"Id":651628815408562176,"Name":"1.1 - Finance"},"8":{"Id":651628815408562176,"Name":"1.1 - Finance"},"9":{"Id":651628815408562176,"Name":"1.1 - Finance"},"11":{"Id":651628815408562176,"Name":"1.1 - Finance"},"12":{"Id":651628815408562176,"Name":"1.1 - Finance"},"13":{"Id":651628815408562176,"Name":"1.1 - Finance"},"cons1":{"Id":651628815408562176,"Name":"1.1 - Finance"},"cons2":{"Id":651628815408562176,"Name":"1.1 - Finance"},"14":{"Id":651628815408562176,"Name":"1.1 - Finance"},"15":{"Id":651628815408562176,"Name":"1.1 - Finance"},"16":{"Id":651628815408562176,"Name":"1.1 - Finance"},"17":{"Id":651628815408562176,"Name":"1.1 - Finance"},"18":{"Id":651628815408562176,"Name":"1.1 - Finance"},"19":{"Id":651628815408562176,"Name":"1.1 - Finance"},"20":{"Id":651628815408562176,"Name":"1.1 - Finance"},"21":{"Id":651628815408562176,"Name":"1.1 - Finance"},"22":{"Id":651628815408562176,"Name":"1.1 - Finance"},"23":{"Id":651628815408562176,"Name":"1.1 - Finance"},"24":{"Id":651628815408562176,"Name":"1.1 - Finance"},"25":{"Id":651628815408562176,"Name":"1.1 - Finance"},"26":{"Id":651628815408562176,"Name":"1.1 - Finance"},"27":{"Id":651628815408562176,"Name":"1.1 - Finance"},"28":{"Id":651628815408562176,"Name":"1.1 - Finance"},"29":{"Id":651628815408562176,"Name":"1.1 - Finance"},"30":{"Id":651628815408562176,"Name":"1.1 - Finance"},"31":{"Id":651628815408562176,"Name":"1.1 - Finance"},"bucc":{"Id":651628815408562176,"Name":"1.1 - Finance"},"BUCC":{"Id":651628815408562176,"Name":"1.1 - Finance"},"32":{"Id":651628815408562176,"Name":"1.1 - Finance"},"33":{"Id":651628815408562176,"Name":"1.1 - Finance"},"34":{"Id":651628815408562176,"Name":"1.1 - Finance"},"35":{"Id":651628815408562176,"Name":"1.1 - Finance"}}</venadatastore>
</file>

<file path=customXml/item5.xml><?xml version="1.0" encoding="utf-8"?>
<venadatastore xmlns="http://venasolutions.com/VenaSPMAddin/DrillThroughTableInfo_V1">[{"sectionName":"Summary","blockName":"B1","tableName":"FIN_DataLoad_DrillTransV_GL"},{"sectionName":"Summary","blockName":"B2","tableName":"FIN_DataLoad_DrillTransV_GL"}]</venadatastore>
</file>

<file path=customXml/item6.xml><?xml version="1.0" encoding="utf-8"?>
<solutionPackageMetadata xmlns="http://venasolutions.com/VenaTemplate/SolutionPackageMetadata/V1">
  <packageName>Foundation</packageName>
  <templateName>Report | Income Statement Variance</templateName>
  <templateVersion>1.0</templateVersion>
  <lastSaved>2025-12-31T13:14:48.5579548-05:00</lastSaved>
</solutionPackageMetadata>
</file>

<file path=customXml/item7.xml><?xml version="1.0" encoding="utf-8"?>
<venadatastore xmlns="http://venasolutions.com/VenaSPMAddin/ServerSideBlobV2"/>
</file>

<file path=customXml/itemProps1.xml><?xml version="1.0" encoding="utf-8"?>
<ds:datastoreItem xmlns:ds="http://schemas.openxmlformats.org/officeDocument/2006/customXml" ds:itemID="{29DBAC90-FE11-49C2-830A-5EE4F28C23F2}">
  <ds:schemaRefs>
    <ds:schemaRef ds:uri="http://venasolutions.com/VenaSPMAddin/VenaWorkbookProperties"/>
  </ds:schemaRefs>
</ds:datastoreItem>
</file>

<file path=customXml/itemProps2.xml><?xml version="1.0" encoding="utf-8"?>
<ds:datastoreItem xmlns:ds="http://schemas.openxmlformats.org/officeDocument/2006/customXml" ds:itemID="{7ECDE0CB-773F-4FF0-A882-2F91972A38FA}">
  <ds:schemaRefs>
    <ds:schemaRef ds:uri="http://venasolutions.com/VenaSPMAddin/ServerSideBlobV1"/>
  </ds:schemaRefs>
</ds:datastoreItem>
</file>

<file path=customXml/itemProps3.xml><?xml version="1.0" encoding="utf-8"?>
<ds:datastoreItem xmlns:ds="http://schemas.openxmlformats.org/officeDocument/2006/customXml" ds:itemID="{25849841-B495-472E-9ED0-76D39232548B}">
  <ds:schemaRefs>
    <ds:schemaRef ds:uri="http://venasolutions.com/VenaSPMAddin/ExcelCustomMultiDynamicCollectionStore_V1"/>
  </ds:schemaRefs>
</ds:datastoreItem>
</file>

<file path=customXml/itemProps4.xml><?xml version="1.0" encoding="utf-8"?>
<ds:datastoreItem xmlns:ds="http://schemas.openxmlformats.org/officeDocument/2006/customXml" ds:itemID="{1DA3F32D-1145-47E4-8299-55EEEE8A4CDC}">
  <ds:schemaRefs>
    <ds:schemaRef ds:uri="http://venasolutions.com/VenaSPMAddin/DataModelSectionStore_V1"/>
  </ds:schemaRefs>
</ds:datastoreItem>
</file>

<file path=customXml/itemProps5.xml><?xml version="1.0" encoding="utf-8"?>
<ds:datastoreItem xmlns:ds="http://schemas.openxmlformats.org/officeDocument/2006/customXml" ds:itemID="{866D104A-8F0F-475E-8623-CEA518EB3E6A}">
  <ds:schemaRefs>
    <ds:schemaRef ds:uri="http://venasolutions.com/VenaSPMAddin/DrillThroughTableInfo_V1"/>
  </ds:schemaRefs>
</ds:datastoreItem>
</file>

<file path=customXml/itemProps6.xml><?xml version="1.0" encoding="utf-8"?>
<ds:datastoreItem xmlns:ds="http://schemas.openxmlformats.org/officeDocument/2006/customXml" ds:itemID="{AB963BC3-53D7-442C-8E47-1EE3C1C90E9E}">
  <ds:schemaRefs>
    <ds:schemaRef ds:uri="http://venasolutions.com/VenaTemplate/SolutionPackageMetadata/V1"/>
  </ds:schemaRefs>
</ds:datastoreItem>
</file>

<file path=customXml/itemProps7.xml><?xml version="1.0" encoding="utf-8"?>
<ds:datastoreItem xmlns:ds="http://schemas.openxmlformats.org/officeDocument/2006/customXml" ds:itemID="{A6D8E670-806C-4588-89CA-A68E95D2467D}">
  <ds:schemaRefs>
    <ds:schemaRef ds:uri="http://venasolutions.com/VenaSPMAddin/ServerSideBlobV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1214</vt:i4>
      </vt:variant>
    </vt:vector>
  </HeadingPairs>
  <TitlesOfParts>
    <vt:vector size="1223" baseType="lpstr">
      <vt:lpstr>Month Name</vt:lpstr>
      <vt:lpstr>Scenario</vt:lpstr>
      <vt:lpstr>Sheet1</vt:lpstr>
      <vt:lpstr>609 IS Var</vt:lpstr>
      <vt:lpstr>609 IS</vt:lpstr>
      <vt:lpstr>610 IS Var</vt:lpstr>
      <vt:lpstr>610 IS</vt:lpstr>
      <vt:lpstr>612 IS Var</vt:lpstr>
      <vt:lpstr>612 IS</vt:lpstr>
      <vt:lpstr>_vena_1_B1_C_FV_134399665b374008851e5b8c04b5ee44</vt:lpstr>
      <vt:lpstr>_vena_1_B1_C_FV_134399665b374008851e5b8c04b5ee44_1</vt:lpstr>
      <vt:lpstr>_vena_1_B1_C_FV_134399665b374008851e5b8c04b5ee44_10</vt:lpstr>
      <vt:lpstr>_vena_1_B1_C_FV_134399665b374008851e5b8c04b5ee44_11</vt:lpstr>
      <vt:lpstr>_vena_1_B1_C_FV_134399665b374008851e5b8c04b5ee44_12</vt:lpstr>
      <vt:lpstr>_vena_1_B1_C_FV_134399665b374008851e5b8c04b5ee44_13</vt:lpstr>
      <vt:lpstr>_vena_1_B1_C_FV_134399665b374008851e5b8c04b5ee44_2</vt:lpstr>
      <vt:lpstr>_vena_1_B1_C_FV_134399665b374008851e5b8c04b5ee44_3</vt:lpstr>
      <vt:lpstr>_vena_1_B1_C_FV_134399665b374008851e5b8c04b5ee44_4</vt:lpstr>
      <vt:lpstr>_vena_1_B1_C_FV_134399665b374008851e5b8c04b5ee44_5</vt:lpstr>
      <vt:lpstr>_vena_1_B1_C_FV_134399665b374008851e5b8c04b5ee44_6</vt:lpstr>
      <vt:lpstr>_vena_1_B1_C_FV_134399665b374008851e5b8c04b5ee44_7</vt:lpstr>
      <vt:lpstr>_vena_1_B1_C_FV_134399665b374008851e5b8c04b5ee44_8</vt:lpstr>
      <vt:lpstr>_vena_1_B1_C_FV_134399665b374008851e5b8c04b5ee44_9</vt:lpstr>
      <vt:lpstr>_vena_1_B1_C_FV_7cc8369c0b744816a17486bee792b4d5</vt:lpstr>
      <vt:lpstr>_vena_1_B1_C_FV_7cc8369c0b744816a17486bee792b4d5_1</vt:lpstr>
      <vt:lpstr>_vena_1_B1_C_FV_7cc8369c0b744816a17486bee792b4d5_10</vt:lpstr>
      <vt:lpstr>_vena_1_B1_C_FV_7cc8369c0b744816a17486bee792b4d5_11</vt:lpstr>
      <vt:lpstr>_vena_1_B1_C_FV_7cc8369c0b744816a17486bee792b4d5_12</vt:lpstr>
      <vt:lpstr>_vena_1_B1_C_FV_7cc8369c0b744816a17486bee792b4d5_13</vt:lpstr>
      <vt:lpstr>_vena_1_B1_C_FV_7cc8369c0b744816a17486bee792b4d5_2</vt:lpstr>
      <vt:lpstr>_vena_1_B1_C_FV_7cc8369c0b744816a17486bee792b4d5_3</vt:lpstr>
      <vt:lpstr>_vena_1_B1_C_FV_7cc8369c0b744816a17486bee792b4d5_4</vt:lpstr>
      <vt:lpstr>_vena_1_B1_C_FV_7cc8369c0b744816a17486bee792b4d5_5</vt:lpstr>
      <vt:lpstr>_vena_1_B1_C_FV_7cc8369c0b744816a17486bee792b4d5_6</vt:lpstr>
      <vt:lpstr>_vena_1_B1_C_FV_7cc8369c0b744816a17486bee792b4d5_7</vt:lpstr>
      <vt:lpstr>_vena_1_B1_C_FV_7cc8369c0b744816a17486bee792b4d5_8</vt:lpstr>
      <vt:lpstr>_vena_1_B1_C_FV_7cc8369c0b744816a17486bee792b4d5_9</vt:lpstr>
      <vt:lpstr>_vena_1_B1_C_FV_f4ddf33ff6224574ba096b1a5435ea67</vt:lpstr>
      <vt:lpstr>_vena_1_B1_C_FV_f4ddf33ff6224574ba096b1a5435ea67_1</vt:lpstr>
      <vt:lpstr>_vena_1_B1_C_FV_f4ddf33ff6224574ba096b1a5435ea67_10</vt:lpstr>
      <vt:lpstr>_vena_1_B1_C_FV_f4ddf33ff6224574ba096b1a5435ea67_11</vt:lpstr>
      <vt:lpstr>_vena_1_B1_C_FV_f4ddf33ff6224574ba096b1a5435ea67_12</vt:lpstr>
      <vt:lpstr>_vena_1_B1_C_FV_f4ddf33ff6224574ba096b1a5435ea67_13</vt:lpstr>
      <vt:lpstr>_vena_1_B1_C_FV_f4ddf33ff6224574ba096b1a5435ea67_2</vt:lpstr>
      <vt:lpstr>_vena_1_B1_C_FV_f4ddf33ff6224574ba096b1a5435ea67_3</vt:lpstr>
      <vt:lpstr>_vena_1_B1_C_FV_f4ddf33ff6224574ba096b1a5435ea67_4</vt:lpstr>
      <vt:lpstr>_vena_1_B1_C_FV_f4ddf33ff6224574ba096b1a5435ea67_5</vt:lpstr>
      <vt:lpstr>_vena_1_B1_C_FV_f4ddf33ff6224574ba096b1a5435ea67_6</vt:lpstr>
      <vt:lpstr>_vena_1_B1_C_FV_f4ddf33ff6224574ba096b1a5435ea67_7</vt:lpstr>
      <vt:lpstr>_vena_1_B1_C_FV_f4ddf33ff6224574ba096b1a5435ea67_8</vt:lpstr>
      <vt:lpstr>_vena_1_B1_C_FV_f4ddf33ff6224574ba096b1a5435ea67_9</vt:lpstr>
      <vt:lpstr>_vena_1_B1_R_1_1126333519640395796</vt:lpstr>
      <vt:lpstr>_vena_1_B1_R_1_1126333519686533120</vt:lpstr>
      <vt:lpstr>_vena_1_B1_R_1_1126333519715893262</vt:lpstr>
      <vt:lpstr>_vena_1_B1_R_1_1126333519736864780</vt:lpstr>
      <vt:lpstr>_vena_1_B1_R_1_1126333519762030608</vt:lpstr>
      <vt:lpstr>_vena_1_B1_R_1_1126333519778807820</vt:lpstr>
      <vt:lpstr>_vena_1_B1_R_1_1126333519787196446</vt:lpstr>
      <vt:lpstr>_vena_1_B1_R_1_1126333519808167948</vt:lpstr>
      <vt:lpstr>_vena_1_B1_R_1_1126333519854305298</vt:lpstr>
      <vt:lpstr>_vena_1_B1_R_1_1126333519871082529</vt:lpstr>
      <vt:lpstr>_vena_1_B1_R_1_1126333519883665426</vt:lpstr>
      <vt:lpstr>_vena_1_B1_R_1_1126333519900442631</vt:lpstr>
      <vt:lpstr>_vena_1_B1_R_1_1126333519925608473</vt:lpstr>
      <vt:lpstr>_vena_1_B1_R_1_1126333519963357190</vt:lpstr>
      <vt:lpstr>_vena_1_B1_R_1_1176989022519558144</vt:lpstr>
      <vt:lpstr>_vena_1_B1_R_1_1177034623004573696</vt:lpstr>
      <vt:lpstr>_vena_1_B1_R_1_1177042009963233280</vt:lpstr>
      <vt:lpstr>_vena_1_B1_R_1_1177042321444044802</vt:lpstr>
      <vt:lpstr>_vena_1_B1_R_1_1182443237873811456</vt:lpstr>
      <vt:lpstr>_vena_1_B1_R_1_1192625627677589504</vt:lpstr>
      <vt:lpstr>_vena_1_B1_R_1_1193288113649483886</vt:lpstr>
      <vt:lpstr>_vena_1_B1_R_1_1258522529073987584</vt:lpstr>
      <vt:lpstr>_vena_1_B1_R_1_1336800240017473538</vt:lpstr>
      <vt:lpstr>_vena_1_B1_R_1_1525326324040761344</vt:lpstr>
      <vt:lpstr>_vena_1_B1_R_1_1547710538947624960</vt:lpstr>
      <vt:lpstr>_vena_1_B1_R_1_1547710569653993893</vt:lpstr>
      <vt:lpstr>_vena_1_B1_R_1_651631427951788032</vt:lpstr>
      <vt:lpstr>_vena_1_B1_R_1_651631428002119680</vt:lpstr>
      <vt:lpstr>_vena_1_B1_R_1_651631428165697537</vt:lpstr>
      <vt:lpstr>_vena_1_B1_R_1_691119840308494336</vt:lpstr>
      <vt:lpstr>_vena_1_B1_R_1_691121205046280192</vt:lpstr>
      <vt:lpstr>_vena_1_B1_R_1_691121629820878848</vt:lpstr>
      <vt:lpstr>_vena_1_B1_R_1_691172173569589248</vt:lpstr>
      <vt:lpstr>_vena_1_B1_R_FV_385b1d086d8a4b8abf43c04eedb00d88_1ec589b3.39b3f5d4</vt:lpstr>
      <vt:lpstr>_vena_1_B1_R_FV_385b1d086d8a4b8abf43c04eedb00d88_25bff5c3.1876c04b</vt:lpstr>
      <vt:lpstr>_vena_1_B1_R_FV_385b1d086d8a4b8abf43c04eedb00d88_2714494c.9abe388c</vt:lpstr>
      <vt:lpstr>_vena_1_B1_R_FV_385b1d086d8a4b8abf43c04eedb00d88_3294a637.74007850</vt:lpstr>
      <vt:lpstr>_vena_1_B1_R_FV_385b1d086d8a4b8abf43c04eedb00d88_414f34aa.afa17a01</vt:lpstr>
      <vt:lpstr>_vena_1_B1_R_FV_385b1d086d8a4b8abf43c04eedb00d88_4595eea8.9900bd4d</vt:lpstr>
      <vt:lpstr>_vena_1_B1_R_FV_385b1d086d8a4b8abf43c04eedb00d88_493e9e24.a598def5</vt:lpstr>
      <vt:lpstr>_vena_1_B1_R_FV_385b1d086d8a4b8abf43c04eedb00d88_56fa9cda.6d66a4a3</vt:lpstr>
      <vt:lpstr>_vena_1_B1_R_FV_385b1d086d8a4b8abf43c04eedb00d88_5b8c3f25.e93e8c36</vt:lpstr>
      <vt:lpstr>_vena_1_B1_R_FV_385b1d086d8a4b8abf43c04eedb00d88_5f1ee2f1.147903ec</vt:lpstr>
      <vt:lpstr>_vena_1_B1_R_FV_385b1d086d8a4b8abf43c04eedb00d88_60148fd9.8a7f705</vt:lpstr>
      <vt:lpstr>_vena_1_B1_R_FV_385b1d086d8a4b8abf43c04eedb00d88_6fd17684.a7c87e86</vt:lpstr>
      <vt:lpstr>_vena_1_B1_R_FV_385b1d086d8a4b8abf43c04eedb00d88_7b633d6.a3a1014e</vt:lpstr>
      <vt:lpstr>_vena_1_B1_R_FV_385b1d086d8a4b8abf43c04eedb00d88_8b14c78f.f57fbe79</vt:lpstr>
      <vt:lpstr>_vena_1_B1_R_FV_385b1d086d8a4b8abf43c04eedb00d88_8dc35574.a24692ea</vt:lpstr>
      <vt:lpstr>_vena_1_B1_R_FV_385b1d086d8a4b8abf43c04eedb00d88_96aca248.19035cff</vt:lpstr>
      <vt:lpstr>_vena_1_B1_R_FV_385b1d086d8a4b8abf43c04eedb00d88_9c988328.350e0e2d</vt:lpstr>
      <vt:lpstr>_vena_1_B1_R_FV_385b1d086d8a4b8abf43c04eedb00d88_adfc71bf.7ae5b388</vt:lpstr>
      <vt:lpstr>_vena_1_B1_R_FV_385b1d086d8a4b8abf43c04eedb00d88_b4be782f.ef55908e</vt:lpstr>
      <vt:lpstr>_vena_1_B1_R_FV_385b1d086d8a4b8abf43c04eedb00d88_b7003ed4.266d13f5</vt:lpstr>
      <vt:lpstr>_vena_1_B1_R_FV_385b1d086d8a4b8abf43c04eedb00d88_ba21577b.fb49e1f1</vt:lpstr>
      <vt:lpstr>_vena_1_B1_R_FV_385b1d086d8a4b8abf43c04eedb00d88_bd85c5d7.69e98ab0</vt:lpstr>
      <vt:lpstr>_vena_1_B1_R_FV_385b1d086d8a4b8abf43c04eedb00d88_c0fe04cd.c557d17f</vt:lpstr>
      <vt:lpstr>_vena_1_B1_R_FV_385b1d086d8a4b8abf43c04eedb00d88_c49c509c.fe7b5801</vt:lpstr>
      <vt:lpstr>_vena_1_B1_R_FV_385b1d086d8a4b8abf43c04eedb00d88_c4a3fd2d.fd06ec4c</vt:lpstr>
      <vt:lpstr>_vena_1_B1_R_FV_385b1d086d8a4b8abf43c04eedb00d88_ca65fd1d.f2f20e5d</vt:lpstr>
      <vt:lpstr>_vena_1_P_11_651631431944765441</vt:lpstr>
      <vt:lpstr>_vena_1_P_12_651631431982514177</vt:lpstr>
      <vt:lpstr>_vena_1_P_2_651631429184913409</vt:lpstr>
      <vt:lpstr>_vena_1_P_4_652241713652170752</vt:lpstr>
      <vt:lpstr>_vena_1_P_5_652241713786388480</vt:lpstr>
      <vt:lpstr>_vena_1_P_6_652241713908023296</vt:lpstr>
      <vt:lpstr>_vena_1_P_7_652241714033852416</vt:lpstr>
      <vt:lpstr>_vena_1_P_FV_a2a46c4bae444ba2ab0e2971d74e2ddb</vt:lpstr>
      <vt:lpstr>_vena_2_B1_C_FV_134399665b374008851e5b8c04b5ee44</vt:lpstr>
      <vt:lpstr>_vena_2_B1_C_FV_134399665b374008851e5b8c04b5ee44_1</vt:lpstr>
      <vt:lpstr>_vena_2_B1_C_FV_134399665b374008851e5b8c04b5ee44_10</vt:lpstr>
      <vt:lpstr>_vena_2_B1_C_FV_134399665b374008851e5b8c04b5ee44_11</vt:lpstr>
      <vt:lpstr>_vena_2_B1_C_FV_134399665b374008851e5b8c04b5ee44_12</vt:lpstr>
      <vt:lpstr>_vena_2_B1_C_FV_134399665b374008851e5b8c04b5ee44_13</vt:lpstr>
      <vt:lpstr>_vena_2_B1_C_FV_134399665b374008851e5b8c04b5ee44_14</vt:lpstr>
      <vt:lpstr>_vena_2_B1_C_FV_134399665b374008851e5b8c04b5ee44_15</vt:lpstr>
      <vt:lpstr>_vena_2_B1_C_FV_134399665b374008851e5b8c04b5ee44_16</vt:lpstr>
      <vt:lpstr>_vena_2_B1_C_FV_134399665b374008851e5b8c04b5ee44_17</vt:lpstr>
      <vt:lpstr>_vena_2_B1_C_FV_134399665b374008851e5b8c04b5ee44_18</vt:lpstr>
      <vt:lpstr>_vena_2_B1_C_FV_134399665b374008851e5b8c04b5ee44_19</vt:lpstr>
      <vt:lpstr>_vena_2_B1_C_FV_134399665b374008851e5b8c04b5ee44_2</vt:lpstr>
      <vt:lpstr>_vena_2_B1_C_FV_134399665b374008851e5b8c04b5ee44_20</vt:lpstr>
      <vt:lpstr>_vena_2_B1_C_FV_134399665b374008851e5b8c04b5ee44_21</vt:lpstr>
      <vt:lpstr>_vena_2_B1_C_FV_134399665b374008851e5b8c04b5ee44_22</vt:lpstr>
      <vt:lpstr>_vena_2_B1_C_FV_134399665b374008851e5b8c04b5ee44_23</vt:lpstr>
      <vt:lpstr>_vena_2_B1_C_FV_134399665b374008851e5b8c04b5ee44_25</vt:lpstr>
      <vt:lpstr>_vena_2_B1_C_FV_134399665b374008851e5b8c04b5ee44_26</vt:lpstr>
      <vt:lpstr>_vena_2_B1_C_FV_134399665b374008851e5b8c04b5ee44_27</vt:lpstr>
      <vt:lpstr>_vena_2_B1_C_FV_134399665b374008851e5b8c04b5ee44_28</vt:lpstr>
      <vt:lpstr>_vena_2_B1_C_FV_134399665b374008851e5b8c04b5ee44_29</vt:lpstr>
      <vt:lpstr>_vena_2_B1_C_FV_134399665b374008851e5b8c04b5ee44_3</vt:lpstr>
      <vt:lpstr>_vena_2_B1_C_FV_134399665b374008851e5b8c04b5ee44_30</vt:lpstr>
      <vt:lpstr>_vena_2_B1_C_FV_134399665b374008851e5b8c04b5ee44_31</vt:lpstr>
      <vt:lpstr>_vena_2_B1_C_FV_134399665b374008851e5b8c04b5ee44_32</vt:lpstr>
      <vt:lpstr>_vena_2_B1_C_FV_134399665b374008851e5b8c04b5ee44_33</vt:lpstr>
      <vt:lpstr>_vena_2_B1_C_FV_134399665b374008851e5b8c04b5ee44_34</vt:lpstr>
      <vt:lpstr>_vena_2_B1_C_FV_134399665b374008851e5b8c04b5ee44_35</vt:lpstr>
      <vt:lpstr>_vena_2_B1_C_FV_134399665b374008851e5b8c04b5ee44_36</vt:lpstr>
      <vt:lpstr>_vena_2_B1_C_FV_134399665b374008851e5b8c04b5ee44_38</vt:lpstr>
      <vt:lpstr>_vena_2_B1_C_FV_134399665b374008851e5b8c04b5ee44_39</vt:lpstr>
      <vt:lpstr>_vena_2_B1_C_FV_134399665b374008851e5b8c04b5ee44_4</vt:lpstr>
      <vt:lpstr>_vena_2_B1_C_FV_134399665b374008851e5b8c04b5ee44_40</vt:lpstr>
      <vt:lpstr>_vena_2_B1_C_FV_134399665b374008851e5b8c04b5ee44_41</vt:lpstr>
      <vt:lpstr>_vena_2_B1_C_FV_134399665b374008851e5b8c04b5ee44_42</vt:lpstr>
      <vt:lpstr>_vena_2_B1_C_FV_134399665b374008851e5b8c04b5ee44_43</vt:lpstr>
      <vt:lpstr>_vena_2_B1_C_FV_134399665b374008851e5b8c04b5ee44_44</vt:lpstr>
      <vt:lpstr>_vena_2_B1_C_FV_134399665b374008851e5b8c04b5ee44_45</vt:lpstr>
      <vt:lpstr>_vena_2_B1_C_FV_134399665b374008851e5b8c04b5ee44_46</vt:lpstr>
      <vt:lpstr>_vena_2_B1_C_FV_134399665b374008851e5b8c04b5ee44_47</vt:lpstr>
      <vt:lpstr>_vena_2_B1_C_FV_134399665b374008851e5b8c04b5ee44_48</vt:lpstr>
      <vt:lpstr>_vena_2_B1_C_FV_134399665b374008851e5b8c04b5ee44_49</vt:lpstr>
      <vt:lpstr>_vena_2_B1_C_FV_134399665b374008851e5b8c04b5ee44_5</vt:lpstr>
      <vt:lpstr>_vena_2_B1_C_FV_134399665b374008851e5b8c04b5ee44_6</vt:lpstr>
      <vt:lpstr>_vena_2_B1_C_FV_134399665b374008851e5b8c04b5ee44_7</vt:lpstr>
      <vt:lpstr>_vena_2_B1_C_FV_134399665b374008851e5b8c04b5ee44_8</vt:lpstr>
      <vt:lpstr>_vena_2_B1_C_FV_134399665b374008851e5b8c04b5ee44_9</vt:lpstr>
      <vt:lpstr>_vena_2_B1_C_FV_7cc8369c0b744816a17486bee792b4d5</vt:lpstr>
      <vt:lpstr>_vena_2_B1_C_FV_7cc8369c0b744816a17486bee792b4d5_1</vt:lpstr>
      <vt:lpstr>_vena_2_B1_C_FV_7cc8369c0b744816a17486bee792b4d5_10</vt:lpstr>
      <vt:lpstr>_vena_2_B1_C_FV_7cc8369c0b744816a17486bee792b4d5_11</vt:lpstr>
      <vt:lpstr>_vena_2_B1_C_FV_7cc8369c0b744816a17486bee792b4d5_12</vt:lpstr>
      <vt:lpstr>_vena_2_B1_C_FV_7cc8369c0b744816a17486bee792b4d5_13</vt:lpstr>
      <vt:lpstr>_vena_2_B1_C_FV_7cc8369c0b744816a17486bee792b4d5_14</vt:lpstr>
      <vt:lpstr>_vena_2_B1_C_FV_7cc8369c0b744816a17486bee792b4d5_15</vt:lpstr>
      <vt:lpstr>_vena_2_B1_C_FV_7cc8369c0b744816a17486bee792b4d5_16</vt:lpstr>
      <vt:lpstr>_vena_2_B1_C_FV_7cc8369c0b744816a17486bee792b4d5_17</vt:lpstr>
      <vt:lpstr>_vena_2_B1_C_FV_7cc8369c0b744816a17486bee792b4d5_18</vt:lpstr>
      <vt:lpstr>_vena_2_B1_C_FV_7cc8369c0b744816a17486bee792b4d5_19</vt:lpstr>
      <vt:lpstr>_vena_2_B1_C_FV_7cc8369c0b744816a17486bee792b4d5_2</vt:lpstr>
      <vt:lpstr>_vena_2_B1_C_FV_7cc8369c0b744816a17486bee792b4d5_20</vt:lpstr>
      <vt:lpstr>_vena_2_B1_C_FV_7cc8369c0b744816a17486bee792b4d5_21</vt:lpstr>
      <vt:lpstr>_vena_2_B1_C_FV_7cc8369c0b744816a17486bee792b4d5_22</vt:lpstr>
      <vt:lpstr>_vena_2_B1_C_FV_7cc8369c0b744816a17486bee792b4d5_23</vt:lpstr>
      <vt:lpstr>_vena_2_B1_C_FV_7cc8369c0b744816a17486bee792b4d5_25</vt:lpstr>
      <vt:lpstr>_vena_2_B1_C_FV_7cc8369c0b744816a17486bee792b4d5_26</vt:lpstr>
      <vt:lpstr>_vena_2_B1_C_FV_7cc8369c0b744816a17486bee792b4d5_27</vt:lpstr>
      <vt:lpstr>_vena_2_B1_C_FV_7cc8369c0b744816a17486bee792b4d5_28</vt:lpstr>
      <vt:lpstr>_vena_2_B1_C_FV_7cc8369c0b744816a17486bee792b4d5_29</vt:lpstr>
      <vt:lpstr>_vena_2_B1_C_FV_7cc8369c0b744816a17486bee792b4d5_3</vt:lpstr>
      <vt:lpstr>_vena_2_B1_C_FV_7cc8369c0b744816a17486bee792b4d5_30</vt:lpstr>
      <vt:lpstr>_vena_2_B1_C_FV_7cc8369c0b744816a17486bee792b4d5_31</vt:lpstr>
      <vt:lpstr>_vena_2_B1_C_FV_7cc8369c0b744816a17486bee792b4d5_32</vt:lpstr>
      <vt:lpstr>_vena_2_B1_C_FV_7cc8369c0b744816a17486bee792b4d5_33</vt:lpstr>
      <vt:lpstr>_vena_2_B1_C_FV_7cc8369c0b744816a17486bee792b4d5_34</vt:lpstr>
      <vt:lpstr>_vena_2_B1_C_FV_7cc8369c0b744816a17486bee792b4d5_35</vt:lpstr>
      <vt:lpstr>_vena_2_B1_C_FV_7cc8369c0b744816a17486bee792b4d5_36</vt:lpstr>
      <vt:lpstr>_vena_2_B1_C_FV_7cc8369c0b744816a17486bee792b4d5_38</vt:lpstr>
      <vt:lpstr>_vena_2_B1_C_FV_7cc8369c0b744816a17486bee792b4d5_39</vt:lpstr>
      <vt:lpstr>_vena_2_B1_C_FV_7cc8369c0b744816a17486bee792b4d5_4</vt:lpstr>
      <vt:lpstr>_vena_2_B1_C_FV_7cc8369c0b744816a17486bee792b4d5_40</vt:lpstr>
      <vt:lpstr>_vena_2_B1_C_FV_7cc8369c0b744816a17486bee792b4d5_41</vt:lpstr>
      <vt:lpstr>_vena_2_B1_C_FV_7cc8369c0b744816a17486bee792b4d5_42</vt:lpstr>
      <vt:lpstr>_vena_2_B1_C_FV_7cc8369c0b744816a17486bee792b4d5_43</vt:lpstr>
      <vt:lpstr>_vena_2_B1_C_FV_7cc8369c0b744816a17486bee792b4d5_44</vt:lpstr>
      <vt:lpstr>_vena_2_B1_C_FV_7cc8369c0b744816a17486bee792b4d5_45</vt:lpstr>
      <vt:lpstr>_vena_2_B1_C_FV_7cc8369c0b744816a17486bee792b4d5_46</vt:lpstr>
      <vt:lpstr>_vena_2_B1_C_FV_7cc8369c0b744816a17486bee792b4d5_47</vt:lpstr>
      <vt:lpstr>_vena_2_B1_C_FV_7cc8369c0b744816a17486bee792b4d5_48</vt:lpstr>
      <vt:lpstr>_vena_2_B1_C_FV_7cc8369c0b744816a17486bee792b4d5_49</vt:lpstr>
      <vt:lpstr>_vena_2_B1_C_FV_7cc8369c0b744816a17486bee792b4d5_5</vt:lpstr>
      <vt:lpstr>_vena_2_B1_C_FV_7cc8369c0b744816a17486bee792b4d5_6</vt:lpstr>
      <vt:lpstr>_vena_2_B1_C_FV_7cc8369c0b744816a17486bee792b4d5_7</vt:lpstr>
      <vt:lpstr>_vena_2_B1_C_FV_7cc8369c0b744816a17486bee792b4d5_8</vt:lpstr>
      <vt:lpstr>_vena_2_B1_C_FV_7cc8369c0b744816a17486bee792b4d5_9</vt:lpstr>
      <vt:lpstr>_vena_2_B1_C_FV_f4ddf33ff6224574ba096b1a5435ea67</vt:lpstr>
      <vt:lpstr>_vena_2_B1_C_FV_f4ddf33ff6224574ba096b1a5435ea67_1</vt:lpstr>
      <vt:lpstr>_vena_2_B1_C_FV_f4ddf33ff6224574ba096b1a5435ea67_10</vt:lpstr>
      <vt:lpstr>_vena_2_B1_C_FV_f4ddf33ff6224574ba096b1a5435ea67_11</vt:lpstr>
      <vt:lpstr>_vena_2_B1_C_FV_f4ddf33ff6224574ba096b1a5435ea67_12</vt:lpstr>
      <vt:lpstr>_vena_2_B1_C_FV_f4ddf33ff6224574ba096b1a5435ea67_13</vt:lpstr>
      <vt:lpstr>_vena_2_B1_C_FV_f4ddf33ff6224574ba096b1a5435ea67_14</vt:lpstr>
      <vt:lpstr>_vena_2_B1_C_FV_f4ddf33ff6224574ba096b1a5435ea67_15</vt:lpstr>
      <vt:lpstr>_vena_2_B1_C_FV_f4ddf33ff6224574ba096b1a5435ea67_16</vt:lpstr>
      <vt:lpstr>_vena_2_B1_C_FV_f4ddf33ff6224574ba096b1a5435ea67_17</vt:lpstr>
      <vt:lpstr>_vena_2_B1_C_FV_f4ddf33ff6224574ba096b1a5435ea67_18</vt:lpstr>
      <vt:lpstr>_vena_2_B1_C_FV_f4ddf33ff6224574ba096b1a5435ea67_19</vt:lpstr>
      <vt:lpstr>_vena_2_B1_C_FV_f4ddf33ff6224574ba096b1a5435ea67_2</vt:lpstr>
      <vt:lpstr>_vena_2_B1_C_FV_f4ddf33ff6224574ba096b1a5435ea67_20</vt:lpstr>
      <vt:lpstr>_vena_2_B1_C_FV_f4ddf33ff6224574ba096b1a5435ea67_21</vt:lpstr>
      <vt:lpstr>_vena_2_B1_C_FV_f4ddf33ff6224574ba096b1a5435ea67_22</vt:lpstr>
      <vt:lpstr>_vena_2_B1_C_FV_f4ddf33ff6224574ba096b1a5435ea67_23</vt:lpstr>
      <vt:lpstr>_vena_2_B1_C_FV_f4ddf33ff6224574ba096b1a5435ea67_24</vt:lpstr>
      <vt:lpstr>_vena_2_B1_C_FV_f4ddf33ff6224574ba096b1a5435ea67_25</vt:lpstr>
      <vt:lpstr>_vena_2_B1_C_FV_f4ddf33ff6224574ba096b1a5435ea67_26</vt:lpstr>
      <vt:lpstr>_vena_2_B1_C_FV_f4ddf33ff6224574ba096b1a5435ea67_27</vt:lpstr>
      <vt:lpstr>_vena_2_B1_C_FV_f4ddf33ff6224574ba096b1a5435ea67_28</vt:lpstr>
      <vt:lpstr>_vena_2_B1_C_FV_f4ddf33ff6224574ba096b1a5435ea67_29</vt:lpstr>
      <vt:lpstr>_vena_2_B1_C_FV_f4ddf33ff6224574ba096b1a5435ea67_3</vt:lpstr>
      <vt:lpstr>_vena_2_B1_C_FV_f4ddf33ff6224574ba096b1a5435ea67_30</vt:lpstr>
      <vt:lpstr>_vena_2_B1_C_FV_f4ddf33ff6224574ba096b1a5435ea67_31</vt:lpstr>
      <vt:lpstr>_vena_2_B1_C_FV_f4ddf33ff6224574ba096b1a5435ea67_32</vt:lpstr>
      <vt:lpstr>_vena_2_B1_C_FV_f4ddf33ff6224574ba096b1a5435ea67_33</vt:lpstr>
      <vt:lpstr>_vena_2_B1_C_FV_f4ddf33ff6224574ba096b1a5435ea67_34</vt:lpstr>
      <vt:lpstr>_vena_2_B1_C_FV_f4ddf33ff6224574ba096b1a5435ea67_35</vt:lpstr>
      <vt:lpstr>_vena_2_B1_C_FV_f4ddf33ff6224574ba096b1a5435ea67_36</vt:lpstr>
      <vt:lpstr>_vena_2_B1_C_FV_f4ddf33ff6224574ba096b1a5435ea67_37</vt:lpstr>
      <vt:lpstr>_vena_2_B1_C_FV_f4ddf33ff6224574ba096b1a5435ea67_38</vt:lpstr>
      <vt:lpstr>_vena_2_B1_C_FV_f4ddf33ff6224574ba096b1a5435ea67_39</vt:lpstr>
      <vt:lpstr>_vena_2_B1_C_FV_f4ddf33ff6224574ba096b1a5435ea67_4</vt:lpstr>
      <vt:lpstr>_vena_2_B1_C_FV_f4ddf33ff6224574ba096b1a5435ea67_40</vt:lpstr>
      <vt:lpstr>_vena_2_B1_C_FV_f4ddf33ff6224574ba096b1a5435ea67_41</vt:lpstr>
      <vt:lpstr>_vena_2_B1_C_FV_f4ddf33ff6224574ba096b1a5435ea67_42</vt:lpstr>
      <vt:lpstr>_vena_2_B1_C_FV_f4ddf33ff6224574ba096b1a5435ea67_43</vt:lpstr>
      <vt:lpstr>_vena_2_B1_C_FV_f4ddf33ff6224574ba096b1a5435ea67_44</vt:lpstr>
      <vt:lpstr>_vena_2_B1_C_FV_f4ddf33ff6224574ba096b1a5435ea67_45</vt:lpstr>
      <vt:lpstr>_vena_2_B1_C_FV_f4ddf33ff6224574ba096b1a5435ea67_46</vt:lpstr>
      <vt:lpstr>_vena_2_B1_C_FV_f4ddf33ff6224574ba096b1a5435ea67_47</vt:lpstr>
      <vt:lpstr>_vena_2_B1_C_FV_f4ddf33ff6224574ba096b1a5435ea67_5</vt:lpstr>
      <vt:lpstr>_vena_2_B1_C_FV_f4ddf33ff6224574ba096b1a5435ea67_6</vt:lpstr>
      <vt:lpstr>_vena_2_B1_C_FV_f4ddf33ff6224574ba096b1a5435ea67_7</vt:lpstr>
      <vt:lpstr>_vena_2_B1_C_FV_f4ddf33ff6224574ba096b1a5435ea67_8</vt:lpstr>
      <vt:lpstr>_vena_2_B1_C_FV_f4ddf33ff6224574ba096b1a5435ea67_9</vt:lpstr>
      <vt:lpstr>_vena_2_B1_R_1_1126333519640395796</vt:lpstr>
      <vt:lpstr>_vena_2_B1_R_1_1126333519686533120</vt:lpstr>
      <vt:lpstr>_vena_2_B1_R_1_1126333519715893262</vt:lpstr>
      <vt:lpstr>_vena_2_B1_R_1_1126333519736864780</vt:lpstr>
      <vt:lpstr>_vena_2_B1_R_1_1126333519762030608</vt:lpstr>
      <vt:lpstr>_vena_2_B1_R_1_1126333519778807820</vt:lpstr>
      <vt:lpstr>_vena_2_B1_R_1_1126333519787196446</vt:lpstr>
      <vt:lpstr>_vena_2_B1_R_1_1126333519808167948</vt:lpstr>
      <vt:lpstr>_vena_2_B1_R_1_1126333519854305298</vt:lpstr>
      <vt:lpstr>_vena_2_B1_R_1_1126333519871082529</vt:lpstr>
      <vt:lpstr>_vena_2_B1_R_1_1126333519883665426</vt:lpstr>
      <vt:lpstr>_vena_2_B1_R_1_1126333519900442631</vt:lpstr>
      <vt:lpstr>_vena_2_B1_R_1_1126333519925608473</vt:lpstr>
      <vt:lpstr>_vena_2_B1_R_1_1126333519963357190</vt:lpstr>
      <vt:lpstr>_vena_2_B1_R_1_1176989022519558144</vt:lpstr>
      <vt:lpstr>_vena_2_B1_R_1_1177034623004573696</vt:lpstr>
      <vt:lpstr>_vena_2_B1_R_1_1177042009963233280</vt:lpstr>
      <vt:lpstr>_vena_2_B1_R_1_1177042321444044802</vt:lpstr>
      <vt:lpstr>_vena_2_B1_R_1_1182443237873811456</vt:lpstr>
      <vt:lpstr>_vena_2_B1_R_1_1192625627677589504</vt:lpstr>
      <vt:lpstr>_vena_2_B1_R_1_1193288113649483886</vt:lpstr>
      <vt:lpstr>_vena_2_B1_R_1_1258522529073987584</vt:lpstr>
      <vt:lpstr>_vena_2_B1_R_1_1336800240017473538</vt:lpstr>
      <vt:lpstr>_vena_2_B1_R_1_1525326324040761344</vt:lpstr>
      <vt:lpstr>_vena_2_B1_R_1_1547710538947624960</vt:lpstr>
      <vt:lpstr>_vena_2_B1_R_1_1547710569653993893</vt:lpstr>
      <vt:lpstr>_vena_2_B1_R_1_651631427951788032</vt:lpstr>
      <vt:lpstr>_vena_2_B1_R_1_651631427989536768</vt:lpstr>
      <vt:lpstr>_vena_2_B1_R_1_651631428002119680</vt:lpstr>
      <vt:lpstr>_vena_2_B1_R_1_651631428165697537</vt:lpstr>
      <vt:lpstr>_vena_2_B1_R_1_691119840308494336</vt:lpstr>
      <vt:lpstr>_vena_2_B1_R_1_691121205046280192</vt:lpstr>
      <vt:lpstr>_vena_2_B1_R_1_691121629820878848</vt:lpstr>
      <vt:lpstr>_vena_2_B1_R_1_691172173569589248</vt:lpstr>
      <vt:lpstr>_vena_2_B1_R_FV_385b1d086d8a4b8abf43c04eedb00d88_1b93a96a.eccdd5fb</vt:lpstr>
      <vt:lpstr>_vena_2_B1_R_FV_385b1d086d8a4b8abf43c04eedb00d88_2750cbec.832c998a</vt:lpstr>
      <vt:lpstr>_vena_2_B1_R_FV_385b1d086d8a4b8abf43c04eedb00d88_3888619d.708c8f26</vt:lpstr>
      <vt:lpstr>_vena_2_B1_R_FV_385b1d086d8a4b8abf43c04eedb00d88_3fe6bec6.1d8da2dc</vt:lpstr>
      <vt:lpstr>_vena_2_B1_R_FV_385b1d086d8a4b8abf43c04eedb00d88_5bbabfa1.756627a5</vt:lpstr>
      <vt:lpstr>_vena_2_B1_R_FV_385b1d086d8a4b8abf43c04eedb00d88_60337174.8324ddc4</vt:lpstr>
      <vt:lpstr>_vena_2_B1_R_FV_385b1d086d8a4b8abf43c04eedb00d88_6fc33715.4cc84226</vt:lpstr>
      <vt:lpstr>_vena_2_B1_R_FV_385b1d086d8a4b8abf43c04eedb00d88_7276a90a.a181d49e</vt:lpstr>
      <vt:lpstr>_vena_2_B1_R_FV_385b1d086d8a4b8abf43c04eedb00d88_823775d5.219c5c8e</vt:lpstr>
      <vt:lpstr>_vena_2_B1_R_FV_385b1d086d8a4b8abf43c04eedb00d88_894991cf.142ea2a6</vt:lpstr>
      <vt:lpstr>_vena_2_B1_R_FV_385b1d086d8a4b8abf43c04eedb00d88_8b02c9ed.14c6f598</vt:lpstr>
      <vt:lpstr>_vena_2_B1_R_FV_385b1d086d8a4b8abf43c04eedb00d88_9c58fdae.bdeeef49</vt:lpstr>
      <vt:lpstr>_vena_2_B1_R_FV_385b1d086d8a4b8abf43c04eedb00d88_b13bc8b.af6bfc97</vt:lpstr>
      <vt:lpstr>_vena_2_B1_R_FV_385b1d086d8a4b8abf43c04eedb00d88_b7a7b58b.674db7db</vt:lpstr>
      <vt:lpstr>_vena_2_B1_R_FV_385b1d086d8a4b8abf43c04eedb00d88_bc4e5472.f16fe35b</vt:lpstr>
      <vt:lpstr>_vena_2_B1_R_FV_385b1d086d8a4b8abf43c04eedb00d88_c09a1d04.1e40570</vt:lpstr>
      <vt:lpstr>_vena_2_B1_R_FV_385b1d086d8a4b8abf43c04eedb00d88_c8e90ce6.23b9a703</vt:lpstr>
      <vt:lpstr>_vena_2_B1_R_FV_385b1d086d8a4b8abf43c04eedb00d88_c9ac1536.f8a484e3</vt:lpstr>
      <vt:lpstr>_vena_2_B1_R_FV_385b1d086d8a4b8abf43c04eedb00d88_d1350884.f34c97a4</vt:lpstr>
      <vt:lpstr>_vena_2_B1_R_FV_385b1d086d8a4b8abf43c04eedb00d88_d1906588.b9e362b4</vt:lpstr>
      <vt:lpstr>_vena_2_B1_R_FV_385b1d086d8a4b8abf43c04eedb00d88_dbacd17b.b36ca404</vt:lpstr>
      <vt:lpstr>_vena_2_B1_R_FV_385b1d086d8a4b8abf43c04eedb00d88_dbe69cf1.6780e2a</vt:lpstr>
      <vt:lpstr>_vena_2_B1_R_FV_385b1d086d8a4b8abf43c04eedb00d88_e5edff55.1c14688c</vt:lpstr>
      <vt:lpstr>_vena_2_B1_R_FV_385b1d086d8a4b8abf43c04eedb00d88_f0e35eab.2909e9cf</vt:lpstr>
      <vt:lpstr>_vena_2_B1_R_FV_385b1d086d8a4b8abf43c04eedb00d88_f994a178.f547d40f</vt:lpstr>
      <vt:lpstr>_vena_2_B1_R_FV_385b1d086d8a4b8abf43c04eedb00d88_fddaefe4.932e7370</vt:lpstr>
      <vt:lpstr>_vena_2_P_11_651631431944765441</vt:lpstr>
      <vt:lpstr>_vena_2_P_12_651631431982514177</vt:lpstr>
      <vt:lpstr>_vena_2_P_2_651631429184913409</vt:lpstr>
      <vt:lpstr>_vena_2_P_4_652241713652170752</vt:lpstr>
      <vt:lpstr>_vena_2_P_5_652241713786388480</vt:lpstr>
      <vt:lpstr>_vena_2_P_6_652241713908023296</vt:lpstr>
      <vt:lpstr>_vena_2_P_7_652241714033852416</vt:lpstr>
      <vt:lpstr>_vena_2_P_FV_a2a46c4bae444ba2ab0e2971d74e2ddb</vt:lpstr>
      <vt:lpstr>_vena_3_B1_C_FV_134399665b374008851e5b8c04b5ee44</vt:lpstr>
      <vt:lpstr>_vena_3_B1_C_FV_134399665b374008851e5b8c04b5ee44_1</vt:lpstr>
      <vt:lpstr>_vena_3_B1_C_FV_134399665b374008851e5b8c04b5ee44_10</vt:lpstr>
      <vt:lpstr>_vena_3_B1_C_FV_134399665b374008851e5b8c04b5ee44_11</vt:lpstr>
      <vt:lpstr>_vena_3_B1_C_FV_134399665b374008851e5b8c04b5ee44_12</vt:lpstr>
      <vt:lpstr>_vena_3_B1_C_FV_134399665b374008851e5b8c04b5ee44_13</vt:lpstr>
      <vt:lpstr>_vena_3_B1_C_FV_134399665b374008851e5b8c04b5ee44_2</vt:lpstr>
      <vt:lpstr>_vena_3_B1_C_FV_134399665b374008851e5b8c04b5ee44_3</vt:lpstr>
      <vt:lpstr>_vena_3_B1_C_FV_134399665b374008851e5b8c04b5ee44_4</vt:lpstr>
      <vt:lpstr>_vena_3_B1_C_FV_134399665b374008851e5b8c04b5ee44_5</vt:lpstr>
      <vt:lpstr>_vena_3_B1_C_FV_134399665b374008851e5b8c04b5ee44_6</vt:lpstr>
      <vt:lpstr>_vena_3_B1_C_FV_134399665b374008851e5b8c04b5ee44_7</vt:lpstr>
      <vt:lpstr>_vena_3_B1_C_FV_134399665b374008851e5b8c04b5ee44_8</vt:lpstr>
      <vt:lpstr>_vena_3_B1_C_FV_134399665b374008851e5b8c04b5ee44_9</vt:lpstr>
      <vt:lpstr>_vena_3_B1_C_FV_7cc8369c0b744816a17486bee792b4d5</vt:lpstr>
      <vt:lpstr>_vena_3_B1_C_FV_7cc8369c0b744816a17486bee792b4d5_1</vt:lpstr>
      <vt:lpstr>_vena_3_B1_C_FV_7cc8369c0b744816a17486bee792b4d5_10</vt:lpstr>
      <vt:lpstr>_vena_3_B1_C_FV_7cc8369c0b744816a17486bee792b4d5_11</vt:lpstr>
      <vt:lpstr>_vena_3_B1_C_FV_7cc8369c0b744816a17486bee792b4d5_12</vt:lpstr>
      <vt:lpstr>_vena_3_B1_C_FV_7cc8369c0b744816a17486bee792b4d5_13</vt:lpstr>
      <vt:lpstr>_vena_3_B1_C_FV_7cc8369c0b744816a17486bee792b4d5_2</vt:lpstr>
      <vt:lpstr>_vena_3_B1_C_FV_7cc8369c0b744816a17486bee792b4d5_3</vt:lpstr>
      <vt:lpstr>_vena_3_B1_C_FV_7cc8369c0b744816a17486bee792b4d5_4</vt:lpstr>
      <vt:lpstr>_vena_3_B1_C_FV_7cc8369c0b744816a17486bee792b4d5_5</vt:lpstr>
      <vt:lpstr>_vena_3_B1_C_FV_7cc8369c0b744816a17486bee792b4d5_6</vt:lpstr>
      <vt:lpstr>_vena_3_B1_C_FV_7cc8369c0b744816a17486bee792b4d5_7</vt:lpstr>
      <vt:lpstr>_vena_3_B1_C_FV_7cc8369c0b744816a17486bee792b4d5_8</vt:lpstr>
      <vt:lpstr>_vena_3_B1_C_FV_7cc8369c0b744816a17486bee792b4d5_9</vt:lpstr>
      <vt:lpstr>_vena_3_B1_C_FV_f4ddf33ff6224574ba096b1a5435ea67</vt:lpstr>
      <vt:lpstr>_vena_3_B1_C_FV_f4ddf33ff6224574ba096b1a5435ea67_1</vt:lpstr>
      <vt:lpstr>_vena_3_B1_C_FV_f4ddf33ff6224574ba096b1a5435ea67_10</vt:lpstr>
      <vt:lpstr>_vena_3_B1_C_FV_f4ddf33ff6224574ba096b1a5435ea67_11</vt:lpstr>
      <vt:lpstr>_vena_3_B1_C_FV_f4ddf33ff6224574ba096b1a5435ea67_12</vt:lpstr>
      <vt:lpstr>_vena_3_B1_C_FV_f4ddf33ff6224574ba096b1a5435ea67_13</vt:lpstr>
      <vt:lpstr>_vena_3_B1_C_FV_f4ddf33ff6224574ba096b1a5435ea67_2</vt:lpstr>
      <vt:lpstr>_vena_3_B1_C_FV_f4ddf33ff6224574ba096b1a5435ea67_3</vt:lpstr>
      <vt:lpstr>_vena_3_B1_C_FV_f4ddf33ff6224574ba096b1a5435ea67_4</vt:lpstr>
      <vt:lpstr>_vena_3_B1_C_FV_f4ddf33ff6224574ba096b1a5435ea67_5</vt:lpstr>
      <vt:lpstr>_vena_3_B1_C_FV_f4ddf33ff6224574ba096b1a5435ea67_6</vt:lpstr>
      <vt:lpstr>_vena_3_B1_C_FV_f4ddf33ff6224574ba096b1a5435ea67_7</vt:lpstr>
      <vt:lpstr>_vena_3_B1_C_FV_f4ddf33ff6224574ba096b1a5435ea67_8</vt:lpstr>
      <vt:lpstr>_vena_3_B1_C_FV_f4ddf33ff6224574ba096b1a5435ea67_9</vt:lpstr>
      <vt:lpstr>_vena_3_B1_R_1_1126333519640395796</vt:lpstr>
      <vt:lpstr>_vena_3_B1_R_1_1126333519686533120</vt:lpstr>
      <vt:lpstr>_vena_3_B1_R_1_1126333519715893262</vt:lpstr>
      <vt:lpstr>_vena_3_B1_R_1_1126333519736864780</vt:lpstr>
      <vt:lpstr>_vena_3_B1_R_1_1126333519762030608</vt:lpstr>
      <vt:lpstr>_vena_3_B1_R_1_1126333519778807820</vt:lpstr>
      <vt:lpstr>_vena_3_B1_R_1_1126333519787196446</vt:lpstr>
      <vt:lpstr>_vena_3_B1_R_1_1126333519808167948</vt:lpstr>
      <vt:lpstr>_vena_3_B1_R_1_1126333519854305298</vt:lpstr>
      <vt:lpstr>_vena_3_B1_R_1_1126333519871082529</vt:lpstr>
      <vt:lpstr>_vena_3_B1_R_1_1126333519883665426</vt:lpstr>
      <vt:lpstr>_vena_3_B1_R_1_1126333519900442631</vt:lpstr>
      <vt:lpstr>_vena_3_B1_R_1_1126333519925608473</vt:lpstr>
      <vt:lpstr>_vena_3_B1_R_1_1126333519963357190</vt:lpstr>
      <vt:lpstr>_vena_3_B1_R_1_1176989022519558144</vt:lpstr>
      <vt:lpstr>_vena_3_B1_R_1_1177034623004573696</vt:lpstr>
      <vt:lpstr>_vena_3_B1_R_1_1177042009963233280</vt:lpstr>
      <vt:lpstr>_vena_3_B1_R_1_1177042321444044802</vt:lpstr>
      <vt:lpstr>_vena_3_B1_R_1_1182443237873811456</vt:lpstr>
      <vt:lpstr>_vena_3_B1_R_1_1192625627677589504</vt:lpstr>
      <vt:lpstr>_vena_3_B1_R_1_1193288113649483886</vt:lpstr>
      <vt:lpstr>_vena_3_B1_R_1_1258522529073987584</vt:lpstr>
      <vt:lpstr>_vena_3_B1_R_1_1336800240017473538</vt:lpstr>
      <vt:lpstr>_vena_3_B1_R_1_1525326324040761344</vt:lpstr>
      <vt:lpstr>_vena_3_B1_R_1_1547710538947624960</vt:lpstr>
      <vt:lpstr>_vena_3_B1_R_1_1547710569653993893</vt:lpstr>
      <vt:lpstr>_vena_3_B1_R_1_651631427951788032</vt:lpstr>
      <vt:lpstr>_vena_3_B1_R_1_651631428002119680</vt:lpstr>
      <vt:lpstr>_vena_3_B1_R_1_651631428165697537</vt:lpstr>
      <vt:lpstr>_vena_3_B1_R_1_691119840308494336</vt:lpstr>
      <vt:lpstr>_vena_3_B1_R_1_691121205046280192</vt:lpstr>
      <vt:lpstr>_vena_3_B1_R_1_691121629820878848</vt:lpstr>
      <vt:lpstr>_vena_3_B1_R_1_691172173569589248</vt:lpstr>
      <vt:lpstr>_vena_3_B1_R_FV_385b1d086d8a4b8abf43c04eedb00d88_1ca368a5.225773b0</vt:lpstr>
      <vt:lpstr>_vena_3_B1_R_FV_385b1d086d8a4b8abf43c04eedb00d88_1e7f81f1.c62b28be</vt:lpstr>
      <vt:lpstr>_vena_3_B1_R_FV_385b1d086d8a4b8abf43c04eedb00d88_274e23f6.2ac1ec3f</vt:lpstr>
      <vt:lpstr>_vena_3_B1_R_FV_385b1d086d8a4b8abf43c04eedb00d88_27f3cc6a.60765388</vt:lpstr>
      <vt:lpstr>_vena_3_B1_R_FV_385b1d086d8a4b8abf43c04eedb00d88_2a916b00.4c0a4982</vt:lpstr>
      <vt:lpstr>_vena_3_B1_R_FV_385b1d086d8a4b8abf43c04eedb00d88_3d805b23.20baecc2</vt:lpstr>
      <vt:lpstr>_vena_3_B1_R_FV_385b1d086d8a4b8abf43c04eedb00d88_3eb3505b.2a0f6ed7</vt:lpstr>
      <vt:lpstr>_vena_3_B1_R_FV_385b1d086d8a4b8abf43c04eedb00d88_4443e830.5fce07b2</vt:lpstr>
      <vt:lpstr>_vena_3_B1_R_FV_385b1d086d8a4b8abf43c04eedb00d88_46d3e3d7.68953055</vt:lpstr>
      <vt:lpstr>_vena_3_B1_R_FV_385b1d086d8a4b8abf43c04eedb00d88_495f7749.a1b28f8f</vt:lpstr>
      <vt:lpstr>_vena_3_B1_R_FV_385b1d086d8a4b8abf43c04eedb00d88_4dc46ca8.4252f6b3</vt:lpstr>
      <vt:lpstr>_vena_3_B1_R_FV_385b1d086d8a4b8abf43c04eedb00d88_5676f1b4.d3470de3</vt:lpstr>
      <vt:lpstr>_vena_3_B1_R_FV_385b1d086d8a4b8abf43c04eedb00d88_5b5cdcb0.7ac4c49e</vt:lpstr>
      <vt:lpstr>_vena_3_B1_R_FV_385b1d086d8a4b8abf43c04eedb00d88_61462c99.f18defc</vt:lpstr>
      <vt:lpstr>_vena_3_B1_R_FV_385b1d086d8a4b8abf43c04eedb00d88_8c4967db.f7dbec5f</vt:lpstr>
      <vt:lpstr>_vena_3_B1_R_FV_385b1d086d8a4b8abf43c04eedb00d88_930a243.a27b03dd</vt:lpstr>
      <vt:lpstr>_vena_3_B1_R_FV_385b1d086d8a4b8abf43c04eedb00d88_9854f2da.52ccaac4</vt:lpstr>
      <vt:lpstr>_vena_3_B1_R_FV_385b1d086d8a4b8abf43c04eedb00d88_a168a8aa.2b0a9667</vt:lpstr>
      <vt:lpstr>_vena_3_B1_R_FV_385b1d086d8a4b8abf43c04eedb00d88_b3e56fa2.150077c7</vt:lpstr>
      <vt:lpstr>_vena_3_B1_R_FV_385b1d086d8a4b8abf43c04eedb00d88_b721cb84.141a522a</vt:lpstr>
      <vt:lpstr>_vena_3_B1_R_FV_385b1d086d8a4b8abf43c04eedb00d88_b8e1cf56.a973fc75</vt:lpstr>
      <vt:lpstr>_vena_3_B1_R_FV_385b1d086d8a4b8abf43c04eedb00d88_bbb761df.6c1cb0a3</vt:lpstr>
      <vt:lpstr>_vena_3_B1_R_FV_385b1d086d8a4b8abf43c04eedb00d88_d2eeae1e.ad0fce1a</vt:lpstr>
      <vt:lpstr>_vena_3_B1_R_FV_385b1d086d8a4b8abf43c04eedb00d88_dad96222.b8cc0072</vt:lpstr>
      <vt:lpstr>_vena_3_B1_R_FV_385b1d086d8a4b8abf43c04eedb00d88_ed6bbfbf.9ec69454</vt:lpstr>
      <vt:lpstr>_vena_3_B1_R_FV_385b1d086d8a4b8abf43c04eedb00d88_f03b8892.5838aa62</vt:lpstr>
      <vt:lpstr>_vena_3_P_11_651631431944765441</vt:lpstr>
      <vt:lpstr>_vena_3_P_12_651631431982514177</vt:lpstr>
      <vt:lpstr>_vena_3_P_2_651631429184913409</vt:lpstr>
      <vt:lpstr>_vena_3_P_4_652241713652170752</vt:lpstr>
      <vt:lpstr>_vena_3_P_5_652241713786388480</vt:lpstr>
      <vt:lpstr>_vena_3_P_6_652241713908023296</vt:lpstr>
      <vt:lpstr>_vena_3_P_7_652241714033852416</vt:lpstr>
      <vt:lpstr>_vena_3_P_FV_a2a46c4bae444ba2ab0e2971d74e2ddb</vt:lpstr>
      <vt:lpstr>_vena_4_b1_C_FV_134399665b374008851e5b8c04b5ee44</vt:lpstr>
      <vt:lpstr>_vena_4_b1_C_FV_134399665b374008851e5b8c04b5ee44_1</vt:lpstr>
      <vt:lpstr>_vena_4_b1_C_FV_134399665b374008851e5b8c04b5ee44_10</vt:lpstr>
      <vt:lpstr>_vena_4_b1_C_FV_134399665b374008851e5b8c04b5ee44_11</vt:lpstr>
      <vt:lpstr>_vena_4_b1_C_FV_134399665b374008851e5b8c04b5ee44_12</vt:lpstr>
      <vt:lpstr>_vena_4_b1_C_FV_134399665b374008851e5b8c04b5ee44_13</vt:lpstr>
      <vt:lpstr>_vena_4_b1_C_FV_134399665b374008851e5b8c04b5ee44_14</vt:lpstr>
      <vt:lpstr>_vena_4_b1_C_FV_134399665b374008851e5b8c04b5ee44_15</vt:lpstr>
      <vt:lpstr>_vena_4_b1_C_FV_134399665b374008851e5b8c04b5ee44_16</vt:lpstr>
      <vt:lpstr>_vena_4_b1_C_FV_134399665b374008851e5b8c04b5ee44_17</vt:lpstr>
      <vt:lpstr>_vena_4_b1_C_FV_134399665b374008851e5b8c04b5ee44_18</vt:lpstr>
      <vt:lpstr>_vena_4_b1_C_FV_134399665b374008851e5b8c04b5ee44_19</vt:lpstr>
      <vt:lpstr>_vena_4_b1_C_FV_134399665b374008851e5b8c04b5ee44_2</vt:lpstr>
      <vt:lpstr>_vena_4_b1_C_FV_134399665b374008851e5b8c04b5ee44_20</vt:lpstr>
      <vt:lpstr>_vena_4_b1_C_FV_134399665b374008851e5b8c04b5ee44_21</vt:lpstr>
      <vt:lpstr>_vena_4_b1_C_FV_134399665b374008851e5b8c04b5ee44_22</vt:lpstr>
      <vt:lpstr>_vena_4_b1_C_FV_134399665b374008851e5b8c04b5ee44_23</vt:lpstr>
      <vt:lpstr>_vena_4_b1_C_FV_134399665b374008851e5b8c04b5ee44_24</vt:lpstr>
      <vt:lpstr>_vena_4_b1_C_FV_134399665b374008851e5b8c04b5ee44_25</vt:lpstr>
      <vt:lpstr>_vena_4_b1_C_FV_134399665b374008851e5b8c04b5ee44_26</vt:lpstr>
      <vt:lpstr>_vena_4_b1_C_FV_134399665b374008851e5b8c04b5ee44_27</vt:lpstr>
      <vt:lpstr>_vena_4_b1_C_FV_134399665b374008851e5b8c04b5ee44_28</vt:lpstr>
      <vt:lpstr>_vena_4_b1_C_FV_134399665b374008851e5b8c04b5ee44_29</vt:lpstr>
      <vt:lpstr>_vena_4_b1_C_FV_134399665b374008851e5b8c04b5ee44_3</vt:lpstr>
      <vt:lpstr>_vena_4_b1_C_FV_134399665b374008851e5b8c04b5ee44_30</vt:lpstr>
      <vt:lpstr>_vena_4_b1_C_FV_134399665b374008851e5b8c04b5ee44_31</vt:lpstr>
      <vt:lpstr>_vena_4_b1_C_FV_134399665b374008851e5b8c04b5ee44_32</vt:lpstr>
      <vt:lpstr>_vena_4_b1_C_FV_134399665b374008851e5b8c04b5ee44_33</vt:lpstr>
      <vt:lpstr>_vena_4_b1_C_FV_134399665b374008851e5b8c04b5ee44_34</vt:lpstr>
      <vt:lpstr>_vena_4_b1_C_FV_134399665b374008851e5b8c04b5ee44_35</vt:lpstr>
      <vt:lpstr>_vena_4_b1_C_FV_134399665b374008851e5b8c04b5ee44_36</vt:lpstr>
      <vt:lpstr>_vena_4_b1_C_FV_134399665b374008851e5b8c04b5ee44_37</vt:lpstr>
      <vt:lpstr>_vena_4_b1_C_FV_134399665b374008851e5b8c04b5ee44_38</vt:lpstr>
      <vt:lpstr>_vena_4_b1_C_FV_134399665b374008851e5b8c04b5ee44_39</vt:lpstr>
      <vt:lpstr>_vena_4_b1_C_FV_134399665b374008851e5b8c04b5ee44_4</vt:lpstr>
      <vt:lpstr>_vena_4_b1_C_FV_134399665b374008851e5b8c04b5ee44_40</vt:lpstr>
      <vt:lpstr>_vena_4_b1_C_FV_134399665b374008851e5b8c04b5ee44_41</vt:lpstr>
      <vt:lpstr>_vena_4_b1_C_FV_134399665b374008851e5b8c04b5ee44_42</vt:lpstr>
      <vt:lpstr>_vena_4_b1_C_FV_134399665b374008851e5b8c04b5ee44_43</vt:lpstr>
      <vt:lpstr>_vena_4_b1_C_FV_134399665b374008851e5b8c04b5ee44_44</vt:lpstr>
      <vt:lpstr>_vena_4_b1_C_FV_134399665b374008851e5b8c04b5ee44_45</vt:lpstr>
      <vt:lpstr>_vena_4_b1_C_FV_134399665b374008851e5b8c04b5ee44_46</vt:lpstr>
      <vt:lpstr>_vena_4_b1_C_FV_134399665b374008851e5b8c04b5ee44_47</vt:lpstr>
      <vt:lpstr>_vena_4_b1_C_FV_134399665b374008851e5b8c04b5ee44_5</vt:lpstr>
      <vt:lpstr>_vena_4_b1_C_FV_134399665b374008851e5b8c04b5ee44_6</vt:lpstr>
      <vt:lpstr>_vena_4_b1_C_FV_134399665b374008851e5b8c04b5ee44_7</vt:lpstr>
      <vt:lpstr>_vena_4_b1_C_FV_134399665b374008851e5b8c04b5ee44_8</vt:lpstr>
      <vt:lpstr>_vena_4_b1_C_FV_134399665b374008851e5b8c04b5ee44_9</vt:lpstr>
      <vt:lpstr>_vena_4_b1_C_FV_7cc8369c0b744816a17486bee792b4d5</vt:lpstr>
      <vt:lpstr>_vena_4_b1_C_FV_7cc8369c0b744816a17486bee792b4d5_1</vt:lpstr>
      <vt:lpstr>_vena_4_b1_C_FV_7cc8369c0b744816a17486bee792b4d5_10</vt:lpstr>
      <vt:lpstr>_vena_4_b1_C_FV_7cc8369c0b744816a17486bee792b4d5_11</vt:lpstr>
      <vt:lpstr>_vena_4_b1_C_FV_7cc8369c0b744816a17486bee792b4d5_12</vt:lpstr>
      <vt:lpstr>_vena_4_b1_C_FV_7cc8369c0b744816a17486bee792b4d5_13</vt:lpstr>
      <vt:lpstr>_vena_4_b1_C_FV_7cc8369c0b744816a17486bee792b4d5_14</vt:lpstr>
      <vt:lpstr>_vena_4_b1_C_FV_7cc8369c0b744816a17486bee792b4d5_15</vt:lpstr>
      <vt:lpstr>_vena_4_b1_C_FV_7cc8369c0b744816a17486bee792b4d5_16</vt:lpstr>
      <vt:lpstr>_vena_4_b1_C_FV_7cc8369c0b744816a17486bee792b4d5_17</vt:lpstr>
      <vt:lpstr>_vena_4_b1_C_FV_7cc8369c0b744816a17486bee792b4d5_18</vt:lpstr>
      <vt:lpstr>_vena_4_b1_C_FV_7cc8369c0b744816a17486bee792b4d5_19</vt:lpstr>
      <vt:lpstr>_vena_4_b1_C_FV_7cc8369c0b744816a17486bee792b4d5_2</vt:lpstr>
      <vt:lpstr>_vena_4_b1_C_FV_7cc8369c0b744816a17486bee792b4d5_20</vt:lpstr>
      <vt:lpstr>_vena_4_b1_C_FV_7cc8369c0b744816a17486bee792b4d5_21</vt:lpstr>
      <vt:lpstr>_vena_4_b1_C_FV_7cc8369c0b744816a17486bee792b4d5_22</vt:lpstr>
      <vt:lpstr>_vena_4_b1_C_FV_7cc8369c0b744816a17486bee792b4d5_23</vt:lpstr>
      <vt:lpstr>_vena_4_b1_C_FV_7cc8369c0b744816a17486bee792b4d5_24</vt:lpstr>
      <vt:lpstr>_vena_4_b1_C_FV_7cc8369c0b744816a17486bee792b4d5_25</vt:lpstr>
      <vt:lpstr>_vena_4_b1_C_FV_7cc8369c0b744816a17486bee792b4d5_26</vt:lpstr>
      <vt:lpstr>_vena_4_b1_C_FV_7cc8369c0b744816a17486bee792b4d5_27</vt:lpstr>
      <vt:lpstr>_vena_4_b1_C_FV_7cc8369c0b744816a17486bee792b4d5_28</vt:lpstr>
      <vt:lpstr>_vena_4_b1_C_FV_7cc8369c0b744816a17486bee792b4d5_29</vt:lpstr>
      <vt:lpstr>_vena_4_b1_C_FV_7cc8369c0b744816a17486bee792b4d5_3</vt:lpstr>
      <vt:lpstr>_vena_4_b1_C_FV_7cc8369c0b744816a17486bee792b4d5_30</vt:lpstr>
      <vt:lpstr>_vena_4_b1_C_FV_7cc8369c0b744816a17486bee792b4d5_31</vt:lpstr>
      <vt:lpstr>_vena_4_b1_C_FV_7cc8369c0b744816a17486bee792b4d5_32</vt:lpstr>
      <vt:lpstr>_vena_4_b1_C_FV_7cc8369c0b744816a17486bee792b4d5_33</vt:lpstr>
      <vt:lpstr>_vena_4_b1_C_FV_7cc8369c0b744816a17486bee792b4d5_34</vt:lpstr>
      <vt:lpstr>_vena_4_b1_C_FV_7cc8369c0b744816a17486bee792b4d5_35</vt:lpstr>
      <vt:lpstr>_vena_4_b1_C_FV_7cc8369c0b744816a17486bee792b4d5_36</vt:lpstr>
      <vt:lpstr>_vena_4_b1_C_FV_7cc8369c0b744816a17486bee792b4d5_37</vt:lpstr>
      <vt:lpstr>_vena_4_b1_C_FV_7cc8369c0b744816a17486bee792b4d5_38</vt:lpstr>
      <vt:lpstr>_vena_4_b1_C_FV_7cc8369c0b744816a17486bee792b4d5_39</vt:lpstr>
      <vt:lpstr>_vena_4_b1_C_FV_7cc8369c0b744816a17486bee792b4d5_4</vt:lpstr>
      <vt:lpstr>_vena_4_b1_C_FV_7cc8369c0b744816a17486bee792b4d5_40</vt:lpstr>
      <vt:lpstr>_vena_4_b1_C_FV_7cc8369c0b744816a17486bee792b4d5_41</vt:lpstr>
      <vt:lpstr>_vena_4_b1_C_FV_7cc8369c0b744816a17486bee792b4d5_42</vt:lpstr>
      <vt:lpstr>_vena_4_b1_C_FV_7cc8369c0b744816a17486bee792b4d5_43</vt:lpstr>
      <vt:lpstr>_vena_4_b1_C_FV_7cc8369c0b744816a17486bee792b4d5_44</vt:lpstr>
      <vt:lpstr>_vena_4_b1_C_FV_7cc8369c0b744816a17486bee792b4d5_45</vt:lpstr>
      <vt:lpstr>_vena_4_b1_C_FV_7cc8369c0b744816a17486bee792b4d5_46</vt:lpstr>
      <vt:lpstr>_vena_4_b1_C_FV_7cc8369c0b744816a17486bee792b4d5_47</vt:lpstr>
      <vt:lpstr>_vena_4_b1_C_FV_7cc8369c0b744816a17486bee792b4d5_5</vt:lpstr>
      <vt:lpstr>_vena_4_b1_C_FV_7cc8369c0b744816a17486bee792b4d5_6</vt:lpstr>
      <vt:lpstr>_vena_4_b1_C_FV_7cc8369c0b744816a17486bee792b4d5_7</vt:lpstr>
      <vt:lpstr>_vena_4_b1_C_FV_7cc8369c0b744816a17486bee792b4d5_8</vt:lpstr>
      <vt:lpstr>_vena_4_b1_C_FV_7cc8369c0b744816a17486bee792b4d5_9</vt:lpstr>
      <vt:lpstr>_vena_4_b1_C_FV_f4ddf33ff6224574ba096b1a5435ea67</vt:lpstr>
      <vt:lpstr>_vena_4_b1_C_FV_f4ddf33ff6224574ba096b1a5435ea67_1</vt:lpstr>
      <vt:lpstr>_vena_4_b1_C_FV_f4ddf33ff6224574ba096b1a5435ea67_10</vt:lpstr>
      <vt:lpstr>_vena_4_b1_C_FV_f4ddf33ff6224574ba096b1a5435ea67_11</vt:lpstr>
      <vt:lpstr>_vena_4_b1_C_FV_f4ddf33ff6224574ba096b1a5435ea67_12</vt:lpstr>
      <vt:lpstr>_vena_4_b1_C_FV_f4ddf33ff6224574ba096b1a5435ea67_13</vt:lpstr>
      <vt:lpstr>_vena_4_b1_C_FV_f4ddf33ff6224574ba096b1a5435ea67_14</vt:lpstr>
      <vt:lpstr>_vena_4_b1_C_FV_f4ddf33ff6224574ba096b1a5435ea67_15</vt:lpstr>
      <vt:lpstr>_vena_4_b1_C_FV_f4ddf33ff6224574ba096b1a5435ea67_16</vt:lpstr>
      <vt:lpstr>_vena_4_b1_C_FV_f4ddf33ff6224574ba096b1a5435ea67_17</vt:lpstr>
      <vt:lpstr>_vena_4_b1_C_FV_f4ddf33ff6224574ba096b1a5435ea67_18</vt:lpstr>
      <vt:lpstr>_vena_4_b1_C_FV_f4ddf33ff6224574ba096b1a5435ea67_19</vt:lpstr>
      <vt:lpstr>_vena_4_b1_C_FV_f4ddf33ff6224574ba096b1a5435ea67_2</vt:lpstr>
      <vt:lpstr>_vena_4_b1_C_FV_f4ddf33ff6224574ba096b1a5435ea67_20</vt:lpstr>
      <vt:lpstr>_vena_4_b1_C_FV_f4ddf33ff6224574ba096b1a5435ea67_21</vt:lpstr>
      <vt:lpstr>_vena_4_b1_C_FV_f4ddf33ff6224574ba096b1a5435ea67_22</vt:lpstr>
      <vt:lpstr>_vena_4_b1_C_FV_f4ddf33ff6224574ba096b1a5435ea67_23</vt:lpstr>
      <vt:lpstr>_vena_4_b1_C_FV_f4ddf33ff6224574ba096b1a5435ea67_24</vt:lpstr>
      <vt:lpstr>_vena_4_b1_C_FV_f4ddf33ff6224574ba096b1a5435ea67_25</vt:lpstr>
      <vt:lpstr>_vena_4_b1_C_FV_f4ddf33ff6224574ba096b1a5435ea67_26</vt:lpstr>
      <vt:lpstr>_vena_4_b1_C_FV_f4ddf33ff6224574ba096b1a5435ea67_27</vt:lpstr>
      <vt:lpstr>_vena_4_b1_C_FV_f4ddf33ff6224574ba096b1a5435ea67_28</vt:lpstr>
      <vt:lpstr>_vena_4_b1_C_FV_f4ddf33ff6224574ba096b1a5435ea67_29</vt:lpstr>
      <vt:lpstr>_vena_4_b1_C_FV_f4ddf33ff6224574ba096b1a5435ea67_3</vt:lpstr>
      <vt:lpstr>_vena_4_b1_C_FV_f4ddf33ff6224574ba096b1a5435ea67_30</vt:lpstr>
      <vt:lpstr>_vena_4_b1_C_FV_f4ddf33ff6224574ba096b1a5435ea67_31</vt:lpstr>
      <vt:lpstr>_vena_4_b1_C_FV_f4ddf33ff6224574ba096b1a5435ea67_32</vt:lpstr>
      <vt:lpstr>_vena_4_b1_C_FV_f4ddf33ff6224574ba096b1a5435ea67_33</vt:lpstr>
      <vt:lpstr>_vena_4_b1_C_FV_f4ddf33ff6224574ba096b1a5435ea67_34</vt:lpstr>
      <vt:lpstr>_vena_4_b1_C_FV_f4ddf33ff6224574ba096b1a5435ea67_35</vt:lpstr>
      <vt:lpstr>_vena_4_b1_C_FV_f4ddf33ff6224574ba096b1a5435ea67_36</vt:lpstr>
      <vt:lpstr>_vena_4_b1_C_FV_f4ddf33ff6224574ba096b1a5435ea67_37</vt:lpstr>
      <vt:lpstr>_vena_4_b1_C_FV_f4ddf33ff6224574ba096b1a5435ea67_38</vt:lpstr>
      <vt:lpstr>_vena_4_b1_C_FV_f4ddf33ff6224574ba096b1a5435ea67_39</vt:lpstr>
      <vt:lpstr>_vena_4_b1_C_FV_f4ddf33ff6224574ba096b1a5435ea67_4</vt:lpstr>
      <vt:lpstr>_vena_4_b1_C_FV_f4ddf33ff6224574ba096b1a5435ea67_40</vt:lpstr>
      <vt:lpstr>_vena_4_b1_C_FV_f4ddf33ff6224574ba096b1a5435ea67_41</vt:lpstr>
      <vt:lpstr>_vena_4_b1_C_FV_f4ddf33ff6224574ba096b1a5435ea67_42</vt:lpstr>
      <vt:lpstr>_vena_4_b1_C_FV_f4ddf33ff6224574ba096b1a5435ea67_43</vt:lpstr>
      <vt:lpstr>_vena_4_b1_C_FV_f4ddf33ff6224574ba096b1a5435ea67_44</vt:lpstr>
      <vt:lpstr>_vena_4_b1_C_FV_f4ddf33ff6224574ba096b1a5435ea67_45</vt:lpstr>
      <vt:lpstr>_vena_4_b1_C_FV_f4ddf33ff6224574ba096b1a5435ea67_46</vt:lpstr>
      <vt:lpstr>_vena_4_b1_C_FV_f4ddf33ff6224574ba096b1a5435ea67_47</vt:lpstr>
      <vt:lpstr>_vena_4_b1_C_FV_f4ddf33ff6224574ba096b1a5435ea67_5</vt:lpstr>
      <vt:lpstr>_vena_4_b1_C_FV_f4ddf33ff6224574ba096b1a5435ea67_6</vt:lpstr>
      <vt:lpstr>_vena_4_b1_C_FV_f4ddf33ff6224574ba096b1a5435ea67_7</vt:lpstr>
      <vt:lpstr>_vena_4_b1_C_FV_f4ddf33ff6224574ba096b1a5435ea67_8</vt:lpstr>
      <vt:lpstr>_vena_4_b1_C_FV_f4ddf33ff6224574ba096b1a5435ea67_9</vt:lpstr>
      <vt:lpstr>_vena_4_b1_R_1_1126333519640395796</vt:lpstr>
      <vt:lpstr>_vena_4_b1_R_1_1126333519686533120</vt:lpstr>
      <vt:lpstr>_vena_4_b1_R_1_1126333519715893262</vt:lpstr>
      <vt:lpstr>_vena_4_b1_R_1_1126333519736864780</vt:lpstr>
      <vt:lpstr>_vena_4_b1_R_1_1126333519762030608</vt:lpstr>
      <vt:lpstr>_vena_4_b1_R_1_1126333519778807820</vt:lpstr>
      <vt:lpstr>_vena_4_b1_R_1_1126333519787196446</vt:lpstr>
      <vt:lpstr>_vena_4_b1_R_1_1126333519808167948</vt:lpstr>
      <vt:lpstr>_vena_4_b1_R_1_1126333519854305298</vt:lpstr>
      <vt:lpstr>_vena_4_b1_R_1_1126333519871082529</vt:lpstr>
      <vt:lpstr>_vena_4_b1_R_1_1126333519883665426</vt:lpstr>
      <vt:lpstr>_vena_4_b1_R_1_1126333519900442631</vt:lpstr>
      <vt:lpstr>_vena_4_b1_R_1_1126333519925608473</vt:lpstr>
      <vt:lpstr>_vena_4_b1_R_1_1126333519963357190</vt:lpstr>
      <vt:lpstr>_vena_4_b1_R_1_1176989022519558144</vt:lpstr>
      <vt:lpstr>_vena_4_b1_R_1_1177034623004573696</vt:lpstr>
      <vt:lpstr>_vena_4_b1_R_1_1177042009963233280</vt:lpstr>
      <vt:lpstr>_vena_4_b1_R_1_1177042321444044802</vt:lpstr>
      <vt:lpstr>_vena_4_b1_R_1_1182443237873811456</vt:lpstr>
      <vt:lpstr>_vena_4_b1_R_1_1192625627677589504</vt:lpstr>
      <vt:lpstr>_vena_4_b1_R_1_1193288113649483886</vt:lpstr>
      <vt:lpstr>_vena_4_b1_R_1_1258522529073987584</vt:lpstr>
      <vt:lpstr>_vena_4_b1_R_1_1336800240017473538</vt:lpstr>
      <vt:lpstr>_vena_4_b1_R_1_1525326324040761344</vt:lpstr>
      <vt:lpstr>_vena_4_b1_R_1_1547710538947624960</vt:lpstr>
      <vt:lpstr>_vena_4_b1_R_1_1547710569653993893</vt:lpstr>
      <vt:lpstr>_vena_4_b1_R_1_651631427951788032</vt:lpstr>
      <vt:lpstr>_vena_4_b1_R_1_651631427989536768</vt:lpstr>
      <vt:lpstr>_vena_4_b1_R_1_651631428002119680</vt:lpstr>
      <vt:lpstr>_vena_4_b1_R_1_651631428165697537</vt:lpstr>
      <vt:lpstr>_vena_4_b1_R_1_691119840308494336</vt:lpstr>
      <vt:lpstr>_vena_4_b1_R_1_691121205046280192</vt:lpstr>
      <vt:lpstr>_vena_4_b1_R_1_691121629820878848</vt:lpstr>
      <vt:lpstr>_vena_4_b1_R_1_691172173569589248</vt:lpstr>
      <vt:lpstr>_vena_4_b1_R_FV_385b1d086d8a4b8abf43c04eedb00d88_15495e12.c9987004</vt:lpstr>
      <vt:lpstr>_vena_4_b1_R_FV_385b1d086d8a4b8abf43c04eedb00d88_18762335.6f9ef430</vt:lpstr>
      <vt:lpstr>_vena_4_b1_R_FV_385b1d086d8a4b8abf43c04eedb00d88_2617c592.fb7d261f</vt:lpstr>
      <vt:lpstr>_vena_4_b1_R_FV_385b1d086d8a4b8abf43c04eedb00d88_36a01a7.56807299</vt:lpstr>
      <vt:lpstr>_vena_4_b1_R_FV_385b1d086d8a4b8abf43c04eedb00d88_42b3d2b.8f4c7936</vt:lpstr>
      <vt:lpstr>_vena_4_b1_R_FV_385b1d086d8a4b8abf43c04eedb00d88_4cb361e4.fd906e84</vt:lpstr>
      <vt:lpstr>_vena_4_b1_R_FV_385b1d086d8a4b8abf43c04eedb00d88_4dab0ca4.776f168a</vt:lpstr>
      <vt:lpstr>_vena_4_b1_R_FV_385b1d086d8a4b8abf43c04eedb00d88_5207a3f6.7d337ef1</vt:lpstr>
      <vt:lpstr>_vena_4_b1_R_FV_385b1d086d8a4b8abf43c04eedb00d88_585222a2.9efb07e9</vt:lpstr>
      <vt:lpstr>_vena_4_b1_R_FV_385b1d086d8a4b8abf43c04eedb00d88_5bac4fd8.6e330de6</vt:lpstr>
      <vt:lpstr>_vena_4_b1_R_FV_385b1d086d8a4b8abf43c04eedb00d88_820b0bb.75c68e52</vt:lpstr>
      <vt:lpstr>_vena_4_b1_R_FV_385b1d086d8a4b8abf43c04eedb00d88_8934c402.e2f06f02</vt:lpstr>
      <vt:lpstr>_vena_4_b1_R_FV_385b1d086d8a4b8abf43c04eedb00d88_94e41104.5a3275e0</vt:lpstr>
      <vt:lpstr>_vena_4_b1_R_FV_385b1d086d8a4b8abf43c04eedb00d88_98668e67.5c6d7c6c</vt:lpstr>
      <vt:lpstr>_vena_4_b1_R_FV_385b1d086d8a4b8abf43c04eedb00d88_a2efbfda.4105cc0</vt:lpstr>
      <vt:lpstr>_vena_4_b1_R_FV_385b1d086d8a4b8abf43c04eedb00d88_a31340b6.2d180b3b</vt:lpstr>
      <vt:lpstr>_vena_4_b1_R_FV_385b1d086d8a4b8abf43c04eedb00d88_a349f560.9bdf5481</vt:lpstr>
      <vt:lpstr>_vena_4_b1_R_FV_385b1d086d8a4b8abf43c04eedb00d88_b9d368a8.1ba9f145</vt:lpstr>
      <vt:lpstr>_vena_4_b1_R_FV_385b1d086d8a4b8abf43c04eedb00d88_c9af24d3.81dcb49e</vt:lpstr>
      <vt:lpstr>_vena_4_b1_R_FV_385b1d086d8a4b8abf43c04eedb00d88_cfbe6cc6.eb9f6b82</vt:lpstr>
      <vt:lpstr>_vena_4_b1_R_FV_385b1d086d8a4b8abf43c04eedb00d88_d65d7527.58ff3ff9</vt:lpstr>
      <vt:lpstr>_vena_4_b1_R_FV_385b1d086d8a4b8abf43c04eedb00d88_d9ca2398.d912413d</vt:lpstr>
      <vt:lpstr>_vena_4_b1_R_FV_385b1d086d8a4b8abf43c04eedb00d88_da156865.731b33a5</vt:lpstr>
      <vt:lpstr>_vena_4_b1_R_FV_385b1d086d8a4b8abf43c04eedb00d88_eaf4f3ea.1872fa4a</vt:lpstr>
      <vt:lpstr>_vena_4_b1_R_FV_385b1d086d8a4b8abf43c04eedb00d88_fc23d169.70c01d53</vt:lpstr>
      <vt:lpstr>_vena_4_b1_R_FV_385b1d086d8a4b8abf43c04eedb00d88_fcb555cc.3d94e7e4</vt:lpstr>
      <vt:lpstr>_vena_4_P_11_651631431944765441</vt:lpstr>
      <vt:lpstr>_vena_4_P_12_651631431982514177</vt:lpstr>
      <vt:lpstr>_vena_4_P_2_651631429184913409</vt:lpstr>
      <vt:lpstr>_vena_4_P_4_652241713652170752</vt:lpstr>
      <vt:lpstr>_vena_4_P_5_652241713786388480</vt:lpstr>
      <vt:lpstr>_vena_4_P_6_652241713908023296</vt:lpstr>
      <vt:lpstr>_vena_4_P_7_652241714033852416</vt:lpstr>
      <vt:lpstr>_vena_4_P_FV_a2a46c4bae444ba2ab0e2971d74e2ddb</vt:lpstr>
      <vt:lpstr>_vena_5_b1_C_FV_134399665b374008851e5b8c04b5ee44</vt:lpstr>
      <vt:lpstr>_vena_5_b1_C_FV_134399665b374008851e5b8c04b5ee44_1</vt:lpstr>
      <vt:lpstr>_vena_5_b1_C_FV_134399665b374008851e5b8c04b5ee44_10</vt:lpstr>
      <vt:lpstr>_vena_5_b1_C_FV_134399665b374008851e5b8c04b5ee44_11</vt:lpstr>
      <vt:lpstr>_vena_5_b1_C_FV_134399665b374008851e5b8c04b5ee44_12</vt:lpstr>
      <vt:lpstr>_vena_5_b1_C_FV_134399665b374008851e5b8c04b5ee44_13</vt:lpstr>
      <vt:lpstr>_vena_5_b1_C_FV_134399665b374008851e5b8c04b5ee44_2</vt:lpstr>
      <vt:lpstr>_vena_5_b1_C_FV_134399665b374008851e5b8c04b5ee44_3</vt:lpstr>
      <vt:lpstr>_vena_5_b1_C_FV_134399665b374008851e5b8c04b5ee44_4</vt:lpstr>
      <vt:lpstr>_vena_5_b1_C_FV_134399665b374008851e5b8c04b5ee44_5</vt:lpstr>
      <vt:lpstr>_vena_5_b1_C_FV_134399665b374008851e5b8c04b5ee44_6</vt:lpstr>
      <vt:lpstr>_vena_5_b1_C_FV_134399665b374008851e5b8c04b5ee44_7</vt:lpstr>
      <vt:lpstr>_vena_5_b1_C_FV_134399665b374008851e5b8c04b5ee44_8</vt:lpstr>
      <vt:lpstr>_vena_5_b1_C_FV_134399665b374008851e5b8c04b5ee44_9</vt:lpstr>
      <vt:lpstr>_vena_5_b1_C_FV_7cc8369c0b744816a17486bee792b4d5</vt:lpstr>
      <vt:lpstr>_vena_5_b1_C_FV_7cc8369c0b744816a17486bee792b4d5_1</vt:lpstr>
      <vt:lpstr>_vena_5_b1_C_FV_7cc8369c0b744816a17486bee792b4d5_10</vt:lpstr>
      <vt:lpstr>_vena_5_b1_C_FV_7cc8369c0b744816a17486bee792b4d5_11</vt:lpstr>
      <vt:lpstr>_vena_5_b1_C_FV_7cc8369c0b744816a17486bee792b4d5_12</vt:lpstr>
      <vt:lpstr>_vena_5_b1_C_FV_7cc8369c0b744816a17486bee792b4d5_13</vt:lpstr>
      <vt:lpstr>_vena_5_b1_C_FV_7cc8369c0b744816a17486bee792b4d5_2</vt:lpstr>
      <vt:lpstr>_vena_5_b1_C_FV_7cc8369c0b744816a17486bee792b4d5_3</vt:lpstr>
      <vt:lpstr>_vena_5_b1_C_FV_7cc8369c0b744816a17486bee792b4d5_4</vt:lpstr>
      <vt:lpstr>_vena_5_b1_C_FV_7cc8369c0b744816a17486bee792b4d5_5</vt:lpstr>
      <vt:lpstr>_vena_5_b1_C_FV_7cc8369c0b744816a17486bee792b4d5_6</vt:lpstr>
      <vt:lpstr>_vena_5_b1_C_FV_7cc8369c0b744816a17486bee792b4d5_7</vt:lpstr>
      <vt:lpstr>_vena_5_b1_C_FV_7cc8369c0b744816a17486bee792b4d5_8</vt:lpstr>
      <vt:lpstr>_vena_5_b1_C_FV_7cc8369c0b744816a17486bee792b4d5_9</vt:lpstr>
      <vt:lpstr>_vena_5_b1_C_FV_f4ddf33ff6224574ba096b1a5435ea67</vt:lpstr>
      <vt:lpstr>_vena_5_b1_C_FV_f4ddf33ff6224574ba096b1a5435ea67_1</vt:lpstr>
      <vt:lpstr>_vena_5_b1_C_FV_f4ddf33ff6224574ba096b1a5435ea67_10</vt:lpstr>
      <vt:lpstr>_vena_5_b1_C_FV_f4ddf33ff6224574ba096b1a5435ea67_11</vt:lpstr>
      <vt:lpstr>_vena_5_b1_C_FV_f4ddf33ff6224574ba096b1a5435ea67_12</vt:lpstr>
      <vt:lpstr>_vena_5_b1_C_FV_f4ddf33ff6224574ba096b1a5435ea67_13</vt:lpstr>
      <vt:lpstr>_vena_5_b1_C_FV_f4ddf33ff6224574ba096b1a5435ea67_2</vt:lpstr>
      <vt:lpstr>_vena_5_b1_C_FV_f4ddf33ff6224574ba096b1a5435ea67_3</vt:lpstr>
      <vt:lpstr>_vena_5_b1_C_FV_f4ddf33ff6224574ba096b1a5435ea67_4</vt:lpstr>
      <vt:lpstr>_vena_5_b1_C_FV_f4ddf33ff6224574ba096b1a5435ea67_5</vt:lpstr>
      <vt:lpstr>_vena_5_b1_C_FV_f4ddf33ff6224574ba096b1a5435ea67_6</vt:lpstr>
      <vt:lpstr>_vena_5_b1_C_FV_f4ddf33ff6224574ba096b1a5435ea67_7</vt:lpstr>
      <vt:lpstr>_vena_5_b1_C_FV_f4ddf33ff6224574ba096b1a5435ea67_8</vt:lpstr>
      <vt:lpstr>_vena_5_b1_C_FV_f4ddf33ff6224574ba096b1a5435ea67_9</vt:lpstr>
      <vt:lpstr>_vena_5_b1_R_1_1126333519640395796</vt:lpstr>
      <vt:lpstr>_vena_5_b1_R_1_1126333519686533120</vt:lpstr>
      <vt:lpstr>_vena_5_b1_R_1_1126333519715893262</vt:lpstr>
      <vt:lpstr>_vena_5_b1_R_1_1126333519736864780</vt:lpstr>
      <vt:lpstr>_vena_5_b1_R_1_1126333519762030608</vt:lpstr>
      <vt:lpstr>_vena_5_b1_R_1_1126333519778807820</vt:lpstr>
      <vt:lpstr>_vena_5_b1_R_1_1126333519787196446</vt:lpstr>
      <vt:lpstr>_vena_5_b1_R_1_1126333519808167948</vt:lpstr>
      <vt:lpstr>_vena_5_b1_R_1_1126333519854305298</vt:lpstr>
      <vt:lpstr>_vena_5_b1_R_1_1126333519871082529</vt:lpstr>
      <vt:lpstr>_vena_5_b1_R_1_1126333519883665426</vt:lpstr>
      <vt:lpstr>_vena_5_b1_R_1_1126333519900442631</vt:lpstr>
      <vt:lpstr>_vena_5_b1_R_1_1126333519925608473</vt:lpstr>
      <vt:lpstr>_vena_5_b1_R_1_1126333519963357190</vt:lpstr>
      <vt:lpstr>_vena_5_b1_R_1_1176989022519558144</vt:lpstr>
      <vt:lpstr>_vena_5_b1_R_1_1177034623004573696</vt:lpstr>
      <vt:lpstr>_vena_5_b1_R_1_1177042009963233280</vt:lpstr>
      <vt:lpstr>_vena_5_b1_R_1_1177042321444044802</vt:lpstr>
      <vt:lpstr>_vena_5_b1_R_1_1182443237873811456</vt:lpstr>
      <vt:lpstr>_vena_5_b1_R_1_1192625627677589504</vt:lpstr>
      <vt:lpstr>_vena_5_b1_R_1_1193288113649483886</vt:lpstr>
      <vt:lpstr>_vena_5_b1_R_1_1258522529073987584</vt:lpstr>
      <vt:lpstr>_vena_5_b1_R_1_1336800240017473538</vt:lpstr>
      <vt:lpstr>_vena_5_b1_R_1_1525326324040761344</vt:lpstr>
      <vt:lpstr>_vena_5_b1_R_1_1547710538947624960</vt:lpstr>
      <vt:lpstr>_vena_5_b1_R_1_1547710569653993893</vt:lpstr>
      <vt:lpstr>_vena_5_b1_R_1_651631427951788032</vt:lpstr>
      <vt:lpstr>_vena_5_b1_R_1_651631428002119680</vt:lpstr>
      <vt:lpstr>_vena_5_b1_R_1_651631428165697537</vt:lpstr>
      <vt:lpstr>_vena_5_b1_R_1_691119840308494336</vt:lpstr>
      <vt:lpstr>_vena_5_b1_R_1_691121205046280192</vt:lpstr>
      <vt:lpstr>_vena_5_b1_R_1_691121629820878848</vt:lpstr>
      <vt:lpstr>_vena_5_b1_R_1_691172173569589248</vt:lpstr>
      <vt:lpstr>_vena_5_b1_R_FV_385b1d086d8a4b8abf43c04eedb00d88_1187f4d9.7c554b94</vt:lpstr>
      <vt:lpstr>_vena_5_b1_R_FV_385b1d086d8a4b8abf43c04eedb00d88_155ab79e.9053d8f3</vt:lpstr>
      <vt:lpstr>_vena_5_b1_R_FV_385b1d086d8a4b8abf43c04eedb00d88_1b9356c0.b1a4afcc</vt:lpstr>
      <vt:lpstr>_vena_5_b1_R_FV_385b1d086d8a4b8abf43c04eedb00d88_3735033.d86aba5c</vt:lpstr>
      <vt:lpstr>_vena_5_b1_R_FV_385b1d086d8a4b8abf43c04eedb00d88_3a55bf2f.a306913a</vt:lpstr>
      <vt:lpstr>_vena_5_b1_R_FV_385b1d086d8a4b8abf43c04eedb00d88_3c347c9f.58e3e81f</vt:lpstr>
      <vt:lpstr>_vena_5_b1_R_FV_385b1d086d8a4b8abf43c04eedb00d88_3dc6ac28.2e20b67f</vt:lpstr>
      <vt:lpstr>_vena_5_b1_R_FV_385b1d086d8a4b8abf43c04eedb00d88_447da193.656f0498</vt:lpstr>
      <vt:lpstr>_vena_5_b1_R_FV_385b1d086d8a4b8abf43c04eedb00d88_54e7f65.f06d608c</vt:lpstr>
      <vt:lpstr>_vena_5_b1_R_FV_385b1d086d8a4b8abf43c04eedb00d88_695c0b7f.df102f4c</vt:lpstr>
      <vt:lpstr>_vena_5_b1_R_FV_385b1d086d8a4b8abf43c04eedb00d88_6c4351a1.8d7a2911</vt:lpstr>
      <vt:lpstr>_vena_5_b1_R_FV_385b1d086d8a4b8abf43c04eedb00d88_70407990.268fb20f</vt:lpstr>
      <vt:lpstr>_vena_5_b1_R_FV_385b1d086d8a4b8abf43c04eedb00d88_7f5a2474.222e1c5b</vt:lpstr>
      <vt:lpstr>_vena_5_b1_R_FV_385b1d086d8a4b8abf43c04eedb00d88_819c9a1c.c266b1a1</vt:lpstr>
      <vt:lpstr>_vena_5_b1_R_FV_385b1d086d8a4b8abf43c04eedb00d88_90df53cf.1422a135</vt:lpstr>
      <vt:lpstr>_vena_5_b1_R_FV_385b1d086d8a4b8abf43c04eedb00d88_9b9c5cbd.bbf3f67b</vt:lpstr>
      <vt:lpstr>_vena_5_b1_R_FV_385b1d086d8a4b8abf43c04eedb00d88_a9a44c10.a6caa262</vt:lpstr>
      <vt:lpstr>_vena_5_b1_R_FV_385b1d086d8a4b8abf43c04eedb00d88_ac8e848a.e812e9b7</vt:lpstr>
      <vt:lpstr>_vena_5_b1_R_FV_385b1d086d8a4b8abf43c04eedb00d88_b7ba3bf3.64f64756</vt:lpstr>
      <vt:lpstr>_vena_5_b1_R_FV_385b1d086d8a4b8abf43c04eedb00d88_bc94df4.69d89792</vt:lpstr>
      <vt:lpstr>_vena_5_b1_R_FV_385b1d086d8a4b8abf43c04eedb00d88_cf612f0b.544d92eb</vt:lpstr>
      <vt:lpstr>_vena_5_b1_R_FV_385b1d086d8a4b8abf43c04eedb00d88_e60729d.38c7fa8f</vt:lpstr>
      <vt:lpstr>_vena_5_b1_R_FV_385b1d086d8a4b8abf43c04eedb00d88_e80d901.74ded23b</vt:lpstr>
      <vt:lpstr>_vena_5_b1_R_FV_385b1d086d8a4b8abf43c04eedb00d88_f5f484dc.c077bddb</vt:lpstr>
      <vt:lpstr>_vena_5_b1_R_FV_385b1d086d8a4b8abf43c04eedb00d88_f64dcead.27340529</vt:lpstr>
      <vt:lpstr>_vena_5_b1_R_FV_385b1d086d8a4b8abf43c04eedb00d88_fb646e13.cc9587df</vt:lpstr>
      <vt:lpstr>_vena_5_P_11_651631431944765441</vt:lpstr>
      <vt:lpstr>_vena_5_P_12_651631431982514177</vt:lpstr>
      <vt:lpstr>_vena_5_P_2_651631429184913409</vt:lpstr>
      <vt:lpstr>_vena_5_P_4_652241713652170752</vt:lpstr>
      <vt:lpstr>_vena_5_P_5_652241713786388480</vt:lpstr>
      <vt:lpstr>_vena_5_P_6_652241713908023296</vt:lpstr>
      <vt:lpstr>_vena_5_P_7_652241714033852416</vt:lpstr>
      <vt:lpstr>_vena_5_P_FV_a2a46c4bae444ba2ab0e2971d74e2ddb</vt:lpstr>
      <vt:lpstr>_vena_6_b1_C_FV_134399665b374008851e5b8c04b5ee44</vt:lpstr>
      <vt:lpstr>_vena_6_b1_C_FV_134399665b374008851e5b8c04b5ee44_1</vt:lpstr>
      <vt:lpstr>_vena_6_b1_C_FV_134399665b374008851e5b8c04b5ee44_10</vt:lpstr>
      <vt:lpstr>_vena_6_b1_C_FV_134399665b374008851e5b8c04b5ee44_11</vt:lpstr>
      <vt:lpstr>_vena_6_b1_C_FV_134399665b374008851e5b8c04b5ee44_12</vt:lpstr>
      <vt:lpstr>_vena_6_b1_C_FV_134399665b374008851e5b8c04b5ee44_13</vt:lpstr>
      <vt:lpstr>_vena_6_b1_C_FV_134399665b374008851e5b8c04b5ee44_14</vt:lpstr>
      <vt:lpstr>_vena_6_b1_C_FV_134399665b374008851e5b8c04b5ee44_15</vt:lpstr>
      <vt:lpstr>_vena_6_b1_C_FV_134399665b374008851e5b8c04b5ee44_16</vt:lpstr>
      <vt:lpstr>_vena_6_b1_C_FV_134399665b374008851e5b8c04b5ee44_17</vt:lpstr>
      <vt:lpstr>_vena_6_b1_C_FV_134399665b374008851e5b8c04b5ee44_18</vt:lpstr>
      <vt:lpstr>_vena_6_b1_C_FV_134399665b374008851e5b8c04b5ee44_19</vt:lpstr>
      <vt:lpstr>_vena_6_b1_C_FV_134399665b374008851e5b8c04b5ee44_2</vt:lpstr>
      <vt:lpstr>_vena_6_b1_C_FV_134399665b374008851e5b8c04b5ee44_20</vt:lpstr>
      <vt:lpstr>_vena_6_b1_C_FV_134399665b374008851e5b8c04b5ee44_21</vt:lpstr>
      <vt:lpstr>_vena_6_b1_C_FV_134399665b374008851e5b8c04b5ee44_22</vt:lpstr>
      <vt:lpstr>_vena_6_b1_C_FV_134399665b374008851e5b8c04b5ee44_23</vt:lpstr>
      <vt:lpstr>_vena_6_b1_C_FV_134399665b374008851e5b8c04b5ee44_24</vt:lpstr>
      <vt:lpstr>_vena_6_b1_C_FV_134399665b374008851e5b8c04b5ee44_25</vt:lpstr>
      <vt:lpstr>_vena_6_b1_C_FV_134399665b374008851e5b8c04b5ee44_26</vt:lpstr>
      <vt:lpstr>_vena_6_b1_C_FV_134399665b374008851e5b8c04b5ee44_27</vt:lpstr>
      <vt:lpstr>_vena_6_b1_C_FV_134399665b374008851e5b8c04b5ee44_28</vt:lpstr>
      <vt:lpstr>_vena_6_b1_C_FV_134399665b374008851e5b8c04b5ee44_29</vt:lpstr>
      <vt:lpstr>_vena_6_b1_C_FV_134399665b374008851e5b8c04b5ee44_3</vt:lpstr>
      <vt:lpstr>_vena_6_b1_C_FV_134399665b374008851e5b8c04b5ee44_30</vt:lpstr>
      <vt:lpstr>_vena_6_b1_C_FV_134399665b374008851e5b8c04b5ee44_31</vt:lpstr>
      <vt:lpstr>_vena_6_b1_C_FV_134399665b374008851e5b8c04b5ee44_32</vt:lpstr>
      <vt:lpstr>_vena_6_b1_C_FV_134399665b374008851e5b8c04b5ee44_33</vt:lpstr>
      <vt:lpstr>_vena_6_b1_C_FV_134399665b374008851e5b8c04b5ee44_34</vt:lpstr>
      <vt:lpstr>_vena_6_b1_C_FV_134399665b374008851e5b8c04b5ee44_35</vt:lpstr>
      <vt:lpstr>_vena_6_b1_C_FV_134399665b374008851e5b8c04b5ee44_36</vt:lpstr>
      <vt:lpstr>_vena_6_b1_C_FV_134399665b374008851e5b8c04b5ee44_37</vt:lpstr>
      <vt:lpstr>_vena_6_b1_C_FV_134399665b374008851e5b8c04b5ee44_38</vt:lpstr>
      <vt:lpstr>_vena_6_b1_C_FV_134399665b374008851e5b8c04b5ee44_39</vt:lpstr>
      <vt:lpstr>_vena_6_b1_C_FV_134399665b374008851e5b8c04b5ee44_4</vt:lpstr>
      <vt:lpstr>_vena_6_b1_C_FV_134399665b374008851e5b8c04b5ee44_40</vt:lpstr>
      <vt:lpstr>_vena_6_b1_C_FV_134399665b374008851e5b8c04b5ee44_41</vt:lpstr>
      <vt:lpstr>_vena_6_b1_C_FV_134399665b374008851e5b8c04b5ee44_42</vt:lpstr>
      <vt:lpstr>_vena_6_b1_C_FV_134399665b374008851e5b8c04b5ee44_43</vt:lpstr>
      <vt:lpstr>_vena_6_b1_C_FV_134399665b374008851e5b8c04b5ee44_44</vt:lpstr>
      <vt:lpstr>_vena_6_b1_C_FV_134399665b374008851e5b8c04b5ee44_45</vt:lpstr>
      <vt:lpstr>_vena_6_b1_C_FV_134399665b374008851e5b8c04b5ee44_46</vt:lpstr>
      <vt:lpstr>_vena_6_b1_C_FV_134399665b374008851e5b8c04b5ee44_47</vt:lpstr>
      <vt:lpstr>_vena_6_b1_C_FV_134399665b374008851e5b8c04b5ee44_5</vt:lpstr>
      <vt:lpstr>_vena_6_b1_C_FV_134399665b374008851e5b8c04b5ee44_6</vt:lpstr>
      <vt:lpstr>_vena_6_b1_C_FV_134399665b374008851e5b8c04b5ee44_7</vt:lpstr>
      <vt:lpstr>_vena_6_b1_C_FV_134399665b374008851e5b8c04b5ee44_8</vt:lpstr>
      <vt:lpstr>_vena_6_b1_C_FV_134399665b374008851e5b8c04b5ee44_9</vt:lpstr>
      <vt:lpstr>_vena_6_b1_C_FV_7cc8369c0b744816a17486bee792b4d5</vt:lpstr>
      <vt:lpstr>_vena_6_b1_C_FV_7cc8369c0b744816a17486bee792b4d5_1</vt:lpstr>
      <vt:lpstr>_vena_6_b1_C_FV_7cc8369c0b744816a17486bee792b4d5_10</vt:lpstr>
      <vt:lpstr>_vena_6_b1_C_FV_7cc8369c0b744816a17486bee792b4d5_11</vt:lpstr>
      <vt:lpstr>_vena_6_b1_C_FV_7cc8369c0b744816a17486bee792b4d5_12</vt:lpstr>
      <vt:lpstr>_vena_6_b1_C_FV_7cc8369c0b744816a17486bee792b4d5_13</vt:lpstr>
      <vt:lpstr>_vena_6_b1_C_FV_7cc8369c0b744816a17486bee792b4d5_14</vt:lpstr>
      <vt:lpstr>_vena_6_b1_C_FV_7cc8369c0b744816a17486bee792b4d5_15</vt:lpstr>
      <vt:lpstr>_vena_6_b1_C_FV_7cc8369c0b744816a17486bee792b4d5_16</vt:lpstr>
      <vt:lpstr>_vena_6_b1_C_FV_7cc8369c0b744816a17486bee792b4d5_17</vt:lpstr>
      <vt:lpstr>_vena_6_b1_C_FV_7cc8369c0b744816a17486bee792b4d5_18</vt:lpstr>
      <vt:lpstr>_vena_6_b1_C_FV_7cc8369c0b744816a17486bee792b4d5_19</vt:lpstr>
      <vt:lpstr>_vena_6_b1_C_FV_7cc8369c0b744816a17486bee792b4d5_2</vt:lpstr>
      <vt:lpstr>_vena_6_b1_C_FV_7cc8369c0b744816a17486bee792b4d5_20</vt:lpstr>
      <vt:lpstr>_vena_6_b1_C_FV_7cc8369c0b744816a17486bee792b4d5_21</vt:lpstr>
      <vt:lpstr>_vena_6_b1_C_FV_7cc8369c0b744816a17486bee792b4d5_22</vt:lpstr>
      <vt:lpstr>_vena_6_b1_C_FV_7cc8369c0b744816a17486bee792b4d5_23</vt:lpstr>
      <vt:lpstr>_vena_6_b1_C_FV_7cc8369c0b744816a17486bee792b4d5_24</vt:lpstr>
      <vt:lpstr>_vena_6_b1_C_FV_7cc8369c0b744816a17486bee792b4d5_25</vt:lpstr>
      <vt:lpstr>_vena_6_b1_C_FV_7cc8369c0b744816a17486bee792b4d5_26</vt:lpstr>
      <vt:lpstr>_vena_6_b1_C_FV_7cc8369c0b744816a17486bee792b4d5_27</vt:lpstr>
      <vt:lpstr>_vena_6_b1_C_FV_7cc8369c0b744816a17486bee792b4d5_28</vt:lpstr>
      <vt:lpstr>_vena_6_b1_C_FV_7cc8369c0b744816a17486bee792b4d5_29</vt:lpstr>
      <vt:lpstr>_vena_6_b1_C_FV_7cc8369c0b744816a17486bee792b4d5_3</vt:lpstr>
      <vt:lpstr>_vena_6_b1_C_FV_7cc8369c0b744816a17486bee792b4d5_30</vt:lpstr>
      <vt:lpstr>_vena_6_b1_C_FV_7cc8369c0b744816a17486bee792b4d5_31</vt:lpstr>
      <vt:lpstr>_vena_6_b1_C_FV_7cc8369c0b744816a17486bee792b4d5_32</vt:lpstr>
      <vt:lpstr>_vena_6_b1_C_FV_7cc8369c0b744816a17486bee792b4d5_33</vt:lpstr>
      <vt:lpstr>_vena_6_b1_C_FV_7cc8369c0b744816a17486bee792b4d5_34</vt:lpstr>
      <vt:lpstr>_vena_6_b1_C_FV_7cc8369c0b744816a17486bee792b4d5_35</vt:lpstr>
      <vt:lpstr>_vena_6_b1_C_FV_7cc8369c0b744816a17486bee792b4d5_36</vt:lpstr>
      <vt:lpstr>_vena_6_b1_C_FV_7cc8369c0b744816a17486bee792b4d5_37</vt:lpstr>
      <vt:lpstr>_vena_6_b1_C_FV_7cc8369c0b744816a17486bee792b4d5_38</vt:lpstr>
      <vt:lpstr>_vena_6_b1_C_FV_7cc8369c0b744816a17486bee792b4d5_39</vt:lpstr>
      <vt:lpstr>_vena_6_b1_C_FV_7cc8369c0b744816a17486bee792b4d5_4</vt:lpstr>
      <vt:lpstr>_vena_6_b1_C_FV_7cc8369c0b744816a17486bee792b4d5_40</vt:lpstr>
      <vt:lpstr>_vena_6_b1_C_FV_7cc8369c0b744816a17486bee792b4d5_41</vt:lpstr>
      <vt:lpstr>_vena_6_b1_C_FV_7cc8369c0b744816a17486bee792b4d5_42</vt:lpstr>
      <vt:lpstr>_vena_6_b1_C_FV_7cc8369c0b744816a17486bee792b4d5_43</vt:lpstr>
      <vt:lpstr>_vena_6_b1_C_FV_7cc8369c0b744816a17486bee792b4d5_44</vt:lpstr>
      <vt:lpstr>_vena_6_b1_C_FV_7cc8369c0b744816a17486bee792b4d5_45</vt:lpstr>
      <vt:lpstr>_vena_6_b1_C_FV_7cc8369c0b744816a17486bee792b4d5_46</vt:lpstr>
      <vt:lpstr>_vena_6_b1_C_FV_7cc8369c0b744816a17486bee792b4d5_47</vt:lpstr>
      <vt:lpstr>_vena_6_b1_C_FV_7cc8369c0b744816a17486bee792b4d5_5</vt:lpstr>
      <vt:lpstr>_vena_6_b1_C_FV_7cc8369c0b744816a17486bee792b4d5_6</vt:lpstr>
      <vt:lpstr>_vena_6_b1_C_FV_7cc8369c0b744816a17486bee792b4d5_7</vt:lpstr>
      <vt:lpstr>_vena_6_b1_C_FV_7cc8369c0b744816a17486bee792b4d5_8</vt:lpstr>
      <vt:lpstr>_vena_6_b1_C_FV_7cc8369c0b744816a17486bee792b4d5_9</vt:lpstr>
      <vt:lpstr>_vena_6_b1_C_FV_f4ddf33ff6224574ba096b1a5435ea67</vt:lpstr>
      <vt:lpstr>_vena_6_b1_C_FV_f4ddf33ff6224574ba096b1a5435ea67_1</vt:lpstr>
      <vt:lpstr>_vena_6_b1_C_FV_f4ddf33ff6224574ba096b1a5435ea67_10</vt:lpstr>
      <vt:lpstr>_vena_6_b1_C_FV_f4ddf33ff6224574ba096b1a5435ea67_11</vt:lpstr>
      <vt:lpstr>_vena_6_b1_C_FV_f4ddf33ff6224574ba096b1a5435ea67_12</vt:lpstr>
      <vt:lpstr>_vena_6_b1_C_FV_f4ddf33ff6224574ba096b1a5435ea67_13</vt:lpstr>
      <vt:lpstr>_vena_6_b1_C_FV_f4ddf33ff6224574ba096b1a5435ea67_14</vt:lpstr>
      <vt:lpstr>_vena_6_b1_C_FV_f4ddf33ff6224574ba096b1a5435ea67_15</vt:lpstr>
      <vt:lpstr>_vena_6_b1_C_FV_f4ddf33ff6224574ba096b1a5435ea67_16</vt:lpstr>
      <vt:lpstr>_vena_6_b1_C_FV_f4ddf33ff6224574ba096b1a5435ea67_17</vt:lpstr>
      <vt:lpstr>_vena_6_b1_C_FV_f4ddf33ff6224574ba096b1a5435ea67_18</vt:lpstr>
      <vt:lpstr>_vena_6_b1_C_FV_f4ddf33ff6224574ba096b1a5435ea67_19</vt:lpstr>
      <vt:lpstr>_vena_6_b1_C_FV_f4ddf33ff6224574ba096b1a5435ea67_2</vt:lpstr>
      <vt:lpstr>_vena_6_b1_C_FV_f4ddf33ff6224574ba096b1a5435ea67_20</vt:lpstr>
      <vt:lpstr>_vena_6_b1_C_FV_f4ddf33ff6224574ba096b1a5435ea67_21</vt:lpstr>
      <vt:lpstr>_vena_6_b1_C_FV_f4ddf33ff6224574ba096b1a5435ea67_22</vt:lpstr>
      <vt:lpstr>_vena_6_b1_C_FV_f4ddf33ff6224574ba096b1a5435ea67_23</vt:lpstr>
      <vt:lpstr>_vena_6_b1_C_FV_f4ddf33ff6224574ba096b1a5435ea67_24</vt:lpstr>
      <vt:lpstr>_vena_6_b1_C_FV_f4ddf33ff6224574ba096b1a5435ea67_25</vt:lpstr>
      <vt:lpstr>_vena_6_b1_C_FV_f4ddf33ff6224574ba096b1a5435ea67_26</vt:lpstr>
      <vt:lpstr>_vena_6_b1_C_FV_f4ddf33ff6224574ba096b1a5435ea67_27</vt:lpstr>
      <vt:lpstr>_vena_6_b1_C_FV_f4ddf33ff6224574ba096b1a5435ea67_28</vt:lpstr>
      <vt:lpstr>_vena_6_b1_C_FV_f4ddf33ff6224574ba096b1a5435ea67_29</vt:lpstr>
      <vt:lpstr>_vena_6_b1_C_FV_f4ddf33ff6224574ba096b1a5435ea67_3</vt:lpstr>
      <vt:lpstr>_vena_6_b1_C_FV_f4ddf33ff6224574ba096b1a5435ea67_30</vt:lpstr>
      <vt:lpstr>_vena_6_b1_C_FV_f4ddf33ff6224574ba096b1a5435ea67_31</vt:lpstr>
      <vt:lpstr>_vena_6_b1_C_FV_f4ddf33ff6224574ba096b1a5435ea67_32</vt:lpstr>
      <vt:lpstr>_vena_6_b1_C_FV_f4ddf33ff6224574ba096b1a5435ea67_33</vt:lpstr>
      <vt:lpstr>_vena_6_b1_C_FV_f4ddf33ff6224574ba096b1a5435ea67_34</vt:lpstr>
      <vt:lpstr>_vena_6_b1_C_FV_f4ddf33ff6224574ba096b1a5435ea67_35</vt:lpstr>
      <vt:lpstr>_vena_6_b1_C_FV_f4ddf33ff6224574ba096b1a5435ea67_36</vt:lpstr>
      <vt:lpstr>_vena_6_b1_C_FV_f4ddf33ff6224574ba096b1a5435ea67_37</vt:lpstr>
      <vt:lpstr>_vena_6_b1_C_FV_f4ddf33ff6224574ba096b1a5435ea67_38</vt:lpstr>
      <vt:lpstr>_vena_6_b1_C_FV_f4ddf33ff6224574ba096b1a5435ea67_39</vt:lpstr>
      <vt:lpstr>_vena_6_b1_C_FV_f4ddf33ff6224574ba096b1a5435ea67_4</vt:lpstr>
      <vt:lpstr>_vena_6_b1_C_FV_f4ddf33ff6224574ba096b1a5435ea67_40</vt:lpstr>
      <vt:lpstr>_vena_6_b1_C_FV_f4ddf33ff6224574ba096b1a5435ea67_41</vt:lpstr>
      <vt:lpstr>_vena_6_b1_C_FV_f4ddf33ff6224574ba096b1a5435ea67_42</vt:lpstr>
      <vt:lpstr>_vena_6_b1_C_FV_f4ddf33ff6224574ba096b1a5435ea67_43</vt:lpstr>
      <vt:lpstr>_vena_6_b1_C_FV_f4ddf33ff6224574ba096b1a5435ea67_44</vt:lpstr>
      <vt:lpstr>_vena_6_b1_C_FV_f4ddf33ff6224574ba096b1a5435ea67_45</vt:lpstr>
      <vt:lpstr>_vena_6_b1_C_FV_f4ddf33ff6224574ba096b1a5435ea67_46</vt:lpstr>
      <vt:lpstr>_vena_6_b1_C_FV_f4ddf33ff6224574ba096b1a5435ea67_47</vt:lpstr>
      <vt:lpstr>_vena_6_b1_C_FV_f4ddf33ff6224574ba096b1a5435ea67_5</vt:lpstr>
      <vt:lpstr>_vena_6_b1_C_FV_f4ddf33ff6224574ba096b1a5435ea67_6</vt:lpstr>
      <vt:lpstr>_vena_6_b1_C_FV_f4ddf33ff6224574ba096b1a5435ea67_7</vt:lpstr>
      <vt:lpstr>_vena_6_b1_C_FV_f4ddf33ff6224574ba096b1a5435ea67_8</vt:lpstr>
      <vt:lpstr>_vena_6_b1_C_FV_f4ddf33ff6224574ba096b1a5435ea67_9</vt:lpstr>
      <vt:lpstr>_vena_6_b1_R_1_1126333519640395796</vt:lpstr>
      <vt:lpstr>_vena_6_b1_R_1_1126333519686533120</vt:lpstr>
      <vt:lpstr>_vena_6_b1_R_1_1126333519715893262</vt:lpstr>
      <vt:lpstr>_vena_6_b1_R_1_1126333519736864780</vt:lpstr>
      <vt:lpstr>_vena_6_b1_R_1_1126333519762030608</vt:lpstr>
      <vt:lpstr>_vena_6_b1_R_1_1126333519778807820</vt:lpstr>
      <vt:lpstr>_vena_6_b1_R_1_1126333519787196446</vt:lpstr>
      <vt:lpstr>_vena_6_b1_R_1_1126333519808167948</vt:lpstr>
      <vt:lpstr>_vena_6_b1_R_1_1126333519854305298</vt:lpstr>
      <vt:lpstr>_vena_6_b1_R_1_1126333519871082529</vt:lpstr>
      <vt:lpstr>_vena_6_b1_R_1_1126333519883665426</vt:lpstr>
      <vt:lpstr>_vena_6_b1_R_1_1126333519900442631</vt:lpstr>
      <vt:lpstr>_vena_6_b1_R_1_1126333519925608473</vt:lpstr>
      <vt:lpstr>_vena_6_b1_R_1_1126333519963357190</vt:lpstr>
      <vt:lpstr>_vena_6_b1_R_1_1176989022519558144</vt:lpstr>
      <vt:lpstr>_vena_6_b1_R_1_1177034623004573696</vt:lpstr>
      <vt:lpstr>_vena_6_b1_R_1_1177042009963233280</vt:lpstr>
      <vt:lpstr>_vena_6_b1_R_1_1177042321444044802</vt:lpstr>
      <vt:lpstr>_vena_6_b1_R_1_1182443237873811456</vt:lpstr>
      <vt:lpstr>_vena_6_b1_R_1_1192625627677589504</vt:lpstr>
      <vt:lpstr>_vena_6_b1_R_1_1193288113649483886</vt:lpstr>
      <vt:lpstr>_vena_6_b1_R_1_1258522529073987584</vt:lpstr>
      <vt:lpstr>_vena_6_b1_R_1_1336800240017473538</vt:lpstr>
      <vt:lpstr>_vena_6_b1_R_1_1525326324040761344</vt:lpstr>
      <vt:lpstr>_vena_6_b1_R_1_1547710538947624960</vt:lpstr>
      <vt:lpstr>_vena_6_b1_R_1_1547710569653993893</vt:lpstr>
      <vt:lpstr>_vena_6_b1_R_1_651631427951788032</vt:lpstr>
      <vt:lpstr>_vena_6_b1_R_1_651631427989536768</vt:lpstr>
      <vt:lpstr>_vena_6_b1_R_1_651631428002119680</vt:lpstr>
      <vt:lpstr>_vena_6_b1_R_1_651631428165697537</vt:lpstr>
      <vt:lpstr>_vena_6_b1_R_1_691119840308494336</vt:lpstr>
      <vt:lpstr>_vena_6_b1_R_1_691121205046280192</vt:lpstr>
      <vt:lpstr>_vena_6_b1_R_1_691121629820878848</vt:lpstr>
      <vt:lpstr>_vena_6_b1_R_1_691172173569589248</vt:lpstr>
      <vt:lpstr>_vena_6_b1_R_FV_385b1d086d8a4b8abf43c04eedb00d88_156df6bf.ecba946c</vt:lpstr>
      <vt:lpstr>_vena_6_b1_R_FV_385b1d086d8a4b8abf43c04eedb00d88_19b8c2ee.5fb8213</vt:lpstr>
      <vt:lpstr>_vena_6_b1_R_FV_385b1d086d8a4b8abf43c04eedb00d88_1c0d1915.aeeee52c</vt:lpstr>
      <vt:lpstr>_vena_6_b1_R_FV_385b1d086d8a4b8abf43c04eedb00d88_2923ceb6.fe96a94</vt:lpstr>
      <vt:lpstr>_vena_6_b1_R_FV_385b1d086d8a4b8abf43c04eedb00d88_2cf513c4.f69abac3</vt:lpstr>
      <vt:lpstr>_vena_6_b1_R_FV_385b1d086d8a4b8abf43c04eedb00d88_307887a1.ff902668</vt:lpstr>
      <vt:lpstr>_vena_6_b1_R_FV_385b1d086d8a4b8abf43c04eedb00d88_4f125e0d.6d736bcd</vt:lpstr>
      <vt:lpstr>_vena_6_b1_R_FV_385b1d086d8a4b8abf43c04eedb00d88_52ca7877.8890532e</vt:lpstr>
      <vt:lpstr>_vena_6_b1_R_FV_385b1d086d8a4b8abf43c04eedb00d88_71c63e31.3727c2f2</vt:lpstr>
      <vt:lpstr>_vena_6_b1_R_FV_385b1d086d8a4b8abf43c04eedb00d88_74405870.eeb28c15</vt:lpstr>
      <vt:lpstr>_vena_6_b1_R_FV_385b1d086d8a4b8abf43c04eedb00d88_81e0d8b7.dec71cc</vt:lpstr>
      <vt:lpstr>_vena_6_b1_R_FV_385b1d086d8a4b8abf43c04eedb00d88_8964ada4.82126d4c</vt:lpstr>
      <vt:lpstr>_vena_6_b1_R_FV_385b1d086d8a4b8abf43c04eedb00d88_8d74ad2.41ca4b2</vt:lpstr>
      <vt:lpstr>_vena_6_b1_R_FV_385b1d086d8a4b8abf43c04eedb00d88_8e9ac198.853ccc98</vt:lpstr>
      <vt:lpstr>_vena_6_b1_R_FV_385b1d086d8a4b8abf43c04eedb00d88_a15d8b8.28adb3c2</vt:lpstr>
      <vt:lpstr>_vena_6_b1_R_FV_385b1d086d8a4b8abf43c04eedb00d88_a204d652.6635eded</vt:lpstr>
      <vt:lpstr>_vena_6_b1_R_FV_385b1d086d8a4b8abf43c04eedb00d88_a53d80dd.accd7902</vt:lpstr>
      <vt:lpstr>_vena_6_b1_R_FV_385b1d086d8a4b8abf43c04eedb00d88_acb8f388.1f040aab</vt:lpstr>
      <vt:lpstr>_vena_6_b1_R_FV_385b1d086d8a4b8abf43c04eedb00d88_b59cca20.6f39c3a8</vt:lpstr>
      <vt:lpstr>_vena_6_b1_R_FV_385b1d086d8a4b8abf43c04eedb00d88_b6432b2a.853ba0a</vt:lpstr>
      <vt:lpstr>_vena_6_b1_R_FV_385b1d086d8a4b8abf43c04eedb00d88_bc3c453b.75078486</vt:lpstr>
      <vt:lpstr>_vena_6_b1_R_FV_385b1d086d8a4b8abf43c04eedb00d88_dc095f77.f735d8fd</vt:lpstr>
      <vt:lpstr>_vena_6_b1_R_FV_385b1d086d8a4b8abf43c04eedb00d88_df0dbebb.7c7f4ff2</vt:lpstr>
      <vt:lpstr>_vena_6_b1_R_FV_385b1d086d8a4b8abf43c04eedb00d88_e03a8579.47e1485</vt:lpstr>
      <vt:lpstr>_vena_6_b1_R_FV_385b1d086d8a4b8abf43c04eedb00d88_f1e20d00.7acbc233</vt:lpstr>
      <vt:lpstr>_vena_6_b1_R_FV_385b1d086d8a4b8abf43c04eedb00d88_fe5bd80f.1b2c0ea4</vt:lpstr>
      <vt:lpstr>_vena_6_P_11_651631431944765441</vt:lpstr>
      <vt:lpstr>_vena_6_P_12_651631431982514177</vt:lpstr>
      <vt:lpstr>_vena_6_P_2_651631429184913409</vt:lpstr>
      <vt:lpstr>_vena_6_P_4_652241713652170752</vt:lpstr>
      <vt:lpstr>_vena_6_P_5_652241713786388480</vt:lpstr>
      <vt:lpstr>_vena_6_P_6_652241713908023296</vt:lpstr>
      <vt:lpstr>_vena_6_P_7_652241714033852416</vt:lpstr>
      <vt:lpstr>_vena_6_P_FV_a2a46c4bae444ba2ab0e2971d74e2ddb</vt:lpstr>
      <vt:lpstr>_vena_DYNP_SLatestScenario_99d9f105</vt:lpstr>
      <vt:lpstr>_vena_DYNP_SLatestScenario_9b9b8f9a</vt:lpstr>
      <vt:lpstr>_vena_DYNP_SLatestScenario_d313879b</vt:lpstr>
      <vt:lpstr>_vena_LatestScenario_B1_C_1_651631427951788032</vt:lpstr>
      <vt:lpstr>_vena_LatestScenario_B1_C_11_651631431944765441</vt:lpstr>
      <vt:lpstr>_vena_LatestScenario_B1_C_2_651631429184913409</vt:lpstr>
      <vt:lpstr>_vena_LatestScenario_B1_C_4_652241713652170752</vt:lpstr>
      <vt:lpstr>_vena_LatestScenario_B1_C_5_652241713786388480</vt:lpstr>
      <vt:lpstr>_vena_LatestScenario_B1_C_6_652241713908023296</vt:lpstr>
      <vt:lpstr>_vena_LatestScenario_B1_C_7_652241714033852416</vt:lpstr>
      <vt:lpstr>_vena_LatestScenario_B1_R_12_651631431982514177</vt:lpstr>
      <vt:lpstr>_vena_LatestScenario_P_10_1154264745422618626</vt:lpstr>
      <vt:lpstr>_vena_LatestScenario_P_10_1259357353544646656</vt:lpstr>
      <vt:lpstr>_vena_LatestScenario_P_10_1294069620468613121</vt:lpstr>
      <vt:lpstr>_vena_LatestScenario_P_10_1331817056460996612</vt:lpstr>
      <vt:lpstr>_vena_LatestScenario_P_10_651631431898628097</vt:lpstr>
      <vt:lpstr>_vena_LatestScenario_P_8_1590187079714209792</vt:lpstr>
      <vt:lpstr>_vena_LatestScenario_P_8_941915545283592192</vt:lpstr>
      <vt:lpstr>_vena_LatestScenario_P_9_651631431697301504</vt:lpstr>
      <vt:lpstr>_vena_LatestScenario_P_9_651631431743438848</vt:lpstr>
      <vt:lpstr>_vena_LatestScenario_P_9_651631431751827456</vt:lpstr>
      <vt:lpstr>_vena_LatestScenario_P_9_659135040271286274</vt:lpstr>
      <vt:lpstr>_vena_MDYNR_S1_BB1_1ec589b3_39b3f5d4</vt:lpstr>
      <vt:lpstr>_vena_MDYNR_S1_BB1_25bff5c3_1876c04b</vt:lpstr>
      <vt:lpstr>_vena_MDYNR_S1_BB1_2714494c_9abe388c</vt:lpstr>
      <vt:lpstr>_vena_MDYNR_S1_BB1_3294a637_74007850</vt:lpstr>
      <vt:lpstr>_vena_MDYNR_S1_BB1_414f34aa_afa17a01</vt:lpstr>
      <vt:lpstr>_vena_MDYNR_S1_BB1_4595eea8_9900bd4d</vt:lpstr>
      <vt:lpstr>_vena_MDYNR_S1_BB1_493e9e24_a598def5</vt:lpstr>
      <vt:lpstr>_vena_MDYNR_S1_BB1_56fa9cda_6d66a4a3</vt:lpstr>
      <vt:lpstr>_vena_MDYNR_S1_BB1_5b8c3f25_e93e8c36</vt:lpstr>
      <vt:lpstr>_vena_MDYNR_S1_BB1_5f1ee2f1_147903ec</vt:lpstr>
      <vt:lpstr>_vena_MDYNR_S1_BB1_60148fd9_8a7f705</vt:lpstr>
      <vt:lpstr>_vena_MDYNR_S1_BB1_6fd17684_a7c87e86</vt:lpstr>
      <vt:lpstr>_vena_MDYNR_S1_BB1_7b633d6_a3a1014e</vt:lpstr>
      <vt:lpstr>_vena_MDYNR_S1_BB1_8b14c78f_f57fbe79</vt:lpstr>
      <vt:lpstr>_vena_MDYNR_S1_BB1_8dc35574_a24692ea</vt:lpstr>
      <vt:lpstr>_vena_MDYNR_S1_BB1_96aca248_19035cff</vt:lpstr>
      <vt:lpstr>_vena_MDYNR_S1_BB1_9c988328_350e0e2d</vt:lpstr>
      <vt:lpstr>_vena_MDYNR_S1_BB1_adfc71bf_7ae5b388</vt:lpstr>
      <vt:lpstr>_vena_MDYNR_S1_BB1_b4be782f_ef55908e</vt:lpstr>
      <vt:lpstr>_vena_MDYNR_S1_BB1_b7003ed4_266d13f5</vt:lpstr>
      <vt:lpstr>_vena_MDYNR_S1_BB1_ba21577b_fb49e1f1</vt:lpstr>
      <vt:lpstr>_vena_MDYNR_S1_BB1_bd85c5d7_69e98ab0</vt:lpstr>
      <vt:lpstr>_vena_MDYNR_S1_BB1_c0fe04cd_c557d17f</vt:lpstr>
      <vt:lpstr>_vena_MDYNR_S1_BB1_c49c509c_fe7b5801</vt:lpstr>
      <vt:lpstr>_vena_MDYNR_S1_BB1_c4a3fd2d_fd06ec4c</vt:lpstr>
      <vt:lpstr>_vena_MDYNR_S1_BB1_ca65fd1d_f2f20e5d</vt:lpstr>
      <vt:lpstr>_vena_MDYNR_S2_BB1_1b93a96a_eccdd5fb</vt:lpstr>
      <vt:lpstr>_vena_MDYNR_S2_BB1_2750cbec_832c998a</vt:lpstr>
      <vt:lpstr>_vena_MDYNR_S2_BB1_3888619d_708c8f26</vt:lpstr>
      <vt:lpstr>_vena_MDYNR_S2_BB1_3fe6bec6_1d8da2dc</vt:lpstr>
      <vt:lpstr>_vena_MDYNR_S2_BB1_5bbabfa1_756627a5</vt:lpstr>
      <vt:lpstr>_vena_MDYNR_S2_BB1_60337174_8324ddc4</vt:lpstr>
      <vt:lpstr>_vena_MDYNR_S2_BB1_6fc33715_4cc84226</vt:lpstr>
      <vt:lpstr>_vena_MDYNR_S2_BB1_7276a90a_a181d49e</vt:lpstr>
      <vt:lpstr>_vena_MDYNR_S2_BB1_823775d5_219c5c8e</vt:lpstr>
      <vt:lpstr>_vena_MDYNR_S2_BB1_894991cf_142ea2a6</vt:lpstr>
      <vt:lpstr>_vena_MDYNR_S2_BB1_8b02c9ed_14c6f598</vt:lpstr>
      <vt:lpstr>_vena_MDYNR_S2_BB1_9c58fdae_bdeeef49</vt:lpstr>
      <vt:lpstr>_vena_MDYNR_S2_BB1_b13bc8b_af6bfc97</vt:lpstr>
      <vt:lpstr>_vena_MDYNR_S2_BB1_b7a7b58b_674db7db</vt:lpstr>
      <vt:lpstr>_vena_MDYNR_S2_BB1_bc4e5472_f16fe35b</vt:lpstr>
      <vt:lpstr>_vena_MDYNR_S2_BB1_c09a1d04_1e40570</vt:lpstr>
      <vt:lpstr>_vena_MDYNR_S2_BB1_c8e90ce6_23b9a703</vt:lpstr>
      <vt:lpstr>_vena_MDYNR_S2_BB1_c9ac1536_f8a484e3</vt:lpstr>
      <vt:lpstr>_vena_MDYNR_S2_BB1_d1350884_f34c97a4</vt:lpstr>
      <vt:lpstr>_vena_MDYNR_S2_BB1_d1906588_b9e362b4</vt:lpstr>
      <vt:lpstr>_vena_MDYNR_S2_BB1_dbacd17b_b36ca404</vt:lpstr>
      <vt:lpstr>_vena_MDYNR_S2_BB1_dbe69cf1_6780e2a</vt:lpstr>
      <vt:lpstr>_vena_MDYNR_S2_BB1_e5edff55_1c14688c</vt:lpstr>
      <vt:lpstr>_vena_MDYNR_S2_BB1_f0e35eab_2909e9cf</vt:lpstr>
      <vt:lpstr>_vena_MDYNR_S2_BB1_f994a178_f547d40f</vt:lpstr>
      <vt:lpstr>_vena_MDYNR_S2_BB1_fddaefe4_932e7370</vt:lpstr>
      <vt:lpstr>_vena_MDYNR_S3_BB1_1ca368a5_225773b0</vt:lpstr>
      <vt:lpstr>_vena_MDYNR_S3_BB1_1e7f81f1_c62b28be</vt:lpstr>
      <vt:lpstr>_vena_MDYNR_S3_BB1_274e23f6_2ac1ec3f</vt:lpstr>
      <vt:lpstr>_vena_MDYNR_S3_BB1_27f3cc6a_60765388</vt:lpstr>
      <vt:lpstr>_vena_MDYNR_S3_BB1_2a916b00_4c0a4982</vt:lpstr>
      <vt:lpstr>_vena_MDYNR_S3_BB1_3d805b23_20baecc2</vt:lpstr>
      <vt:lpstr>_vena_MDYNR_S3_BB1_3eb3505b_2a0f6ed7</vt:lpstr>
      <vt:lpstr>_vena_MDYNR_S3_BB1_4443e830_5fce07b2</vt:lpstr>
      <vt:lpstr>_vena_MDYNR_S3_BB1_46d3e3d7_68953055</vt:lpstr>
      <vt:lpstr>_vena_MDYNR_S3_BB1_495f7749_a1b28f8f</vt:lpstr>
      <vt:lpstr>_vena_MDYNR_S3_BB1_4dc46ca8_4252f6b3</vt:lpstr>
      <vt:lpstr>_vena_MDYNR_S3_BB1_5676f1b4_d3470de3</vt:lpstr>
      <vt:lpstr>_vena_MDYNR_S3_BB1_5b5cdcb0_7ac4c49e</vt:lpstr>
      <vt:lpstr>_vena_MDYNR_S3_BB1_61462c99_f18defc</vt:lpstr>
      <vt:lpstr>_vena_MDYNR_S3_BB1_8c4967db_f7dbec5f</vt:lpstr>
      <vt:lpstr>_vena_MDYNR_S3_BB1_930a243_a27b03dd</vt:lpstr>
      <vt:lpstr>_vena_MDYNR_S3_BB1_9854f2da_52ccaac4</vt:lpstr>
      <vt:lpstr>_vena_MDYNR_S3_BB1_a168a8aa_2b0a9667</vt:lpstr>
      <vt:lpstr>_vena_MDYNR_S3_BB1_b3e56fa2_150077c7</vt:lpstr>
      <vt:lpstr>_vena_MDYNR_S3_BB1_b721cb84_141a522a</vt:lpstr>
      <vt:lpstr>_vena_MDYNR_S3_BB1_b8e1cf56_a973fc75</vt:lpstr>
      <vt:lpstr>_vena_MDYNR_S3_BB1_bbb761df_6c1cb0a3</vt:lpstr>
      <vt:lpstr>_vena_MDYNR_S3_BB1_d2eeae1e_ad0fce1a</vt:lpstr>
      <vt:lpstr>_vena_MDYNR_S3_BB1_dad96222_b8cc0072</vt:lpstr>
      <vt:lpstr>_vena_MDYNR_S3_BB1_ed6bbfbf_9ec69454</vt:lpstr>
      <vt:lpstr>_vena_MDYNR_S3_BB1_f03b8892_5838aa62</vt:lpstr>
      <vt:lpstr>_vena_MDYNR_S4_Bb1_15495e12_c9987004</vt:lpstr>
      <vt:lpstr>_vena_MDYNR_S4_Bb1_18762335_6f9ef430</vt:lpstr>
      <vt:lpstr>_vena_MDYNR_S4_Bb1_2617c592_fb7d261f</vt:lpstr>
      <vt:lpstr>_vena_MDYNR_S4_Bb1_36a01a7_56807299</vt:lpstr>
      <vt:lpstr>_vena_MDYNR_S4_Bb1_42b3d2b_8f4c7936</vt:lpstr>
      <vt:lpstr>_vena_MDYNR_S4_Bb1_4cb361e4_fd906e84</vt:lpstr>
      <vt:lpstr>_vena_MDYNR_S4_Bb1_4dab0ca4_776f168a</vt:lpstr>
      <vt:lpstr>_vena_MDYNR_S4_Bb1_5207a3f6_7d337ef1</vt:lpstr>
      <vt:lpstr>_vena_MDYNR_S4_Bb1_585222a2_9efb07e9</vt:lpstr>
      <vt:lpstr>_vena_MDYNR_S4_Bb1_5bac4fd8_6e330de6</vt:lpstr>
      <vt:lpstr>_vena_MDYNR_S4_Bb1_820b0bb_75c68e52</vt:lpstr>
      <vt:lpstr>_vena_MDYNR_S4_Bb1_8934c402_e2f06f02</vt:lpstr>
      <vt:lpstr>_vena_MDYNR_S4_Bb1_94e41104_5a3275e0</vt:lpstr>
      <vt:lpstr>_vena_MDYNR_S4_Bb1_98668e67_5c6d7c6c</vt:lpstr>
      <vt:lpstr>_vena_MDYNR_S4_Bb1_a2efbfda_4105cc0</vt:lpstr>
      <vt:lpstr>_vena_MDYNR_S4_Bb1_a31340b6_2d180b3b</vt:lpstr>
      <vt:lpstr>_vena_MDYNR_S4_Bb1_a349f560_9bdf5481</vt:lpstr>
      <vt:lpstr>_vena_MDYNR_S4_Bb1_b9d368a8_1ba9f145</vt:lpstr>
      <vt:lpstr>_vena_MDYNR_S4_Bb1_c9af24d3_81dcb49e</vt:lpstr>
      <vt:lpstr>_vena_MDYNR_S4_Bb1_cfbe6cc6_eb9f6b82</vt:lpstr>
      <vt:lpstr>_vena_MDYNR_S4_Bb1_d65d7527_58ff3ff9</vt:lpstr>
      <vt:lpstr>_vena_MDYNR_S4_Bb1_d9ca2398_d912413d</vt:lpstr>
      <vt:lpstr>_vena_MDYNR_S4_Bb1_da156865_731b33a5</vt:lpstr>
      <vt:lpstr>_vena_MDYNR_S4_Bb1_eaf4f3ea_1872fa4a</vt:lpstr>
      <vt:lpstr>_vena_MDYNR_S4_Bb1_fc23d169_70c01d53</vt:lpstr>
      <vt:lpstr>_vena_MDYNR_S4_Bb1_fcb555cc_3d94e7e4</vt:lpstr>
      <vt:lpstr>_vena_MDYNR_S5_Bb1_1187f4d9_7c554b94</vt:lpstr>
      <vt:lpstr>_vena_MDYNR_S5_Bb1_155ab79e_9053d8f3</vt:lpstr>
      <vt:lpstr>_vena_MDYNR_S5_Bb1_1b9356c0_b1a4afcc</vt:lpstr>
      <vt:lpstr>_vena_MDYNR_S5_Bb1_3735033_d86aba5c</vt:lpstr>
      <vt:lpstr>_vena_MDYNR_S5_Bb1_3a55bf2f_a306913a</vt:lpstr>
      <vt:lpstr>_vena_MDYNR_S5_Bb1_3c347c9f_58e3e81f</vt:lpstr>
      <vt:lpstr>_vena_MDYNR_S5_Bb1_3dc6ac28_2e20b67f</vt:lpstr>
      <vt:lpstr>_vena_MDYNR_S5_Bb1_447da193_656f0498</vt:lpstr>
      <vt:lpstr>_vena_MDYNR_S5_Bb1_54e7f65_f06d608c</vt:lpstr>
      <vt:lpstr>_vena_MDYNR_S5_Bb1_695c0b7f_df102f4c</vt:lpstr>
      <vt:lpstr>_vena_MDYNR_S5_Bb1_6c4351a1_8d7a2911</vt:lpstr>
      <vt:lpstr>_vena_MDYNR_S5_Bb1_70407990_268fb20f</vt:lpstr>
      <vt:lpstr>_vena_MDYNR_S5_Bb1_7f5a2474_222e1c5b</vt:lpstr>
      <vt:lpstr>_vena_MDYNR_S5_Bb1_819c9a1c_c266b1a1</vt:lpstr>
      <vt:lpstr>_vena_MDYNR_S5_Bb1_90df53cf_1422a135</vt:lpstr>
      <vt:lpstr>_vena_MDYNR_S5_Bb1_9b9c5cbd_bbf3f67b</vt:lpstr>
      <vt:lpstr>_vena_MDYNR_S5_Bb1_a9a44c10_a6caa262</vt:lpstr>
      <vt:lpstr>_vena_MDYNR_S5_Bb1_ac8e848a_e812e9b7</vt:lpstr>
      <vt:lpstr>_vena_MDYNR_S5_Bb1_b7ba3bf3_64f64756</vt:lpstr>
      <vt:lpstr>_vena_MDYNR_S5_Bb1_bc94df4_69d89792</vt:lpstr>
      <vt:lpstr>_vena_MDYNR_S5_Bb1_cf612f0b_544d92eb</vt:lpstr>
      <vt:lpstr>_vena_MDYNR_S5_Bb1_e60729d_38c7fa8f</vt:lpstr>
      <vt:lpstr>_vena_MDYNR_S5_Bb1_e80d901_74ded23b</vt:lpstr>
      <vt:lpstr>_vena_MDYNR_S5_Bb1_f5f484dc_c077bddb</vt:lpstr>
      <vt:lpstr>_vena_MDYNR_S5_Bb1_f64dcead_27340529</vt:lpstr>
      <vt:lpstr>_vena_MDYNR_S5_Bb1_fb646e13_cc9587df</vt:lpstr>
      <vt:lpstr>_vena_MDYNR_S6_Bb1_156df6bf_ecba946c</vt:lpstr>
      <vt:lpstr>_vena_MDYNR_S6_Bb1_19b8c2ee_5fb8213</vt:lpstr>
      <vt:lpstr>_vena_MDYNR_S6_Bb1_1c0d1915_aeeee52c</vt:lpstr>
      <vt:lpstr>_vena_MDYNR_S6_Bb1_2923ceb6_fe96a94</vt:lpstr>
      <vt:lpstr>_vena_MDYNR_S6_Bb1_2cf513c4_f69abac3</vt:lpstr>
      <vt:lpstr>_vena_MDYNR_S6_Bb1_307887a1_ff902668</vt:lpstr>
      <vt:lpstr>_vena_MDYNR_S6_Bb1_4f125e0d_6d736bcd</vt:lpstr>
      <vt:lpstr>_vena_MDYNR_S6_Bb1_52ca7877_8890532e</vt:lpstr>
      <vt:lpstr>_vena_MDYNR_S6_Bb1_71c63e31_3727c2f2</vt:lpstr>
      <vt:lpstr>_vena_MDYNR_S6_Bb1_74405870_eeb28c15</vt:lpstr>
      <vt:lpstr>_vena_MDYNR_S6_Bb1_81e0d8b7_dec71cc</vt:lpstr>
      <vt:lpstr>_vena_MDYNR_S6_Bb1_8964ada4_82126d4c</vt:lpstr>
      <vt:lpstr>_vena_MDYNR_S6_Bb1_8d74ad2_41ca4b2</vt:lpstr>
      <vt:lpstr>_vena_MDYNR_S6_Bb1_8e9ac198_853ccc98</vt:lpstr>
      <vt:lpstr>_vena_MDYNR_S6_Bb1_a15d8b8_28adb3c2</vt:lpstr>
      <vt:lpstr>_vena_MDYNR_S6_Bb1_a204d652_6635eded</vt:lpstr>
      <vt:lpstr>_vena_MDYNR_S6_Bb1_a53d80dd_accd7902</vt:lpstr>
      <vt:lpstr>_vena_MDYNR_S6_Bb1_acb8f388_1f040aab</vt:lpstr>
      <vt:lpstr>_vena_MDYNR_S6_Bb1_b59cca20_6f39c3a8</vt:lpstr>
      <vt:lpstr>_vena_MDYNR_S6_Bb1_b6432b2a_853ba0a</vt:lpstr>
      <vt:lpstr>_vena_MDYNR_S6_Bb1_bc3c453b_75078486</vt:lpstr>
      <vt:lpstr>_vena_MDYNR_S6_Bb1_dc095f77_f735d8fd</vt:lpstr>
      <vt:lpstr>_vena_MDYNR_S6_Bb1_df0dbebb_7c7f4ff2</vt:lpstr>
      <vt:lpstr>_vena_MDYNR_S6_Bb1_e03a8579_47e1485</vt:lpstr>
      <vt:lpstr>_vena_MDYNR_S6_Bb1_f1e20d00_7acbc233</vt:lpstr>
      <vt:lpstr>_vena_MDYNR_S6_Bb1_fe5bd80f_1b2c0ea4</vt:lpstr>
      <vt:lpstr>_vena_MDYNR_Stest1_BB1_1b5d3d40_bf947731</vt:lpstr>
      <vt:lpstr>_vena_MDYNR_Stest1_BB1_368b3bbd_8a2e3629</vt:lpstr>
      <vt:lpstr>_vena_MDYNR_Stest1_BB1_4156010c_a49ccb10</vt:lpstr>
      <vt:lpstr>_vena_MDYNR_Stest1_BB1_4184969c_c93f5df4</vt:lpstr>
      <vt:lpstr>_vena_MDYNR_Stest1_BB1_41ee03e0_4ff04570</vt:lpstr>
      <vt:lpstr>_vena_MDYNR_Stest1_BB1_616de4db_5295d267</vt:lpstr>
      <vt:lpstr>_vena_MDYNR_Stest1_BB1_744c0f41_e5e31590</vt:lpstr>
      <vt:lpstr>_vena_MDYNR_Stest1_BB1_8801e76d_dd2c63ad</vt:lpstr>
      <vt:lpstr>_vena_MDYNR_Stest1_BB1_94cf46d0_5913b575</vt:lpstr>
      <vt:lpstr>_vena_PO_LatestScenario_10_f1270a660b204cdeaaef955730a7a018</vt:lpstr>
      <vt:lpstr>_vena_PO_LatestScenario_8_d12cbe6b074641d197dacd2e3702d192</vt:lpstr>
      <vt:lpstr>_vena_PO_LatestScenario_9_891762b1d7184c45bc616439c954bde6</vt:lpstr>
      <vt:lpstr>_vena_test1_B1_C_FV_134399665b374008851e5b8c04b5ee44</vt:lpstr>
      <vt:lpstr>_vena_test1_B1_C_FV_134399665b374008851e5b8c04b5ee44_1</vt:lpstr>
      <vt:lpstr>_vena_test1_B1_C_FV_134399665b374008851e5b8c04b5ee44_10</vt:lpstr>
      <vt:lpstr>_vena_test1_B1_C_FV_134399665b374008851e5b8c04b5ee44_11</vt:lpstr>
      <vt:lpstr>_vena_test1_B1_C_FV_134399665b374008851e5b8c04b5ee44_12</vt:lpstr>
      <vt:lpstr>_vena_test1_B1_C_FV_134399665b374008851e5b8c04b5ee44_13</vt:lpstr>
      <vt:lpstr>_vena_test1_B1_C_FV_134399665b374008851e5b8c04b5ee44_2</vt:lpstr>
      <vt:lpstr>_vena_test1_B1_C_FV_134399665b374008851e5b8c04b5ee44_3</vt:lpstr>
      <vt:lpstr>_vena_test1_B1_C_FV_134399665b374008851e5b8c04b5ee44_4</vt:lpstr>
      <vt:lpstr>_vena_test1_B1_C_FV_134399665b374008851e5b8c04b5ee44_5</vt:lpstr>
      <vt:lpstr>_vena_test1_B1_C_FV_134399665b374008851e5b8c04b5ee44_6</vt:lpstr>
      <vt:lpstr>_vena_test1_B1_C_FV_134399665b374008851e5b8c04b5ee44_7</vt:lpstr>
      <vt:lpstr>_vena_test1_B1_C_FV_134399665b374008851e5b8c04b5ee44_8</vt:lpstr>
      <vt:lpstr>_vena_test1_B1_C_FV_134399665b374008851e5b8c04b5ee44_9</vt:lpstr>
      <vt:lpstr>_vena_test1_B1_C_FV_7cc8369c0b744816a17486bee792b4d5</vt:lpstr>
      <vt:lpstr>_vena_test1_B1_C_FV_7cc8369c0b744816a17486bee792b4d5_1</vt:lpstr>
      <vt:lpstr>_vena_test1_B1_C_FV_7cc8369c0b744816a17486bee792b4d5_10</vt:lpstr>
      <vt:lpstr>_vena_test1_B1_C_FV_7cc8369c0b744816a17486bee792b4d5_11</vt:lpstr>
      <vt:lpstr>_vena_test1_B1_C_FV_7cc8369c0b744816a17486bee792b4d5_12</vt:lpstr>
      <vt:lpstr>_vena_test1_B1_C_FV_7cc8369c0b744816a17486bee792b4d5_13</vt:lpstr>
      <vt:lpstr>_vena_test1_B1_C_FV_7cc8369c0b744816a17486bee792b4d5_2</vt:lpstr>
      <vt:lpstr>_vena_test1_B1_C_FV_7cc8369c0b744816a17486bee792b4d5_3</vt:lpstr>
      <vt:lpstr>_vena_test1_B1_C_FV_7cc8369c0b744816a17486bee792b4d5_4</vt:lpstr>
      <vt:lpstr>_vena_test1_B1_C_FV_7cc8369c0b744816a17486bee792b4d5_5</vt:lpstr>
      <vt:lpstr>_vena_test1_B1_C_FV_7cc8369c0b744816a17486bee792b4d5_6</vt:lpstr>
      <vt:lpstr>_vena_test1_B1_C_FV_7cc8369c0b744816a17486bee792b4d5_7</vt:lpstr>
      <vt:lpstr>_vena_test1_B1_C_FV_7cc8369c0b744816a17486bee792b4d5_8</vt:lpstr>
      <vt:lpstr>_vena_test1_B1_C_FV_7cc8369c0b744816a17486bee792b4d5_9</vt:lpstr>
      <vt:lpstr>_vena_test1_B1_C_FV_f4ddf33ff6224574ba096b1a5435ea67</vt:lpstr>
      <vt:lpstr>_vena_test1_B1_C_FV_f4ddf33ff6224574ba096b1a5435ea67_1</vt:lpstr>
      <vt:lpstr>_vena_test1_B1_C_FV_f4ddf33ff6224574ba096b1a5435ea67_10</vt:lpstr>
      <vt:lpstr>_vena_test1_B1_C_FV_f4ddf33ff6224574ba096b1a5435ea67_11</vt:lpstr>
      <vt:lpstr>_vena_test1_B1_C_FV_f4ddf33ff6224574ba096b1a5435ea67_12</vt:lpstr>
      <vt:lpstr>_vena_test1_B1_C_FV_f4ddf33ff6224574ba096b1a5435ea67_13</vt:lpstr>
      <vt:lpstr>_vena_test1_B1_C_FV_f4ddf33ff6224574ba096b1a5435ea67_2</vt:lpstr>
      <vt:lpstr>_vena_test1_B1_C_FV_f4ddf33ff6224574ba096b1a5435ea67_3</vt:lpstr>
      <vt:lpstr>_vena_test1_B1_C_FV_f4ddf33ff6224574ba096b1a5435ea67_4</vt:lpstr>
      <vt:lpstr>_vena_test1_B1_C_FV_f4ddf33ff6224574ba096b1a5435ea67_5</vt:lpstr>
      <vt:lpstr>_vena_test1_B1_C_FV_f4ddf33ff6224574ba096b1a5435ea67_6</vt:lpstr>
      <vt:lpstr>_vena_test1_B1_C_FV_f4ddf33ff6224574ba096b1a5435ea67_7</vt:lpstr>
      <vt:lpstr>_vena_test1_B1_C_FV_f4ddf33ff6224574ba096b1a5435ea67_8</vt:lpstr>
      <vt:lpstr>_vena_test1_B1_C_FV_f4ddf33ff6224574ba096b1a5435ea67_9</vt:lpstr>
      <vt:lpstr>_vena_test1_B1_R_1_651631427951788032</vt:lpstr>
      <vt:lpstr>_vena_test1_B1_R_1_691119840308494336</vt:lpstr>
      <vt:lpstr>_vena_test1_B1_R_FV_385b1d086d8a4b8abf43c04eedb00d88_1b5d3d40.bf947731</vt:lpstr>
      <vt:lpstr>_vena_test1_B1_R_FV_385b1d086d8a4b8abf43c04eedb00d88_368b3bbd.8a2e3629</vt:lpstr>
      <vt:lpstr>_vena_test1_B1_R_FV_385b1d086d8a4b8abf43c04eedb00d88_4156010c.a49ccb10</vt:lpstr>
      <vt:lpstr>_vena_test1_B1_R_FV_385b1d086d8a4b8abf43c04eedb00d88_4184969c.c93f5df4</vt:lpstr>
      <vt:lpstr>_vena_test1_B1_R_FV_385b1d086d8a4b8abf43c04eedb00d88_41ee03e0.4ff04570</vt:lpstr>
      <vt:lpstr>_vena_test1_B1_R_FV_385b1d086d8a4b8abf43c04eedb00d88_616de4db.5295d267</vt:lpstr>
      <vt:lpstr>_vena_test1_B1_R_FV_385b1d086d8a4b8abf43c04eedb00d88_744c0f41.e5e31590</vt:lpstr>
      <vt:lpstr>_vena_test1_B1_R_FV_385b1d086d8a4b8abf43c04eedb00d88_8801e76d.dd2c63ad</vt:lpstr>
      <vt:lpstr>_vena_test1_B1_R_FV_385b1d086d8a4b8abf43c04eedb00d88_94cf46d0.5913b575</vt:lpstr>
      <vt:lpstr>_vena_test1_P_11_651631431944765441</vt:lpstr>
      <vt:lpstr>_vena_test1_P_12_651631431982514177</vt:lpstr>
      <vt:lpstr>_vena_test1_P_2_651631429184913409</vt:lpstr>
      <vt:lpstr>_vena_test1_P_3_1117226713781239808</vt:lpstr>
      <vt:lpstr>_vena_test1_P_4_652241713652170752</vt:lpstr>
      <vt:lpstr>_vena_test1_P_5_652241713786388480</vt:lpstr>
      <vt:lpstr>_vena_test1_P_6_652241713908023296</vt:lpstr>
      <vt:lpstr>_vena_test1_P_7_652241714033852416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Axelle Cazalets</dc:creator>
  <cp:lastModifiedBy>Webster, Peter</cp:lastModifiedBy>
  <cp:lastPrinted>2020-10-30T01:16:56Z</cp:lastPrinted>
  <dcterms:created xsi:type="dcterms:W3CDTF">2020-10-30T00:10:12Z</dcterms:created>
  <dcterms:modified xsi:type="dcterms:W3CDTF">2026-03-14T13:33:50Z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1de60-2eeb-4741-b2e0-1f61b4c7456c_Enabled">
    <vt:lpwstr>true</vt:lpwstr>
  </property>
  <property fmtid="{D5CDD505-2E9C-101B-9397-08002B2CF9AE}" pid="3" name="MSIP_Label_2821de60-2eeb-4741-b2e0-1f61b4c7456c_SetDate">
    <vt:lpwstr>2024-05-08T06:15:30Z</vt:lpwstr>
  </property>
  <property fmtid="{D5CDD505-2E9C-101B-9397-08002B2CF9AE}" pid="4" name="MSIP_Label_2821de60-2eeb-4741-b2e0-1f61b4c7456c_Method">
    <vt:lpwstr>Standard</vt:lpwstr>
  </property>
  <property fmtid="{D5CDD505-2E9C-101B-9397-08002B2CF9AE}" pid="5" name="MSIP_Label_2821de60-2eeb-4741-b2e0-1f61b4c7456c_Name">
    <vt:lpwstr>defa4170-0d19-0005-0004-bc88714345d2</vt:lpwstr>
  </property>
  <property fmtid="{D5CDD505-2E9C-101B-9397-08002B2CF9AE}" pid="6" name="MSIP_Label_2821de60-2eeb-4741-b2e0-1f61b4c7456c_SiteId">
    <vt:lpwstr>ca70350f-01c9-4cae-8401-2a9bef8637fc</vt:lpwstr>
  </property>
  <property fmtid="{D5CDD505-2E9C-101B-9397-08002B2CF9AE}" pid="7" name="MSIP_Label_2821de60-2eeb-4741-b2e0-1f61b4c7456c_ActionId">
    <vt:lpwstr>9f72ace3-a6fe-4874-aa85-d279e776a801</vt:lpwstr>
  </property>
  <property fmtid="{D5CDD505-2E9C-101B-9397-08002B2CF9AE}" pid="8" name="MSIP_Label_2821de60-2eeb-4741-b2e0-1f61b4c7456c_ContentBits">
    <vt:lpwstr>0</vt:lpwstr>
  </property>
</Properties>
</file>